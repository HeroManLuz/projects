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nikita.kuznetsov/Downloads/"/>
    </mc:Choice>
  </mc:AlternateContent>
  <xr:revisionPtr revIDLastSave="0" documentId="13_ncr:1_{A75D21E9-CDC3-504E-BB48-8E9F79F702CD}" xr6:coauthVersionLast="47" xr6:coauthVersionMax="47" xr10:uidLastSave="{00000000-0000-0000-0000-000000000000}"/>
  <bookViews>
    <workbookView xWindow="0" yWindow="500" windowWidth="28800" windowHeight="16260" activeTab="4" xr2:uid="{00000000-000D-0000-FFFF-FFFF00000000}"/>
  </bookViews>
  <sheets>
    <sheet name="Debt Dynamics" sheetId="1" r:id="rId1"/>
    <sheet name="Stabilizing Debt" sheetId="2" r:id="rId2"/>
    <sheet name="Baseline Scenario" sheetId="3" r:id="rId3"/>
    <sheet name="Stress Tests" sheetId="4" r:id="rId4"/>
    <sheet name="Sweden Debt Dynamics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__BOP2" localSheetId="2">[1]BoP!#REF!</definedName>
    <definedName name="___BOP2" localSheetId="1">[1]BoP!#REF!</definedName>
    <definedName name="___BOP2" localSheetId="3">[1]BoP!#REF!</definedName>
    <definedName name="___BOP2">[1]BoP!#REF!</definedName>
    <definedName name="___EXP5" localSheetId="2">#REF!</definedName>
    <definedName name="___EXP5" localSheetId="1">#REF!</definedName>
    <definedName name="___EXP5" localSheetId="3">#REF!</definedName>
    <definedName name="___EXP5">#REF!</definedName>
    <definedName name="___EXP6" localSheetId="2">#REF!</definedName>
    <definedName name="___EXP6" localSheetId="1">#REF!</definedName>
    <definedName name="___EXP6" localSheetId="3">#REF!</definedName>
    <definedName name="___EXP6">#REF!</definedName>
    <definedName name="___EXP7" localSheetId="2">#REF!</definedName>
    <definedName name="___EXP7" localSheetId="1">#REF!</definedName>
    <definedName name="___EXP7" localSheetId="3">#REF!</definedName>
    <definedName name="___EXP7">#REF!</definedName>
    <definedName name="___EXP9" localSheetId="2">#REF!</definedName>
    <definedName name="___EXP9" localSheetId="1">#REF!</definedName>
    <definedName name="___EXP9" localSheetId="3">#REF!</definedName>
    <definedName name="___EXP9">#REF!</definedName>
    <definedName name="___IMP2" localSheetId="2">#REF!</definedName>
    <definedName name="___IMP2" localSheetId="1">#REF!</definedName>
    <definedName name="___IMP2" localSheetId="3">#REF!</definedName>
    <definedName name="___IMP2">#REF!</definedName>
    <definedName name="___IMP4" localSheetId="2">#REF!</definedName>
    <definedName name="___IMP4" localSheetId="1">#REF!</definedName>
    <definedName name="___IMP4" localSheetId="3">#REF!</definedName>
    <definedName name="___IMP4">#REF!</definedName>
    <definedName name="___IMP6" localSheetId="2">#REF!</definedName>
    <definedName name="___IMP6" localSheetId="1">#REF!</definedName>
    <definedName name="___IMP6" localSheetId="3">#REF!</definedName>
    <definedName name="___IMP6">#REF!</definedName>
    <definedName name="___IMP7" localSheetId="2">#REF!</definedName>
    <definedName name="___IMP7" localSheetId="1">#REF!</definedName>
    <definedName name="___IMP7" localSheetId="3">#REF!</definedName>
    <definedName name="___IMP7">#REF!</definedName>
    <definedName name="___MTS2" localSheetId="2">'[2]Annual Tables'!#REF!</definedName>
    <definedName name="___MTS2" localSheetId="1">'[2]Annual Tables'!#REF!</definedName>
    <definedName name="___MTS2" localSheetId="3">'[2]Annual Tables'!#REF!</definedName>
    <definedName name="___MTS2">'[2]Annual Tables'!#REF!</definedName>
    <definedName name="___PAG2" localSheetId="2">[2]Index!#REF!</definedName>
    <definedName name="___PAG2" localSheetId="1">[2]Index!#REF!</definedName>
    <definedName name="___PAG2" localSheetId="3">[2]Index!#REF!</definedName>
    <definedName name="___PAG2">[2]Index!#REF!</definedName>
    <definedName name="___PAG3" localSheetId="2">[2]Index!#REF!</definedName>
    <definedName name="___PAG3" localSheetId="1">[2]Index!#REF!</definedName>
    <definedName name="___PAG3" localSheetId="3">[2]Index!#REF!</definedName>
    <definedName name="___PAG3">[2]Index!#REF!</definedName>
    <definedName name="___PAG4" localSheetId="2">[2]Index!#REF!</definedName>
    <definedName name="___PAG4" localSheetId="1">[2]Index!#REF!</definedName>
    <definedName name="___PAG4" localSheetId="3">[2]Index!#REF!</definedName>
    <definedName name="___PAG4">[2]Index!#REF!</definedName>
    <definedName name="___PAG5" localSheetId="2">[2]Index!#REF!</definedName>
    <definedName name="___PAG5" localSheetId="1">[2]Index!#REF!</definedName>
    <definedName name="___PAG5" localSheetId="3">[2]Index!#REF!</definedName>
    <definedName name="___PAG5">[2]Index!#REF!</definedName>
    <definedName name="___PAG6" localSheetId="2">[2]Index!#REF!</definedName>
    <definedName name="___PAG6" localSheetId="1">[2]Index!#REF!</definedName>
    <definedName name="___PAG6" localSheetId="3">[2]Index!#REF!</definedName>
    <definedName name="___PAG6">[2]Index!#REF!</definedName>
    <definedName name="___RES2" localSheetId="2">[1]RES!#REF!</definedName>
    <definedName name="___RES2" localSheetId="1">[1]RES!#REF!</definedName>
    <definedName name="___RES2" localSheetId="3">[1]RES!#REF!</definedName>
    <definedName name="___RES2">[1]RES!#REF!</definedName>
    <definedName name="___TAB7" localSheetId="2">#REF!</definedName>
    <definedName name="___TAB7" localSheetId="1">#REF!</definedName>
    <definedName name="___TAB7" localSheetId="3">#REF!</definedName>
    <definedName name="___TAB7">#REF!</definedName>
    <definedName name="__123Graph_A" localSheetId="2">#REF!</definedName>
    <definedName name="__123Graph_A" localSheetId="1">#REF!</definedName>
    <definedName name="__123Graph_A" localSheetId="3">#REF!</definedName>
    <definedName name="__123Graph_A">#REF!</definedName>
    <definedName name="__123Graph_BCurrent" localSheetId="2">[3]G!#REF!</definedName>
    <definedName name="__123Graph_BCurrent" localSheetId="1">[3]G!#REF!</definedName>
    <definedName name="__123Graph_BCurrent" localSheetId="3">[3]G!#REF!</definedName>
    <definedName name="__123Graph_BCurrent">[3]G!#REF!</definedName>
    <definedName name="__BOP1" localSheetId="2">#REF!</definedName>
    <definedName name="__BOP1" localSheetId="1">#REF!</definedName>
    <definedName name="__BOP1" localSheetId="3">#REF!</definedName>
    <definedName name="__BOP1">#REF!</definedName>
    <definedName name="__IMP10" localSheetId="2">#REF!</definedName>
    <definedName name="__IMP10" localSheetId="1">#REF!</definedName>
    <definedName name="__IMP10" localSheetId="3">#REF!</definedName>
    <definedName name="__IMP10">#REF!</definedName>
    <definedName name="__IMP8" localSheetId="2">#REF!</definedName>
    <definedName name="__IMP8" localSheetId="1">#REF!</definedName>
    <definedName name="__IMP8" localSheetId="3">#REF!</definedName>
    <definedName name="__IMP8">#REF!</definedName>
    <definedName name="__PAG7" localSheetId="2">#REF!</definedName>
    <definedName name="__PAG7" localSheetId="1">#REF!</definedName>
    <definedName name="__PAG7" localSheetId="3">#REF!</definedName>
    <definedName name="__PAG7">#REF!</definedName>
    <definedName name="__TAB1" localSheetId="2">#REF!</definedName>
    <definedName name="__TAB1" localSheetId="1">#REF!</definedName>
    <definedName name="__TAB1" localSheetId="3">#REF!</definedName>
    <definedName name="__TAB1">#REF!</definedName>
    <definedName name="__TAB10" localSheetId="2">#REF!</definedName>
    <definedName name="__TAB10" localSheetId="1">#REF!</definedName>
    <definedName name="__TAB10" localSheetId="3">#REF!</definedName>
    <definedName name="__TAB10">#REF!</definedName>
    <definedName name="__TAB12" localSheetId="2">#REF!</definedName>
    <definedName name="__TAB12" localSheetId="1">#REF!</definedName>
    <definedName name="__TAB12" localSheetId="3">#REF!</definedName>
    <definedName name="__TAB12">#REF!</definedName>
    <definedName name="__Tab19" localSheetId="2">#REF!</definedName>
    <definedName name="__Tab19" localSheetId="1">#REF!</definedName>
    <definedName name="__Tab19" localSheetId="3">#REF!</definedName>
    <definedName name="__Tab19">#REF!</definedName>
    <definedName name="__TAB2" localSheetId="2">#REF!</definedName>
    <definedName name="__TAB2" localSheetId="1">#REF!</definedName>
    <definedName name="__TAB2" localSheetId="3">#REF!</definedName>
    <definedName name="__TAB2">#REF!</definedName>
    <definedName name="__Tab20" localSheetId="2">#REF!</definedName>
    <definedName name="__Tab20" localSheetId="1">#REF!</definedName>
    <definedName name="__Tab20" localSheetId="3">#REF!</definedName>
    <definedName name="__Tab20">#REF!</definedName>
    <definedName name="__Tab21" localSheetId="2">#REF!</definedName>
    <definedName name="__Tab21" localSheetId="1">#REF!</definedName>
    <definedName name="__Tab21" localSheetId="3">#REF!</definedName>
    <definedName name="__Tab21">#REF!</definedName>
    <definedName name="__Tab22" localSheetId="2">#REF!</definedName>
    <definedName name="__Tab22" localSheetId="1">#REF!</definedName>
    <definedName name="__Tab22" localSheetId="3">#REF!</definedName>
    <definedName name="__Tab22">#REF!</definedName>
    <definedName name="__Tab23" localSheetId="2">#REF!</definedName>
    <definedName name="__Tab23" localSheetId="1">#REF!</definedName>
    <definedName name="__Tab23" localSheetId="3">#REF!</definedName>
    <definedName name="__Tab23">#REF!</definedName>
    <definedName name="__Tab24" localSheetId="2">#REF!</definedName>
    <definedName name="__Tab24" localSheetId="1">#REF!</definedName>
    <definedName name="__Tab24" localSheetId="3">#REF!</definedName>
    <definedName name="__Tab24">#REF!</definedName>
    <definedName name="__Tab26" localSheetId="2">#REF!</definedName>
    <definedName name="__Tab26" localSheetId="1">#REF!</definedName>
    <definedName name="__Tab26" localSheetId="3">#REF!</definedName>
    <definedName name="__Tab26">#REF!</definedName>
    <definedName name="__Tab27" localSheetId="2">#REF!</definedName>
    <definedName name="__Tab27" localSheetId="1">#REF!</definedName>
    <definedName name="__Tab27" localSheetId="3">#REF!</definedName>
    <definedName name="__Tab27">#REF!</definedName>
    <definedName name="__Tab28" localSheetId="2">#REF!</definedName>
    <definedName name="__Tab28" localSheetId="1">#REF!</definedName>
    <definedName name="__Tab28" localSheetId="3">#REF!</definedName>
    <definedName name="__Tab28">#REF!</definedName>
    <definedName name="__Tab29" localSheetId="2">#REF!</definedName>
    <definedName name="__Tab29" localSheetId="1">#REF!</definedName>
    <definedName name="__Tab29" localSheetId="3">#REF!</definedName>
    <definedName name="__Tab29">#REF!</definedName>
    <definedName name="__TAB3" localSheetId="2">#REF!</definedName>
    <definedName name="__TAB3" localSheetId="1">#REF!</definedName>
    <definedName name="__TAB3" localSheetId="3">#REF!</definedName>
    <definedName name="__TAB3">#REF!</definedName>
    <definedName name="__Tab30" localSheetId="2">#REF!</definedName>
    <definedName name="__Tab30" localSheetId="1">#REF!</definedName>
    <definedName name="__Tab30" localSheetId="3">#REF!</definedName>
    <definedName name="__Tab30">#REF!</definedName>
    <definedName name="__Tab31" localSheetId="2">#REF!</definedName>
    <definedName name="__Tab31" localSheetId="1">#REF!</definedName>
    <definedName name="__Tab31" localSheetId="3">#REF!</definedName>
    <definedName name="__Tab31">#REF!</definedName>
    <definedName name="__Tab32" localSheetId="2">#REF!</definedName>
    <definedName name="__Tab32" localSheetId="1">#REF!</definedName>
    <definedName name="__Tab32" localSheetId="3">#REF!</definedName>
    <definedName name="__Tab32">#REF!</definedName>
    <definedName name="__Tab33" localSheetId="2">#REF!</definedName>
    <definedName name="__Tab33" localSheetId="1">#REF!</definedName>
    <definedName name="__Tab33" localSheetId="3">#REF!</definedName>
    <definedName name="__Tab33">#REF!</definedName>
    <definedName name="__Tab34" localSheetId="2">#REF!</definedName>
    <definedName name="__Tab34" localSheetId="1">#REF!</definedName>
    <definedName name="__Tab34" localSheetId="3">#REF!</definedName>
    <definedName name="__Tab34">#REF!</definedName>
    <definedName name="__Tab35" localSheetId="2">#REF!</definedName>
    <definedName name="__Tab35" localSheetId="1">#REF!</definedName>
    <definedName name="__Tab35" localSheetId="3">#REF!</definedName>
    <definedName name="__Tab35">#REF!</definedName>
    <definedName name="__TAB4" localSheetId="2">#REF!</definedName>
    <definedName name="__TAB4" localSheetId="1">#REF!</definedName>
    <definedName name="__TAB4" localSheetId="3">#REF!</definedName>
    <definedName name="__TAB4">#REF!</definedName>
    <definedName name="__TAB5" localSheetId="2">#REF!</definedName>
    <definedName name="__TAB5" localSheetId="1">#REF!</definedName>
    <definedName name="__TAB5" localSheetId="3">#REF!</definedName>
    <definedName name="__TAB5">#REF!</definedName>
    <definedName name="__TAB8" localSheetId="2">#REF!</definedName>
    <definedName name="__TAB8" localSheetId="1">#REF!</definedName>
    <definedName name="__TAB8" localSheetId="3">#REF!</definedName>
    <definedName name="__TAB8">#REF!</definedName>
    <definedName name="__WEO1" localSheetId="2">#REF!</definedName>
    <definedName name="__WEO1" localSheetId="1">#REF!</definedName>
    <definedName name="__WEO1" localSheetId="3">#REF!</definedName>
    <definedName name="__WEO1">#REF!</definedName>
    <definedName name="__WEO2" localSheetId="2">#REF!</definedName>
    <definedName name="__WEO2" localSheetId="1">#REF!</definedName>
    <definedName name="__WEO2" localSheetId="3">#REF!</definedName>
    <definedName name="__WEO2">#REF!</definedName>
    <definedName name="_5Macros_Import_.qbop" localSheetId="2">[4]!'[Macros Import].qbop'</definedName>
    <definedName name="_5Macros_Import_.qbop" localSheetId="1">[4]!'[Macros Import].qbop'</definedName>
    <definedName name="_5Macros_Import_.qbop" localSheetId="3">[4]!'[Macros Import].qbop'</definedName>
    <definedName name="_5Macros_Import_.qbop" localSheetId="4">[4]!'[Macros Import].qbop'</definedName>
    <definedName name="_5Macros_Import_.qbop">[4]!'[Macros Import].qbop'</definedName>
    <definedName name="_BOP1" localSheetId="2">#REF!</definedName>
    <definedName name="_BOP1" localSheetId="1">#REF!</definedName>
    <definedName name="_BOP1" localSheetId="3">#REF!</definedName>
    <definedName name="_BOP1">#REF!</definedName>
    <definedName name="_BOP2" localSheetId="2">[1]BoP!#REF!</definedName>
    <definedName name="_BOP2" localSheetId="1">[1]BoP!#REF!</definedName>
    <definedName name="_BOP2" localSheetId="3">[1]BoP!#REF!</definedName>
    <definedName name="_BOP2">[1]BoP!#REF!</definedName>
    <definedName name="_DLX101.USE" localSheetId="2">'[5]Prices&amp;Money Data (Q)'!#REF!</definedName>
    <definedName name="_DLX101.USE" localSheetId="1">'[5]Prices&amp;Money Data (Q)'!#REF!</definedName>
    <definedName name="_DLX101.USE" localSheetId="3">'[5]Prices&amp;Money Data (Q)'!#REF!</definedName>
    <definedName name="_DLX101.USE">'[5]Prices&amp;Money Data (Q)'!#REF!</definedName>
    <definedName name="_DLX102.USE" localSheetId="2">'[5]Prices&amp;Money Data (Q)'!#REF!</definedName>
    <definedName name="_DLX102.USE" localSheetId="1">'[5]Prices&amp;Money Data (Q)'!#REF!</definedName>
    <definedName name="_DLX102.USE" localSheetId="3">'[5]Prices&amp;Money Data (Q)'!#REF!</definedName>
    <definedName name="_DLX102.USE">'[5]Prices&amp;Money Data (Q)'!#REF!</definedName>
    <definedName name="_DLX109.USE" localSheetId="2">'[5]Prices&amp;Money Data (Q)'!#REF!</definedName>
    <definedName name="_DLX109.USE" localSheetId="1">'[5]Prices&amp;Money Data (Q)'!#REF!</definedName>
    <definedName name="_DLX109.USE" localSheetId="3">'[5]Prices&amp;Money Data (Q)'!#REF!</definedName>
    <definedName name="_DLX109.USE">'[5]Prices&amp;Money Data (Q)'!#REF!</definedName>
    <definedName name="_DLX110.USE" localSheetId="2">'[5]Prices&amp;Money Data (Q)'!#REF!</definedName>
    <definedName name="_DLX110.USE" localSheetId="1">'[5]Prices&amp;Money Data (Q)'!#REF!</definedName>
    <definedName name="_DLX110.USE" localSheetId="3">'[5]Prices&amp;Money Data (Q)'!#REF!</definedName>
    <definedName name="_DLX110.USE">'[5]Prices&amp;Money Data (Q)'!#REF!</definedName>
    <definedName name="_DLX111.USE" localSheetId="2">'[5]Prices&amp;Money Data (Q)'!#REF!</definedName>
    <definedName name="_DLX111.USE" localSheetId="1">'[5]Prices&amp;Money Data (Q)'!#REF!</definedName>
    <definedName name="_DLX111.USE" localSheetId="3">'[5]Prices&amp;Money Data (Q)'!#REF!</definedName>
    <definedName name="_DLX111.USE">'[5]Prices&amp;Money Data (Q)'!#REF!</definedName>
    <definedName name="_DLX116.USE" localSheetId="2">'[5]Prices&amp;Money Data (Q)'!#REF!</definedName>
    <definedName name="_DLX116.USE" localSheetId="1">'[5]Prices&amp;Money Data (Q)'!#REF!</definedName>
    <definedName name="_DLX116.USE" localSheetId="3">'[5]Prices&amp;Money Data (Q)'!#REF!</definedName>
    <definedName name="_DLX116.USE">'[5]Prices&amp;Money Data (Q)'!#REF!</definedName>
    <definedName name="_DLX12.USE" localSheetId="2">#REF!</definedName>
    <definedName name="_DLX12.USE" localSheetId="1">#REF!</definedName>
    <definedName name="_DLX12.USE" localSheetId="3">#REF!</definedName>
    <definedName name="_DLX12.USE">#REF!</definedName>
    <definedName name="_DLX137.USE" localSheetId="2">'[5]Prices&amp;Money Data (A)'!#REF!</definedName>
    <definedName name="_DLX137.USE" localSheetId="1">'[5]Prices&amp;Money Data (A)'!#REF!</definedName>
    <definedName name="_DLX137.USE" localSheetId="3">'[5]Prices&amp;Money Data (A)'!#REF!</definedName>
    <definedName name="_DLX137.USE">'[5]Prices&amp;Money Data (A)'!#REF!</definedName>
    <definedName name="_DLX138.USE" localSheetId="2">'[5]Prices&amp;Money Data (A)'!#REF!</definedName>
    <definedName name="_DLX138.USE" localSheetId="1">'[5]Prices&amp;Money Data (A)'!#REF!</definedName>
    <definedName name="_DLX138.USE" localSheetId="3">'[5]Prices&amp;Money Data (A)'!#REF!</definedName>
    <definedName name="_DLX138.USE">'[5]Prices&amp;Money Data (A)'!#REF!</definedName>
    <definedName name="_DLX139.USE" localSheetId="2">'[5]Prices&amp;Money Data (A)'!#REF!</definedName>
    <definedName name="_DLX139.USE" localSheetId="1">'[5]Prices&amp;Money Data (A)'!#REF!</definedName>
    <definedName name="_DLX139.USE" localSheetId="3">'[5]Prices&amp;Money Data (A)'!#REF!</definedName>
    <definedName name="_DLX139.USE">'[5]Prices&amp;Money Data (A)'!#REF!</definedName>
    <definedName name="_DLX140.USE" localSheetId="2">'[5]Prices&amp;Money Data (A)'!#REF!</definedName>
    <definedName name="_DLX140.USE" localSheetId="1">'[5]Prices&amp;Money Data (A)'!#REF!</definedName>
    <definedName name="_DLX140.USE" localSheetId="3">'[5]Prices&amp;Money Data (A)'!#REF!</definedName>
    <definedName name="_DLX140.USE">'[5]Prices&amp;Money Data (A)'!#REF!</definedName>
    <definedName name="_DLX142.USE" localSheetId="2">'[5]Prices&amp;Money Data (A)'!#REF!</definedName>
    <definedName name="_DLX142.USE" localSheetId="1">'[5]Prices&amp;Money Data (A)'!#REF!</definedName>
    <definedName name="_DLX142.USE" localSheetId="3">'[5]Prices&amp;Money Data (A)'!#REF!</definedName>
    <definedName name="_DLX142.USE">'[5]Prices&amp;Money Data (A)'!#REF!</definedName>
    <definedName name="_DLX143.USE" localSheetId="2">'[5]Prices&amp;Money Data (A)'!#REF!</definedName>
    <definedName name="_DLX143.USE" localSheetId="1">'[5]Prices&amp;Money Data (A)'!#REF!</definedName>
    <definedName name="_DLX143.USE" localSheetId="3">'[5]Prices&amp;Money Data (A)'!#REF!</definedName>
    <definedName name="_DLX143.USE">'[5]Prices&amp;Money Data (A)'!#REF!</definedName>
    <definedName name="_DLX144.USE" localSheetId="2">'[5]Prices&amp;Money Data (A)'!#REF!</definedName>
    <definedName name="_DLX144.USE" localSheetId="1">'[5]Prices&amp;Money Data (A)'!#REF!</definedName>
    <definedName name="_DLX144.USE" localSheetId="3">'[5]Prices&amp;Money Data (A)'!#REF!</definedName>
    <definedName name="_DLX144.USE">'[5]Prices&amp;Money Data (A)'!#REF!</definedName>
    <definedName name="_DLX145.USE" localSheetId="2">'[5]Prices&amp;Money Data (A)'!#REF!</definedName>
    <definedName name="_DLX145.USE" localSheetId="1">'[5]Prices&amp;Money Data (A)'!#REF!</definedName>
    <definedName name="_DLX145.USE" localSheetId="3">'[5]Prices&amp;Money Data (A)'!#REF!</definedName>
    <definedName name="_DLX145.USE">'[5]Prices&amp;Money Data (A)'!#REF!</definedName>
    <definedName name="_DLX15.USE" localSheetId="2">#REF!</definedName>
    <definedName name="_DLX15.USE" localSheetId="1">#REF!</definedName>
    <definedName name="_DLX15.USE" localSheetId="3">#REF!</definedName>
    <definedName name="_DLX15.USE">#REF!</definedName>
    <definedName name="_DLX16.USE" localSheetId="2">'[5]Real Sector Data (Q)'!#REF!</definedName>
    <definedName name="_DLX16.USE" localSheetId="1">'[5]Real Sector Data (Q)'!#REF!</definedName>
    <definedName name="_DLX16.USE" localSheetId="3">'[5]Real Sector Data (Q)'!#REF!</definedName>
    <definedName name="_DLX16.USE">'[5]Real Sector Data (Q)'!#REF!</definedName>
    <definedName name="_DLX175.USE" localSheetId="2">'[5]Fiscal Sector Data (A)'!#REF!</definedName>
    <definedName name="_DLX175.USE" localSheetId="1">'[5]Fiscal Sector Data (A)'!#REF!</definedName>
    <definedName name="_DLX175.USE" localSheetId="3">'[5]Fiscal Sector Data (A)'!#REF!</definedName>
    <definedName name="_DLX175.USE">'[5]Fiscal Sector Data (A)'!#REF!</definedName>
    <definedName name="_DLX176.USE" localSheetId="2">'[5]Fiscal Sector Data (A)'!#REF!</definedName>
    <definedName name="_DLX176.USE" localSheetId="1">'[5]Fiscal Sector Data (A)'!#REF!</definedName>
    <definedName name="_DLX176.USE" localSheetId="3">'[5]Fiscal Sector Data (A)'!#REF!</definedName>
    <definedName name="_DLX176.USE">'[5]Fiscal Sector Data (A)'!#REF!</definedName>
    <definedName name="_DLX177.USE" localSheetId="2">'[5]Fiscal Sector Data (A)'!#REF!</definedName>
    <definedName name="_DLX177.USE" localSheetId="1">'[5]Fiscal Sector Data (A)'!#REF!</definedName>
    <definedName name="_DLX177.USE" localSheetId="3">'[5]Fiscal Sector Data (A)'!#REF!</definedName>
    <definedName name="_DLX177.USE">'[5]Fiscal Sector Data (A)'!#REF!</definedName>
    <definedName name="_DLX178.USE" localSheetId="2">'[5]Fiscal Sector Data (A)'!#REF!</definedName>
    <definedName name="_DLX178.USE" localSheetId="1">'[5]Fiscal Sector Data (A)'!#REF!</definedName>
    <definedName name="_DLX178.USE" localSheetId="3">'[5]Fiscal Sector Data (A)'!#REF!</definedName>
    <definedName name="_DLX178.USE">'[5]Fiscal Sector Data (A)'!#REF!</definedName>
    <definedName name="_DLX179.USE" localSheetId="2">'[5]Fiscal Sector Data (A)'!#REF!</definedName>
    <definedName name="_DLX179.USE" localSheetId="1">'[5]Fiscal Sector Data (A)'!#REF!</definedName>
    <definedName name="_DLX179.USE" localSheetId="3">'[5]Fiscal Sector Data (A)'!#REF!</definedName>
    <definedName name="_DLX179.USE">'[5]Fiscal Sector Data (A)'!#REF!</definedName>
    <definedName name="_DLX184.USE" localSheetId="2">'[5]External Sector Data (A)'!#REF!</definedName>
    <definedName name="_DLX184.USE" localSheetId="1">'[5]External Sector Data (A)'!#REF!</definedName>
    <definedName name="_DLX184.USE" localSheetId="3">'[5]External Sector Data (A)'!#REF!</definedName>
    <definedName name="_DLX184.USE">'[5]External Sector Data (A)'!#REF!</definedName>
    <definedName name="_DLX185.USE" localSheetId="2">'[5]External Sector Data (A)'!#REF!</definedName>
    <definedName name="_DLX185.USE" localSheetId="1">'[5]External Sector Data (A)'!#REF!</definedName>
    <definedName name="_DLX185.USE" localSheetId="3">'[5]External Sector Data (A)'!#REF!</definedName>
    <definedName name="_DLX185.USE">'[5]External Sector Data (A)'!#REF!</definedName>
    <definedName name="_DLX187.USE" localSheetId="2">'[5]External Sector Data (A)'!#REF!</definedName>
    <definedName name="_DLX187.USE" localSheetId="1">'[5]External Sector Data (A)'!#REF!</definedName>
    <definedName name="_DLX187.USE" localSheetId="3">'[5]External Sector Data (A)'!#REF!</definedName>
    <definedName name="_DLX187.USE">'[5]External Sector Data (A)'!#REF!</definedName>
    <definedName name="_DLX195.USE" localSheetId="2">'[5]External Sector Data (A)'!#REF!</definedName>
    <definedName name="_DLX195.USE" localSheetId="1">'[5]External Sector Data (A)'!#REF!</definedName>
    <definedName name="_DLX195.USE" localSheetId="3">'[5]External Sector Data (A)'!#REF!</definedName>
    <definedName name="_DLX195.USE">'[5]External Sector Data (A)'!#REF!</definedName>
    <definedName name="_DLX204.USE" localSheetId="2">'[5]Data-In (Q) Mod 1&amp;2&amp;3'!#REF!</definedName>
    <definedName name="_DLX204.USE" localSheetId="1">'[5]Data-In (Q) Mod 1&amp;2&amp;3'!#REF!</definedName>
    <definedName name="_DLX204.USE" localSheetId="3">'[5]Data-In (Q) Mod 1&amp;2&amp;3'!#REF!</definedName>
    <definedName name="_DLX204.USE">'[5]Data-In (Q) Mod 1&amp;2&amp;3'!#REF!</definedName>
    <definedName name="_DLX208.USE" localSheetId="2">'[5]Financial Sector Data (Q)'!#REF!</definedName>
    <definedName name="_DLX208.USE" localSheetId="1">'[5]Financial Sector Data (Q)'!#REF!</definedName>
    <definedName name="_DLX208.USE" localSheetId="3">'[5]Financial Sector Data (Q)'!#REF!</definedName>
    <definedName name="_DLX208.USE">'[5]Financial Sector Data (Q)'!#REF!</definedName>
    <definedName name="_DLX209.USE" localSheetId="2">'[5]Financial Sector Data (Q)'!#REF!</definedName>
    <definedName name="_DLX209.USE" localSheetId="1">'[5]Financial Sector Data (Q)'!#REF!</definedName>
    <definedName name="_DLX209.USE" localSheetId="3">'[5]Financial Sector Data (Q)'!#REF!</definedName>
    <definedName name="_DLX209.USE">'[5]Financial Sector Data (Q)'!#REF!</definedName>
    <definedName name="_DLX210.USE" localSheetId="2">'[5]Financial Sector Data (Q)'!#REF!</definedName>
    <definedName name="_DLX210.USE" localSheetId="1">'[5]Financial Sector Data (Q)'!#REF!</definedName>
    <definedName name="_DLX210.USE" localSheetId="3">'[5]Financial Sector Data (Q)'!#REF!</definedName>
    <definedName name="_DLX210.USE">'[5]Financial Sector Data (Q)'!#REF!</definedName>
    <definedName name="_DLX212.USE" localSheetId="2">'[5]Prices&amp;Money Data (A)'!#REF!</definedName>
    <definedName name="_DLX212.USE" localSheetId="1">'[5]Prices&amp;Money Data (A)'!#REF!</definedName>
    <definedName name="_DLX212.USE" localSheetId="3">'[5]Prices&amp;Money Data (A)'!#REF!</definedName>
    <definedName name="_DLX212.USE">'[5]Prices&amp;Money Data (A)'!#REF!</definedName>
    <definedName name="_DLX213.USE" localSheetId="2">'[5]Prices&amp;Money Data (A)'!#REF!</definedName>
    <definedName name="_DLX213.USE" localSheetId="1">'[5]Prices&amp;Money Data (A)'!#REF!</definedName>
    <definedName name="_DLX213.USE" localSheetId="3">'[5]Prices&amp;Money Data (A)'!#REF!</definedName>
    <definedName name="_DLX213.USE">'[5]Prices&amp;Money Data (A)'!#REF!</definedName>
    <definedName name="_DLX214.USE" localSheetId="2">'[5]Prices&amp;Money Data (Q)'!#REF!</definedName>
    <definedName name="_DLX214.USE" localSheetId="1">'[5]Prices&amp;Money Data (Q)'!#REF!</definedName>
    <definedName name="_DLX214.USE" localSheetId="3">'[5]Prices&amp;Money Data (Q)'!#REF!</definedName>
    <definedName name="_DLX214.USE">'[5]Prices&amp;Money Data (Q)'!#REF!</definedName>
    <definedName name="_DLX221.USE" localSheetId="2">'[5]External Sector Data (A)'!#REF!</definedName>
    <definedName name="_DLX221.USE" localSheetId="1">'[5]External Sector Data (A)'!#REF!</definedName>
    <definedName name="_DLX221.USE" localSheetId="3">'[5]External Sector Data (A)'!#REF!</definedName>
    <definedName name="_DLX221.USE">'[5]External Sector Data (A)'!#REF!</definedName>
    <definedName name="_DLX225.USE" localSheetId="2">'[5]External Sector Data (A)'!#REF!</definedName>
    <definedName name="_DLX225.USE" localSheetId="1">'[5]External Sector Data (A)'!#REF!</definedName>
    <definedName name="_DLX225.USE" localSheetId="3">'[5]External Sector Data (A)'!#REF!</definedName>
    <definedName name="_DLX225.USE">'[5]External Sector Data (A)'!#REF!</definedName>
    <definedName name="_DLX23.USE" localSheetId="2">'[5]Real Sector Data (Q)'!#REF!</definedName>
    <definedName name="_DLX23.USE" localSheetId="1">'[5]Real Sector Data (Q)'!#REF!</definedName>
    <definedName name="_DLX23.USE" localSheetId="3">'[5]Real Sector Data (Q)'!#REF!</definedName>
    <definedName name="_DLX23.USE">'[5]Real Sector Data (Q)'!#REF!</definedName>
    <definedName name="_DLX230.USE" localSheetId="2">'[5]Prices&amp;Money Data (Q)'!#REF!</definedName>
    <definedName name="_DLX230.USE" localSheetId="1">'[5]Prices&amp;Money Data (Q)'!#REF!</definedName>
    <definedName name="_DLX230.USE" localSheetId="3">'[5]Prices&amp;Money Data (Q)'!#REF!</definedName>
    <definedName name="_DLX230.USE">'[5]Prices&amp;Money Data (Q)'!#REF!</definedName>
    <definedName name="_DLX231.USE" localSheetId="2">'[5]Prices&amp;Money Data (Q)'!#REF!</definedName>
    <definedName name="_DLX231.USE" localSheetId="1">'[5]Prices&amp;Money Data (Q)'!#REF!</definedName>
    <definedName name="_DLX231.USE" localSheetId="3">'[5]Prices&amp;Money Data (Q)'!#REF!</definedName>
    <definedName name="_DLX231.USE">'[5]Prices&amp;Money Data (Q)'!#REF!</definedName>
    <definedName name="_DLX232.USE" localSheetId="2">'[5]Prices&amp;Money Data (Q)'!#REF!</definedName>
    <definedName name="_DLX232.USE" localSheetId="1">'[5]Prices&amp;Money Data (Q)'!#REF!</definedName>
    <definedName name="_DLX232.USE" localSheetId="3">'[5]Prices&amp;Money Data (Q)'!#REF!</definedName>
    <definedName name="_DLX232.USE">'[5]Prices&amp;Money Data (Q)'!#REF!</definedName>
    <definedName name="_DLX233.USE" localSheetId="2">'[5]Prices&amp;Money Data (Q)'!#REF!</definedName>
    <definedName name="_DLX233.USE" localSheetId="1">'[5]Prices&amp;Money Data (Q)'!#REF!</definedName>
    <definedName name="_DLX233.USE" localSheetId="3">'[5]Prices&amp;Money Data (Q)'!#REF!</definedName>
    <definedName name="_DLX233.USE">'[5]Prices&amp;Money Data (Q)'!#REF!</definedName>
    <definedName name="_DLX24.USE" localSheetId="2">'[5]Real Sector Data (Q)'!#REF!</definedName>
    <definedName name="_DLX24.USE" localSheetId="1">'[5]Real Sector Data (Q)'!#REF!</definedName>
    <definedName name="_DLX24.USE" localSheetId="3">'[5]Real Sector Data (Q)'!#REF!</definedName>
    <definedName name="_DLX24.USE">'[5]Real Sector Data (Q)'!#REF!</definedName>
    <definedName name="_DLX25.USE" localSheetId="2">'[5]Real Sector Data (Q)'!#REF!</definedName>
    <definedName name="_DLX25.USE" localSheetId="1">'[5]Real Sector Data (Q)'!#REF!</definedName>
    <definedName name="_DLX25.USE" localSheetId="3">'[5]Real Sector Data (Q)'!#REF!</definedName>
    <definedName name="_DLX25.USE">'[5]Real Sector Data (Q)'!#REF!</definedName>
    <definedName name="_DLX253.USE" localSheetId="2">'[5]External Sector Data (Q)'!#REF!</definedName>
    <definedName name="_DLX253.USE" localSheetId="1">'[5]External Sector Data (Q)'!#REF!</definedName>
    <definedName name="_DLX253.USE" localSheetId="3">'[5]External Sector Data (Q)'!#REF!</definedName>
    <definedName name="_DLX253.USE">'[5]External Sector Data (Q)'!#REF!</definedName>
    <definedName name="_DLX26.USE" localSheetId="2">'[5]Real Sector Data (Q)'!#REF!</definedName>
    <definedName name="_DLX26.USE" localSheetId="1">'[5]Real Sector Data (Q)'!#REF!</definedName>
    <definedName name="_DLX26.USE" localSheetId="3">'[5]Real Sector Data (Q)'!#REF!</definedName>
    <definedName name="_DLX26.USE">'[5]Real Sector Data (Q)'!#REF!</definedName>
    <definedName name="_DLX27.USE" localSheetId="2">#REF!</definedName>
    <definedName name="_DLX27.USE" localSheetId="1">#REF!</definedName>
    <definedName name="_DLX27.USE" localSheetId="3">#REF!</definedName>
    <definedName name="_DLX27.USE">#REF!</definedName>
    <definedName name="_DLX28.USE">#REF!</definedName>
    <definedName name="_DLX29.USE" localSheetId="2">#REF!</definedName>
    <definedName name="_DLX29.USE" localSheetId="1">#REF!</definedName>
    <definedName name="_DLX29.USE" localSheetId="3">#REF!</definedName>
    <definedName name="_DLX29.USE">#REF!</definedName>
    <definedName name="_DLX30.USE" localSheetId="2">#REF!</definedName>
    <definedName name="_DLX30.USE" localSheetId="1">#REF!</definedName>
    <definedName name="_DLX30.USE" localSheetId="3">#REF!</definedName>
    <definedName name="_DLX30.USE">#REF!</definedName>
    <definedName name="_DLX31.USE" localSheetId="2">'[5]Real Sector Data (Q)'!#REF!</definedName>
    <definedName name="_DLX31.USE" localSheetId="1">'[5]Real Sector Data (Q)'!#REF!</definedName>
    <definedName name="_DLX31.USE" localSheetId="3">'[5]Real Sector Data (Q)'!#REF!</definedName>
    <definedName name="_DLX31.USE">'[5]Real Sector Data (Q)'!#REF!</definedName>
    <definedName name="_DLX32.USE" localSheetId="1">#REF!</definedName>
    <definedName name="_DLX32.USE">#REF!</definedName>
    <definedName name="_DLX38.USE" localSheetId="2">'[6]Real Sector Data In (A)'!#REF!</definedName>
    <definedName name="_DLX38.USE" localSheetId="1">'[6]Real Sector Data In (A)'!#REF!</definedName>
    <definedName name="_DLX38.USE" localSheetId="3">'[6]Real Sector Data In (A)'!#REF!</definedName>
    <definedName name="_DLX38.USE">'[6]Real Sector Data In (A)'!#REF!</definedName>
    <definedName name="_DLX39.USE" localSheetId="2">'[6]Real Sector Data In (A)'!#REF!</definedName>
    <definedName name="_DLX39.USE" localSheetId="1">'[6]Real Sector Data In (A)'!#REF!</definedName>
    <definedName name="_DLX39.USE" localSheetId="3">'[6]Real Sector Data In (A)'!#REF!</definedName>
    <definedName name="_DLX39.USE">'[6]Real Sector Data In (A)'!#REF!</definedName>
    <definedName name="_DLX40.USE" localSheetId="2">'[6]Real Sector Data In (A)'!#REF!</definedName>
    <definedName name="_DLX40.USE" localSheetId="1">'[6]Real Sector Data In (A)'!#REF!</definedName>
    <definedName name="_DLX40.USE" localSheetId="3">'[6]Real Sector Data In (A)'!#REF!</definedName>
    <definedName name="_DLX40.USE">'[6]Real Sector Data In (A)'!#REF!</definedName>
    <definedName name="_DLX45.USE" localSheetId="2">'[6]Real Sector Data In (Q)'!#REF!</definedName>
    <definedName name="_DLX45.USE" localSheetId="1">'[6]Real Sector Data In (Q)'!#REF!</definedName>
    <definedName name="_DLX45.USE" localSheetId="3">'[6]Real Sector Data In (Q)'!#REF!</definedName>
    <definedName name="_DLX45.USE">'[6]Real Sector Data In (Q)'!#REF!</definedName>
    <definedName name="_DLX48.USE" localSheetId="2">'[5]Prices&amp;Money Data (Q)'!#REF!</definedName>
    <definedName name="_DLX48.USE" localSheetId="1">'[5]Prices&amp;Money Data (Q)'!#REF!</definedName>
    <definedName name="_DLX48.USE" localSheetId="3">'[5]Prices&amp;Money Data (Q)'!#REF!</definedName>
    <definedName name="_DLX48.USE">'[5]Prices&amp;Money Data (Q)'!#REF!</definedName>
    <definedName name="_DLX5.USE" localSheetId="2">'[5]Real Sector Data (Q)'!#REF!</definedName>
    <definedName name="_DLX5.USE" localSheetId="1">'[5]Real Sector Data (Q)'!#REF!</definedName>
    <definedName name="_DLX5.USE" localSheetId="3">'[5]Real Sector Data (Q)'!#REF!</definedName>
    <definedName name="_DLX5.USE">'[5]Real Sector Data (Q)'!#REF!</definedName>
    <definedName name="_DLX50.USE" localSheetId="2">'[6]Real Sector Data In (Q)'!#REF!</definedName>
    <definedName name="_DLX50.USE" localSheetId="1">'[6]Real Sector Data In (Q)'!#REF!</definedName>
    <definedName name="_DLX50.USE" localSheetId="3">'[6]Real Sector Data In (Q)'!#REF!</definedName>
    <definedName name="_DLX50.USE">'[6]Real Sector Data In (Q)'!#REF!</definedName>
    <definedName name="_DLX51.USE" localSheetId="2">'[6]Real Sector Data In (Q)'!#REF!</definedName>
    <definedName name="_DLX51.USE" localSheetId="1">'[6]Real Sector Data In (Q)'!#REF!</definedName>
    <definedName name="_DLX51.USE" localSheetId="3">'[6]Real Sector Data In (Q)'!#REF!</definedName>
    <definedName name="_DLX51.USE">'[6]Real Sector Data In (Q)'!#REF!</definedName>
    <definedName name="_DLX52.USE" localSheetId="2">#REF!</definedName>
    <definedName name="_DLX52.USE" localSheetId="1">#REF!</definedName>
    <definedName name="_DLX52.USE" localSheetId="3">#REF!</definedName>
    <definedName name="_DLX52.USE">#REF!</definedName>
    <definedName name="_DLX56.USE" localSheetId="2">'[6]Real Sector Data In (A)'!#REF!</definedName>
    <definedName name="_DLX56.USE" localSheetId="1">'[6]Real Sector Data In (A)'!#REF!</definedName>
    <definedName name="_DLX56.USE" localSheetId="3">'[6]Real Sector Data In (A)'!#REF!</definedName>
    <definedName name="_DLX56.USE">'[6]Real Sector Data In (A)'!#REF!</definedName>
    <definedName name="_DLX57.USE" localSheetId="2">'[5]Prices&amp;Money Data (Q)'!#REF!</definedName>
    <definedName name="_DLX57.USE" localSheetId="1">'[5]Prices&amp;Money Data (Q)'!#REF!</definedName>
    <definedName name="_DLX57.USE" localSheetId="3">'[5]Prices&amp;Money Data (Q)'!#REF!</definedName>
    <definedName name="_DLX57.USE">'[5]Prices&amp;Money Data (Q)'!#REF!</definedName>
    <definedName name="_DLX58.USE" localSheetId="2">'[5]Prices&amp;Money Data (Q)'!#REF!</definedName>
    <definedName name="_DLX58.USE" localSheetId="1">'[5]Prices&amp;Money Data (Q)'!#REF!</definedName>
    <definedName name="_DLX58.USE" localSheetId="3">'[5]Prices&amp;Money Data (Q)'!#REF!</definedName>
    <definedName name="_DLX58.USE">'[5]Prices&amp;Money Data (Q)'!#REF!</definedName>
    <definedName name="_DLX59.USE" localSheetId="2">'[5]Prices&amp;Money Data (Q)'!#REF!</definedName>
    <definedName name="_DLX59.USE" localSheetId="1">'[5]Prices&amp;Money Data (Q)'!#REF!</definedName>
    <definedName name="_DLX59.USE" localSheetId="3">'[5]Prices&amp;Money Data (Q)'!#REF!</definedName>
    <definedName name="_DLX59.USE">'[5]Prices&amp;Money Data (Q)'!#REF!</definedName>
    <definedName name="_DLX6.USE" localSheetId="2">'[5]Real Sector Data (Q)'!#REF!</definedName>
    <definedName name="_DLX6.USE" localSheetId="1">'[5]Real Sector Data (Q)'!#REF!</definedName>
    <definedName name="_DLX6.USE" localSheetId="3">'[5]Real Sector Data (Q)'!#REF!</definedName>
    <definedName name="_DLX6.USE">'[5]Real Sector Data (Q)'!#REF!</definedName>
    <definedName name="_DLX60.USE" localSheetId="2">'[5]Prices&amp;Money Data (Q)'!#REF!</definedName>
    <definedName name="_DLX60.USE" localSheetId="1">'[5]Prices&amp;Money Data (Q)'!#REF!</definedName>
    <definedName name="_DLX60.USE" localSheetId="3">'[5]Prices&amp;Money Data (Q)'!#REF!</definedName>
    <definedName name="_DLX60.USE">'[5]Prices&amp;Money Data (Q)'!#REF!</definedName>
    <definedName name="_DLX61.USE" localSheetId="2">'[5]Real Sector Data (A)'!#REF!</definedName>
    <definedName name="_DLX61.USE" localSheetId="1">'[5]Real Sector Data (A)'!#REF!</definedName>
    <definedName name="_DLX61.USE" localSheetId="3">'[5]Real Sector Data (A)'!#REF!</definedName>
    <definedName name="_DLX61.USE">'[5]Real Sector Data (A)'!#REF!</definedName>
    <definedName name="_DLX75.USE" localSheetId="2">'[5]Real Sector Data (A)'!#REF!</definedName>
    <definedName name="_DLX75.USE" localSheetId="1">'[5]Real Sector Data (A)'!#REF!</definedName>
    <definedName name="_DLX75.USE" localSheetId="3">'[5]Real Sector Data (A)'!#REF!</definedName>
    <definedName name="_DLX75.USE">'[5]Real Sector Data (A)'!#REF!</definedName>
    <definedName name="_DLX82.USE" localSheetId="2">'[5]Real Sector Data (A)'!#REF!</definedName>
    <definedName name="_DLX82.USE" localSheetId="1">'[5]Real Sector Data (A)'!#REF!</definedName>
    <definedName name="_DLX82.USE" localSheetId="3">'[5]Real Sector Data (A)'!#REF!</definedName>
    <definedName name="_DLX82.USE">'[5]Real Sector Data (A)'!#REF!</definedName>
    <definedName name="_DLX83.USE" localSheetId="2">'[5]Real Sector Data (A)'!#REF!</definedName>
    <definedName name="_DLX83.USE" localSheetId="1">'[5]Real Sector Data (A)'!#REF!</definedName>
    <definedName name="_DLX83.USE" localSheetId="3">'[5]Real Sector Data (A)'!#REF!</definedName>
    <definedName name="_DLX83.USE">'[5]Real Sector Data (A)'!#REF!</definedName>
    <definedName name="_DLX84.USE" localSheetId="2">'[5]Real Sector Data (A)'!#REF!</definedName>
    <definedName name="_DLX84.USE" localSheetId="1">'[5]Real Sector Data (A)'!#REF!</definedName>
    <definedName name="_DLX84.USE" localSheetId="3">'[5]Real Sector Data (A)'!#REF!</definedName>
    <definedName name="_DLX84.USE">'[5]Real Sector Data (A)'!#REF!</definedName>
    <definedName name="_DLX85.USE" localSheetId="2">'[5]Real Sector Data (A)'!#REF!</definedName>
    <definedName name="_DLX85.USE" localSheetId="1">'[5]Real Sector Data (A)'!#REF!</definedName>
    <definedName name="_DLX85.USE" localSheetId="3">'[5]Real Sector Data (A)'!#REF!</definedName>
    <definedName name="_DLX85.USE">'[5]Real Sector Data (A)'!#REF!</definedName>
    <definedName name="_DLX90.USE" localSheetId="2">'[5]Real Sector Data (A)'!#REF!</definedName>
    <definedName name="_DLX90.USE" localSheetId="1">'[5]Real Sector Data (A)'!#REF!</definedName>
    <definedName name="_DLX90.USE" localSheetId="3">'[5]Real Sector Data (A)'!#REF!</definedName>
    <definedName name="_DLX90.USE">'[5]Real Sector Data (A)'!#REF!</definedName>
    <definedName name="_DLX91.USE" localSheetId="2">'[5]Real Sector Data (A)'!#REF!</definedName>
    <definedName name="_DLX91.USE" localSheetId="1">'[5]Real Sector Data (A)'!#REF!</definedName>
    <definedName name="_DLX91.USE" localSheetId="3">'[5]Real Sector Data (A)'!#REF!</definedName>
    <definedName name="_DLX91.USE">'[5]Real Sector Data (A)'!#REF!</definedName>
    <definedName name="_DLX95.USE" localSheetId="2">'[5]Prices&amp;Money Data (Q)'!#REF!</definedName>
    <definedName name="_DLX95.USE" localSheetId="1">'[5]Prices&amp;Money Data (Q)'!#REF!</definedName>
    <definedName name="_DLX95.USE" localSheetId="3">'[5]Prices&amp;Money Data (Q)'!#REF!</definedName>
    <definedName name="_DLX95.USE">'[5]Prices&amp;Money Data (Q)'!#REF!</definedName>
    <definedName name="_DLX96.USE" localSheetId="2">'[5]Prices&amp;Money Data (Q)'!#REF!</definedName>
    <definedName name="_DLX96.USE" localSheetId="1">'[5]Prices&amp;Money Data (Q)'!#REF!</definedName>
    <definedName name="_DLX96.USE" localSheetId="3">'[5]Prices&amp;Money Data (Q)'!#REF!</definedName>
    <definedName name="_DLX96.USE">'[5]Prices&amp;Money Data (Q)'!#REF!</definedName>
    <definedName name="_DLX97.USE" localSheetId="2">'[5]Prices&amp;Money Data (Q)'!#REF!</definedName>
    <definedName name="_DLX97.USE" localSheetId="1">'[5]Prices&amp;Money Data (Q)'!#REF!</definedName>
    <definedName name="_DLX97.USE" localSheetId="3">'[5]Prices&amp;Money Data (Q)'!#REF!</definedName>
    <definedName name="_DLX97.USE">'[5]Prices&amp;Money Data (Q)'!#REF!</definedName>
    <definedName name="_DLX98.USE" localSheetId="2">'[5]Prices&amp;Money Data (Q)'!#REF!</definedName>
    <definedName name="_DLX98.USE" localSheetId="1">'[5]Prices&amp;Money Data (Q)'!#REF!</definedName>
    <definedName name="_DLX98.USE" localSheetId="3">'[5]Prices&amp;Money Data (Q)'!#REF!</definedName>
    <definedName name="_DLX98.USE">'[5]Prices&amp;Money Data (Q)'!#REF!</definedName>
    <definedName name="_DLX99.USE" localSheetId="2">'[5]Prices&amp;Money Data (Q)'!#REF!</definedName>
    <definedName name="_DLX99.USE" localSheetId="1">'[5]Prices&amp;Money Data (Q)'!#REF!</definedName>
    <definedName name="_DLX99.USE" localSheetId="3">'[5]Prices&amp;Money Data (Q)'!#REF!</definedName>
    <definedName name="_DLX99.USE">'[5]Prices&amp;Money Data (Q)'!#REF!</definedName>
    <definedName name="_EXP5" localSheetId="2">#REF!</definedName>
    <definedName name="_EXP5" localSheetId="1">#REF!</definedName>
    <definedName name="_EXP5" localSheetId="3">#REF!</definedName>
    <definedName name="_EXP5">#REF!</definedName>
    <definedName name="_EXP6" localSheetId="2">#REF!</definedName>
    <definedName name="_EXP6" localSheetId="1">#REF!</definedName>
    <definedName name="_EXP6" localSheetId="3">#REF!</definedName>
    <definedName name="_EXP6">#REF!</definedName>
    <definedName name="_EXP7" localSheetId="2">#REF!</definedName>
    <definedName name="_EXP7" localSheetId="1">#REF!</definedName>
    <definedName name="_EXP7" localSheetId="3">#REF!</definedName>
    <definedName name="_EXP7">#REF!</definedName>
    <definedName name="_EXP9" localSheetId="2">#REF!</definedName>
    <definedName name="_EXP9" localSheetId="1">#REF!</definedName>
    <definedName name="_EXP9" localSheetId="3">#REF!</definedName>
    <definedName name="_EXP9">#REF!</definedName>
    <definedName name="_Fill" localSheetId="2">#REF!</definedName>
    <definedName name="_Fill" localSheetId="1">#REF!</definedName>
    <definedName name="_Fill" localSheetId="3">#REF!</definedName>
    <definedName name="_Fill">#REF!</definedName>
    <definedName name="_IMP10" localSheetId="2">#REF!</definedName>
    <definedName name="_IMP10" localSheetId="1">#REF!</definedName>
    <definedName name="_IMP10" localSheetId="3">#REF!</definedName>
    <definedName name="_IMP10">#REF!</definedName>
    <definedName name="_IMP2" localSheetId="2">#REF!</definedName>
    <definedName name="_IMP2" localSheetId="1">#REF!</definedName>
    <definedName name="_IMP2" localSheetId="3">#REF!</definedName>
    <definedName name="_IMP2">#REF!</definedName>
    <definedName name="_IMP4" localSheetId="2">#REF!</definedName>
    <definedName name="_IMP4" localSheetId="1">#REF!</definedName>
    <definedName name="_IMP4" localSheetId="3">#REF!</definedName>
    <definedName name="_IMP4">#REF!</definedName>
    <definedName name="_IMP6" localSheetId="2">#REF!</definedName>
    <definedName name="_IMP6" localSheetId="1">#REF!</definedName>
    <definedName name="_IMP6" localSheetId="3">#REF!</definedName>
    <definedName name="_IMP6">#REF!</definedName>
    <definedName name="_IMP7" localSheetId="2">#REF!</definedName>
    <definedName name="_IMP7" localSheetId="1">#REF!</definedName>
    <definedName name="_IMP7" localSheetId="3">#REF!</definedName>
    <definedName name="_IMP7">#REF!</definedName>
    <definedName name="_IMP8" localSheetId="2">#REF!</definedName>
    <definedName name="_IMP8" localSheetId="1">#REF!</definedName>
    <definedName name="_IMP8" localSheetId="3">#REF!</definedName>
    <definedName name="_IMP8">#REF!</definedName>
    <definedName name="_MTS2" localSheetId="2">'[2]Annual Tables'!#REF!</definedName>
    <definedName name="_MTS2" localSheetId="1">'[2]Annual Tables'!#REF!</definedName>
    <definedName name="_MTS2" localSheetId="3">'[2]Annual Tables'!#REF!</definedName>
    <definedName name="_MTS2">'[2]Annual Tables'!#REF!</definedName>
    <definedName name="_Order1">255</definedName>
    <definedName name="_Order2">255</definedName>
    <definedName name="_PAG2" localSheetId="2">[2]Index!#REF!</definedName>
    <definedName name="_PAG2" localSheetId="1">[2]Index!#REF!</definedName>
    <definedName name="_PAG2" localSheetId="3">[2]Index!#REF!</definedName>
    <definedName name="_PAG2">[2]Index!#REF!</definedName>
    <definedName name="_PAG3" localSheetId="2">[2]Index!#REF!</definedName>
    <definedName name="_PAG3" localSheetId="1">[2]Index!#REF!</definedName>
    <definedName name="_PAG3" localSheetId="3">[2]Index!#REF!</definedName>
    <definedName name="_PAG3">[2]Index!#REF!</definedName>
    <definedName name="_PAG4" localSheetId="2">[2]Index!#REF!</definedName>
    <definedName name="_PAG4" localSheetId="1">[2]Index!#REF!</definedName>
    <definedName name="_PAG4" localSheetId="3">[2]Index!#REF!</definedName>
    <definedName name="_PAG4">[2]Index!#REF!</definedName>
    <definedName name="_PAG5" localSheetId="2">[2]Index!#REF!</definedName>
    <definedName name="_PAG5" localSheetId="1">[2]Index!#REF!</definedName>
    <definedName name="_PAG5" localSheetId="3">[2]Index!#REF!</definedName>
    <definedName name="_PAG5">[2]Index!#REF!</definedName>
    <definedName name="_PAG6" localSheetId="2">[2]Index!#REF!</definedName>
    <definedName name="_PAG6" localSheetId="1">[2]Index!#REF!</definedName>
    <definedName name="_PAG6" localSheetId="3">[2]Index!#REF!</definedName>
    <definedName name="_PAG6">[2]Index!#REF!</definedName>
    <definedName name="_PAG7" localSheetId="2">#REF!</definedName>
    <definedName name="_PAG7" localSheetId="1">#REF!</definedName>
    <definedName name="_PAG7" localSheetId="3">#REF!</definedName>
    <definedName name="_PAG7">#REF!</definedName>
    <definedName name="_RES2" localSheetId="2">[1]RES!#REF!</definedName>
    <definedName name="_RES2" localSheetId="1">[1]RES!#REF!</definedName>
    <definedName name="_RES2" localSheetId="3">[1]RES!#REF!</definedName>
    <definedName name="_RES2">[1]RES!#REF!</definedName>
    <definedName name="_TAB1" localSheetId="2">#REF!</definedName>
    <definedName name="_TAB1" localSheetId="1">#REF!</definedName>
    <definedName name="_TAB1" localSheetId="3">#REF!</definedName>
    <definedName name="_TAB1">#REF!</definedName>
    <definedName name="_TAB10" localSheetId="2">#REF!</definedName>
    <definedName name="_TAB10" localSheetId="1">#REF!</definedName>
    <definedName name="_TAB10" localSheetId="3">#REF!</definedName>
    <definedName name="_TAB10">#REF!</definedName>
    <definedName name="_TAB12" localSheetId="2">#REF!</definedName>
    <definedName name="_TAB12" localSheetId="1">#REF!</definedName>
    <definedName name="_TAB12" localSheetId="3">#REF!</definedName>
    <definedName name="_TAB12">#REF!</definedName>
    <definedName name="_Tab19" localSheetId="2">#REF!</definedName>
    <definedName name="_Tab19" localSheetId="1">#REF!</definedName>
    <definedName name="_Tab19" localSheetId="3">#REF!</definedName>
    <definedName name="_Tab19">#REF!</definedName>
    <definedName name="_TAB2" localSheetId="2">#REF!</definedName>
    <definedName name="_TAB2" localSheetId="1">#REF!</definedName>
    <definedName name="_TAB2" localSheetId="3">#REF!</definedName>
    <definedName name="_TAB2">#REF!</definedName>
    <definedName name="_Tab20" localSheetId="2">#REF!</definedName>
    <definedName name="_Tab20" localSheetId="1">#REF!</definedName>
    <definedName name="_Tab20" localSheetId="3">#REF!</definedName>
    <definedName name="_Tab20">#REF!</definedName>
    <definedName name="_Tab21" localSheetId="2">#REF!</definedName>
    <definedName name="_Tab21" localSheetId="1">#REF!</definedName>
    <definedName name="_Tab21" localSheetId="3">#REF!</definedName>
    <definedName name="_Tab21">#REF!</definedName>
    <definedName name="_Tab22" localSheetId="2">#REF!</definedName>
    <definedName name="_Tab22" localSheetId="1">#REF!</definedName>
    <definedName name="_Tab22" localSheetId="3">#REF!</definedName>
    <definedName name="_Tab22">#REF!</definedName>
    <definedName name="_Tab23" localSheetId="2">#REF!</definedName>
    <definedName name="_Tab23" localSheetId="1">#REF!</definedName>
    <definedName name="_Tab23" localSheetId="3">#REF!</definedName>
    <definedName name="_Tab23">#REF!</definedName>
    <definedName name="_Tab24" localSheetId="2">#REF!</definedName>
    <definedName name="_Tab24" localSheetId="1">#REF!</definedName>
    <definedName name="_Tab24" localSheetId="3">#REF!</definedName>
    <definedName name="_Tab24">#REF!</definedName>
    <definedName name="_Tab26" localSheetId="2">#REF!</definedName>
    <definedName name="_Tab26" localSheetId="1">#REF!</definedName>
    <definedName name="_Tab26" localSheetId="3">#REF!</definedName>
    <definedName name="_Tab26">#REF!</definedName>
    <definedName name="_Tab27" localSheetId="2">#REF!</definedName>
    <definedName name="_Tab27" localSheetId="1">#REF!</definedName>
    <definedName name="_Tab27" localSheetId="3">#REF!</definedName>
    <definedName name="_Tab27">#REF!</definedName>
    <definedName name="_Tab28" localSheetId="2">#REF!</definedName>
    <definedName name="_Tab28" localSheetId="1">#REF!</definedName>
    <definedName name="_Tab28" localSheetId="3">#REF!</definedName>
    <definedName name="_Tab28">#REF!</definedName>
    <definedName name="_Tab29" localSheetId="2">#REF!</definedName>
    <definedName name="_Tab29" localSheetId="1">#REF!</definedName>
    <definedName name="_Tab29" localSheetId="3">#REF!</definedName>
    <definedName name="_Tab29">#REF!</definedName>
    <definedName name="_TAB3" localSheetId="2">#REF!</definedName>
    <definedName name="_TAB3" localSheetId="1">#REF!</definedName>
    <definedName name="_TAB3" localSheetId="3">#REF!</definedName>
    <definedName name="_TAB3">#REF!</definedName>
    <definedName name="_Tab30" localSheetId="2">#REF!</definedName>
    <definedName name="_Tab30" localSheetId="1">#REF!</definedName>
    <definedName name="_Tab30" localSheetId="3">#REF!</definedName>
    <definedName name="_Tab30">#REF!</definedName>
    <definedName name="_Tab31" localSheetId="2">#REF!</definedName>
    <definedName name="_Tab31" localSheetId="1">#REF!</definedName>
    <definedName name="_Tab31" localSheetId="3">#REF!</definedName>
    <definedName name="_Tab31">#REF!</definedName>
    <definedName name="_Tab32" localSheetId="2">#REF!</definedName>
    <definedName name="_Tab32" localSheetId="1">#REF!</definedName>
    <definedName name="_Tab32" localSheetId="3">#REF!</definedName>
    <definedName name="_Tab32">#REF!</definedName>
    <definedName name="_Tab33" localSheetId="2">#REF!</definedName>
    <definedName name="_Tab33" localSheetId="1">#REF!</definedName>
    <definedName name="_Tab33" localSheetId="3">#REF!</definedName>
    <definedName name="_Tab33">#REF!</definedName>
    <definedName name="_Tab34" localSheetId="2">#REF!</definedName>
    <definedName name="_Tab34" localSheetId="1">#REF!</definedName>
    <definedName name="_Tab34" localSheetId="3">#REF!</definedName>
    <definedName name="_Tab34">#REF!</definedName>
    <definedName name="_Tab35" localSheetId="2">#REF!</definedName>
    <definedName name="_Tab35" localSheetId="1">#REF!</definedName>
    <definedName name="_Tab35" localSheetId="3">#REF!</definedName>
    <definedName name="_Tab35">#REF!</definedName>
    <definedName name="_TAB4" localSheetId="2">#REF!</definedName>
    <definedName name="_TAB4" localSheetId="1">#REF!</definedName>
    <definedName name="_TAB4" localSheetId="3">#REF!</definedName>
    <definedName name="_TAB4">#REF!</definedName>
    <definedName name="_TAB5" localSheetId="2">#REF!</definedName>
    <definedName name="_TAB5" localSheetId="1">#REF!</definedName>
    <definedName name="_TAB5" localSheetId="3">#REF!</definedName>
    <definedName name="_TAB5">#REF!</definedName>
    <definedName name="_TAB7" localSheetId="2">#REF!</definedName>
    <definedName name="_TAB7" localSheetId="1">#REF!</definedName>
    <definedName name="_TAB7" localSheetId="3">#REF!</definedName>
    <definedName name="_TAB7">#REF!</definedName>
    <definedName name="_TAB8" localSheetId="2">#REF!</definedName>
    <definedName name="_TAB8" localSheetId="1">#REF!</definedName>
    <definedName name="_TAB8" localSheetId="3">#REF!</definedName>
    <definedName name="_TAB8">#REF!</definedName>
    <definedName name="_Tab9">'[7]Dom GS OECD countries'!$B$5:$P$62</definedName>
    <definedName name="_WEO1" localSheetId="2">#REF!</definedName>
    <definedName name="_WEO1" localSheetId="1">#REF!</definedName>
    <definedName name="_WEO1" localSheetId="3">#REF!</definedName>
    <definedName name="_WEO1">#REF!</definedName>
    <definedName name="_WEO2" localSheetId="2">#REF!</definedName>
    <definedName name="_WEO2" localSheetId="1">#REF!</definedName>
    <definedName name="_WEO2" localSheetId="3">#REF!</definedName>
    <definedName name="_WEO2">#REF!</definedName>
    <definedName name="a" localSheetId="2">#REF!</definedName>
    <definedName name="a" localSheetId="1">#REF!</definedName>
    <definedName name="a" localSheetId="3">#REF!</definedName>
    <definedName name="a">#REF!</definedName>
    <definedName name="Africa" localSheetId="2">#REF!</definedName>
    <definedName name="Africa" localSheetId="1">#REF!</definedName>
    <definedName name="Africa" localSheetId="3">#REF!</definedName>
    <definedName name="Africa">#REF!</definedName>
    <definedName name="ar_i_dag">2008</definedName>
    <definedName name="Asia" localSheetId="2">#REF!</definedName>
    <definedName name="Asia" localSheetId="1">#REF!</definedName>
    <definedName name="Asia" localSheetId="3">#REF!</definedName>
    <definedName name="Asia">#REF!</definedName>
    <definedName name="atrade" localSheetId="2">[4]!atrade</definedName>
    <definedName name="atrade" localSheetId="1">[4]!atrade</definedName>
    <definedName name="atrade" localSheetId="3">[4]!atrade</definedName>
    <definedName name="atrade" localSheetId="4">[4]!atrade</definedName>
    <definedName name="atrade">[4]!atrade</definedName>
    <definedName name="b" localSheetId="2">#REF!</definedName>
    <definedName name="b" localSheetId="1">#REF!</definedName>
    <definedName name="b" localSheetId="3">#REF!</definedName>
    <definedName name="b">#REF!</definedName>
    <definedName name="BASDAT" localSheetId="2">'[2]Annual Tables'!#REF!</definedName>
    <definedName name="BASDAT" localSheetId="1">'[2]Annual Tables'!#REF!</definedName>
    <definedName name="BASDAT" localSheetId="3">'[2]Annual Tables'!#REF!</definedName>
    <definedName name="BASDAT">'[2]Annual Tables'!#REF!</definedName>
    <definedName name="bb">{"Riqfin97",#N/A,FALSE,"Tran";"Riqfinpro",#N/A,FALSE,"Tran"}</definedName>
    <definedName name="BCA">#REF!</definedName>
    <definedName name="BCA_GDP">#REF!</definedName>
    <definedName name="BE">#REF!</definedName>
    <definedName name="BEAI">#REF!</definedName>
    <definedName name="BEAIB">#REF!</definedName>
    <definedName name="BEAIG">#REF!</definedName>
    <definedName name="BEAP">#REF!</definedName>
    <definedName name="BEAPB">#REF!</definedName>
    <definedName name="BEAPG">#REF!</definedName>
    <definedName name="BEDE" localSheetId="2">#REF!</definedName>
    <definedName name="BEDE" localSheetId="1">#REF!</definedName>
    <definedName name="BEDE" localSheetId="3">#REF!</definedName>
    <definedName name="BEDE">#REF!</definedName>
    <definedName name="BERI">#REF!</definedName>
    <definedName name="BERIB">#REF!</definedName>
    <definedName name="BERIG">#REF!</definedName>
    <definedName name="BERP">#REF!</definedName>
    <definedName name="BERPB">#REF!</definedName>
    <definedName name="BERPG">#REF!</definedName>
    <definedName name="BF">#REF!</definedName>
    <definedName name="BFL">#REF!</definedName>
    <definedName name="BFL_D">#REF!</definedName>
    <definedName name="BFL_DF">#REF!</definedName>
    <definedName name="BFLB">#REF!</definedName>
    <definedName name="BFLB_D">#REF!</definedName>
    <definedName name="BFLB_DF">#REF!</definedName>
    <definedName name="BFLD_DF">#REF!</definedName>
    <definedName name="BFLG">#REF!</definedName>
    <definedName name="BFLG_D">#REF!</definedName>
    <definedName name="BFLG_DF">#REF!</definedName>
    <definedName name="BFRA">#REF!</definedName>
    <definedName name="BI">#REF!</definedName>
    <definedName name="BK">#REF!</definedName>
    <definedName name="BKF">#REF!</definedName>
    <definedName name="BMG">[8]Q6!$E$28:$AH$28</definedName>
    <definedName name="BMII">#REF!</definedName>
    <definedName name="BMIIB">#REF!</definedName>
    <definedName name="BMIIG">#REF!</definedName>
    <definedName name="Bolivia" localSheetId="2">#REF!</definedName>
    <definedName name="Bolivia" localSheetId="1">#REF!</definedName>
    <definedName name="Bolivia" localSheetId="3">#REF!</definedName>
    <definedName name="Bolivia">#REF!</definedName>
    <definedName name="BOP">#REF!</definedName>
    <definedName name="Brazil" localSheetId="2">#REF!</definedName>
    <definedName name="Brazil" localSheetId="1">#REF!</definedName>
    <definedName name="Brazil" localSheetId="3">#REF!</definedName>
    <definedName name="Brazil">#REF!</definedName>
    <definedName name="Budget_expenditure" localSheetId="2">#REF!</definedName>
    <definedName name="Budget_expenditure" localSheetId="1">#REF!</definedName>
    <definedName name="Budget_expenditure" localSheetId="3">#REF!</definedName>
    <definedName name="Budget_expenditure">#REF!</definedName>
    <definedName name="Budget_revenue" localSheetId="2">#REF!</definedName>
    <definedName name="Budget_revenue" localSheetId="1">#REF!</definedName>
    <definedName name="Budget_revenue" localSheetId="3">#REF!</definedName>
    <definedName name="Budget_revenue">#REF!</definedName>
    <definedName name="BXG">[8]Q6!$E$26:$AH$26</definedName>
    <definedName name="calcNGS_NGDP">#REF!</definedName>
    <definedName name="cc">{"Riqfin97",#N/A,FALSE,"Tran";"Riqfinpro",#N/A,FALSE,"Tran"}</definedName>
    <definedName name="ccc">{"Riqfin97",#N/A,FALSE,"Tran";"Riqfinpro",#N/A,FALSE,"Tran"}</definedName>
    <definedName name="CEE_BRO" localSheetId="2">#REF!</definedName>
    <definedName name="CEE_BRO" localSheetId="1">#REF!</definedName>
    <definedName name="CEE_BRO" localSheetId="3">#REF!</definedName>
    <definedName name="CEE_BRO">#REF!</definedName>
    <definedName name="CHILE" localSheetId="2">#REF!</definedName>
    <definedName name="CHILE" localSheetId="1">#REF!</definedName>
    <definedName name="CHILE" localSheetId="3">#REF!</definedName>
    <definedName name="CHILE">#REF!</definedName>
    <definedName name="CHK" localSheetId="2">#REF!</definedName>
    <definedName name="CHK" localSheetId="1">#REF!</definedName>
    <definedName name="CHK" localSheetId="3">#REF!</definedName>
    <definedName name="CHK">#REF!</definedName>
    <definedName name="cntryname">'[9]country name lookup'!$A$1:$B$50</definedName>
    <definedName name="CONCK" localSheetId="2">#REF!</definedName>
    <definedName name="CONCK" localSheetId="1">#REF!</definedName>
    <definedName name="CONCK" localSheetId="3">#REF!</definedName>
    <definedName name="CONCK">#REF!</definedName>
    <definedName name="Cons" localSheetId="2">#REF!</definedName>
    <definedName name="Cons" localSheetId="1">#REF!</definedName>
    <definedName name="Cons" localSheetId="3">#REF!</definedName>
    <definedName name="Cons">#REF!</definedName>
    <definedName name="Consumption_HP" localSheetId="2">#REF!</definedName>
    <definedName name="Consumption_HP" localSheetId="1">#REF!</definedName>
    <definedName name="Consumption_HP" localSheetId="3">#REF!</definedName>
    <definedName name="Consumption_HP">#REF!</definedName>
    <definedName name="CurrVintage">[10]Current!$D$66</definedName>
    <definedName name="DABproj">#REF!</definedName>
    <definedName name="DAGproj">#REF!</definedName>
    <definedName name="DAproj">#REF!</definedName>
    <definedName name="DASD">#REF!</definedName>
    <definedName name="DASDB">#REF!</definedName>
    <definedName name="DASDG">#REF!</definedName>
    <definedName name="date" localSheetId="2">#REF!</definedName>
    <definedName name="date" localSheetId="1">#REF!</definedName>
    <definedName name="date" localSheetId="3">#REF!</definedName>
    <definedName name="date">#REF!</definedName>
    <definedName name="dates" localSheetId="2">#REF!</definedName>
    <definedName name="dates" localSheetId="1">#REF!</definedName>
    <definedName name="dates" localSheetId="3">#REF!</definedName>
    <definedName name="dates">#REF!</definedName>
    <definedName name="dates_w" localSheetId="2">#REF!</definedName>
    <definedName name="dates_w" localSheetId="1">#REF!</definedName>
    <definedName name="dates_w" localSheetId="3">#REF!</definedName>
    <definedName name="dates_w">#REF!</definedName>
    <definedName name="DBproj">#REF!</definedName>
    <definedName name="dd">{"Riqfin97",#N/A,FALSE,"Tran";"Riqfinpro",#N/A,FALSE,"Tran"}</definedName>
    <definedName name="ddd">{"Riqfin97",#N/A,FALSE,"Tran";"Riqfinpro",#N/A,FALSE,"Tran"}</definedName>
    <definedName name="DEBT1" localSheetId="2">#REF!</definedName>
    <definedName name="DEBT1" localSheetId="1">#REF!</definedName>
    <definedName name="DEBT1" localSheetId="3">#REF!</definedName>
    <definedName name="DEBT1">#REF!</definedName>
    <definedName name="DEBT10" localSheetId="2">#REF!</definedName>
    <definedName name="DEBT10" localSheetId="1">#REF!</definedName>
    <definedName name="DEBT10" localSheetId="3">#REF!</definedName>
    <definedName name="DEBT10">#REF!</definedName>
    <definedName name="DEBT11" localSheetId="2">#REF!</definedName>
    <definedName name="DEBT11" localSheetId="1">#REF!</definedName>
    <definedName name="DEBT11" localSheetId="3">#REF!</definedName>
    <definedName name="DEBT11">#REF!</definedName>
    <definedName name="DEBT12" localSheetId="2">#REF!</definedName>
    <definedName name="DEBT12" localSheetId="1">#REF!</definedName>
    <definedName name="DEBT12" localSheetId="3">#REF!</definedName>
    <definedName name="DEBT12">#REF!</definedName>
    <definedName name="DEBT13" localSheetId="2">#REF!</definedName>
    <definedName name="DEBT13" localSheetId="1">#REF!</definedName>
    <definedName name="DEBT13" localSheetId="3">#REF!</definedName>
    <definedName name="DEBT13">#REF!</definedName>
    <definedName name="DEBT14" localSheetId="2">#REF!</definedName>
    <definedName name="DEBT14" localSheetId="1">#REF!</definedName>
    <definedName name="DEBT14" localSheetId="3">#REF!</definedName>
    <definedName name="DEBT14">#REF!</definedName>
    <definedName name="DEBT15" localSheetId="2">#REF!</definedName>
    <definedName name="DEBT15" localSheetId="1">#REF!</definedName>
    <definedName name="DEBT15" localSheetId="3">#REF!</definedName>
    <definedName name="DEBT15">#REF!</definedName>
    <definedName name="DEBT16" localSheetId="2">#REF!</definedName>
    <definedName name="DEBT16" localSheetId="1">#REF!</definedName>
    <definedName name="DEBT16" localSheetId="3">#REF!</definedName>
    <definedName name="DEBT16">#REF!</definedName>
    <definedName name="DEBT2" localSheetId="2">#REF!</definedName>
    <definedName name="DEBT2" localSheetId="1">#REF!</definedName>
    <definedName name="DEBT2" localSheetId="3">#REF!</definedName>
    <definedName name="DEBT2">#REF!</definedName>
    <definedName name="DEBT3" localSheetId="2">#REF!</definedName>
    <definedName name="DEBT3" localSheetId="1">#REF!</definedName>
    <definedName name="DEBT3" localSheetId="3">#REF!</definedName>
    <definedName name="DEBT3">#REF!</definedName>
    <definedName name="DEBT4" localSheetId="2">#REF!</definedName>
    <definedName name="DEBT4" localSheetId="1">#REF!</definedName>
    <definedName name="DEBT4" localSheetId="3">#REF!</definedName>
    <definedName name="DEBT4">#REF!</definedName>
    <definedName name="DEBT5" localSheetId="2">#REF!</definedName>
    <definedName name="DEBT5" localSheetId="1">#REF!</definedName>
    <definedName name="DEBT5" localSheetId="3">#REF!</definedName>
    <definedName name="DEBT5">#REF!</definedName>
    <definedName name="DEBT6" localSheetId="2">#REF!</definedName>
    <definedName name="DEBT6" localSheetId="1">#REF!</definedName>
    <definedName name="DEBT6" localSheetId="3">#REF!</definedName>
    <definedName name="DEBT6">#REF!</definedName>
    <definedName name="DEBT7" localSheetId="2">#REF!</definedName>
    <definedName name="DEBT7" localSheetId="1">#REF!</definedName>
    <definedName name="DEBT7" localSheetId="3">#REF!</definedName>
    <definedName name="DEBT7">#REF!</definedName>
    <definedName name="DEBT8" localSheetId="2">#REF!</definedName>
    <definedName name="DEBT8" localSheetId="1">#REF!</definedName>
    <definedName name="DEBT8" localSheetId="3">#REF!</definedName>
    <definedName name="DEBT8">#REF!</definedName>
    <definedName name="DEBT9" localSheetId="2">#REF!</definedName>
    <definedName name="DEBT9" localSheetId="1">#REF!</definedName>
    <definedName name="DEBT9" localSheetId="3">#REF!</definedName>
    <definedName name="DEBT9">#REF!</definedName>
    <definedName name="DGproj">#REF!</definedName>
    <definedName name="DME_Dirty">"False"</definedName>
    <definedName name="DME_LocalFile">"True"</definedName>
    <definedName name="Dproj">#REF!</definedName>
    <definedName name="DSD">#REF!</definedName>
    <definedName name="DSD_S">#REF!</definedName>
    <definedName name="DSDB">#REF!</definedName>
    <definedName name="DSDG">#REF!</definedName>
    <definedName name="DSIBproj">#REF!</definedName>
    <definedName name="DSIGproj">#REF!</definedName>
    <definedName name="DSIproj">#REF!</definedName>
    <definedName name="DSISD">#REF!</definedName>
    <definedName name="DSISDB">#REF!</definedName>
    <definedName name="DSISDG">#REF!</definedName>
    <definedName name="DSPBproj">#REF!</definedName>
    <definedName name="DSPGproj">#REF!</definedName>
    <definedName name="DSPproj">#REF!</definedName>
    <definedName name="DSPSD">#REF!</definedName>
    <definedName name="DSPSDB">#REF!</definedName>
    <definedName name="DSPSDG">#REF!</definedName>
    <definedName name="EDNA">#REF!</definedName>
    <definedName name="ee">{"Tab1",#N/A,FALSE,"P";"Tab2",#N/A,FALSE,"P"}</definedName>
    <definedName name="eee">{"Tab1",#N/A,FALSE,"P";"Tab2",#N/A,FALSE,"P"}</definedName>
    <definedName name="Efn_hmb__DB">[11]EFN_HMB_!$A$1:$D$250</definedName>
    <definedName name="Efn_man__DB">[12]EFN_MAN_!$A$1:$D$226</definedName>
    <definedName name="elect" localSheetId="2">#REF!</definedName>
    <definedName name="elect" localSheetId="1">#REF!</definedName>
    <definedName name="elect" localSheetId="3">#REF!</definedName>
    <definedName name="elect">#REF!</definedName>
    <definedName name="EMETEL" localSheetId="2">#REF!</definedName>
    <definedName name="EMETEL" localSheetId="1">#REF!</definedName>
    <definedName name="EMETEL" localSheetId="3">#REF!</definedName>
    <definedName name="EMETEL">#REF!</definedName>
    <definedName name="ENDA">#REF!</definedName>
    <definedName name="EUI" localSheetId="2">#REF!</definedName>
    <definedName name="EUI" localSheetId="1">#REF!</definedName>
    <definedName name="EUI" localSheetId="3">#REF!</definedName>
    <definedName name="EUI">#REF!</definedName>
    <definedName name="ff">{"Tab1",#N/A,FALSE,"P";"Tab2",#N/A,FALSE,"P"}</definedName>
    <definedName name="fff">{"Tab1",#N/A,FALSE,"P";"Tab2",#N/A,FALSE,"P"}</definedName>
    <definedName name="finan" localSheetId="2">#REF!</definedName>
    <definedName name="finan" localSheetId="1">#REF!</definedName>
    <definedName name="finan" localSheetId="3">#REF!</definedName>
    <definedName name="finan">#REF!</definedName>
    <definedName name="finan1" localSheetId="2">#REF!</definedName>
    <definedName name="finan1" localSheetId="1">#REF!</definedName>
    <definedName name="finan1" localSheetId="3">#REF!</definedName>
    <definedName name="finan1">#REF!</definedName>
    <definedName name="Financing">{"Tab1",#N/A,FALSE,"P";"Tab2",#N/A,FALSE,"P"}</definedName>
    <definedName name="FISUM" localSheetId="2">#REF!</definedName>
    <definedName name="FISUM" localSheetId="1">#REF!</definedName>
    <definedName name="FISUM" localSheetId="3">#REF!</definedName>
    <definedName name="FISUM">#REF!</definedName>
    <definedName name="FLOPEC" localSheetId="2">#REF!</definedName>
    <definedName name="FLOPEC" localSheetId="1">#REF!</definedName>
    <definedName name="FLOPEC" localSheetId="3">#REF!</definedName>
    <definedName name="FLOPEC">#REF!</definedName>
    <definedName name="FODESEC" localSheetId="2">#REF!</definedName>
    <definedName name="FODESEC" localSheetId="1">#REF!</definedName>
    <definedName name="FODESEC" localSheetId="3">#REF!</definedName>
    <definedName name="FODESEC">#REF!</definedName>
    <definedName name="g" localSheetId="2">#REF!</definedName>
    <definedName name="g" localSheetId="1">#REF!</definedName>
    <definedName name="g" localSheetId="3">#REF!</definedName>
    <definedName name="g">#REF!</definedName>
    <definedName name="GCB_NGDP">#REF!</definedName>
    <definedName name="GGB_NGDP">#REF!</definedName>
    <definedName name="ggg">{"Riqfin97",#N/A,FALSE,"Tran";"Riqfinpro",#N/A,FALSE,"Tran"}</definedName>
    <definedName name="ggggg" localSheetId="2">'[13]J(Priv.Cap)'!#REF!</definedName>
    <definedName name="ggggg" localSheetId="1">'[13]J(Priv.Cap)'!#REF!</definedName>
    <definedName name="ggggg" localSheetId="3">'[13]J(Priv.Cap)'!#REF!</definedName>
    <definedName name="ggggg">'[13]J(Priv.Cap)'!#REF!</definedName>
    <definedName name="hhh" localSheetId="2">'[14]J(Priv.Cap)'!#REF!</definedName>
    <definedName name="hhh" localSheetId="1">'[14]J(Priv.Cap)'!#REF!</definedName>
    <definedName name="hhh" localSheetId="3">'[14]J(Priv.Cap)'!#REF!</definedName>
    <definedName name="hhh">'[14]J(Priv.Cap)'!#REF!</definedName>
    <definedName name="HTML_CodePage">1254</definedName>
    <definedName name="HTML_Control">{"'Sheet1'!$A$1:$Q$33"}</definedName>
    <definedName name="HTML_Description">""</definedName>
    <definedName name="HTML_Email">"vayvadae@pm.treasury.gov.tr"</definedName>
    <definedName name="HTML_Header">""</definedName>
    <definedName name="HTML_LastUpdate">"29.04.99"</definedName>
    <definedName name="HTML_LineAfter">FALSE</definedName>
    <definedName name="HTML_LineBefore">FALSE</definedName>
    <definedName name="HTML_Name">"Eylem Vayvada"</definedName>
    <definedName name="HTML_OBDlg2">TRUE</definedName>
    <definedName name="HTML_OBDlg4">TRUE</definedName>
    <definedName name="HTML_OS">0</definedName>
    <definedName name="HTML_PathFile">"L:\icborc\EYLEM\yeniduzen\ekleme\ti13.htm"</definedName>
    <definedName name="HTML_Title">"ICBORCLANMANIN VADE YAPISI"</definedName>
    <definedName name="i" localSheetId="2">#REF!</definedName>
    <definedName name="i" localSheetId="1">#REF!</definedName>
    <definedName name="i" localSheetId="3">#REF!</definedName>
    <definedName name="i">#REF!</definedName>
    <definedName name="IESS" localSheetId="2">#REF!</definedName>
    <definedName name="IESS" localSheetId="1">#REF!</definedName>
    <definedName name="IESS" localSheetId="3">#REF!</definedName>
    <definedName name="IESS">#REF!</definedName>
    <definedName name="ii">{"Tab1",#N/A,FALSE,"P";"Tab2",#N/A,FALSE,"P"}</definedName>
    <definedName name="ima" localSheetId="2">#REF!</definedName>
    <definedName name="ima" localSheetId="1">#REF!</definedName>
    <definedName name="ima" localSheetId="3">#REF!</definedName>
    <definedName name="ima">#REF!</definedName>
    <definedName name="ind" localSheetId="2">#REF!</definedName>
    <definedName name="ind" localSheetId="1">#REF!</definedName>
    <definedName name="ind" localSheetId="3">#REF!</definedName>
    <definedName name="ind">#REF!</definedName>
    <definedName name="INECEL" localSheetId="2">#REF!</definedName>
    <definedName name="INECEL" localSheetId="1">#REF!</definedName>
    <definedName name="INECEL" localSheetId="3">#REF!</definedName>
    <definedName name="INECEL">#REF!</definedName>
    <definedName name="INPUT_2" localSheetId="2">[1]Input!#REF!</definedName>
    <definedName name="INPUT_2" localSheetId="1">[1]Input!#REF!</definedName>
    <definedName name="INPUT_2" localSheetId="3">[1]Input!#REF!</definedName>
    <definedName name="INPUT_2">[1]Input!#REF!</definedName>
    <definedName name="INPUT_4" localSheetId="2">[1]Input!#REF!</definedName>
    <definedName name="INPUT_4" localSheetId="1">[1]Input!#REF!</definedName>
    <definedName name="INPUT_4" localSheetId="3">[1]Input!#REF!</definedName>
    <definedName name="INPUT_4">[1]Input!#REF!</definedName>
    <definedName name="jj">{"Riqfin97",#N/A,FALSE,"Tran";"Riqfinpro",#N/A,FALSE,"Tran"}</definedName>
    <definedName name="jjj" localSheetId="2">[15]M!#REF!</definedName>
    <definedName name="jjj" localSheetId="1">[15]M!#REF!</definedName>
    <definedName name="jjj" localSheetId="3">[15]M!#REF!</definedName>
    <definedName name="jjj">[15]M!#REF!</definedName>
    <definedName name="jjjjjj" localSheetId="2">'[13]J(Priv.Cap)'!#REF!</definedName>
    <definedName name="jjjjjj" localSheetId="1">'[13]J(Priv.Cap)'!#REF!</definedName>
    <definedName name="jjjjjj" localSheetId="3">'[13]J(Priv.Cap)'!#REF!</definedName>
    <definedName name="jjjjjj">'[13]J(Priv.Cap)'!#REF!</definedName>
    <definedName name="kk">{"Tab1",#N/A,FALSE,"P";"Tab2",#N/A,FALSE,"P"}</definedName>
    <definedName name="kkk">{"Tab1",#N/A,FALSE,"P";"Tab2",#N/A,FALSE,"P"}</definedName>
    <definedName name="kkkk" localSheetId="2">[16]M!#REF!</definedName>
    <definedName name="kkkk" localSheetId="1">[16]M!#REF!</definedName>
    <definedName name="kkkk" localSheetId="3">[16]M!#REF!</definedName>
    <definedName name="kkkk">[16]M!#REF!</definedName>
    <definedName name="ll">{"Tab1",#N/A,FALSE,"P";"Tab2",#N/A,FALSE,"P"}</definedName>
    <definedName name="lll">{"Riqfin97",#N/A,FALSE,"Tran";"Riqfinpro",#N/A,FALSE,"Tran"}</definedName>
    <definedName name="llll" localSheetId="2">[15]M!#REF!</definedName>
    <definedName name="llll" localSheetId="1">[15]M!#REF!</definedName>
    <definedName name="llll" localSheetId="3">[15]M!#REF!</definedName>
    <definedName name="llll">[15]M!#REF!</definedName>
    <definedName name="LUR">#REF!</definedName>
    <definedName name="Malaysia" localSheetId="2">#REF!</definedName>
    <definedName name="Malaysia" localSheetId="1">#REF!</definedName>
    <definedName name="Malaysia" localSheetId="3">#REF!</definedName>
    <definedName name="Malaysia">#REF!</definedName>
    <definedName name="MCV">#REF!</definedName>
    <definedName name="MCV_B">#REF!</definedName>
    <definedName name="MCV_D">#REF!</definedName>
    <definedName name="MCV_N">#REF!</definedName>
    <definedName name="MCV_T">#REF!</definedName>
    <definedName name="MED" localSheetId="2">#REF!</definedName>
    <definedName name="MED" localSheetId="1">#REF!</definedName>
    <definedName name="MED" localSheetId="3">#REF!</definedName>
    <definedName name="MED">#REF!</definedName>
    <definedName name="MENORES" localSheetId="2">#REF!</definedName>
    <definedName name="MENORES" localSheetId="1">#REF!</definedName>
    <definedName name="MENORES" localSheetId="3">#REF!</definedName>
    <definedName name="MENORES">#REF!</definedName>
    <definedName name="MFISCAL" localSheetId="2">'[2]Annual Raw Data'!#REF!</definedName>
    <definedName name="MFISCAL" localSheetId="1">'[2]Annual Raw Data'!#REF!</definedName>
    <definedName name="MFISCAL" localSheetId="3">'[2]Annual Raw Data'!#REF!</definedName>
    <definedName name="MFISCAL">'[2]Annual Raw Data'!#REF!</definedName>
    <definedName name="mflowsa" localSheetId="2">[4]!mflowsa</definedName>
    <definedName name="mflowsa" localSheetId="1">[4]!mflowsa</definedName>
    <definedName name="mflowsa" localSheetId="3">[4]!mflowsa</definedName>
    <definedName name="mflowsa" localSheetId="4">[4]!mflowsa</definedName>
    <definedName name="mflowsa">[4]!mflowsa</definedName>
    <definedName name="mflowsq" localSheetId="2">[4]!mflowsq</definedName>
    <definedName name="mflowsq" localSheetId="1">[4]!mflowsq</definedName>
    <definedName name="mflowsq" localSheetId="3">[4]!mflowsq</definedName>
    <definedName name="mflowsq" localSheetId="4">[4]!mflowsq</definedName>
    <definedName name="mflowsq">[4]!mflowsq</definedName>
    <definedName name="MICRO" localSheetId="2">#REF!</definedName>
    <definedName name="MICRO" localSheetId="1">#REF!</definedName>
    <definedName name="MICRO" localSheetId="3">#REF!</definedName>
    <definedName name="MICRO">#REF!</definedName>
    <definedName name="MISC3" localSheetId="2">#REF!</definedName>
    <definedName name="MISC3" localSheetId="1">#REF!</definedName>
    <definedName name="MISC3" localSheetId="3">#REF!</definedName>
    <definedName name="MISC3">#REF!</definedName>
    <definedName name="MISC4" localSheetId="2">[1]OUTPUT!#REF!</definedName>
    <definedName name="MISC4" localSheetId="1">[1]OUTPUT!#REF!</definedName>
    <definedName name="MISC4" localSheetId="3">[1]OUTPUT!#REF!</definedName>
    <definedName name="MISC4">[1]OUTPUT!#REF!</definedName>
    <definedName name="mmm">{"Riqfin97",#N/A,FALSE,"Tran";"Riqfinpro",#N/A,FALSE,"Tran"}</definedName>
    <definedName name="mmmm">{"Tab1",#N/A,FALSE,"P";"Tab2",#N/A,FALSE,"P"}</definedName>
    <definedName name="MON_SM" localSheetId="2">#REF!</definedName>
    <definedName name="MON_SM" localSheetId="1">#REF!</definedName>
    <definedName name="MON_SM" localSheetId="3">#REF!</definedName>
    <definedName name="MON_SM">#REF!</definedName>
    <definedName name="MONF_SM" localSheetId="2">#REF!</definedName>
    <definedName name="MONF_SM" localSheetId="1">#REF!</definedName>
    <definedName name="MONF_SM" localSheetId="3">#REF!</definedName>
    <definedName name="MONF_SM">#REF!</definedName>
    <definedName name="mstocksa" localSheetId="2">[4]!mstocksa</definedName>
    <definedName name="mstocksa" localSheetId="1">[4]!mstocksa</definedName>
    <definedName name="mstocksa" localSheetId="3">[4]!mstocksa</definedName>
    <definedName name="mstocksa" localSheetId="4">[4]!mstocksa</definedName>
    <definedName name="mstocksa">[4]!mstocksa</definedName>
    <definedName name="mstocksq" localSheetId="2">[4]!mstocksq</definedName>
    <definedName name="mstocksq" localSheetId="1">[4]!mstocksq</definedName>
    <definedName name="mstocksq" localSheetId="3">[4]!mstocksq</definedName>
    <definedName name="mstocksq" localSheetId="4">[4]!mstocksq</definedName>
    <definedName name="mstocksq">[4]!mstocksq</definedName>
    <definedName name="Municipios" localSheetId="2">#REF!</definedName>
    <definedName name="Municipios" localSheetId="1">#REF!</definedName>
    <definedName name="Municipios" localSheetId="3">#REF!</definedName>
    <definedName name="Municipios">#REF!</definedName>
    <definedName name="names" localSheetId="2">#REF!</definedName>
    <definedName name="names" localSheetId="1">#REF!</definedName>
    <definedName name="names" localSheetId="3">#REF!</definedName>
    <definedName name="names">#REF!</definedName>
    <definedName name="names_w" localSheetId="2">#REF!</definedName>
    <definedName name="names_w" localSheetId="1">#REF!</definedName>
    <definedName name="names_w" localSheetId="3">#REF!</definedName>
    <definedName name="names_w">#REF!</definedName>
    <definedName name="NCG">#REF!</definedName>
    <definedName name="NCG_R">#REF!</definedName>
    <definedName name="NCP">#REF!</definedName>
    <definedName name="NCP_R">#REF!</definedName>
    <definedName name="NFI">#REF!</definedName>
    <definedName name="NFI_R">#REF!</definedName>
    <definedName name="NGDP">#REF!</definedName>
    <definedName name="NGDP_DG">#REF!</definedName>
    <definedName name="NGDP_R">#REF!</definedName>
    <definedName name="NGDP_RG">#REF!</definedName>
    <definedName name="NGDPA" localSheetId="2">#REF!</definedName>
    <definedName name="NGDPA" localSheetId="1">#REF!</definedName>
    <definedName name="NGDPA" localSheetId="3">#REF!</definedName>
    <definedName name="NGDPA">#REF!</definedName>
    <definedName name="NGS_NGDP">#REF!</definedName>
    <definedName name="NINV">#REF!</definedName>
    <definedName name="NINV_R">#REF!</definedName>
    <definedName name="NM">#REF!</definedName>
    <definedName name="NM_R">#REF!</definedName>
    <definedName name="NMG_RG">#REF!</definedName>
    <definedName name="nn">{"Riqfin97",#N/A,FALSE,"Tran";"Riqfinpro",#N/A,FALSE,"Tran"}</definedName>
    <definedName name="nnn">{"Tab1",#N/A,FALSE,"P";"Tab2",#N/A,FALSE,"P"}</definedName>
    <definedName name="NTDD_RG">#REF!</definedName>
    <definedName name="NX">#REF!</definedName>
    <definedName name="NX_R">#REF!</definedName>
    <definedName name="NXG_RG">#REF!</definedName>
    <definedName name="OECD">'[7]VAT rates OECD Countries'!$B$5:$G$68</definedName>
    <definedName name="oo">{"Riqfin97",#N/A,FALSE,"Tran";"Riqfinpro",#N/A,FALSE,"Tran"}</definedName>
    <definedName name="ooo">{"Tab1",#N/A,FALSE,"P";"Tab2",#N/A,FALSE,"P"}</definedName>
    <definedName name="Otras_Residuales" localSheetId="2">#REF!</definedName>
    <definedName name="Otras_Residuales" localSheetId="1">#REF!</definedName>
    <definedName name="Otras_Residuales" localSheetId="3">#REF!</definedName>
    <definedName name="Otras_Residuales">#REF!</definedName>
    <definedName name="p">{"Riqfin97",#N/A,FALSE,"Tran";"Riqfinpro",#N/A,FALSE,"Tran"}</definedName>
    <definedName name="Part1" localSheetId="2">#REF!</definedName>
    <definedName name="Part1" localSheetId="1">#REF!</definedName>
    <definedName name="Part1" localSheetId="3">#REF!</definedName>
    <definedName name="Part1">#REF!</definedName>
    <definedName name="PCPIG">#REF!</definedName>
    <definedName name="Petroecuador" localSheetId="2">#REF!</definedName>
    <definedName name="Petroecuador" localSheetId="1">#REF!</definedName>
    <definedName name="Petroecuador" localSheetId="3">#REF!</definedName>
    <definedName name="Petroecuador">#REF!</definedName>
    <definedName name="Ports" localSheetId="2">#REF!</definedName>
    <definedName name="Ports" localSheetId="1">#REF!</definedName>
    <definedName name="Ports" localSheetId="3">#REF!</definedName>
    <definedName name="Ports">#REF!</definedName>
    <definedName name="pp">{"Riqfin97",#N/A,FALSE,"Tran";"Riqfinpro",#N/A,FALSE,"Tran"}</definedName>
    <definedName name="ppp">{"Riqfin97",#N/A,FALSE,"Tran";"Riqfinpro",#N/A,FALSE,"Tran"}</definedName>
    <definedName name="PPPWGT">#REF!</definedName>
    <definedName name="Q6_" localSheetId="2">#REF!</definedName>
    <definedName name="Q6_" localSheetId="1">#REF!</definedName>
    <definedName name="Q6_" localSheetId="3">#REF!</definedName>
    <definedName name="Q6_">#REF!</definedName>
    <definedName name="QFISCAL" localSheetId="2">'[2]Quarterly Raw Data'!#REF!</definedName>
    <definedName name="QFISCAL" localSheetId="1">'[2]Quarterly Raw Data'!#REF!</definedName>
    <definedName name="QFISCAL" localSheetId="3">'[2]Quarterly Raw Data'!#REF!</definedName>
    <definedName name="QFISCAL">'[2]Quarterly Raw Data'!#REF!</definedName>
    <definedName name="qq" localSheetId="2">'[14]J(Priv.Cap)'!#REF!</definedName>
    <definedName name="qq" localSheetId="1">'[14]J(Priv.Cap)'!#REF!</definedName>
    <definedName name="qq" localSheetId="3">'[14]J(Priv.Cap)'!#REF!</definedName>
    <definedName name="qq">'[14]J(Priv.Cap)'!#REF!</definedName>
    <definedName name="QTAB7" localSheetId="2">'[2]Quarterly MacroFlow'!#REF!</definedName>
    <definedName name="QTAB7" localSheetId="1">'[2]Quarterly MacroFlow'!#REF!</definedName>
    <definedName name="QTAB7" localSheetId="3">'[2]Quarterly MacroFlow'!#REF!</definedName>
    <definedName name="QTAB7">'[2]Quarterly MacroFlow'!#REF!</definedName>
    <definedName name="QTAB7A" localSheetId="2">'[2]Quarterly MacroFlow'!#REF!</definedName>
    <definedName name="QTAB7A" localSheetId="1">'[2]Quarterly MacroFlow'!#REF!</definedName>
    <definedName name="QTAB7A" localSheetId="3">'[2]Quarterly MacroFlow'!#REF!</definedName>
    <definedName name="QTAB7A">'[2]Quarterly MacroFlow'!#REF!</definedName>
    <definedName name="QW" localSheetId="2">#REF!</definedName>
    <definedName name="QW" localSheetId="1">#REF!</definedName>
    <definedName name="QW" localSheetId="3">#REF!</definedName>
    <definedName name="QW">#REF!</definedName>
    <definedName name="REDTbl3" localSheetId="2">#REF!</definedName>
    <definedName name="REDTbl3" localSheetId="1">#REF!</definedName>
    <definedName name="REDTbl3" localSheetId="3">#REF!</definedName>
    <definedName name="REDTbl3">#REF!</definedName>
    <definedName name="REDTbl4" localSheetId="2">#REF!</definedName>
    <definedName name="REDTbl4" localSheetId="1">#REF!</definedName>
    <definedName name="REDTbl4" localSheetId="3">#REF!</definedName>
    <definedName name="REDTbl4">#REF!</definedName>
    <definedName name="REDTbl5" localSheetId="2">#REF!</definedName>
    <definedName name="REDTbl5" localSheetId="1">#REF!</definedName>
    <definedName name="REDTbl5" localSheetId="3">#REF!</definedName>
    <definedName name="REDTbl5">#REF!</definedName>
    <definedName name="REDTbl6" localSheetId="2">#REF!</definedName>
    <definedName name="REDTbl6" localSheetId="1">#REF!</definedName>
    <definedName name="REDTbl6" localSheetId="3">#REF!</definedName>
    <definedName name="REDTbl6">#REF!</definedName>
    <definedName name="REDTbl7" localSheetId="2">#REF!</definedName>
    <definedName name="REDTbl7" localSheetId="1">#REF!</definedName>
    <definedName name="REDTbl7" localSheetId="3">#REF!</definedName>
    <definedName name="REDTbl7">#REF!</definedName>
    <definedName name="RGDPA" localSheetId="2">#REF!</definedName>
    <definedName name="RGDPA" localSheetId="1">#REF!</definedName>
    <definedName name="RGDPA" localSheetId="3">#REF!</definedName>
    <definedName name="RGDPA">#REF!</definedName>
    <definedName name="RGSPA" localSheetId="2">#REF!</definedName>
    <definedName name="RGSPA" localSheetId="1">#REF!</definedName>
    <definedName name="RGSPA" localSheetId="3">#REF!</definedName>
    <definedName name="RGSPA">#REF!</definedName>
    <definedName name="rr">{"Riqfin97",#N/A,FALSE,"Tran";"Riqfinpro",#N/A,FALSE,"Tran"}</definedName>
    <definedName name="rrr">{"Riqfin97",#N/A,FALSE,"Tran";"Riqfinpro",#N/A,FALSE,"Tran"}</definedName>
    <definedName name="rrttttttttttttttttttt" localSheetId="2">'[2]Annual Tables'!#REF!</definedName>
    <definedName name="rrttttttttttttttttttt" localSheetId="1">'[2]Annual Tables'!#REF!</definedName>
    <definedName name="rrttttttttttttttttttt" localSheetId="3">'[2]Annual Tables'!#REF!</definedName>
    <definedName name="rrttttttttttttttttttt">'[2]Annual Tables'!#REF!</definedName>
    <definedName name="SS">[17]IMATA!$B$45:$B$108</definedName>
    <definedName name="TAB1A" localSheetId="2">#REF!</definedName>
    <definedName name="TAB1A" localSheetId="1">#REF!</definedName>
    <definedName name="TAB1A" localSheetId="3">#REF!</definedName>
    <definedName name="TAB1A">#REF!</definedName>
    <definedName name="TAB1CK" localSheetId="2">#REF!</definedName>
    <definedName name="TAB1CK" localSheetId="1">#REF!</definedName>
    <definedName name="TAB1CK" localSheetId="3">#REF!</definedName>
    <definedName name="TAB1CK">#REF!</definedName>
    <definedName name="Tab25a" localSheetId="2">#REF!</definedName>
    <definedName name="Tab25a" localSheetId="1">#REF!</definedName>
    <definedName name="Tab25a" localSheetId="3">#REF!</definedName>
    <definedName name="Tab25a">#REF!</definedName>
    <definedName name="Tab25b" localSheetId="2">#REF!</definedName>
    <definedName name="Tab25b" localSheetId="1">#REF!</definedName>
    <definedName name="Tab25b" localSheetId="3">#REF!</definedName>
    <definedName name="Tab25b">#REF!</definedName>
    <definedName name="TAB2A" localSheetId="2">#REF!</definedName>
    <definedName name="TAB2A" localSheetId="1">#REF!</definedName>
    <definedName name="TAB2A" localSheetId="3">#REF!</definedName>
    <definedName name="TAB2A">#REF!</definedName>
    <definedName name="TAB5A" localSheetId="2">#REF!</definedName>
    <definedName name="TAB5A" localSheetId="1">#REF!</definedName>
    <definedName name="TAB5A" localSheetId="3">#REF!</definedName>
    <definedName name="TAB5A">#REF!</definedName>
    <definedName name="TAB6A" localSheetId="2">'[2]Annual Tables'!#REF!</definedName>
    <definedName name="TAB6A" localSheetId="1">'[2]Annual Tables'!#REF!</definedName>
    <definedName name="TAB6A" localSheetId="3">'[2]Annual Tables'!#REF!</definedName>
    <definedName name="TAB6A">'[2]Annual Tables'!#REF!</definedName>
    <definedName name="TAB6B" localSheetId="2">'[2]Annual Tables'!#REF!</definedName>
    <definedName name="TAB6B" localSheetId="1">'[2]Annual Tables'!#REF!</definedName>
    <definedName name="TAB6B" localSheetId="3">'[2]Annual Tables'!#REF!</definedName>
    <definedName name="TAB6B">'[2]Annual Tables'!#REF!</definedName>
    <definedName name="TAB6C" localSheetId="2">#REF!</definedName>
    <definedName name="TAB6C" localSheetId="1">#REF!</definedName>
    <definedName name="TAB6C" localSheetId="3">#REF!</definedName>
    <definedName name="TAB6C">#REF!</definedName>
    <definedName name="TAB7A" localSheetId="2">#REF!</definedName>
    <definedName name="TAB7A" localSheetId="1">#REF!</definedName>
    <definedName name="TAB7A" localSheetId="3">#REF!</definedName>
    <definedName name="TAB7A">#REF!</definedName>
    <definedName name="Table__47">[18]RED47!$A$1:$I$53</definedName>
    <definedName name="Table_2._Country_X___Public_Sector_Financing_1" localSheetId="2">#REF!</definedName>
    <definedName name="Table_2._Country_X___Public_Sector_Financing_1" localSheetId="1">#REF!</definedName>
    <definedName name="Table_2._Country_X___Public_Sector_Financing_1" localSheetId="3">#REF!</definedName>
    <definedName name="Table_2._Country_X___Public_Sector_Financing_1">#REF!</definedName>
    <definedName name="Table_4SR" localSheetId="2">#REF!</definedName>
    <definedName name="Table_4SR" localSheetId="1">#REF!</definedName>
    <definedName name="Table_4SR" localSheetId="3">#REF!</definedName>
    <definedName name="Table_4SR">#REF!</definedName>
    <definedName name="TAME" localSheetId="2">#REF!</definedName>
    <definedName name="TAME" localSheetId="1">#REF!</definedName>
    <definedName name="TAME" localSheetId="3">#REF!</definedName>
    <definedName name="TAME">#REF!</definedName>
    <definedName name="Tegsun_DB">[19]tegsun!$A$1:$F$1136</definedName>
    <definedName name="TMG_D">[8]Q5!$E$23:$AH$23</definedName>
    <definedName name="TMGO">#REF!</definedName>
    <definedName name="Total_Consumption" localSheetId="2">#REF!</definedName>
    <definedName name="Total_Consumption" localSheetId="1">#REF!</definedName>
    <definedName name="Total_Consumption" localSheetId="3">#REF!</definedName>
    <definedName name="Total_Consumption">#REF!</definedName>
    <definedName name="TOWEO" localSheetId="2">#REF!</definedName>
    <definedName name="TOWEO" localSheetId="1">#REF!</definedName>
    <definedName name="TOWEO" localSheetId="3">#REF!</definedName>
    <definedName name="TOWEO">#REF!</definedName>
    <definedName name="TPD" localSheetId="2">#REF!</definedName>
    <definedName name="TPD" localSheetId="1">#REF!</definedName>
    <definedName name="TPD" localSheetId="3">#REF!</definedName>
    <definedName name="TPD">#REF!</definedName>
    <definedName name="TRADE3" localSheetId="2">[1]Trade!#REF!</definedName>
    <definedName name="TRADE3" localSheetId="1">[1]Trade!#REF!</definedName>
    <definedName name="TRADE3" localSheetId="3">[1]Trade!#REF!</definedName>
    <definedName name="TRADE3">[1]Trade!#REF!</definedName>
    <definedName name="trans" localSheetId="2">#REF!</definedName>
    <definedName name="trans" localSheetId="1">#REF!</definedName>
    <definedName name="trans" localSheetId="3">#REF!</definedName>
    <definedName name="trans">#REF!</definedName>
    <definedName name="Transfer_check" localSheetId="2">#REF!</definedName>
    <definedName name="Transfer_check" localSheetId="1">#REF!</definedName>
    <definedName name="Transfer_check" localSheetId="3">#REF!</definedName>
    <definedName name="Transfer_check">#REF!</definedName>
    <definedName name="TRANSNAVE" localSheetId="2">#REF!</definedName>
    <definedName name="TRANSNAVE" localSheetId="1">#REF!</definedName>
    <definedName name="TRANSNAVE" localSheetId="3">#REF!</definedName>
    <definedName name="TRANSNAVE">#REF!</definedName>
    <definedName name="tt">{"Tab1",#N/A,FALSE,"P";"Tab2",#N/A,FALSE,"P"}</definedName>
    <definedName name="ttt">{"Tab1",#N/A,FALSE,"P";"Tab2",#N/A,FALSE,"P"}</definedName>
    <definedName name="ttttt" localSheetId="2">[15]M!#REF!</definedName>
    <definedName name="ttttt" localSheetId="1">[15]M!#REF!</definedName>
    <definedName name="ttttt" localSheetId="3">[15]M!#REF!</definedName>
    <definedName name="ttttt">[15]M!#REF!</definedName>
    <definedName name="tttttttttttttttttt" localSheetId="2">[2]Index!#REF!</definedName>
    <definedName name="tttttttttttttttttt" localSheetId="1">[2]Index!#REF!</definedName>
    <definedName name="tttttttttttttttttt" localSheetId="3">[2]Index!#REF!</definedName>
    <definedName name="tttttttttttttttttt">[2]Index!#REF!</definedName>
    <definedName name="TXG_D">#REF!</definedName>
    <definedName name="TXGO">#REF!</definedName>
    <definedName name="Universities" localSheetId="2">#REF!</definedName>
    <definedName name="Universities" localSheetId="1">#REF!</definedName>
    <definedName name="Universities" localSheetId="3">#REF!</definedName>
    <definedName name="Universities">#REF!</definedName>
    <definedName name="Uruguay" localSheetId="2">#REF!</definedName>
    <definedName name="Uruguay" localSheetId="1">#REF!</definedName>
    <definedName name="Uruguay" localSheetId="3">#REF!</definedName>
    <definedName name="Uruguay">#REF!</definedName>
    <definedName name="uu">{"Riqfin97",#N/A,FALSE,"Tran";"Riqfinpro",#N/A,FALSE,"Tran"}</definedName>
    <definedName name="uuu">{"Riqfin97",#N/A,FALSE,"Tran";"Riqfinpro",#N/A,FALSE,"Tran"}</definedName>
    <definedName name="Venezuela" localSheetId="2">#REF!</definedName>
    <definedName name="Venezuela" localSheetId="1">#REF!</definedName>
    <definedName name="Venezuela" localSheetId="3">#REF!</definedName>
    <definedName name="Venezuela">#REF!</definedName>
    <definedName name="vv">{"Tab1",#N/A,FALSE,"P";"Tab2",#N/A,FALSE,"P"}</definedName>
    <definedName name="vvv">{"Tab1",#N/A,FALSE,"P";"Tab2",#N/A,FALSE,"P"}</definedName>
    <definedName name="WHD" localSheetId="2">#REF!</definedName>
    <definedName name="WHD" localSheetId="1">#REF!</definedName>
    <definedName name="WHD" localSheetId="3">#REF!</definedName>
    <definedName name="WHD">#REF!</definedName>
    <definedName name="wrn.Program.">{"Tab1",#N/A,FALSE,"P";"Tab2",#N/A,FALSE,"P"}</definedName>
    <definedName name="wrn.Riqfin.">{"Riqfin97",#N/A,FALSE,"Tran";"Riqfinpro",#N/A,FALSE,"Tran"}</definedName>
    <definedName name="ww" localSheetId="2">[15]M!#REF!</definedName>
    <definedName name="ww" localSheetId="1">[15]M!#REF!</definedName>
    <definedName name="ww" localSheetId="3">[15]M!#REF!</definedName>
    <definedName name="ww">[15]M!#REF!</definedName>
    <definedName name="www">{"Riqfin97",#N/A,FALSE,"Tran";"Riqfinpro",#N/A,FALSE,"Tran"}</definedName>
    <definedName name="x" localSheetId="2">#REF!</definedName>
    <definedName name="x" localSheetId="1">#REF!</definedName>
    <definedName name="x" localSheetId="3">#REF!</definedName>
    <definedName name="x">#REF!</definedName>
    <definedName name="xx">{"Riqfin97",#N/A,FALSE,"Tran";"Riqfinpro",#N/A,FALSE,"Tran"}</definedName>
    <definedName name="xxxx">{"Riqfin97",#N/A,FALSE,"Tran";"Riqfinpro",#N/A,FALSE,"Tran"}</definedName>
    <definedName name="yy">{"Tab1",#N/A,FALSE,"P";"Tab2",#N/A,FALSE,"P"}</definedName>
    <definedName name="yyy">{"Tab1",#N/A,FALSE,"P";"Tab2",#N/A,FALSE,"P"}</definedName>
    <definedName name="yyyy">{"Riqfin97",#N/A,FALSE,"Tran";"Riqfinpro",#N/A,FALSE,"Tran"}</definedName>
    <definedName name="Z_95224721_0485_11D4_BFD1_00508B5F4DA4_.wvu.Cols" localSheetId="2">#REF!</definedName>
    <definedName name="Z_95224721_0485_11D4_BFD1_00508B5F4DA4_.wvu.Cols" localSheetId="1">#REF!</definedName>
    <definedName name="Z_95224721_0485_11D4_BFD1_00508B5F4DA4_.wvu.Cols" localSheetId="3">#REF!</definedName>
    <definedName name="Z_95224721_0485_11D4_BFD1_00508B5F4DA4_.wvu.Cols">#REF!</definedName>
    <definedName name="zz">{"Tab1",#N/A,FALSE,"P";"Tab2",#N/A,FALSE,"P"}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27" roundtripDataChecksum="8pL/zUVq1NeY4iq6vgNTEB8JqQWM4YDFomPhK5tn+q8="/>
    </ext>
  </extLst>
</workbook>
</file>

<file path=xl/calcChain.xml><?xml version="1.0" encoding="utf-8"?>
<calcChain xmlns="http://schemas.openxmlformats.org/spreadsheetml/2006/main">
  <c r="N22" i="5" l="1"/>
  <c r="E23" i="5"/>
  <c r="F23" i="5"/>
  <c r="G23" i="5"/>
  <c r="D23" i="5"/>
  <c r="E22" i="5"/>
  <c r="F22" i="5"/>
  <c r="G22" i="5"/>
  <c r="H22" i="5"/>
  <c r="I22" i="5"/>
  <c r="J22" i="5"/>
  <c r="K22" i="5"/>
  <c r="L22" i="5"/>
  <c r="F19" i="5"/>
  <c r="G19" i="5"/>
  <c r="H19" i="5"/>
  <c r="I19" i="5"/>
  <c r="J19" i="5"/>
  <c r="K19" i="5"/>
  <c r="L19" i="5"/>
  <c r="E19" i="5"/>
  <c r="E19" i="1"/>
  <c r="D19" i="5"/>
  <c r="D22" i="5" s="1"/>
  <c r="E18" i="5"/>
  <c r="F18" i="5"/>
  <c r="G18" i="5"/>
  <c r="H18" i="5"/>
  <c r="I18" i="5"/>
  <c r="J18" i="5"/>
  <c r="K18" i="5"/>
  <c r="L18" i="5"/>
  <c r="E17" i="5"/>
  <c r="F17" i="5"/>
  <c r="G17" i="5"/>
  <c r="H17" i="5"/>
  <c r="I17" i="5"/>
  <c r="J17" i="5"/>
  <c r="K17" i="5"/>
  <c r="L17" i="5"/>
  <c r="E21" i="1"/>
  <c r="D18" i="5"/>
  <c r="E18" i="1"/>
  <c r="D17" i="5"/>
  <c r="E17" i="1"/>
  <c r="E30" i="4"/>
  <c r="F30" i="4"/>
  <c r="F73" i="4"/>
  <c r="E73" i="4"/>
  <c r="E85" i="4"/>
  <c r="F21" i="2"/>
  <c r="G21" i="2" s="1"/>
  <c r="H21" i="2" s="1"/>
  <c r="I21" i="2" s="1"/>
  <c r="J21" i="2" s="1"/>
  <c r="E21" i="2"/>
  <c r="F20" i="2"/>
  <c r="G20" i="2"/>
  <c r="H20" i="2"/>
  <c r="I20" i="2"/>
  <c r="J20" i="2"/>
  <c r="E20" i="2"/>
  <c r="D24" i="2"/>
  <c r="F21" i="1"/>
  <c r="G21" i="1"/>
  <c r="H21" i="1"/>
  <c r="I21" i="1" s="1"/>
  <c r="J21" i="1" s="1"/>
  <c r="F19" i="1"/>
  <c r="G19" i="1"/>
  <c r="H19" i="1"/>
  <c r="I19" i="1"/>
  <c r="J19" i="1"/>
  <c r="F18" i="1"/>
  <c r="G18" i="1"/>
  <c r="H18" i="1"/>
  <c r="I18" i="1"/>
  <c r="J18" i="1"/>
  <c r="E18" i="2"/>
  <c r="E17" i="2"/>
  <c r="F17" i="1"/>
  <c r="G17" i="1" s="1"/>
  <c r="H17" i="1" s="1"/>
  <c r="I17" i="1" s="1"/>
  <c r="J17" i="1" s="1"/>
  <c r="J90" i="4"/>
  <c r="I90" i="4"/>
  <c r="H90" i="4"/>
  <c r="G90" i="4"/>
  <c r="F90" i="4"/>
  <c r="E90" i="4"/>
  <c r="F88" i="4"/>
  <c r="H87" i="4"/>
  <c r="G87" i="4"/>
  <c r="E86" i="4"/>
  <c r="J85" i="4"/>
  <c r="J88" i="4" s="1"/>
  <c r="I85" i="4"/>
  <c r="I88" i="4" s="1"/>
  <c r="H85" i="4"/>
  <c r="G85" i="4"/>
  <c r="F85" i="4"/>
  <c r="J84" i="4"/>
  <c r="I84" i="4"/>
  <c r="H84" i="4"/>
  <c r="H88" i="4" s="1"/>
  <c r="G84" i="4"/>
  <c r="G88" i="4" s="1"/>
  <c r="F84" i="4"/>
  <c r="E84" i="4"/>
  <c r="E88" i="4" s="1"/>
  <c r="J83" i="4"/>
  <c r="I83" i="4"/>
  <c r="H83" i="4"/>
  <c r="G83" i="4"/>
  <c r="F83" i="4"/>
  <c r="E83" i="4"/>
  <c r="J82" i="4"/>
  <c r="J87" i="4" s="1"/>
  <c r="I82" i="4"/>
  <c r="I87" i="4" s="1"/>
  <c r="H82" i="4"/>
  <c r="G82" i="4"/>
  <c r="F82" i="4"/>
  <c r="F87" i="4" s="1"/>
  <c r="E82" i="4"/>
  <c r="E87" i="4" s="1"/>
  <c r="J81" i="4"/>
  <c r="I81" i="4"/>
  <c r="H81" i="4"/>
  <c r="G81" i="4"/>
  <c r="F81" i="4"/>
  <c r="E81" i="4"/>
  <c r="J73" i="4"/>
  <c r="I73" i="4"/>
  <c r="H73" i="4"/>
  <c r="G73" i="4"/>
  <c r="G71" i="4"/>
  <c r="E69" i="4"/>
  <c r="F69" i="4" s="1"/>
  <c r="J68" i="4"/>
  <c r="I68" i="4"/>
  <c r="H68" i="4"/>
  <c r="G68" i="4"/>
  <c r="F68" i="4"/>
  <c r="E68" i="4"/>
  <c r="J67" i="4"/>
  <c r="J71" i="4" s="1"/>
  <c r="I67" i="4"/>
  <c r="I71" i="4" s="1"/>
  <c r="H67" i="4"/>
  <c r="H71" i="4" s="1"/>
  <c r="G67" i="4"/>
  <c r="F67" i="4"/>
  <c r="F71" i="4" s="1"/>
  <c r="E67" i="4"/>
  <c r="E71" i="4" s="1"/>
  <c r="J66" i="4"/>
  <c r="I66" i="4"/>
  <c r="H66" i="4"/>
  <c r="G66" i="4"/>
  <c r="G70" i="4" s="1"/>
  <c r="F66" i="4"/>
  <c r="F70" i="4" s="1"/>
  <c r="E66" i="4"/>
  <c r="E70" i="4" s="1"/>
  <c r="E72" i="4" s="1"/>
  <c r="E74" i="4" s="1"/>
  <c r="J65" i="4"/>
  <c r="J70" i="4" s="1"/>
  <c r="I65" i="4"/>
  <c r="I70" i="4" s="1"/>
  <c r="H65" i="4"/>
  <c r="H70" i="4" s="1"/>
  <c r="G65" i="4"/>
  <c r="F65" i="4"/>
  <c r="E65" i="4"/>
  <c r="J64" i="4"/>
  <c r="I64" i="4"/>
  <c r="H64" i="4"/>
  <c r="G64" i="4"/>
  <c r="F64" i="4"/>
  <c r="E64" i="4"/>
  <c r="J56" i="4"/>
  <c r="I56" i="4"/>
  <c r="H56" i="4"/>
  <c r="G56" i="4"/>
  <c r="F56" i="4"/>
  <c r="E56" i="4"/>
  <c r="E52" i="4"/>
  <c r="J51" i="4"/>
  <c r="I51" i="4"/>
  <c r="H51" i="4"/>
  <c r="G51" i="4"/>
  <c r="F51" i="4"/>
  <c r="E51" i="4"/>
  <c r="J50" i="4"/>
  <c r="J54" i="4" s="1"/>
  <c r="I50" i="4"/>
  <c r="I54" i="4" s="1"/>
  <c r="H50" i="4"/>
  <c r="H54" i="4" s="1"/>
  <c r="G50" i="4"/>
  <c r="G54" i="4" s="1"/>
  <c r="F50" i="4"/>
  <c r="F54" i="4" s="1"/>
  <c r="E50" i="4"/>
  <c r="E54" i="4" s="1"/>
  <c r="J49" i="4"/>
  <c r="I49" i="4"/>
  <c r="I53" i="4" s="1"/>
  <c r="H49" i="4"/>
  <c r="H53" i="4" s="1"/>
  <c r="G49" i="4"/>
  <c r="G53" i="4" s="1"/>
  <c r="F49" i="4"/>
  <c r="F53" i="4" s="1"/>
  <c r="E49" i="4"/>
  <c r="J48" i="4"/>
  <c r="J53" i="4" s="1"/>
  <c r="I48" i="4"/>
  <c r="H48" i="4"/>
  <c r="G48" i="4"/>
  <c r="F48" i="4"/>
  <c r="E48" i="4"/>
  <c r="E53" i="4" s="1"/>
  <c r="J47" i="4"/>
  <c r="I47" i="4"/>
  <c r="H47" i="4"/>
  <c r="G47" i="4"/>
  <c r="F47" i="4"/>
  <c r="E47" i="4"/>
  <c r="J39" i="4"/>
  <c r="I39" i="4"/>
  <c r="H39" i="4"/>
  <c r="G39" i="4"/>
  <c r="F39" i="4"/>
  <c r="E39" i="4"/>
  <c r="E35" i="4"/>
  <c r="F38" i="4" s="1"/>
  <c r="J34" i="4"/>
  <c r="I34" i="4"/>
  <c r="H34" i="4"/>
  <c r="G34" i="4"/>
  <c r="F34" i="4"/>
  <c r="E34" i="4"/>
  <c r="J33" i="4"/>
  <c r="J37" i="4" s="1"/>
  <c r="I33" i="4"/>
  <c r="I37" i="4" s="1"/>
  <c r="H33" i="4"/>
  <c r="H37" i="4" s="1"/>
  <c r="G33" i="4"/>
  <c r="G37" i="4" s="1"/>
  <c r="F33" i="4"/>
  <c r="F37" i="4" s="1"/>
  <c r="E33" i="4"/>
  <c r="E37" i="4" s="1"/>
  <c r="J32" i="4"/>
  <c r="J36" i="4" s="1"/>
  <c r="I32" i="4"/>
  <c r="I36" i="4" s="1"/>
  <c r="H32" i="4"/>
  <c r="H36" i="4" s="1"/>
  <c r="G32" i="4"/>
  <c r="F32" i="4"/>
  <c r="E32" i="4"/>
  <c r="J31" i="4"/>
  <c r="I31" i="4"/>
  <c r="H31" i="4"/>
  <c r="G31" i="4"/>
  <c r="G36" i="4" s="1"/>
  <c r="F31" i="4"/>
  <c r="F36" i="4" s="1"/>
  <c r="E31" i="4"/>
  <c r="E36" i="4" s="1"/>
  <c r="E38" i="4" s="1"/>
  <c r="J30" i="4"/>
  <c r="I30" i="4"/>
  <c r="H30" i="4"/>
  <c r="G30" i="4"/>
  <c r="F29" i="3"/>
  <c r="J28" i="3"/>
  <c r="I28" i="3"/>
  <c r="H28" i="3"/>
  <c r="G28" i="3"/>
  <c r="F28" i="3"/>
  <c r="E28" i="3"/>
  <c r="E29" i="3" s="1"/>
  <c r="E31" i="3" s="1"/>
  <c r="J27" i="3"/>
  <c r="I27" i="3"/>
  <c r="H27" i="3"/>
  <c r="G27" i="3"/>
  <c r="F27" i="3"/>
  <c r="E27" i="3"/>
  <c r="E26" i="3"/>
  <c r="F26" i="3" s="1"/>
  <c r="E19" i="2"/>
  <c r="E16" i="2"/>
  <c r="F16" i="2" s="1"/>
  <c r="G15" i="2"/>
  <c r="H15" i="2" s="1"/>
  <c r="I15" i="2" s="1"/>
  <c r="J15" i="2" s="1"/>
  <c r="F15" i="2"/>
  <c r="E14" i="2"/>
  <c r="F14" i="2" s="1"/>
  <c r="F13" i="2"/>
  <c r="G13" i="2" s="1"/>
  <c r="H13" i="2" s="1"/>
  <c r="I13" i="2" s="1"/>
  <c r="J13" i="2" s="1"/>
  <c r="E13" i="2"/>
  <c r="F12" i="2"/>
  <c r="F17" i="2" s="1"/>
  <c r="E12" i="2"/>
  <c r="F11" i="2"/>
  <c r="G11" i="2" s="1"/>
  <c r="H11" i="2" s="1"/>
  <c r="I11" i="2" s="1"/>
  <c r="J11" i="2" s="1"/>
  <c r="E11" i="2"/>
  <c r="E20" i="1"/>
  <c r="F20" i="1" s="1"/>
  <c r="G20" i="1" s="1"/>
  <c r="H20" i="1" s="1"/>
  <c r="I20" i="1" s="1"/>
  <c r="J20" i="1" s="1"/>
  <c r="E16" i="1"/>
  <c r="F16" i="1" s="1"/>
  <c r="G16" i="1" s="1"/>
  <c r="H16" i="1" s="1"/>
  <c r="I16" i="1" s="1"/>
  <c r="J16" i="1" s="1"/>
  <c r="F15" i="1"/>
  <c r="G15" i="1" s="1"/>
  <c r="H15" i="1" s="1"/>
  <c r="I15" i="1" s="1"/>
  <c r="J15" i="1" s="1"/>
  <c r="E14" i="1"/>
  <c r="F14" i="1" s="1"/>
  <c r="G14" i="1" s="1"/>
  <c r="H14" i="1" s="1"/>
  <c r="I14" i="1" s="1"/>
  <c r="J14" i="1" s="1"/>
  <c r="E13" i="1"/>
  <c r="F13" i="1" s="1"/>
  <c r="G13" i="1" s="1"/>
  <c r="H13" i="1" s="1"/>
  <c r="I13" i="1" s="1"/>
  <c r="J13" i="1" s="1"/>
  <c r="E12" i="1"/>
  <c r="F12" i="1" s="1"/>
  <c r="G12" i="1" s="1"/>
  <c r="H12" i="1" s="1"/>
  <c r="I12" i="1" s="1"/>
  <c r="J12" i="1" s="1"/>
  <c r="E11" i="1"/>
  <c r="F11" i="1" s="1"/>
  <c r="G11" i="1" s="1"/>
  <c r="H11" i="1" s="1"/>
  <c r="I11" i="1" s="1"/>
  <c r="J11" i="1" s="1"/>
  <c r="E40" i="4" l="1"/>
  <c r="F40" i="4" s="1"/>
  <c r="F31" i="3"/>
  <c r="G16" i="2"/>
  <c r="G69" i="4"/>
  <c r="G72" i="4"/>
  <c r="E55" i="4"/>
  <c r="E57" i="4" s="1"/>
  <c r="F55" i="4"/>
  <c r="F57" i="4" s="1"/>
  <c r="F89" i="4"/>
  <c r="G14" i="2"/>
  <c r="F18" i="2"/>
  <c r="F19" i="2" s="1"/>
  <c r="G29" i="3"/>
  <c r="G31" i="3" s="1"/>
  <c r="G26" i="3"/>
  <c r="E89" i="4"/>
  <c r="E91" i="4" s="1"/>
  <c r="F86" i="4"/>
  <c r="F72" i="4"/>
  <c r="F74" i="4" s="1"/>
  <c r="G12" i="2"/>
  <c r="F35" i="4"/>
  <c r="F52" i="4"/>
  <c r="G74" i="4" l="1"/>
  <c r="G86" i="4"/>
  <c r="G89" i="4"/>
  <c r="G91" i="4" s="1"/>
  <c r="H29" i="3"/>
  <c r="H31" i="3" s="1"/>
  <c r="H26" i="3"/>
  <c r="G55" i="4"/>
  <c r="G57" i="4" s="1"/>
  <c r="G52" i="4"/>
  <c r="H72" i="4"/>
  <c r="H74" i="4" s="1"/>
  <c r="H69" i="4"/>
  <c r="G35" i="4"/>
  <c r="G38" i="4"/>
  <c r="G40" i="4" s="1"/>
  <c r="G17" i="2"/>
  <c r="H12" i="2"/>
  <c r="H14" i="2"/>
  <c r="G18" i="2"/>
  <c r="H16" i="2"/>
  <c r="F91" i="4"/>
  <c r="I72" i="4" l="1"/>
  <c r="I74" i="4" s="1"/>
  <c r="I69" i="4"/>
  <c r="I16" i="2"/>
  <c r="H52" i="4"/>
  <c r="H55" i="4"/>
  <c r="H57" i="4" s="1"/>
  <c r="H18" i="2"/>
  <c r="I14" i="2"/>
  <c r="I12" i="2"/>
  <c r="H17" i="2"/>
  <c r="I26" i="3"/>
  <c r="I29" i="3"/>
  <c r="I31" i="3" s="1"/>
  <c r="G19" i="2"/>
  <c r="H38" i="4"/>
  <c r="H40" i="4" s="1"/>
  <c r="H35" i="4"/>
  <c r="H86" i="4"/>
  <c r="H89" i="4"/>
  <c r="H91" i="4" s="1"/>
  <c r="I89" i="4" l="1"/>
  <c r="I91" i="4" s="1"/>
  <c r="I86" i="4"/>
  <c r="I52" i="4"/>
  <c r="I55" i="4"/>
  <c r="I57" i="4" s="1"/>
  <c r="J29" i="3"/>
  <c r="J31" i="3" s="1"/>
  <c r="J26" i="3"/>
  <c r="J19" i="2"/>
  <c r="J16" i="2"/>
  <c r="I38" i="4"/>
  <c r="I40" i="4" s="1"/>
  <c r="I35" i="4"/>
  <c r="H19" i="2"/>
  <c r="J72" i="4"/>
  <c r="J74" i="4" s="1"/>
  <c r="J69" i="4"/>
  <c r="I18" i="2"/>
  <c r="J14" i="2"/>
  <c r="J18" i="2" s="1"/>
  <c r="I17" i="2"/>
  <c r="I19" i="2" s="1"/>
  <c r="J12" i="2"/>
  <c r="J17" i="2" s="1"/>
  <c r="J55" i="4" l="1"/>
  <c r="J57" i="4" s="1"/>
  <c r="J52" i="4"/>
  <c r="J35" i="4"/>
  <c r="J38" i="4"/>
  <c r="J40" i="4" s="1"/>
  <c r="J89" i="4"/>
  <c r="J91" i="4" s="1"/>
  <c r="J8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Nikita Kuznetsov</author>
  </authors>
  <commentList>
    <comment ref="D19" authorId="0" shapeId="0" xr:uid="{6717E434-50A1-F441-8510-EF5018AD3010}">
      <text>
        <r>
          <rPr>
            <b/>
            <sz val="10"/>
            <color rgb="FF000000"/>
            <rFont val="Tahoma"/>
            <family val="2"/>
          </rPr>
          <t>Nikita Kuznetsov: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Assume as the share of foreign currency debt is the same as the previous year</t>
        </r>
      </text>
    </comment>
    <comment ref="D21" authorId="0" shapeId="0" xr:uid="{1BAC0244-E404-BA4A-8ED8-5E73349CA89F}">
      <text>
        <r>
          <rPr>
            <b/>
            <sz val="10"/>
            <color rgb="FF000000"/>
            <rFont val="Tahoma"/>
            <family val="2"/>
          </rPr>
          <t>Nikita Kuznetsov: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Took the data of the previous year which is 42.26</t>
        </r>
      </text>
    </comment>
  </commentList>
</comments>
</file>

<file path=xl/sharedStrings.xml><?xml version="1.0" encoding="utf-8"?>
<sst xmlns="http://schemas.openxmlformats.org/spreadsheetml/2006/main" count="250" uniqueCount="80">
  <si>
    <t>Fiscal Sustainability</t>
  </si>
  <si>
    <t>Debt Sustinability Analysis</t>
  </si>
  <si>
    <t>Debt Dynamics</t>
  </si>
  <si>
    <t>Actual</t>
  </si>
  <si>
    <t>Projections</t>
  </si>
  <si>
    <t>Assumptions</t>
  </si>
  <si>
    <t>Growth of GDP (%)</t>
  </si>
  <si>
    <t>g</t>
  </si>
  <si>
    <t>Effective nominal domestic interest rate (%)</t>
  </si>
  <si>
    <t>i</t>
  </si>
  <si>
    <t>Inflation (%) (GDP deflator)</t>
  </si>
  <si>
    <t>π</t>
  </si>
  <si>
    <t>Effective nominal foreign interest rate (%)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</si>
  <si>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</si>
  <si>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t>Exchange rate depreciation (%)</t>
  </si>
  <si>
    <t>ε</t>
  </si>
  <si>
    <t>Share of foreign currency debt (% of total)</t>
  </si>
  <si>
    <t>α</t>
  </si>
  <si>
    <t>Effective real domestic interest rate (%)</t>
  </si>
  <si>
    <t>r</t>
  </si>
  <si>
    <t>Effective real foreign interest rate (%)</t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</si>
  <si>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</si>
  <si>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t>Weighted  average interest rate (%)</t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</si>
  <si>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</si>
  <si>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Primary balance (% of GDP)</t>
  </si>
  <si>
    <t>pb</t>
  </si>
  <si>
    <t>Public debt (% of GDP)</t>
  </si>
  <si>
    <t>d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</si>
  <si>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</si>
  <si>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</si>
  <si>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t>Weigted average interest rate (%)</t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</si>
  <si>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</si>
  <si>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Debt stabilizing primary balance</t>
  </si>
  <si>
    <t xml:space="preserve">Debt stabilizing primary balance  </t>
  </si>
  <si>
    <t>pb*</t>
  </si>
  <si>
    <t>Baseline Assumptions</t>
  </si>
  <si>
    <t>Baseline scenario</t>
  </si>
  <si>
    <t>Variables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</si>
  <si>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</si>
  <si>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</si>
  <si>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</si>
  <si>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Macro-fiscal stress tests</t>
  </si>
  <si>
    <t>Shocks</t>
  </si>
  <si>
    <t>1. GDP growth</t>
  </si>
  <si>
    <t>-2% in 2017-2018</t>
  </si>
  <si>
    <t>2. Interest rates</t>
  </si>
  <si>
    <t>interest rates (domestic and foreign) go up by 200bps in 2017-2018</t>
  </si>
  <si>
    <t>3. Primary balance</t>
  </si>
  <si>
    <t>primary deficit of 2% of GDP in 2017 and 2018</t>
  </si>
  <si>
    <t>4. Exchange rate</t>
  </si>
  <si>
    <t>exchange rate depreciation by 25% in 2017</t>
  </si>
  <si>
    <t>GDP Growth Shock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</si>
  <si>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</si>
  <si>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</si>
  <si>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</si>
  <si>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Interest Rate Shock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</si>
  <si>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</si>
  <si>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</si>
  <si>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</si>
  <si>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Primary Balance Shock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</si>
  <si>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</si>
  <si>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</si>
  <si>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</si>
  <si>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Exchange Rate Shock</t>
  </si>
  <si>
    <r>
      <rPr>
        <b/>
        <i/>
        <sz val="14"/>
        <color theme="1"/>
        <rFont val="Calibri"/>
        <family val="2"/>
      </rPr>
      <t>i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</si>
  <si>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f</t>
    </r>
  </si>
  <si>
    <r>
      <rPr>
        <b/>
        <i/>
        <sz val="14"/>
        <color theme="1"/>
        <rFont val="Calibri"/>
        <family val="2"/>
      </rPr>
      <t>r</t>
    </r>
    <r>
      <rPr>
        <b/>
        <i/>
        <vertAlign val="superscript"/>
        <sz val="14"/>
        <color theme="1"/>
        <rFont val="Calibri"/>
        <family val="2"/>
      </rPr>
      <t>w</t>
    </r>
  </si>
  <si>
    <t>Links</t>
  </si>
  <si>
    <t>https://www.reuters.com/markets/rates-bonds/swedens-riksbank-seen-making-half-percentage-point-rate-cut-2024-11-04/</t>
  </si>
  <si>
    <t>https://tradingeconomics.com/sweden/interest-rate</t>
  </si>
  <si>
    <t>https://tradingeconomics.com/sweden/full-year-gdp-growth</t>
  </si>
  <si>
    <t>https://tradingeconomics.com/sweden/inflation-gdp-deflator-annual-percent-wb-data.html</t>
  </si>
  <si>
    <t>https://www.statista.com/statistics/375277/gross-domestic-product-gdp-growth-rate-in-sweden/</t>
  </si>
  <si>
    <t>https://eur-lex.europa.eu/legal-content/EN/TXT/PDF/?uri=OJ:C_202500644</t>
  </si>
  <si>
    <t>https://www.riksbank.se/en-gb/statistics/interest-rates-and-exchange-rates/search-annual-and-monthly-average-exchange-rates/?a=Y&amp;y=2019&amp;m=Select+month&amp;s=g130-SEKUSDPMI&amp;fs=3#result-section</t>
  </si>
  <si>
    <t>Exchange rate</t>
  </si>
  <si>
    <t>https://longforecast.com/usd-to-sek</t>
  </si>
  <si>
    <t>https://www.riksgalden.se/en/press-and-publications/</t>
  </si>
  <si>
    <t>https://www.scb.se/en/</t>
  </si>
  <si>
    <t xml:space="preserve">Average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</si>
</sst>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6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20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rgb="FFFFFFFF"/>
      <name val="Calibri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i/>
      <sz val="14"/>
      <color theme="1"/>
      <name val="Calibri"/>
      <family val="2"/>
    </font>
    <font>
      <sz val="12"/>
      <color theme="1"/>
      <name val="Calibri"/>
      <family val="2"/>
    </font>
    <font>
      <b/>
      <sz val="16"/>
      <color theme="0"/>
      <name val="Calibri"/>
      <family val="2"/>
    </font>
    <font>
      <b/>
      <sz val="14"/>
      <color rgb="FFFFFFFF"/>
      <name val="Calibri"/>
      <family val="2"/>
    </font>
    <font>
      <b/>
      <sz val="12"/>
      <color theme="1"/>
      <name val="Calibri"/>
      <family val="2"/>
    </font>
    <font>
      <b/>
      <sz val="14"/>
      <color rgb="FFFF0000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b/>
      <sz val="18"/>
      <color theme="1"/>
      <name val="Calibri"/>
      <family val="2"/>
    </font>
    <font>
      <b/>
      <i/>
      <vertAlign val="superscript"/>
      <sz val="14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u/>
      <sz val="11"/>
      <color theme="10"/>
      <name val="Calibri"/>
      <family val="2"/>
      <scheme val="minor"/>
    </font>
    <font>
      <sz val="14"/>
      <color theme="0"/>
      <name val="Calibri"/>
      <family val="2"/>
    </font>
    <font>
      <sz val="14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84A99"/>
        <bgColor rgb="FF084A99"/>
      </patternFill>
    </fill>
    <fill>
      <patternFill patternType="solid">
        <fgColor rgb="FF0074BE"/>
        <bgColor rgb="FF0074BE"/>
      </patternFill>
    </fill>
    <fill>
      <patternFill patternType="solid">
        <fgColor rgb="FF787878"/>
        <bgColor rgb="FF787878"/>
      </patternFill>
    </fill>
    <fill>
      <patternFill patternType="solid">
        <fgColor rgb="FF0090C3"/>
        <bgColor rgb="FF0090C3"/>
      </patternFill>
    </fill>
    <fill>
      <patternFill patternType="solid">
        <fgColor rgb="FFECECEC"/>
        <bgColor rgb="FFECECEC"/>
      </patternFill>
    </fill>
    <fill>
      <patternFill patternType="solid">
        <fgColor rgb="FFA3D8EB"/>
        <bgColor rgb="FFA3D8EB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3" fillId="0" borderId="0" applyNumberFormat="0" applyFill="0" applyBorder="0" applyAlignment="0" applyProtection="0"/>
  </cellStyleXfs>
  <cellXfs count="96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/>
    <xf numFmtId="0" fontId="3" fillId="3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4" borderId="1" xfId="0" applyFont="1" applyFill="1" applyBorder="1"/>
    <xf numFmtId="0" fontId="6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6" borderId="1" xfId="0" applyFont="1" applyFill="1" applyBorder="1"/>
    <xf numFmtId="0" fontId="8" fillId="6" borderId="1" xfId="0" applyFont="1" applyFill="1" applyBorder="1"/>
    <xf numFmtId="0" fontId="9" fillId="0" borderId="9" xfId="0" applyFont="1" applyBorder="1"/>
    <xf numFmtId="0" fontId="8" fillId="0" borderId="9" xfId="0" applyFont="1" applyBorder="1"/>
    <xf numFmtId="0" fontId="8" fillId="6" borderId="10" xfId="0" applyFont="1" applyFill="1" applyBorder="1"/>
    <xf numFmtId="0" fontId="10" fillId="0" borderId="0" xfId="0" applyFont="1"/>
    <xf numFmtId="0" fontId="9" fillId="0" borderId="0" xfId="0" applyFont="1"/>
    <xf numFmtId="0" fontId="1" fillId="0" borderId="0" xfId="0" applyFont="1"/>
    <xf numFmtId="164" fontId="8" fillId="0" borderId="0" xfId="0" applyNumberFormat="1" applyFont="1"/>
    <xf numFmtId="164" fontId="8" fillId="6" borderId="1" xfId="0" applyNumberFormat="1" applyFont="1" applyFill="1" applyBorder="1"/>
    <xf numFmtId="164" fontId="11" fillId="7" borderId="1" xfId="0" applyNumberFormat="1" applyFont="1" applyFill="1" applyBorder="1"/>
    <xf numFmtId="0" fontId="10" fillId="0" borderId="9" xfId="0" applyFont="1" applyBorder="1"/>
    <xf numFmtId="164" fontId="9" fillId="0" borderId="9" xfId="0" applyNumberFormat="1" applyFont="1" applyBorder="1"/>
    <xf numFmtId="164" fontId="11" fillId="7" borderId="10" xfId="0" applyNumberFormat="1" applyFont="1" applyFill="1" applyBorder="1"/>
    <xf numFmtId="164" fontId="14" fillId="7" borderId="10" xfId="0" applyNumberFormat="1" applyFont="1" applyFill="1" applyBorder="1"/>
    <xf numFmtId="0" fontId="8" fillId="0" borderId="11" xfId="0" applyFont="1" applyBorder="1"/>
    <xf numFmtId="0" fontId="10" fillId="0" borderId="11" xfId="0" applyFont="1" applyBorder="1"/>
    <xf numFmtId="164" fontId="11" fillId="7" borderId="12" xfId="0" applyNumberFormat="1" applyFont="1" applyFill="1" applyBorder="1"/>
    <xf numFmtId="0" fontId="9" fillId="0" borderId="13" xfId="0" applyFont="1" applyBorder="1"/>
    <xf numFmtId="0" fontId="1" fillId="0" borderId="14" xfId="0" applyFont="1" applyBorder="1"/>
    <xf numFmtId="0" fontId="9" fillId="0" borderId="14" xfId="0" applyFont="1" applyBorder="1"/>
    <xf numFmtId="0" fontId="8" fillId="0" borderId="14" xfId="0" applyFont="1" applyBorder="1"/>
    <xf numFmtId="0" fontId="8" fillId="0" borderId="15" xfId="0" applyFont="1" applyBorder="1"/>
    <xf numFmtId="0" fontId="8" fillId="0" borderId="16" xfId="0" applyFont="1" applyBorder="1"/>
    <xf numFmtId="0" fontId="1" fillId="0" borderId="16" xfId="0" applyFont="1" applyBorder="1"/>
    <xf numFmtId="0" fontId="1" fillId="0" borderId="9" xfId="0" applyFont="1" applyBorder="1"/>
    <xf numFmtId="0" fontId="8" fillId="0" borderId="17" xfId="0" applyFont="1" applyBorder="1"/>
    <xf numFmtId="0" fontId="1" fillId="0" borderId="14" xfId="0" applyFont="1" applyBorder="1" applyAlignment="1">
      <alignment horizontal="center"/>
    </xf>
    <xf numFmtId="164" fontId="15" fillId="0" borderId="0" xfId="0" applyNumberFormat="1" applyFont="1"/>
    <xf numFmtId="164" fontId="14" fillId="7" borderId="1" xfId="0" applyNumberFormat="1" applyFont="1" applyFill="1" applyBorder="1"/>
    <xf numFmtId="0" fontId="8" fillId="0" borderId="18" xfId="0" applyFont="1" applyBorder="1"/>
    <xf numFmtId="0" fontId="7" fillId="5" borderId="2" xfId="0" applyFont="1" applyFill="1" applyBorder="1" applyAlignment="1">
      <alignment vertical="center"/>
    </xf>
    <xf numFmtId="0" fontId="16" fillId="0" borderId="13" xfId="0" applyFont="1" applyBorder="1"/>
    <xf numFmtId="0" fontId="16" fillId="0" borderId="14" xfId="0" applyFont="1" applyBorder="1"/>
    <xf numFmtId="0" fontId="17" fillId="0" borderId="14" xfId="0" applyFont="1" applyBorder="1"/>
    <xf numFmtId="0" fontId="17" fillId="0" borderId="15" xfId="0" applyFont="1" applyBorder="1"/>
    <xf numFmtId="0" fontId="17" fillId="0" borderId="19" xfId="0" applyFont="1" applyBorder="1"/>
    <xf numFmtId="0" fontId="17" fillId="0" borderId="0" xfId="0" quotePrefix="1" applyFont="1"/>
    <xf numFmtId="0" fontId="17" fillId="0" borderId="0" xfId="0" applyFont="1"/>
    <xf numFmtId="0" fontId="17" fillId="0" borderId="16" xfId="0" applyFont="1" applyBorder="1"/>
    <xf numFmtId="1" fontId="17" fillId="0" borderId="19" xfId="0" applyNumberFormat="1" applyFont="1" applyBorder="1"/>
    <xf numFmtId="165" fontId="17" fillId="0" borderId="20" xfId="0" applyNumberFormat="1" applyFont="1" applyBorder="1"/>
    <xf numFmtId="0" fontId="17" fillId="0" borderId="9" xfId="0" applyFont="1" applyBorder="1"/>
    <xf numFmtId="0" fontId="17" fillId="0" borderId="17" xfId="0" applyFont="1" applyBorder="1"/>
    <xf numFmtId="165" fontId="8" fillId="0" borderId="14" xfId="0" applyNumberFormat="1" applyFont="1" applyBorder="1"/>
    <xf numFmtId="0" fontId="18" fillId="0" borderId="0" xfId="0" applyFont="1"/>
    <xf numFmtId="164" fontId="9" fillId="6" borderId="10" xfId="0" applyNumberFormat="1" applyFont="1" applyFill="1" applyBorder="1"/>
    <xf numFmtId="0" fontId="9" fillId="0" borderId="1" xfId="0" applyFont="1" applyBorder="1"/>
    <xf numFmtId="0" fontId="8" fillId="0" borderId="1" xfId="0" applyFont="1" applyBorder="1"/>
    <xf numFmtId="0" fontId="8" fillId="0" borderId="10" xfId="0" applyFont="1" applyBorder="1"/>
    <xf numFmtId="164" fontId="8" fillId="0" borderId="1" xfId="0" applyNumberFormat="1" applyFont="1" applyBorder="1"/>
    <xf numFmtId="0" fontId="4" fillId="4" borderId="3" xfId="0" applyFont="1" applyFill="1" applyBorder="1" applyAlignment="1">
      <alignment horizontal="left" vertical="center"/>
    </xf>
    <xf numFmtId="0" fontId="5" fillId="0" borderId="4" xfId="0" applyFont="1" applyBorder="1"/>
    <xf numFmtId="0" fontId="5" fillId="0" borderId="5" xfId="0" applyFont="1" applyBorder="1"/>
    <xf numFmtId="0" fontId="7" fillId="5" borderId="6" xfId="0" applyFont="1" applyFill="1" applyBorder="1" applyAlignment="1">
      <alignment horizontal="center" vertical="center"/>
    </xf>
    <xf numFmtId="0" fontId="5" fillId="0" borderId="7" xfId="0" applyFont="1" applyBorder="1"/>
    <xf numFmtId="0" fontId="5" fillId="0" borderId="8" xfId="0" applyFont="1" applyBorder="1"/>
    <xf numFmtId="0" fontId="12" fillId="4" borderId="3" xfId="0" applyFont="1" applyFill="1" applyBorder="1" applyAlignment="1">
      <alignment horizontal="left" vertical="center"/>
    </xf>
    <xf numFmtId="0" fontId="13" fillId="5" borderId="6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left" vertical="center"/>
    </xf>
    <xf numFmtId="0" fontId="20" fillId="0" borderId="0" xfId="0" applyFont="1"/>
    <xf numFmtId="0" fontId="23" fillId="0" borderId="0" xfId="1"/>
    <xf numFmtId="0" fontId="8" fillId="8" borderId="10" xfId="0" applyFont="1" applyFill="1" applyBorder="1"/>
    <xf numFmtId="0" fontId="9" fillId="8" borderId="0" xfId="0" applyFont="1" applyFill="1"/>
    <xf numFmtId="0" fontId="9" fillId="8" borderId="1" xfId="0" applyFont="1" applyFill="1" applyBorder="1"/>
    <xf numFmtId="164" fontId="8" fillId="8" borderId="0" xfId="0" applyNumberFormat="1" applyFont="1" applyFill="1"/>
    <xf numFmtId="164" fontId="8" fillId="8" borderId="1" xfId="0" applyNumberFormat="1" applyFont="1" applyFill="1" applyBorder="1"/>
    <xf numFmtId="164" fontId="11" fillId="8" borderId="1" xfId="0" applyNumberFormat="1" applyFont="1" applyFill="1" applyBorder="1"/>
    <xf numFmtId="164" fontId="9" fillId="8" borderId="9" xfId="0" applyNumberFormat="1" applyFont="1" applyFill="1" applyBorder="1"/>
    <xf numFmtId="164" fontId="11" fillId="8" borderId="10" xfId="0" applyNumberFormat="1" applyFont="1" applyFill="1" applyBorder="1"/>
    <xf numFmtId="0" fontId="8" fillId="9" borderId="10" xfId="0" applyFont="1" applyFill="1" applyBorder="1"/>
    <xf numFmtId="0" fontId="9" fillId="9" borderId="1" xfId="0" applyFont="1" applyFill="1" applyBorder="1"/>
    <xf numFmtId="0" fontId="0" fillId="9" borderId="0" xfId="0" applyFill="1"/>
    <xf numFmtId="164" fontId="8" fillId="9" borderId="1" xfId="0" applyNumberFormat="1" applyFont="1" applyFill="1" applyBorder="1"/>
    <xf numFmtId="164" fontId="8" fillId="9" borderId="0" xfId="0" applyNumberFormat="1" applyFont="1" applyFill="1"/>
    <xf numFmtId="164" fontId="11" fillId="9" borderId="1" xfId="0" applyNumberFormat="1" applyFont="1" applyFill="1" applyBorder="1"/>
    <xf numFmtId="164" fontId="8" fillId="9" borderId="5" xfId="0" applyNumberFormat="1" applyFont="1" applyFill="1" applyBorder="1"/>
    <xf numFmtId="164" fontId="20" fillId="0" borderId="0" xfId="0" applyNumberFormat="1" applyFont="1"/>
    <xf numFmtId="164" fontId="0" fillId="0" borderId="0" xfId="0" applyNumberFormat="1"/>
    <xf numFmtId="164" fontId="11" fillId="9" borderId="21" xfId="0" applyNumberFormat="1" applyFont="1" applyFill="1" applyBorder="1"/>
    <xf numFmtId="164" fontId="0" fillId="9" borderId="21" xfId="0" applyNumberFormat="1" applyFill="1" applyBorder="1"/>
    <xf numFmtId="164" fontId="24" fillId="0" borderId="0" xfId="0" applyNumberFormat="1" applyFont="1"/>
    <xf numFmtId="164" fontId="25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customschemas.google.com/relationships/workbookmetadata" Target="metadata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Helvetica"/>
              </a:defRPr>
            </a:pPr>
            <a:r>
              <a:rPr lang="en-US" sz="1400" b="1" i="0">
                <a:solidFill>
                  <a:srgbClr val="757575"/>
                </a:solidFill>
                <a:latin typeface="Helvetica"/>
              </a:rPr>
              <a:t>Public Debt Path  
(in percent of GDP)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8883595285678398E-2"/>
          <c:y val="0.13587588300660999"/>
          <c:w val="0.93908243425162496"/>
          <c:h val="0.79014424304684605"/>
        </c:manualLayout>
      </c:layout>
      <c:lineChart>
        <c:grouping val="standard"/>
        <c:varyColors val="0"/>
        <c:ser>
          <c:idx val="0"/>
          <c:order val="0"/>
          <c:tx>
            <c:v>Public debt (% of GDP)</c:v>
          </c:tx>
          <c:spPr>
            <a:ln w="28575" cmpd="sng">
              <a:solidFill>
                <a:srgbClr val="114D9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14D97">
                  <a:alpha val="100000"/>
                </a:srgbClr>
              </a:solidFill>
              <a:ln cmpd="sng">
                <a:solidFill>
                  <a:srgbClr val="114D97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'Debt Dynamics'!$D$9:$J$9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'Debt Dynamics'!$D$21:$J$21</c:f>
              <c:numCache>
                <c:formatCode>0.0</c:formatCode>
                <c:ptCount val="7"/>
                <c:pt idx="0">
                  <c:v>58.095999999999997</c:v>
                </c:pt>
                <c:pt idx="1">
                  <c:v>53.576232854171792</c:v>
                </c:pt>
                <c:pt idx="2">
                  <c:v>49.404161268815095</c:v>
                </c:pt>
                <c:pt idx="3">
                  <c:v>45.553037803437711</c:v>
                </c:pt>
                <c:pt idx="4">
                  <c:v>41.998172638219721</c:v>
                </c:pt>
                <c:pt idx="5">
                  <c:v>38.71677528586504</c:v>
                </c:pt>
                <c:pt idx="6">
                  <c:v>35.687808480205611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3-604C-86ED-92C01FF900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353417"/>
        <c:axId val="457253219"/>
      </c:lineChart>
      <c:catAx>
        <c:axId val="230353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457253219"/>
        <c:crosses val="autoZero"/>
        <c:auto val="1"/>
        <c:lblAlgn val="ctr"/>
        <c:lblOffset val="100"/>
        <c:noMultiLvlLbl val="1"/>
      </c:catAx>
      <c:valAx>
        <c:axId val="457253219"/>
        <c:scaling>
          <c:orientation val="minMax"/>
          <c:max val="7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23035341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9.47956787633948E-2"/>
          <c:y val="0.1491283538076690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Helvetica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Helvetica"/>
              </a:defRPr>
            </a:pPr>
            <a:r>
              <a:rPr lang="en-US" sz="1400" b="1" i="0">
                <a:solidFill>
                  <a:srgbClr val="757575"/>
                </a:solidFill>
                <a:latin typeface="Helvetica"/>
              </a:rPr>
              <a:t>Public Debt Path  
(in percent of GDP)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8883595285678398E-2"/>
          <c:y val="0.13587588300660999"/>
          <c:w val="0.93908243425162496"/>
          <c:h val="0.79014424304684605"/>
        </c:manualLayout>
      </c:layout>
      <c:lineChart>
        <c:grouping val="standard"/>
        <c:varyColors val="0"/>
        <c:ser>
          <c:idx val="0"/>
          <c:order val="0"/>
          <c:tx>
            <c:v>Public debt (% of GDP)</c:v>
          </c:tx>
          <c:spPr>
            <a:ln w="28575" cmpd="sng">
              <a:solidFill>
                <a:srgbClr val="114D9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14D97">
                  <a:alpha val="100000"/>
                </a:srgbClr>
              </a:solidFill>
              <a:ln cmpd="sng">
                <a:solidFill>
                  <a:srgbClr val="114D97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'Stabilizing Debt'!$D$9:$J$9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'Stabilizing Debt'!$D$21:$J$21</c:f>
              <c:numCache>
                <c:formatCode>0.0</c:formatCode>
                <c:ptCount val="7"/>
                <c:pt idx="0">
                  <c:v>58.095999999999997</c:v>
                </c:pt>
                <c:pt idx="1">
                  <c:v>58.095999999999989</c:v>
                </c:pt>
                <c:pt idx="2">
                  <c:v>58.095999999999989</c:v>
                </c:pt>
                <c:pt idx="3">
                  <c:v>58.095999999999989</c:v>
                </c:pt>
                <c:pt idx="4">
                  <c:v>58.095999999999989</c:v>
                </c:pt>
                <c:pt idx="5">
                  <c:v>58.095999999999989</c:v>
                </c:pt>
                <c:pt idx="6">
                  <c:v>58.095999999999989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E1-EE46-A1AF-D7DB12633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067651"/>
        <c:axId val="1724657604"/>
      </c:lineChart>
      <c:catAx>
        <c:axId val="870676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1724657604"/>
        <c:crosses val="autoZero"/>
        <c:auto val="1"/>
        <c:lblAlgn val="ctr"/>
        <c:lblOffset val="100"/>
        <c:noMultiLvlLbl val="1"/>
      </c:catAx>
      <c:valAx>
        <c:axId val="1724657604"/>
        <c:scaling>
          <c:orientation val="minMax"/>
          <c:max val="7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8706765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9.47956787633948E-2"/>
          <c:y val="0.1491283538076690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Helvetica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Helvetica"/>
              </a:defRPr>
            </a:pPr>
            <a:r>
              <a:rPr lang="en-US" sz="1400" b="1" i="0">
                <a:solidFill>
                  <a:srgbClr val="000000"/>
                </a:solidFill>
                <a:latin typeface="Helvetica"/>
              </a:rPr>
              <a:t>Public Debt to GDP - Baseline scenario
  (in percent of GDP)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114D9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14D97">
                  <a:alpha val="100000"/>
                </a:srgbClr>
              </a:solidFill>
              <a:ln cmpd="sng">
                <a:solidFill>
                  <a:srgbClr val="114D97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'Baseline Scenario'!$D$19:$J$19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'Baseline Scenario'!$D$31:$J$31</c:f>
              <c:numCache>
                <c:formatCode>0.0</c:formatCode>
                <c:ptCount val="7"/>
                <c:pt idx="0">
                  <c:v>58.095999999999997</c:v>
                </c:pt>
                <c:pt idx="1">
                  <c:v>58.610850242624885</c:v>
                </c:pt>
                <c:pt idx="2">
                  <c:v>59.033190095997405</c:v>
                </c:pt>
                <c:pt idx="3">
                  <c:v>59.00452946485413</c:v>
                </c:pt>
                <c:pt idx="4">
                  <c:v>58.774624947752976</c:v>
                </c:pt>
                <c:pt idx="5">
                  <c:v>58.672576756416809</c:v>
                </c:pt>
                <c:pt idx="6">
                  <c:v>58.569837616183065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4-4A4F-AC17-5295273D26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042398"/>
        <c:axId val="1516847701"/>
      </c:lineChart>
      <c:catAx>
        <c:axId val="1554042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1516847701"/>
        <c:crosses val="autoZero"/>
        <c:auto val="1"/>
        <c:lblAlgn val="ctr"/>
        <c:lblOffset val="100"/>
        <c:noMultiLvlLbl val="1"/>
      </c:catAx>
      <c:valAx>
        <c:axId val="1516847701"/>
        <c:scaling>
          <c:orientation val="minMax"/>
          <c:max val="62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155404239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Helvetica"/>
              </a:defRPr>
            </a:pPr>
            <a:r>
              <a:rPr lang="en-US" sz="1400" b="0" i="0">
                <a:solidFill>
                  <a:srgbClr val="757575"/>
                </a:solidFill>
                <a:latin typeface="Helvetica"/>
              </a:rPr>
              <a:t>Public Debt Path- Baseline Scenario
  (in percent of GDP)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2.97064187111169E-2"/>
          <c:y val="0.15544537377499601"/>
          <c:w val="0.95666060615701098"/>
          <c:h val="0.77794350196563899"/>
        </c:manualLayout>
      </c:layout>
      <c:lineChart>
        <c:grouping val="standard"/>
        <c:varyColors val="1"/>
        <c:ser>
          <c:idx val="0"/>
          <c:order val="0"/>
          <c:tx>
            <c:v>GDP Growth Shock</c:v>
          </c:tx>
          <c:spPr>
            <a:ln w="28575" cmpd="sng">
              <a:solidFill>
                <a:srgbClr val="0090C1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'Stress Tests'!$D$28:$J$28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'Stress Tests'!$D$40:$J$40</c:f>
              <c:numCache>
                <c:formatCode>0.0</c:formatCode>
                <c:ptCount val="7"/>
                <c:pt idx="0">
                  <c:v>58.095999999999997</c:v>
                </c:pt>
                <c:pt idx="1">
                  <c:v>59.427527073236803</c:v>
                </c:pt>
                <c:pt idx="2">
                  <c:v>60.871910246343084</c:v>
                </c:pt>
                <c:pt idx="3">
                  <c:v>60.851701084014003</c:v>
                </c:pt>
                <c:pt idx="4">
                  <c:v>60.630252065414389</c:v>
                </c:pt>
                <c:pt idx="5">
                  <c:v>60.540767972417186</c:v>
                </c:pt>
                <c:pt idx="6">
                  <c:v>60.450677999643005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C-E148-9E2F-4870D578A4C3}"/>
            </c:ext>
          </c:extLst>
        </c:ser>
        <c:ser>
          <c:idx val="1"/>
          <c:order val="1"/>
          <c:tx>
            <c:v>Interest Rate Shock</c:v>
          </c:tx>
          <c:spPr>
            <a:ln w="28575" cmpd="sng">
              <a:solidFill>
                <a:srgbClr val="FE5F2D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'Stress Tests'!$D$28:$J$28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'Stress Tests'!$D$57:$J$57</c:f>
              <c:numCache>
                <c:formatCode>0.0</c:formatCode>
                <c:ptCount val="7"/>
                <c:pt idx="0">
                  <c:v>58.095999999999997</c:v>
                </c:pt>
                <c:pt idx="1">
                  <c:v>58.610850242624885</c:v>
                </c:pt>
                <c:pt idx="2">
                  <c:v>59.033190095997405</c:v>
                </c:pt>
                <c:pt idx="3">
                  <c:v>59.00452946485413</c:v>
                </c:pt>
                <c:pt idx="4">
                  <c:v>58.774624947752976</c:v>
                </c:pt>
                <c:pt idx="5">
                  <c:v>58.672576756416809</c:v>
                </c:pt>
                <c:pt idx="6">
                  <c:v>58.569837616183065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DC-E148-9E2F-4870D578A4C3}"/>
            </c:ext>
          </c:extLst>
        </c:ser>
        <c:ser>
          <c:idx val="2"/>
          <c:order val="2"/>
          <c:tx>
            <c:v>Primary Balance Shock</c:v>
          </c:tx>
          <c:spPr>
            <a:ln w="28575" cmpd="sng">
              <a:solidFill>
                <a:srgbClr val="98252B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'Stress Tests'!$D$28:$J$28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'Stress Tests'!$D$74:$J$74</c:f>
              <c:numCache>
                <c:formatCode>0.0</c:formatCode>
                <c:ptCount val="7"/>
                <c:pt idx="0">
                  <c:v>58.095999999999997</c:v>
                </c:pt>
                <c:pt idx="1">
                  <c:v>60.610850242624885</c:v>
                </c:pt>
                <c:pt idx="2">
                  <c:v>63.151014094496325</c:v>
                </c:pt>
                <c:pt idx="3">
                  <c:v>63.141280574745785</c:v>
                </c:pt>
                <c:pt idx="4">
                  <c:v>62.930312193544573</c:v>
                </c:pt>
                <c:pt idx="5">
                  <c:v>62.85640137028475</c:v>
                </c:pt>
                <c:pt idx="6">
                  <c:v>62.781990110895862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DC-E148-9E2F-4870D578A4C3}"/>
            </c:ext>
          </c:extLst>
        </c:ser>
        <c:ser>
          <c:idx val="3"/>
          <c:order val="3"/>
          <c:tx>
            <c:v>Exchange Rate Shock</c:v>
          </c:tx>
          <c:spPr>
            <a:ln w="28575" cmpd="sng">
              <a:solidFill>
                <a:srgbClr val="114D97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'Stress Tests'!$D$28:$J$28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'Stress Tests'!$D$91:$J$91</c:f>
              <c:numCache>
                <c:formatCode>0.0</c:formatCode>
                <c:ptCount val="7"/>
                <c:pt idx="0">
                  <c:v>58.095999999999997</c:v>
                </c:pt>
                <c:pt idx="1">
                  <c:v>62.026775899573401</c:v>
                </c:pt>
                <c:pt idx="2">
                  <c:v>62.479558479836861</c:v>
                </c:pt>
                <c:pt idx="3">
                  <c:v>62.466738690440373</c:v>
                </c:pt>
                <c:pt idx="4">
                  <c:v>62.252682568049977</c:v>
                </c:pt>
                <c:pt idx="5">
                  <c:v>62.174183643457148</c:v>
                </c:pt>
                <c:pt idx="6">
                  <c:v>62.095153217573625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DC-E148-9E2F-4870D578A4C3}"/>
            </c:ext>
          </c:extLst>
        </c:ser>
        <c:ser>
          <c:idx val="4"/>
          <c:order val="4"/>
          <c:tx>
            <c:v>Baseline scenario</c:v>
          </c:tx>
          <c:spPr>
            <a:ln w="28575" cmpd="sng">
              <a:solidFill>
                <a:srgbClr val="49A078">
                  <a:alpha val="100000"/>
                </a:srgbClr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'Stress Tests'!$D$28:$J$28</c:f>
              <c:numCache>
                <c:formatCode>General</c:formatCode>
                <c:ptCount val="7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</c:numCache>
            </c:numRef>
          </c:cat>
          <c:val>
            <c:numRef>
              <c:f>'Baseline Scenario'!$D$31:$J$31</c:f>
              <c:numCache>
                <c:formatCode>0.0</c:formatCode>
                <c:ptCount val="7"/>
                <c:pt idx="0">
                  <c:v>58.095999999999997</c:v>
                </c:pt>
                <c:pt idx="1">
                  <c:v>58.610850242624885</c:v>
                </c:pt>
                <c:pt idx="2">
                  <c:v>59.033190095997405</c:v>
                </c:pt>
                <c:pt idx="3">
                  <c:v>59.00452946485413</c:v>
                </c:pt>
                <c:pt idx="4">
                  <c:v>58.774624947752976</c:v>
                </c:pt>
                <c:pt idx="5">
                  <c:v>58.672576756416809</c:v>
                </c:pt>
                <c:pt idx="6">
                  <c:v>58.569837616183065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DC-E148-9E2F-4870D578A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2769276"/>
        <c:axId val="1548460660"/>
      </c:lineChart>
      <c:catAx>
        <c:axId val="9727692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1548460660"/>
        <c:crosses val="autoZero"/>
        <c:auto val="1"/>
        <c:lblAlgn val="ctr"/>
        <c:lblOffset val="100"/>
        <c:noMultiLvlLbl val="1"/>
      </c:catAx>
      <c:valAx>
        <c:axId val="1548460660"/>
        <c:scaling>
          <c:orientation val="minMax"/>
          <c:max val="66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97276927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9.2592725994870145E-2"/>
          <c:y val="0.17761336860558746"/>
        </c:manualLayout>
      </c:layout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Helvetica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Helvetica"/>
              </a:defRPr>
            </a:pPr>
            <a:r>
              <a:rPr lang="en-US" sz="1400" b="1" i="0">
                <a:solidFill>
                  <a:srgbClr val="757575"/>
                </a:solidFill>
                <a:latin typeface="Helvetica"/>
              </a:rPr>
              <a:t>Public Debt Path  
(in percent of GDP)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3.8883595285678398E-2"/>
          <c:y val="0.13587588300660999"/>
          <c:w val="0.93908243425162496"/>
          <c:h val="0.79014424304684605"/>
        </c:manualLayout>
      </c:layout>
      <c:lineChart>
        <c:grouping val="standard"/>
        <c:varyColors val="0"/>
        <c:ser>
          <c:idx val="0"/>
          <c:order val="0"/>
          <c:spPr>
            <a:ln w="28575" cmpd="sng">
              <a:solidFill>
                <a:srgbClr val="114D97">
                  <a:alpha val="100000"/>
                </a:srgbClr>
              </a:solidFill>
            </a:ln>
          </c:spPr>
          <c:marker>
            <c:symbol val="circle"/>
            <c:size val="7"/>
            <c:spPr>
              <a:solidFill>
                <a:srgbClr val="114D97">
                  <a:alpha val="100000"/>
                </a:srgbClr>
              </a:solidFill>
              <a:ln cmpd="sng">
                <a:solidFill>
                  <a:srgbClr val="114D97">
                    <a:alpha val="100000"/>
                  </a:srgbClr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Helvetica"/>
                  </a:defRPr>
                </a:pPr>
                <a:endParaRPr lang="en-UA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'Sweden Debt Dynamics'!$D$9:$L$9</c:f>
              <c:numCache>
                <c:formatCode>General</c:formatCode>
                <c:ptCount val="9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</c:numCache>
            </c:numRef>
          </c:cat>
          <c:val>
            <c:numRef>
              <c:f>'Sweden Debt Dynamics'!$D$21:$L$21</c:f>
              <c:numCache>
                <c:formatCode>0.0</c:formatCode>
                <c:ptCount val="9"/>
                <c:pt idx="0">
                  <c:v>35.479999999999997</c:v>
                </c:pt>
                <c:pt idx="1">
                  <c:v>39.83</c:v>
                </c:pt>
                <c:pt idx="2">
                  <c:v>36.369999999999997</c:v>
                </c:pt>
                <c:pt idx="3">
                  <c:v>32.69</c:v>
                </c:pt>
                <c:pt idx="4">
                  <c:v>41.341034161517271</c:v>
                </c:pt>
                <c:pt idx="5">
                  <c:v>41.859630193692105</c:v>
                </c:pt>
                <c:pt idx="6">
                  <c:v>41.679464470896789</c:v>
                </c:pt>
                <c:pt idx="7">
                  <c:v>41.535839916175597</c:v>
                </c:pt>
                <c:pt idx="8">
                  <c:v>41.437569859922768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79-524E-9D42-CF98960B1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0353417"/>
        <c:axId val="457253219"/>
      </c:lineChart>
      <c:catAx>
        <c:axId val="230353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457253219"/>
        <c:crosses val="autoZero"/>
        <c:auto val="1"/>
        <c:lblAlgn val="ctr"/>
        <c:lblOffset val="100"/>
        <c:noMultiLvlLbl val="1"/>
      </c:catAx>
      <c:valAx>
        <c:axId val="457253219"/>
        <c:scaling>
          <c:orientation val="minMax"/>
          <c:max val="70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A"/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Helvetica"/>
              </a:defRPr>
            </a:pPr>
            <a:endParaRPr lang="en-UA"/>
          </a:p>
        </c:txPr>
        <c:crossAx val="230353417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9.47956787633948E-2"/>
          <c:y val="0.14912835380766901"/>
        </c:manualLayout>
      </c:layout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Helvetica"/>
            </a:defRPr>
          </a:pPr>
          <a:endParaRPr lang="en-UA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6</xdr:row>
      <xdr:rowOff>19050</xdr:rowOff>
    </xdr:from>
    <xdr:ext cx="7591425" cy="3657600"/>
    <xdr:graphicFrame macro="">
      <xdr:nvGraphicFramePr>
        <xdr:cNvPr id="1687213487" name="Chart 1">
          <a:extLst>
            <a:ext uri="{FF2B5EF4-FFF2-40B4-BE49-F238E27FC236}">
              <a16:creationId xmlns:a16="http://schemas.microsoft.com/office/drawing/2014/main" id="{00000000-0008-0000-0000-0000AFD590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2943225</xdr:colOff>
      <xdr:row>22</xdr:row>
      <xdr:rowOff>38100</xdr:rowOff>
    </xdr:from>
    <xdr:ext cx="2981325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3860100" y="3456150"/>
          <a:ext cx="2971800" cy="647700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</xdr:txBody>
    </xdr:sp>
    <xdr:clientData fLocksWithSheet="0"/>
  </xdr:oneCellAnchor>
  <xdr:oneCellAnchor>
    <xdr:from>
      <xdr:col>1</xdr:col>
      <xdr:colOff>2933700</xdr:colOff>
      <xdr:row>26</xdr:row>
      <xdr:rowOff>66675</xdr:rowOff>
    </xdr:from>
    <xdr:ext cx="3000375" cy="723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850575" y="3418050"/>
          <a:ext cx="2990850" cy="723900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</xdr:txBody>
    </xdr:sp>
    <xdr:clientData fLocksWithSheet="0"/>
  </xdr:oneCellAnchor>
  <xdr:oneCellAnchor>
    <xdr:from>
      <xdr:col>1</xdr:col>
      <xdr:colOff>0</xdr:colOff>
      <xdr:row>22</xdr:row>
      <xdr:rowOff>57150</xdr:rowOff>
    </xdr:from>
    <xdr:ext cx="2809875" cy="600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3945825" y="3484725"/>
          <a:ext cx="2800350" cy="590550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</xdr:txBody>
    </xdr:sp>
    <xdr:clientData fLocksWithSheet="0"/>
  </xdr:oneCellAnchor>
  <xdr:oneCellAnchor>
    <xdr:from>
      <xdr:col>1</xdr:col>
      <xdr:colOff>9525</xdr:colOff>
      <xdr:row>26</xdr:row>
      <xdr:rowOff>114300</xdr:rowOff>
    </xdr:from>
    <xdr:ext cx="2790825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3955350" y="3437100"/>
          <a:ext cx="2781300" cy="685800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6</xdr:row>
      <xdr:rowOff>19050</xdr:rowOff>
    </xdr:from>
    <xdr:ext cx="7448550" cy="3790950"/>
    <xdr:graphicFrame macro="">
      <xdr:nvGraphicFramePr>
        <xdr:cNvPr id="325145698" name="Chart 2">
          <a:extLst>
            <a:ext uri="{FF2B5EF4-FFF2-40B4-BE49-F238E27FC236}">
              <a16:creationId xmlns:a16="http://schemas.microsoft.com/office/drawing/2014/main" id="{00000000-0008-0000-0100-000062546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2352675</xdr:colOff>
      <xdr:row>26</xdr:row>
      <xdr:rowOff>85725</xdr:rowOff>
    </xdr:from>
    <xdr:ext cx="342900" cy="19050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 rot="-5400000">
          <a:off x="5255513" y="3608550"/>
          <a:ext cx="180975" cy="342900"/>
        </a:xfrm>
        <a:prstGeom prst="downArrow">
          <a:avLst>
            <a:gd name="adj1" fmla="val 50000"/>
            <a:gd name="adj2" fmla="val 50000"/>
          </a:avLst>
        </a:prstGeom>
        <a:solidFill>
          <a:srgbClr val="114D97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228600</xdr:colOff>
      <xdr:row>25</xdr:row>
      <xdr:rowOff>9525</xdr:rowOff>
    </xdr:from>
    <xdr:ext cx="2247900" cy="65722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226813" y="3456150"/>
          <a:ext cx="2238375" cy="647700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i="1">
              <a:solidFill>
                <a:schemeClr val="dk1"/>
              </a:solidFill>
              <a:latin typeface="Cambria Math"/>
              <a:ea typeface="Cambria Math"/>
              <a:cs typeface="Cambria Math"/>
              <a:sym typeface="Cambria Math"/>
            </a:rPr>
            <a:t>pb</a:t>
          </a:r>
          <a:endParaRPr sz="2000" i="1">
            <a:solidFill>
              <a:schemeClr val="dk1"/>
            </a:solidFill>
            <a:latin typeface="Cambria Math"/>
            <a:ea typeface="Cambria Math"/>
            <a:cs typeface="Cambria Math"/>
            <a:sym typeface="Cambria Math"/>
          </a:endParaRPr>
        </a:p>
      </xdr:txBody>
    </xdr:sp>
    <xdr:clientData fLocksWithSheet="0"/>
  </xdr:oneCellAnchor>
  <xdr:oneCellAnchor>
    <xdr:from>
      <xdr:col>1</xdr:col>
      <xdr:colOff>3048000</xdr:colOff>
      <xdr:row>25</xdr:row>
      <xdr:rowOff>38100</xdr:rowOff>
    </xdr:from>
    <xdr:ext cx="1838325" cy="78105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4431600" y="3394238"/>
          <a:ext cx="1828800" cy="77152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 b="0" i="1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66675</xdr:colOff>
      <xdr:row>5</xdr:row>
      <xdr:rowOff>19050</xdr:rowOff>
    </xdr:from>
    <xdr:ext cx="7248525" cy="3619500"/>
    <xdr:graphicFrame macro="">
      <xdr:nvGraphicFramePr>
        <xdr:cNvPr id="288371398" name="Chart 3">
          <a:extLst>
            <a:ext uri="{FF2B5EF4-FFF2-40B4-BE49-F238E27FC236}">
              <a16:creationId xmlns:a16="http://schemas.microsoft.com/office/drawing/2014/main" id="{00000000-0008-0000-0200-0000C63230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285750</xdr:colOff>
      <xdr:row>4</xdr:row>
      <xdr:rowOff>66675</xdr:rowOff>
    </xdr:from>
    <xdr:ext cx="7610475" cy="3552825"/>
    <xdr:graphicFrame macro="">
      <xdr:nvGraphicFramePr>
        <xdr:cNvPr id="1999550325" name="Chart 4">
          <a:extLst>
            <a:ext uri="{FF2B5EF4-FFF2-40B4-BE49-F238E27FC236}">
              <a16:creationId xmlns:a16="http://schemas.microsoft.com/office/drawing/2014/main" id="{00000000-0008-0000-0300-000075B72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498475</xdr:colOff>
      <xdr:row>6</xdr:row>
      <xdr:rowOff>19050</xdr:rowOff>
    </xdr:from>
    <xdr:ext cx="7591425" cy="3657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9A092-A47B-9B4C-A6F6-F77ECF5E6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3070225</xdr:colOff>
      <xdr:row>26</xdr:row>
      <xdr:rowOff>165100</xdr:rowOff>
    </xdr:from>
    <xdr:ext cx="2981325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43D9C15-FCF8-3741-8426-3A038285A540}"/>
            </a:ext>
          </a:extLst>
        </xdr:cNvPr>
        <xdr:cNvSpPr txBox="1"/>
      </xdr:nvSpPr>
      <xdr:spPr>
        <a:xfrm>
          <a:off x="3349625" y="5803900"/>
          <a:ext cx="2981325" cy="65722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</xdr:txBody>
    </xdr:sp>
    <xdr:clientData fLocksWithSheet="0"/>
  </xdr:oneCellAnchor>
  <xdr:oneCellAnchor>
    <xdr:from>
      <xdr:col>1</xdr:col>
      <xdr:colOff>3086100</xdr:colOff>
      <xdr:row>22</xdr:row>
      <xdr:rowOff>53975</xdr:rowOff>
    </xdr:from>
    <xdr:ext cx="3000375" cy="7239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3A2705E-289E-C549-949F-9F4CB3367CF2}"/>
            </a:ext>
          </a:extLst>
        </xdr:cNvPr>
        <xdr:cNvSpPr txBox="1"/>
      </xdr:nvSpPr>
      <xdr:spPr>
        <a:xfrm>
          <a:off x="3365500" y="4981575"/>
          <a:ext cx="3000375" cy="723900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</xdr:txBody>
    </xdr:sp>
    <xdr:clientData fLocksWithSheet="0"/>
  </xdr:oneCellAnchor>
  <xdr:oneCellAnchor>
    <xdr:from>
      <xdr:col>1</xdr:col>
      <xdr:colOff>0</xdr:colOff>
      <xdr:row>22</xdr:row>
      <xdr:rowOff>57150</xdr:rowOff>
    </xdr:from>
    <xdr:ext cx="2809875" cy="6000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CC609450-CD76-1B4F-9E9E-998ECF36E0FB}"/>
            </a:ext>
          </a:extLst>
        </xdr:cNvPr>
        <xdr:cNvSpPr txBox="1"/>
      </xdr:nvSpPr>
      <xdr:spPr>
        <a:xfrm>
          <a:off x="279400" y="4984750"/>
          <a:ext cx="2809875" cy="60007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2000"/>
        </a:p>
      </xdr:txBody>
    </xdr:sp>
    <xdr:clientData fLocksWithSheet="0"/>
  </xdr:oneCellAnchor>
  <xdr:oneCellAnchor>
    <xdr:from>
      <xdr:col>1</xdr:col>
      <xdr:colOff>9525</xdr:colOff>
      <xdr:row>26</xdr:row>
      <xdr:rowOff>114300</xdr:rowOff>
    </xdr:from>
    <xdr:ext cx="2790825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771AC09D-1949-A24E-80AD-E27C2D5EC169}"/>
            </a:ext>
          </a:extLst>
        </xdr:cNvPr>
        <xdr:cNvSpPr txBox="1"/>
      </xdr:nvSpPr>
      <xdr:spPr>
        <a:xfrm>
          <a:off x="288925" y="5753100"/>
          <a:ext cx="2790825" cy="695325"/>
        </a:xfrm>
        <a:prstGeom prst="rect">
          <a:avLst/>
        </a:prstGeom>
        <a:solidFill>
          <a:srgbClr val="D8D8D8"/>
        </a:solidFill>
        <a:ln>
          <a:noFill/>
        </a:ln>
      </xdr:spPr>
      <xdr:txBody>
        <a:bodyPr spcFirstLastPara="1" wrap="square" lIns="0" tIns="0" rIns="0" bIns="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8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Current/ecubopLate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PERUMF9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DATA/PA/CHL/SECTORS/BOP/Bop02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WIN/TEMP/MFLOW9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gstisman/Downloads/MDSx%20Database%20February%20(1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milkov/Desktop/MDSx%20Database/MDSx%20Databas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ICE/ICE_mission%20SBA1%20may09/background%20notes/Tables%20background%20not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data/wrs/xl97/system/WRS97TAB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DATA/SV/VULNERABILITIES/VULNERABILITIES%202005-09/working-files/Master%20Cross%20Country%20MS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Colombia/WEO/GEEColombiaOct200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Users/ipetrova/AppData/Local/Microsoft/Windows/Temporary%20Internet%20Files/Content.Outlook/0CUNTCM9/m&#225;na&#240;aryfirlit%20(17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users1/ipetrova/My%20Documents/FAD/Iceland/ISL%20Data%20from%20Authorities/Fjarsysla/m&#225;na&#240;aryfirlitJune2010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WINDOWS/TEMP/CRI-BOP-0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DATA/CA/CRI/EXTERNAL/Output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DATA/CA/CRI/Dbase/Dinput/CRI-INPUT-ABOP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DATA/CA/CRI/EXTERNAL/Output/Other-2002/CRI-INPUT-ABOP-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CPLAZO/IMAE/PR/INF1-ALEX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/DATA/S1/ECU/SECTORS/External/ecuredtab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4/users4/data4/users2/Users/ipetrova/AppData/Local/Microsoft/Windows/Temporary%20Internet%20Files/Content.Outlook/0CUNTCM9/m&#225;na&#240;aryfirlit%20(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DebtM"/>
      <sheetName val="finreq-m02"/>
      <sheetName val="BoP-m02"/>
      <sheetName val="Input"/>
      <sheetName val="Trade"/>
      <sheetName val="SER"/>
      <sheetName val="Input2"/>
      <sheetName val="DebtSer"/>
      <sheetName val="CAP"/>
      <sheetName val="RES"/>
      <sheetName val="BoP"/>
      <sheetName val="BoP M-T"/>
      <sheetName val="FinReqM-T"/>
      <sheetName val="DEBT"/>
      <sheetName val="Vulnerability Indicators"/>
      <sheetName val="BOP Main"/>
      <sheetName val="BOP Alt"/>
      <sheetName val="month-01"/>
      <sheetName val="FINREQ"/>
      <sheetName val="monthCAP"/>
      <sheetName val="OUTPUT"/>
      <sheetName val="finproj"/>
      <sheetName val="PC+Bond"/>
      <sheetName val="arr"/>
      <sheetName val="PC"/>
      <sheetName val="M-Ttab"/>
      <sheetName val="BondFin"/>
      <sheetName val="PCscen"/>
      <sheetName val="BoP med-t"/>
      <sheetName val="gaps"/>
      <sheetName val="month2000"/>
      <sheetName val="WEO"/>
      <sheetName val="SR_99"/>
      <sheetName val="BoPmonth99"/>
      <sheetName val="Chart1"/>
      <sheetName val="WEOQ5"/>
      <sheetName val="WEOQ6"/>
      <sheetName val="WEOQ7"/>
      <sheetName val="xxweolinksxx"/>
      <sheetName val="correlations with EMB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Raw Data"/>
      <sheetName val="Quarterly Raw Data"/>
      <sheetName val="WEO Raw Data"/>
      <sheetName val="Annual Assumptions"/>
      <sheetName val="Quarterly Assumptions"/>
      <sheetName val="Annual MacroFlow"/>
      <sheetName val="Quarterly MacroFlow"/>
      <sheetName val="Annual Tables"/>
      <sheetName val="SEI Table"/>
      <sheetName val="Basic Data"/>
      <sheetName val="Program MFlows97"/>
      <sheetName val="WEO Submission Sheet"/>
      <sheetName val="SEI Chart"/>
      <sheetName val="Fiscal Chart"/>
      <sheetName val="Money Chart"/>
      <sheetName val="Macros Import"/>
      <sheetName val="Macros Pri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ecute Macros"/>
      <sheetName val="Annual Transfer"/>
      <sheetName val="Quarterly Transfer"/>
      <sheetName val="Annual Assumptions"/>
      <sheetName val="Quarterly Assumptions"/>
      <sheetName val="Annual MacroFlow"/>
      <sheetName val="Quarterly MacroFlow"/>
      <sheetName val="Annual Tables"/>
      <sheetName val="MFLOW96"/>
      <sheetName val="F1data"/>
      <sheetName val="F2data"/>
      <sheetName val="Execute_Macros"/>
      <sheetName val="Annual_Transfer"/>
      <sheetName val="Quarterly_Transfer"/>
      <sheetName val="Annual_Assumptions"/>
      <sheetName val="Quarterly_Assumptions"/>
      <sheetName val="Annual_MacroFlow"/>
      <sheetName val="Quarterly_MacroFlow"/>
      <sheetName val="Annual_Tables"/>
      <sheetName val="#REF"/>
      <sheetName val="MFLOW96.XLS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Data List Real Sector"/>
      <sheetName val="Real Sector Data (Q)"/>
      <sheetName val="Real Sector Data (A)"/>
      <sheetName val="Data List Prices&amp;Money"/>
      <sheetName val="Prices&amp;Money Data (Q)"/>
      <sheetName val="Prices&amp;Money Data (A)"/>
      <sheetName val="Data List Fiscal Sector"/>
      <sheetName val="Fiscal Sector Data (A)"/>
      <sheetName val="Data List External Sector"/>
      <sheetName val="External Sector Data (Q)"/>
      <sheetName val="External Sector Data (A)"/>
      <sheetName val="Data List Financial Sector"/>
      <sheetName val="Financial Sector Data (Q)"/>
      <sheetName val="Data List Mod 1&amp;2&amp;3"/>
      <sheetName val="Data-In (Q) Mod 1&amp;2&amp;3"/>
      <sheetName val="Data-In (A) Mod 1&amp;2&amp;3"/>
      <sheetName val="Data List Mod 4"/>
      <sheetName val="Data-In (Q) Mod 4"/>
      <sheetName val="Data-In (A) Mod 4"/>
      <sheetName val="Data List Mod 5"/>
      <sheetName val="Data-In (Q) Mod 5"/>
      <sheetName val="Data List Mod 6"/>
      <sheetName val="Data-In Mod 6"/>
      <sheetName val="Data List Mod 7&amp;8"/>
      <sheetName val="Data-In (A) Mod 7&amp;8"/>
      <sheetName val="Data List Mod 9&amp;10&amp;11"/>
      <sheetName val="Data-In (Q) Mod 9&amp;10&amp;11"/>
      <sheetName val="Data-In (A) Mod 9&amp;10&amp;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Workbook Flowchart"/>
      <sheetName val="Real Sector Data List"/>
      <sheetName val="Real Sector Data In (Q)"/>
      <sheetName val="Real Sector Data In (A)"/>
      <sheetName val="Prices Data List"/>
      <sheetName val="Prices Data In (Q)"/>
      <sheetName val="Prices Data (M)"/>
      <sheetName val="Prices Data In (A)"/>
      <sheetName val="Fiscal Data List"/>
      <sheetName val="Fiscal Data In (Q)"/>
      <sheetName val="Fiscal Data In (A)"/>
      <sheetName val="BOP Data List"/>
      <sheetName val="BOP Data In (Q)"/>
      <sheetName val="BOP Data In (A)"/>
      <sheetName val="Data List Mod 1"/>
      <sheetName val="Mod 1 Data In (Q)"/>
      <sheetName val="Mod 1 Data In (A)"/>
      <sheetName val="Data List Mod 2"/>
      <sheetName val="Mod 2 Data In (Q)"/>
      <sheetName val="Mod 2 Data In (A)"/>
      <sheetName val="Data List Mod 3"/>
      <sheetName val="Mod 3 Data In (Q)"/>
      <sheetName val="Mod 3 Data In (A)"/>
      <sheetName val="Data List Mod 7"/>
      <sheetName val="Mod 7 Data In (A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m GS OECD countries"/>
      <sheetName val="VAT rates OECD Countries"/>
    </sheetNames>
    <sheetDataSet>
      <sheetData sheetId="0" refreshError="1"/>
      <sheetData sheetId="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6"/>
      <sheetName val="Q5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untry name lookup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rrent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N_HMB_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N_MAN_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Priv.Cap)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(Priv.Cap)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ATA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9"/>
      <sheetName val="Chart2"/>
      <sheetName val="Chart3"/>
      <sheetName val="Chart1"/>
      <sheetName val="BOP-RED40"/>
      <sheetName val="RED41"/>
      <sheetName val="RED42"/>
      <sheetName val="RED43"/>
      <sheetName val="RED44"/>
      <sheetName val="RED45"/>
      <sheetName val="RED46"/>
      <sheetName val="RED47"/>
      <sheetName val="RED48"/>
      <sheetName val="RED49"/>
      <sheetName val="RED51"/>
      <sheetName val="RED50"/>
      <sheetName val="Chart4"/>
      <sheetName val="Chart5"/>
      <sheetName val="Chart6"/>
      <sheetName val="Chart7"/>
      <sheetName val="Chart8"/>
      <sheetName val="Sheet1"/>
      <sheetName val="#REF"/>
      <sheetName val="Table3"/>
      <sheetName val="IMATA"/>
      <sheetName val="Dsrv"/>
      <sheetName val="Dboj"/>
      <sheetName val="Dgg"/>
      <sheetName val="Dgo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gsun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ksgalden.se/en/press-and-publications/" TargetMode="External"/><Relationship Id="rId3" Type="http://schemas.openxmlformats.org/officeDocument/2006/relationships/hyperlink" Target="https://tradingeconomics.com/sweden/inflation-gdp-deflator-annual-percent-wb-data.html" TargetMode="External"/><Relationship Id="rId7" Type="http://schemas.openxmlformats.org/officeDocument/2006/relationships/hyperlink" Target="https://longforecast.com/usd-to-sek" TargetMode="External"/><Relationship Id="rId12" Type="http://schemas.openxmlformats.org/officeDocument/2006/relationships/comments" Target="../comments1.xml"/><Relationship Id="rId2" Type="http://schemas.openxmlformats.org/officeDocument/2006/relationships/hyperlink" Target="https://tradingeconomics.com/sweden/full-year-gdp-growth" TargetMode="External"/><Relationship Id="rId1" Type="http://schemas.openxmlformats.org/officeDocument/2006/relationships/hyperlink" Target="https://www.reuters.com/markets/rates-bonds/swedens-riksbank-seen-making-half-percentage-point-rate-cut-2024-11-04/" TargetMode="External"/><Relationship Id="rId6" Type="http://schemas.openxmlformats.org/officeDocument/2006/relationships/hyperlink" Target="https://www.riksbank.se/en-gb/statistics/interest-rates-and-exchange-rates/search-annual-and-monthly-average-exchange-rates/?a=Y&amp;y=2019&amp;m=Select+month&amp;s=g130-SEKUSDPMI&amp;fs=3" TargetMode="External"/><Relationship Id="rId11" Type="http://schemas.openxmlformats.org/officeDocument/2006/relationships/vmlDrawing" Target="../drawings/vmlDrawing1.vml"/><Relationship Id="rId5" Type="http://schemas.openxmlformats.org/officeDocument/2006/relationships/hyperlink" Target="https://eur-lex.europa.eu/legal-content/EN/TXT/PDF/?uri=OJ:C_202500644" TargetMode="External"/><Relationship Id="rId10" Type="http://schemas.openxmlformats.org/officeDocument/2006/relationships/drawing" Target="../drawings/drawing5.xml"/><Relationship Id="rId4" Type="http://schemas.openxmlformats.org/officeDocument/2006/relationships/hyperlink" Target="https://www.statista.com/statistics/375277/gross-domestic-product-gdp-growth-rate-in-sweden/" TargetMode="External"/><Relationship Id="rId9" Type="http://schemas.openxmlformats.org/officeDocument/2006/relationships/hyperlink" Target="https://www.scb.se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4E79"/>
  </sheetPr>
  <dimension ref="A1:AD1000"/>
  <sheetViews>
    <sheetView showGridLines="0" workbookViewId="0">
      <selection activeCell="E19" sqref="E19"/>
    </sheetView>
  </sheetViews>
  <sheetFormatPr baseColWidth="10" defaultColWidth="14.5" defaultRowHeight="15" customHeight="1" x14ac:dyDescent="0.2"/>
  <cols>
    <col min="1" max="1" width="3.6640625" customWidth="1"/>
    <col min="2" max="2" width="55.5" customWidth="1"/>
    <col min="3" max="3" width="5.6640625" customWidth="1"/>
    <col min="4" max="4" width="10" customWidth="1"/>
    <col min="5" max="5" width="10.1640625" customWidth="1"/>
    <col min="6" max="6" width="9" customWidth="1"/>
    <col min="7" max="7" width="9.1640625" customWidth="1"/>
    <col min="8" max="8" width="9.83203125" customWidth="1"/>
    <col min="9" max="9" width="10.1640625" customWidth="1"/>
    <col min="10" max="10" width="10.5" customWidth="1"/>
    <col min="11" max="11" width="4.1640625" customWidth="1"/>
    <col min="12" max="16" width="8.83203125" customWidth="1"/>
    <col min="17" max="17" width="9.33203125" customWidth="1"/>
    <col min="18" max="18" width="9.5" customWidth="1"/>
    <col min="19" max="30" width="8.83203125" customWidth="1"/>
  </cols>
  <sheetData>
    <row r="1" spans="1:30" ht="30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3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 x14ac:dyDescent="0.2">
      <c r="E3" s="7"/>
      <c r="F3" s="7"/>
      <c r="G3" s="7"/>
      <c r="H3" s="7"/>
      <c r="I3" s="7"/>
      <c r="J3" s="7"/>
      <c r="K3" s="7"/>
      <c r="L3" s="7"/>
      <c r="M3" s="7"/>
      <c r="N3" s="7"/>
      <c r="O3" s="7"/>
      <c r="W3" s="8"/>
    </row>
    <row r="4" spans="1:30" ht="22.5" customHeight="1" x14ac:dyDescent="0.2">
      <c r="B4" s="64" t="s">
        <v>1</v>
      </c>
      <c r="C4" s="65"/>
      <c r="D4" s="65"/>
      <c r="E4" s="65"/>
      <c r="F4" s="65"/>
      <c r="G4" s="65"/>
      <c r="H4" s="65"/>
      <c r="I4" s="65"/>
      <c r="J4" s="6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22.5" customHeight="1" x14ac:dyDescent="0.2"/>
    <row r="6" spans="1:30" ht="14.25" customHeight="1" x14ac:dyDescent="0.25">
      <c r="B6" s="10"/>
    </row>
    <row r="7" spans="1:30" ht="14.25" customHeight="1" x14ac:dyDescent="0.2">
      <c r="B7" s="67" t="s">
        <v>2</v>
      </c>
      <c r="C7" s="68"/>
      <c r="D7" s="68"/>
      <c r="E7" s="68"/>
      <c r="F7" s="68"/>
      <c r="G7" s="68"/>
      <c r="H7" s="68"/>
      <c r="I7" s="68"/>
      <c r="J7" s="69"/>
    </row>
    <row r="8" spans="1:30" ht="14.25" customHeight="1" x14ac:dyDescent="0.25">
      <c r="B8" s="11"/>
      <c r="C8" s="11"/>
      <c r="D8" s="12" t="s">
        <v>3</v>
      </c>
      <c r="E8" s="13"/>
      <c r="F8" s="13"/>
      <c r="G8" s="13" t="s">
        <v>4</v>
      </c>
      <c r="H8" s="14"/>
      <c r="I8" s="14"/>
      <c r="J8" s="14"/>
    </row>
    <row r="9" spans="1:30" ht="14.25" customHeight="1" x14ac:dyDescent="0.25">
      <c r="B9" s="15" t="s">
        <v>5</v>
      </c>
      <c r="C9" s="16"/>
      <c r="D9" s="16">
        <v>2016</v>
      </c>
      <c r="E9" s="17">
        <v>2017</v>
      </c>
      <c r="F9" s="17">
        <v>2018</v>
      </c>
      <c r="G9" s="17">
        <v>2019</v>
      </c>
      <c r="H9" s="17">
        <v>2020</v>
      </c>
      <c r="I9" s="17">
        <v>2021</v>
      </c>
      <c r="J9" s="17">
        <v>2022</v>
      </c>
    </row>
    <row r="10" spans="1:30" ht="14.25" customHeight="1" x14ac:dyDescent="0.25">
      <c r="B10" s="18"/>
      <c r="C10" s="11"/>
      <c r="D10" s="19"/>
      <c r="E10" s="13"/>
      <c r="F10" s="13"/>
      <c r="G10" s="13"/>
      <c r="H10" s="13"/>
      <c r="I10" s="13"/>
      <c r="J10" s="13"/>
      <c r="Q10" s="20"/>
    </row>
    <row r="11" spans="1:30" ht="14.25" customHeight="1" x14ac:dyDescent="0.25">
      <c r="B11" s="11" t="s">
        <v>6</v>
      </c>
      <c r="C11" s="18" t="s">
        <v>7</v>
      </c>
      <c r="D11" s="21">
        <v>2.3023979498444147</v>
      </c>
      <c r="E11" s="22">
        <f t="shared" ref="E11:J11" si="0">D11</f>
        <v>2.3023979498444147</v>
      </c>
      <c r="F11" s="22">
        <f t="shared" si="0"/>
        <v>2.3023979498444147</v>
      </c>
      <c r="G11" s="22">
        <f t="shared" si="0"/>
        <v>2.3023979498444147</v>
      </c>
      <c r="H11" s="22">
        <f t="shared" si="0"/>
        <v>2.3023979498444147</v>
      </c>
      <c r="I11" s="22">
        <f t="shared" si="0"/>
        <v>2.3023979498444147</v>
      </c>
      <c r="J11" s="22">
        <f t="shared" si="0"/>
        <v>2.3023979498444147</v>
      </c>
    </row>
    <row r="12" spans="1:30" ht="17.25" customHeight="1" x14ac:dyDescent="0.25">
      <c r="B12" s="11" t="s">
        <v>8</v>
      </c>
      <c r="C12" s="18" t="s">
        <v>9</v>
      </c>
      <c r="D12" s="21">
        <v>6.8796798812804747</v>
      </c>
      <c r="E12" s="22">
        <f t="shared" ref="E12:J12" si="1">D12</f>
        <v>6.8796798812804747</v>
      </c>
      <c r="F12" s="22">
        <f t="shared" si="1"/>
        <v>6.8796798812804747</v>
      </c>
      <c r="G12" s="22">
        <f t="shared" si="1"/>
        <v>6.8796798812804747</v>
      </c>
      <c r="H12" s="22">
        <f t="shared" si="1"/>
        <v>6.8796798812804747</v>
      </c>
      <c r="I12" s="22">
        <f t="shared" si="1"/>
        <v>6.8796798812804747</v>
      </c>
      <c r="J12" s="22">
        <f t="shared" si="1"/>
        <v>6.8796798812804747</v>
      </c>
    </row>
    <row r="13" spans="1:30" ht="18.75" customHeight="1" x14ac:dyDescent="0.25">
      <c r="B13" s="11" t="s">
        <v>10</v>
      </c>
      <c r="C13" s="18" t="s">
        <v>11</v>
      </c>
      <c r="D13" s="21">
        <v>13.64</v>
      </c>
      <c r="E13" s="22">
        <f t="shared" ref="E13:J13" si="2">D13</f>
        <v>13.64</v>
      </c>
      <c r="F13" s="22">
        <f t="shared" si="2"/>
        <v>13.64</v>
      </c>
      <c r="G13" s="22">
        <f t="shared" si="2"/>
        <v>13.64</v>
      </c>
      <c r="H13" s="22">
        <f t="shared" si="2"/>
        <v>13.64</v>
      </c>
      <c r="I13" s="22">
        <f t="shared" si="2"/>
        <v>13.64</v>
      </c>
      <c r="J13" s="22">
        <f t="shared" si="2"/>
        <v>13.64</v>
      </c>
    </row>
    <row r="14" spans="1:30" ht="20.25" customHeight="1" x14ac:dyDescent="0.25">
      <c r="B14" s="11" t="s">
        <v>12</v>
      </c>
      <c r="C14" s="18" t="s">
        <v>13</v>
      </c>
      <c r="D14" s="21">
        <v>5.3251738974542846</v>
      </c>
      <c r="E14" s="22">
        <f t="shared" ref="E14:J14" si="3">D14</f>
        <v>5.3251738974542846</v>
      </c>
      <c r="F14" s="22">
        <f t="shared" si="3"/>
        <v>5.3251738974542846</v>
      </c>
      <c r="G14" s="22">
        <f t="shared" si="3"/>
        <v>5.3251738974542846</v>
      </c>
      <c r="H14" s="22">
        <f t="shared" si="3"/>
        <v>5.3251738974542846</v>
      </c>
      <c r="I14" s="22">
        <f t="shared" si="3"/>
        <v>5.3251738974542846</v>
      </c>
      <c r="J14" s="22">
        <f t="shared" si="3"/>
        <v>5.3251738974542846</v>
      </c>
    </row>
    <row r="15" spans="1:30" ht="19.5" customHeight="1" x14ac:dyDescent="0.25">
      <c r="B15" s="11" t="s">
        <v>14</v>
      </c>
      <c r="C15" s="18" t="s">
        <v>15</v>
      </c>
      <c r="D15" s="21">
        <v>20.485862900648023</v>
      </c>
      <c r="E15" s="22">
        <v>3</v>
      </c>
      <c r="F15" s="22">
        <f t="shared" ref="F15:J15" si="4">E15</f>
        <v>3</v>
      </c>
      <c r="G15" s="22">
        <f t="shared" si="4"/>
        <v>3</v>
      </c>
      <c r="H15" s="22">
        <f t="shared" si="4"/>
        <v>3</v>
      </c>
      <c r="I15" s="22">
        <f t="shared" si="4"/>
        <v>3</v>
      </c>
      <c r="J15" s="22">
        <f t="shared" si="4"/>
        <v>3</v>
      </c>
    </row>
    <row r="16" spans="1:30" ht="19.5" customHeight="1" x14ac:dyDescent="0.25">
      <c r="B16" s="11" t="s">
        <v>16</v>
      </c>
      <c r="C16" s="18" t="s">
        <v>17</v>
      </c>
      <c r="D16" s="21">
        <v>27</v>
      </c>
      <c r="E16" s="22">
        <f t="shared" ref="E16:J17" si="5">D16</f>
        <v>27</v>
      </c>
      <c r="F16" s="22">
        <f t="shared" si="5"/>
        <v>27</v>
      </c>
      <c r="G16" s="22">
        <f t="shared" si="5"/>
        <v>27</v>
      </c>
      <c r="H16" s="22">
        <f t="shared" si="5"/>
        <v>27</v>
      </c>
      <c r="I16" s="22">
        <f t="shared" si="5"/>
        <v>27</v>
      </c>
      <c r="J16" s="22">
        <f t="shared" si="5"/>
        <v>27</v>
      </c>
    </row>
    <row r="17" spans="2:10" ht="19.5" customHeight="1" x14ac:dyDescent="0.25">
      <c r="B17" s="11" t="s">
        <v>18</v>
      </c>
      <c r="C17" s="18" t="s">
        <v>19</v>
      </c>
      <c r="D17" s="21">
        <v>2.1678296937479136</v>
      </c>
      <c r="E17" s="23">
        <f>((1+E12%)/(1+E13%)-1)*100</f>
        <v>-5.9488913399503236</v>
      </c>
      <c r="F17" s="23">
        <f t="shared" si="5"/>
        <v>-5.9488913399503236</v>
      </c>
      <c r="G17" s="23">
        <f t="shared" si="5"/>
        <v>-5.9488913399503236</v>
      </c>
      <c r="H17" s="23">
        <f t="shared" si="5"/>
        <v>-5.9488913399503236</v>
      </c>
      <c r="I17" s="23">
        <f t="shared" si="5"/>
        <v>-5.9488913399503236</v>
      </c>
      <c r="J17" s="23">
        <f t="shared" si="5"/>
        <v>-5.9488913399503236</v>
      </c>
    </row>
    <row r="18" spans="2:10" ht="19.5" customHeight="1" x14ac:dyDescent="0.25">
      <c r="B18" s="11" t="s">
        <v>20</v>
      </c>
      <c r="C18" s="18" t="s">
        <v>21</v>
      </c>
      <c r="D18" s="21">
        <v>21.3074017469268</v>
      </c>
      <c r="E18" s="23">
        <f>(((1+E14%)*(1+E15%))/(1+E13%)-1)*100</f>
        <v>-4.5363172171965065</v>
      </c>
      <c r="F18" s="23">
        <f t="shared" ref="F18:J18" si="6">(((1+F14%)*(1+F15%))/(1+F13%)-1)*100</f>
        <v>-4.5363172171965065</v>
      </c>
      <c r="G18" s="23">
        <f t="shared" si="6"/>
        <v>-4.5363172171965065</v>
      </c>
      <c r="H18" s="23">
        <f t="shared" si="6"/>
        <v>-4.5363172171965065</v>
      </c>
      <c r="I18" s="23">
        <f t="shared" si="6"/>
        <v>-4.5363172171965065</v>
      </c>
      <c r="J18" s="23">
        <f t="shared" si="6"/>
        <v>-4.5363172171965065</v>
      </c>
    </row>
    <row r="19" spans="2:10" ht="19.5" customHeight="1" x14ac:dyDescent="0.25">
      <c r="B19" s="11" t="s">
        <v>22</v>
      </c>
      <c r="C19" s="18" t="s">
        <v>23</v>
      </c>
      <c r="D19" s="21">
        <v>7.3355141481062134</v>
      </c>
      <c r="E19" s="23">
        <f>(D16%*E18%+(1-D16%)*E17%)*100</f>
        <v>-5.5674963268067934</v>
      </c>
      <c r="F19" s="23">
        <f t="shared" ref="F19:J19" si="7">(E16%*F18%+(1-E16%)*F17%)*100</f>
        <v>-5.5674963268067934</v>
      </c>
      <c r="G19" s="23">
        <f t="shared" si="7"/>
        <v>-5.5674963268067934</v>
      </c>
      <c r="H19" s="23">
        <f t="shared" si="7"/>
        <v>-5.5674963268067934</v>
      </c>
      <c r="I19" s="23">
        <f t="shared" si="7"/>
        <v>-5.5674963268067934</v>
      </c>
      <c r="J19" s="23">
        <f t="shared" si="7"/>
        <v>-5.5674963268067934</v>
      </c>
    </row>
    <row r="20" spans="2:10" ht="14.25" customHeight="1" x14ac:dyDescent="0.25">
      <c r="B20" s="11" t="s">
        <v>24</v>
      </c>
      <c r="C20" s="18" t="s">
        <v>25</v>
      </c>
      <c r="D20" s="21">
        <v>5.0572023730628884E-2</v>
      </c>
      <c r="E20" s="22">
        <f t="shared" ref="E20:J20" si="8">D20</f>
        <v>5.0572023730628884E-2</v>
      </c>
      <c r="F20" s="22">
        <f t="shared" si="8"/>
        <v>5.0572023730628884E-2</v>
      </c>
      <c r="G20" s="22">
        <f t="shared" si="8"/>
        <v>5.0572023730628884E-2</v>
      </c>
      <c r="H20" s="22">
        <f t="shared" si="8"/>
        <v>5.0572023730628884E-2</v>
      </c>
      <c r="I20" s="22">
        <f t="shared" si="8"/>
        <v>5.0572023730628884E-2</v>
      </c>
      <c r="J20" s="22">
        <f t="shared" si="8"/>
        <v>5.0572023730628884E-2</v>
      </c>
    </row>
    <row r="21" spans="2:10" ht="14.25" customHeight="1" x14ac:dyDescent="0.25">
      <c r="B21" s="15" t="s">
        <v>26</v>
      </c>
      <c r="C21" s="24" t="s">
        <v>27</v>
      </c>
      <c r="D21" s="25">
        <v>58.095999999999997</v>
      </c>
      <c r="E21" s="26">
        <f>((1+E19%)/(1+E11%)*D21%-E20%)*100</f>
        <v>53.576232854171792</v>
      </c>
      <c r="F21" s="26">
        <f t="shared" ref="F21:J21" si="9">((1+F19%)/(1+F11%)*E21%-F20%)*100</f>
        <v>49.404161268815095</v>
      </c>
      <c r="G21" s="26">
        <f t="shared" si="9"/>
        <v>45.553037803437711</v>
      </c>
      <c r="H21" s="26">
        <f t="shared" si="9"/>
        <v>41.998172638219721</v>
      </c>
      <c r="I21" s="26">
        <f t="shared" si="9"/>
        <v>38.71677528586504</v>
      </c>
      <c r="J21" s="26">
        <f t="shared" si="9"/>
        <v>35.687808480205611</v>
      </c>
    </row>
    <row r="22" spans="2:10" ht="14.25" customHeight="1" x14ac:dyDescent="0.25">
      <c r="B22" s="19"/>
      <c r="C22" s="18"/>
      <c r="D22" s="21"/>
      <c r="E22" s="21"/>
      <c r="F22" s="21"/>
      <c r="G22" s="21"/>
      <c r="H22" s="21"/>
      <c r="I22" s="21"/>
      <c r="J22" s="21"/>
    </row>
    <row r="23" spans="2:10" ht="14.25" customHeight="1" x14ac:dyDescent="0.25">
      <c r="B23" s="11"/>
      <c r="C23" s="11"/>
      <c r="D23" s="11"/>
      <c r="E23" s="11"/>
      <c r="F23" s="11"/>
      <c r="G23" s="11"/>
      <c r="H23" s="11"/>
      <c r="I23" s="11"/>
      <c r="J23" s="11"/>
    </row>
    <row r="24" spans="2:10" ht="14.25" customHeight="1" x14ac:dyDescent="0.2"/>
    <row r="25" spans="2:10" ht="14.25" customHeight="1" x14ac:dyDescent="0.2"/>
    <row r="26" spans="2:10" ht="14.25" customHeight="1" x14ac:dyDescent="0.25">
      <c r="B26" s="10"/>
    </row>
    <row r="27" spans="2:10" ht="14.25" customHeight="1" x14ac:dyDescent="0.2"/>
    <row r="28" spans="2:10" ht="14.25" customHeight="1" x14ac:dyDescent="0.2"/>
    <row r="29" spans="2:10" ht="14.25" customHeight="1" x14ac:dyDescent="0.2"/>
    <row r="30" spans="2:10" ht="14.25" customHeight="1" x14ac:dyDescent="0.2"/>
    <row r="31" spans="2:10" ht="14.25" customHeight="1" x14ac:dyDescent="0.2"/>
    <row r="32" spans="2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4:J4"/>
    <mergeCell ref="B7:J7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E4E79"/>
  </sheetPr>
  <dimension ref="A1:AD1000"/>
  <sheetViews>
    <sheetView showGridLines="0" topLeftCell="B1" workbookViewId="0">
      <selection activeCell="E30" sqref="E30"/>
    </sheetView>
  </sheetViews>
  <sheetFormatPr baseColWidth="10" defaultColWidth="14.5" defaultRowHeight="15" customHeight="1" x14ac:dyDescent="0.2"/>
  <cols>
    <col min="1" max="1" width="3.6640625" customWidth="1"/>
    <col min="2" max="2" width="55.5" customWidth="1"/>
    <col min="3" max="3" width="5.6640625" customWidth="1"/>
    <col min="4" max="4" width="10" customWidth="1"/>
    <col min="5" max="5" width="10.1640625" customWidth="1"/>
    <col min="6" max="6" width="9" customWidth="1"/>
    <col min="7" max="7" width="9.1640625" customWidth="1"/>
    <col min="8" max="8" width="9.83203125" customWidth="1"/>
    <col min="9" max="9" width="10.1640625" customWidth="1"/>
    <col min="10" max="10" width="10.5" customWidth="1"/>
    <col min="11" max="11" width="4.1640625" customWidth="1"/>
    <col min="12" max="16" width="8.83203125" customWidth="1"/>
    <col min="17" max="17" width="9.33203125" customWidth="1"/>
    <col min="18" max="18" width="9.5" customWidth="1"/>
    <col min="19" max="30" width="8.83203125" customWidth="1"/>
  </cols>
  <sheetData>
    <row r="1" spans="1:30" ht="30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3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 x14ac:dyDescent="0.2">
      <c r="E3" s="7"/>
      <c r="F3" s="7"/>
      <c r="G3" s="7"/>
      <c r="H3" s="7"/>
      <c r="I3" s="7"/>
      <c r="J3" s="7"/>
      <c r="K3" s="7"/>
      <c r="L3" s="7"/>
      <c r="M3" s="7"/>
      <c r="N3" s="7"/>
      <c r="O3" s="7"/>
      <c r="W3" s="8"/>
    </row>
    <row r="4" spans="1:30" ht="22.5" customHeight="1" x14ac:dyDescent="0.2">
      <c r="B4" s="70" t="s">
        <v>1</v>
      </c>
      <c r="C4" s="65"/>
      <c r="D4" s="65"/>
      <c r="E4" s="65"/>
      <c r="F4" s="65"/>
      <c r="G4" s="65"/>
      <c r="H4" s="65"/>
      <c r="I4" s="65"/>
      <c r="J4" s="6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22.5" customHeight="1" x14ac:dyDescent="0.2"/>
    <row r="6" spans="1:30" ht="14.25" customHeight="1" x14ac:dyDescent="0.25">
      <c r="B6" s="10"/>
    </row>
    <row r="7" spans="1:30" ht="14.25" customHeight="1" x14ac:dyDescent="0.2">
      <c r="B7" s="71" t="s">
        <v>2</v>
      </c>
      <c r="C7" s="68"/>
      <c r="D7" s="68"/>
      <c r="E7" s="68"/>
      <c r="F7" s="68"/>
      <c r="G7" s="68"/>
      <c r="H7" s="68"/>
      <c r="I7" s="68"/>
      <c r="J7" s="69"/>
    </row>
    <row r="8" spans="1:30" ht="14.25" customHeight="1" x14ac:dyDescent="0.25">
      <c r="B8" s="11"/>
      <c r="C8" s="11"/>
      <c r="D8" s="12" t="s">
        <v>3</v>
      </c>
      <c r="E8" s="13"/>
      <c r="F8" s="13"/>
      <c r="G8" s="13" t="s">
        <v>4</v>
      </c>
      <c r="H8" s="14"/>
      <c r="I8" s="14"/>
      <c r="J8" s="14"/>
    </row>
    <row r="9" spans="1:30" ht="14.25" customHeight="1" x14ac:dyDescent="0.25">
      <c r="B9" s="15" t="s">
        <v>5</v>
      </c>
      <c r="C9" s="16"/>
      <c r="D9" s="16">
        <v>2016</v>
      </c>
      <c r="E9" s="17">
        <v>2017</v>
      </c>
      <c r="F9" s="17">
        <v>2018</v>
      </c>
      <c r="G9" s="17">
        <v>2019</v>
      </c>
      <c r="H9" s="17">
        <v>2020</v>
      </c>
      <c r="I9" s="17">
        <v>2021</v>
      </c>
      <c r="J9" s="17">
        <v>2022</v>
      </c>
    </row>
    <row r="10" spans="1:30" ht="14.25" customHeight="1" x14ac:dyDescent="0.25">
      <c r="B10" s="18"/>
      <c r="C10" s="11"/>
      <c r="D10" s="19"/>
      <c r="E10" s="13"/>
      <c r="F10" s="13"/>
      <c r="G10" s="13"/>
      <c r="H10" s="13"/>
      <c r="I10" s="13"/>
      <c r="J10" s="13"/>
      <c r="Q10" s="20"/>
    </row>
    <row r="11" spans="1:30" ht="14.25" customHeight="1" x14ac:dyDescent="0.25">
      <c r="B11" s="11" t="s">
        <v>6</v>
      </c>
      <c r="C11" s="18" t="s">
        <v>7</v>
      </c>
      <c r="D11" s="21">
        <v>2.3023979498444147</v>
      </c>
      <c r="E11" s="22">
        <f t="shared" ref="E11:J11" si="0">D11</f>
        <v>2.3023979498444147</v>
      </c>
      <c r="F11" s="22">
        <f t="shared" si="0"/>
        <v>2.3023979498444147</v>
      </c>
      <c r="G11" s="22">
        <f t="shared" si="0"/>
        <v>2.3023979498444147</v>
      </c>
      <c r="H11" s="22">
        <f t="shared" si="0"/>
        <v>2.3023979498444147</v>
      </c>
      <c r="I11" s="22">
        <f t="shared" si="0"/>
        <v>2.3023979498444147</v>
      </c>
      <c r="J11" s="22">
        <f t="shared" si="0"/>
        <v>2.3023979498444147</v>
      </c>
    </row>
    <row r="12" spans="1:30" ht="17.25" customHeight="1" x14ac:dyDescent="0.25">
      <c r="B12" s="11" t="s">
        <v>8</v>
      </c>
      <c r="C12" s="18" t="s">
        <v>9</v>
      </c>
      <c r="D12" s="21">
        <v>6.8796798812804747</v>
      </c>
      <c r="E12" s="22">
        <f t="shared" ref="E12:J12" si="1">D12</f>
        <v>6.8796798812804747</v>
      </c>
      <c r="F12" s="22">
        <f t="shared" si="1"/>
        <v>6.8796798812804747</v>
      </c>
      <c r="G12" s="22">
        <f t="shared" si="1"/>
        <v>6.8796798812804747</v>
      </c>
      <c r="H12" s="22">
        <f t="shared" si="1"/>
        <v>6.8796798812804747</v>
      </c>
      <c r="I12" s="22">
        <f t="shared" si="1"/>
        <v>6.8796798812804747</v>
      </c>
      <c r="J12" s="22">
        <f t="shared" si="1"/>
        <v>6.8796798812804747</v>
      </c>
    </row>
    <row r="13" spans="1:30" ht="18.75" customHeight="1" x14ac:dyDescent="0.25">
      <c r="B13" s="11" t="s">
        <v>10</v>
      </c>
      <c r="C13" s="18" t="s">
        <v>11</v>
      </c>
      <c r="D13" s="21">
        <v>4.6118726429410284</v>
      </c>
      <c r="E13" s="22">
        <f t="shared" ref="E13:J13" si="2">D13</f>
        <v>4.6118726429410284</v>
      </c>
      <c r="F13" s="22">
        <f t="shared" si="2"/>
        <v>4.6118726429410284</v>
      </c>
      <c r="G13" s="22">
        <f t="shared" si="2"/>
        <v>4.6118726429410284</v>
      </c>
      <c r="H13" s="22">
        <f t="shared" si="2"/>
        <v>4.6118726429410284</v>
      </c>
      <c r="I13" s="22">
        <f t="shared" si="2"/>
        <v>4.6118726429410284</v>
      </c>
      <c r="J13" s="22">
        <f t="shared" si="2"/>
        <v>4.6118726429410284</v>
      </c>
    </row>
    <row r="14" spans="1:30" ht="20.25" customHeight="1" x14ac:dyDescent="0.25">
      <c r="B14" s="11" t="s">
        <v>12</v>
      </c>
      <c r="C14" s="18" t="s">
        <v>28</v>
      </c>
      <c r="D14" s="21">
        <v>5.3251738974542846</v>
      </c>
      <c r="E14" s="22">
        <f t="shared" ref="E14:J14" si="3">D14</f>
        <v>5.3251738974542846</v>
      </c>
      <c r="F14" s="22">
        <f t="shared" si="3"/>
        <v>5.3251738974542846</v>
      </c>
      <c r="G14" s="22">
        <f t="shared" si="3"/>
        <v>5.3251738974542846</v>
      </c>
      <c r="H14" s="22">
        <f t="shared" si="3"/>
        <v>5.3251738974542846</v>
      </c>
      <c r="I14" s="22">
        <f t="shared" si="3"/>
        <v>5.3251738974542846</v>
      </c>
      <c r="J14" s="22">
        <f t="shared" si="3"/>
        <v>5.3251738974542846</v>
      </c>
    </row>
    <row r="15" spans="1:30" ht="19.5" customHeight="1" x14ac:dyDescent="0.25">
      <c r="B15" s="11" t="s">
        <v>14</v>
      </c>
      <c r="C15" s="18" t="s">
        <v>15</v>
      </c>
      <c r="D15" s="21">
        <v>20.485862900648023</v>
      </c>
      <c r="E15" s="22">
        <v>3</v>
      </c>
      <c r="F15" s="22">
        <f t="shared" ref="F15:J15" si="4">E15</f>
        <v>3</v>
      </c>
      <c r="G15" s="22">
        <f t="shared" si="4"/>
        <v>3</v>
      </c>
      <c r="H15" s="22">
        <f t="shared" si="4"/>
        <v>3</v>
      </c>
      <c r="I15" s="22">
        <f t="shared" si="4"/>
        <v>3</v>
      </c>
      <c r="J15" s="22">
        <f t="shared" si="4"/>
        <v>3</v>
      </c>
    </row>
    <row r="16" spans="1:30" ht="19.5" customHeight="1" x14ac:dyDescent="0.25">
      <c r="B16" s="11" t="s">
        <v>16</v>
      </c>
      <c r="C16" s="18" t="s">
        <v>17</v>
      </c>
      <c r="D16" s="21">
        <v>27</v>
      </c>
      <c r="E16" s="22">
        <f t="shared" ref="E16:J16" si="5">D16</f>
        <v>27</v>
      </c>
      <c r="F16" s="22">
        <f t="shared" si="5"/>
        <v>27</v>
      </c>
      <c r="G16" s="22">
        <f t="shared" si="5"/>
        <v>27</v>
      </c>
      <c r="H16" s="22">
        <f t="shared" si="5"/>
        <v>27</v>
      </c>
      <c r="I16" s="22">
        <f t="shared" si="5"/>
        <v>27</v>
      </c>
      <c r="J16" s="22">
        <f t="shared" si="5"/>
        <v>27</v>
      </c>
    </row>
    <row r="17" spans="2:10" ht="19.5" customHeight="1" x14ac:dyDescent="0.25">
      <c r="B17" s="11" t="s">
        <v>18</v>
      </c>
      <c r="C17" s="18" t="s">
        <v>19</v>
      </c>
      <c r="D17" s="21">
        <v>2.1678296937479136</v>
      </c>
      <c r="E17" s="22">
        <f>((1+E12%)/(1+E13%)-1)*100</f>
        <v>2.1678296937479136</v>
      </c>
      <c r="F17" s="22">
        <f t="shared" ref="F17:J17" si="6">((1+F12%)/(1+F13%)-1)*100</f>
        <v>2.1678296937479136</v>
      </c>
      <c r="G17" s="22">
        <f t="shared" si="6"/>
        <v>2.1678296937479136</v>
      </c>
      <c r="H17" s="22">
        <f t="shared" si="6"/>
        <v>2.1678296937479136</v>
      </c>
      <c r="I17" s="22">
        <f t="shared" si="6"/>
        <v>2.1678296937479136</v>
      </c>
      <c r="J17" s="22">
        <f t="shared" si="6"/>
        <v>2.1678296937479136</v>
      </c>
    </row>
    <row r="18" spans="2:10" ht="19.5" customHeight="1" x14ac:dyDescent="0.25">
      <c r="B18" s="11" t="s">
        <v>20</v>
      </c>
      <c r="C18" s="18" t="s">
        <v>29</v>
      </c>
      <c r="D18" s="21">
        <v>21.3074017469268</v>
      </c>
      <c r="E18" s="22">
        <f>(((1+E14%)*(1+E15%))/(1+E13%)-1)*100</f>
        <v>3.7023106207612955</v>
      </c>
      <c r="F18" s="22">
        <f t="shared" ref="F18:J18" si="7">(((1+F14%)*(1+F15%))/(1+F13%)-1)*100</f>
        <v>3.7023106207612955</v>
      </c>
      <c r="G18" s="22">
        <f t="shared" si="7"/>
        <v>3.7023106207612955</v>
      </c>
      <c r="H18" s="22">
        <f t="shared" si="7"/>
        <v>3.7023106207612955</v>
      </c>
      <c r="I18" s="22">
        <f t="shared" si="7"/>
        <v>3.7023106207612955</v>
      </c>
      <c r="J18" s="22">
        <f t="shared" si="7"/>
        <v>3.7023106207612955</v>
      </c>
    </row>
    <row r="19" spans="2:10" ht="19.5" customHeight="1" x14ac:dyDescent="0.25">
      <c r="B19" s="11" t="s">
        <v>30</v>
      </c>
      <c r="C19" s="18" t="s">
        <v>31</v>
      </c>
      <c r="D19" s="21">
        <v>7.3355141481062134</v>
      </c>
      <c r="E19" s="22">
        <f t="shared" ref="E19:J19" si="8">((1-D16%)*E17%+D16%*E18%)*100</f>
        <v>2.5821395440415271</v>
      </c>
      <c r="F19" s="22">
        <f t="shared" si="8"/>
        <v>2.5821395440415271</v>
      </c>
      <c r="G19" s="22">
        <f t="shared" si="8"/>
        <v>2.5821395440415271</v>
      </c>
      <c r="H19" s="22">
        <f t="shared" si="8"/>
        <v>2.5821395440415271</v>
      </c>
      <c r="I19" s="22">
        <f t="shared" si="8"/>
        <v>2.5821395440415271</v>
      </c>
      <c r="J19" s="22">
        <f t="shared" si="8"/>
        <v>2.5821395440415271</v>
      </c>
    </row>
    <row r="20" spans="2:10" ht="14.25" customHeight="1" x14ac:dyDescent="0.25">
      <c r="B20" s="11" t="s">
        <v>24</v>
      </c>
      <c r="C20" s="18" t="s">
        <v>25</v>
      </c>
      <c r="D20" s="21">
        <v>5.0572023730628884E-2</v>
      </c>
      <c r="E20" s="23">
        <f>$D$24</f>
        <v>0.15886106271372188</v>
      </c>
      <c r="F20" s="23">
        <f t="shared" ref="F20:J20" si="9">$D$24</f>
        <v>0.15886106271372188</v>
      </c>
      <c r="G20" s="23">
        <f t="shared" si="9"/>
        <v>0.15886106271372188</v>
      </c>
      <c r="H20" s="23">
        <f t="shared" si="9"/>
        <v>0.15886106271372188</v>
      </c>
      <c r="I20" s="23">
        <f t="shared" si="9"/>
        <v>0.15886106271372188</v>
      </c>
      <c r="J20" s="23">
        <f t="shared" si="9"/>
        <v>0.15886106271372188</v>
      </c>
    </row>
    <row r="21" spans="2:10" ht="14.25" customHeight="1" x14ac:dyDescent="0.25">
      <c r="B21" s="15" t="s">
        <v>26</v>
      </c>
      <c r="C21" s="24" t="s">
        <v>27</v>
      </c>
      <c r="D21" s="25">
        <v>58.095999999999997</v>
      </c>
      <c r="E21" s="27">
        <f>((1+E19%)/(1+E11%)*D21%-E20%)*100</f>
        <v>58.095999999999989</v>
      </c>
      <c r="F21" s="27">
        <f t="shared" ref="F21:J21" si="10">((1+F19%)/(1+F11%)*E21%-F20%)*100</f>
        <v>58.095999999999989</v>
      </c>
      <c r="G21" s="27">
        <f t="shared" si="10"/>
        <v>58.095999999999989</v>
      </c>
      <c r="H21" s="27">
        <f t="shared" si="10"/>
        <v>58.095999999999989</v>
      </c>
      <c r="I21" s="27">
        <f t="shared" si="10"/>
        <v>58.095999999999989</v>
      </c>
      <c r="J21" s="27">
        <f t="shared" si="10"/>
        <v>58.095999999999989</v>
      </c>
    </row>
    <row r="22" spans="2:10" ht="14.25" customHeight="1" x14ac:dyDescent="0.25">
      <c r="B22" s="19"/>
      <c r="C22" s="18"/>
      <c r="D22" s="21"/>
      <c r="E22" s="21"/>
      <c r="F22" s="21"/>
      <c r="G22" s="21"/>
      <c r="H22" s="21"/>
      <c r="I22" s="21"/>
      <c r="J22" s="21"/>
    </row>
    <row r="23" spans="2:10" ht="14.25" customHeight="1" x14ac:dyDescent="0.2">
      <c r="B23" s="72" t="s">
        <v>32</v>
      </c>
      <c r="C23" s="68"/>
      <c r="D23" s="68"/>
      <c r="E23" s="68"/>
      <c r="F23" s="69"/>
      <c r="G23" s="72"/>
      <c r="H23" s="68"/>
      <c r="I23" s="68"/>
      <c r="J23" s="69"/>
    </row>
    <row r="24" spans="2:10" ht="14.25" customHeight="1" x14ac:dyDescent="0.25">
      <c r="B24" s="28" t="s">
        <v>33</v>
      </c>
      <c r="C24" s="29" t="s">
        <v>34</v>
      </c>
      <c r="D24" s="30">
        <f>(D21%*((1+E19%)/(1+E11%)-1))*100</f>
        <v>0.15886106271372188</v>
      </c>
      <c r="E24" s="28"/>
      <c r="F24" s="28"/>
      <c r="G24" s="28"/>
      <c r="H24" s="28"/>
      <c r="I24" s="28"/>
      <c r="J24" s="28"/>
    </row>
    <row r="25" spans="2:10" ht="14.25" customHeight="1" x14ac:dyDescent="0.25">
      <c r="B25" s="11"/>
      <c r="C25" s="11"/>
      <c r="D25" s="11"/>
      <c r="E25" s="11"/>
      <c r="F25" s="11"/>
      <c r="G25" s="11"/>
      <c r="H25" s="11"/>
      <c r="I25" s="11"/>
      <c r="J25" s="11"/>
    </row>
    <row r="26" spans="2:10" ht="14.25" customHeight="1" x14ac:dyDescent="0.2"/>
    <row r="27" spans="2:10" ht="14.25" customHeight="1" x14ac:dyDescent="0.2"/>
    <row r="28" spans="2:10" ht="14.25" customHeight="1" x14ac:dyDescent="0.25">
      <c r="B28" s="10"/>
    </row>
    <row r="29" spans="2:10" ht="14.25" customHeight="1" x14ac:dyDescent="0.2"/>
    <row r="30" spans="2:10" ht="14.25" customHeight="1" x14ac:dyDescent="0.2"/>
    <row r="31" spans="2:10" ht="14.25" customHeight="1" x14ac:dyDescent="0.2"/>
    <row r="32" spans="2:10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4">
    <mergeCell ref="B4:J4"/>
    <mergeCell ref="B7:J7"/>
    <mergeCell ref="B23:F23"/>
    <mergeCell ref="G23:J23"/>
  </mergeCells>
  <pageMargins left="0.7" right="0.7" top="0.75" bottom="0.75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A1:AD1000"/>
  <sheetViews>
    <sheetView showGridLines="0" workbookViewId="0">
      <selection activeCell="E21" sqref="E21"/>
    </sheetView>
  </sheetViews>
  <sheetFormatPr baseColWidth="10" defaultColWidth="14.5" defaultRowHeight="15" customHeight="1" x14ac:dyDescent="0.2"/>
  <cols>
    <col min="1" max="1" width="6.1640625" customWidth="1"/>
    <col min="2" max="2" width="55.5" customWidth="1"/>
    <col min="3" max="3" width="5.6640625" customWidth="1"/>
    <col min="4" max="4" width="9.5" customWidth="1"/>
    <col min="5" max="5" width="10.1640625" customWidth="1"/>
    <col min="6" max="6" width="9" customWidth="1"/>
    <col min="7" max="7" width="9.1640625" customWidth="1"/>
    <col min="8" max="8" width="9.83203125" customWidth="1"/>
    <col min="9" max="9" width="10.1640625" customWidth="1"/>
    <col min="10" max="10" width="10.5" customWidth="1"/>
    <col min="11" max="11" width="4.1640625" customWidth="1"/>
    <col min="12" max="16" width="8.83203125" customWidth="1"/>
    <col min="17" max="17" width="9.33203125" customWidth="1"/>
    <col min="18" max="18" width="9.5" customWidth="1"/>
    <col min="19" max="30" width="8.83203125" customWidth="1"/>
  </cols>
  <sheetData>
    <row r="1" spans="1:30" ht="30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3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 x14ac:dyDescent="0.2">
      <c r="E3" s="7"/>
      <c r="F3" s="7"/>
      <c r="G3" s="7"/>
      <c r="H3" s="7"/>
      <c r="I3" s="7"/>
      <c r="J3" s="7"/>
      <c r="K3" s="7"/>
      <c r="L3" s="7"/>
      <c r="M3" s="7"/>
      <c r="N3" s="7"/>
      <c r="O3" s="7"/>
      <c r="W3" s="8"/>
    </row>
    <row r="4" spans="1:30" ht="14.25" customHeight="1" x14ac:dyDescent="0.2">
      <c r="B4" s="70" t="s">
        <v>1</v>
      </c>
      <c r="C4" s="65"/>
      <c r="D4" s="65"/>
      <c r="E4" s="65"/>
      <c r="F4" s="65"/>
      <c r="G4" s="65"/>
      <c r="H4" s="65"/>
      <c r="I4" s="65"/>
      <c r="J4" s="6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</row>
    <row r="5" spans="1:30" ht="14.25" customHeight="1" x14ac:dyDescent="0.2">
      <c r="E5" s="7"/>
      <c r="F5" s="7"/>
      <c r="G5" s="7"/>
      <c r="H5" s="7"/>
      <c r="I5" s="7"/>
      <c r="J5" s="7"/>
      <c r="K5" s="7"/>
      <c r="L5" s="7"/>
      <c r="M5" s="7"/>
      <c r="N5" s="7"/>
      <c r="O5" s="7"/>
      <c r="W5" s="8"/>
    </row>
    <row r="6" spans="1:30" ht="14.25" customHeight="1" x14ac:dyDescent="0.25">
      <c r="B6" s="31" t="s">
        <v>35</v>
      </c>
      <c r="C6" s="32"/>
      <c r="D6" s="33"/>
      <c r="E6" s="34">
        <v>2017</v>
      </c>
      <c r="F6" s="34">
        <v>2018</v>
      </c>
      <c r="G6" s="34">
        <v>2019</v>
      </c>
      <c r="H6" s="34">
        <v>2020</v>
      </c>
      <c r="I6" s="34">
        <v>2021</v>
      </c>
      <c r="J6" s="35">
        <v>2022</v>
      </c>
      <c r="K6" s="7"/>
      <c r="L6" s="7"/>
      <c r="M6" s="7"/>
      <c r="N6" s="7"/>
      <c r="O6" s="7"/>
      <c r="W6" s="8"/>
    </row>
    <row r="7" spans="1:30" ht="14.25" customHeight="1" x14ac:dyDescent="0.25">
      <c r="B7" s="11" t="s">
        <v>6</v>
      </c>
      <c r="D7" s="11"/>
      <c r="E7" s="11">
        <v>1.7</v>
      </c>
      <c r="F7" s="11">
        <v>2</v>
      </c>
      <c r="G7" s="11">
        <v>2.2000000000000002</v>
      </c>
      <c r="H7" s="11">
        <v>2.2999999999999998</v>
      </c>
      <c r="I7" s="11">
        <v>2.2999999999999998</v>
      </c>
      <c r="J7" s="36">
        <v>2.2999999999999998</v>
      </c>
      <c r="K7" s="7"/>
      <c r="L7" s="7"/>
      <c r="M7" s="7"/>
      <c r="N7" s="7"/>
      <c r="O7" s="7"/>
      <c r="W7" s="8"/>
    </row>
    <row r="8" spans="1:30" ht="14.25" customHeight="1" x14ac:dyDescent="0.25">
      <c r="B8" s="11" t="s">
        <v>8</v>
      </c>
      <c r="D8" s="11"/>
      <c r="E8" s="11">
        <v>6.9</v>
      </c>
      <c r="F8" s="11">
        <v>7.2</v>
      </c>
      <c r="G8" s="11">
        <v>6.5</v>
      </c>
      <c r="H8" s="11">
        <v>6.5</v>
      </c>
      <c r="I8" s="11">
        <v>6.5</v>
      </c>
      <c r="J8" s="36">
        <v>6.5</v>
      </c>
      <c r="K8" s="7"/>
      <c r="L8" s="7"/>
      <c r="M8" s="7"/>
      <c r="N8" s="7"/>
      <c r="O8" s="7"/>
      <c r="W8" s="8"/>
    </row>
    <row r="9" spans="1:30" ht="14.25" customHeight="1" x14ac:dyDescent="0.25">
      <c r="B9" s="11" t="s">
        <v>10</v>
      </c>
      <c r="D9" s="11"/>
      <c r="E9" s="11">
        <v>4.5999999999999996</v>
      </c>
      <c r="F9" s="11">
        <v>4.5</v>
      </c>
      <c r="G9" s="11">
        <v>4.3</v>
      </c>
      <c r="H9" s="11">
        <v>4.2</v>
      </c>
      <c r="I9" s="11">
        <v>4</v>
      </c>
      <c r="J9" s="36">
        <v>4</v>
      </c>
      <c r="K9" s="7"/>
      <c r="L9" s="7"/>
      <c r="M9" s="7"/>
      <c r="N9" s="7"/>
      <c r="O9" s="7"/>
      <c r="W9" s="8"/>
    </row>
    <row r="10" spans="1:30" ht="14.25" customHeight="1" x14ac:dyDescent="0.25">
      <c r="B10" s="11" t="s">
        <v>12</v>
      </c>
      <c r="D10" s="11"/>
      <c r="E10" s="11">
        <v>5.3</v>
      </c>
      <c r="F10" s="11">
        <v>5.3</v>
      </c>
      <c r="G10" s="11">
        <v>5.5</v>
      </c>
      <c r="H10" s="11">
        <v>5.5</v>
      </c>
      <c r="I10" s="11">
        <v>5.6</v>
      </c>
      <c r="J10" s="36">
        <v>5.6</v>
      </c>
      <c r="K10" s="7"/>
      <c r="L10" s="7"/>
      <c r="M10" s="7"/>
      <c r="N10" s="7"/>
      <c r="O10" s="7"/>
      <c r="W10" s="8"/>
    </row>
    <row r="11" spans="1:30" ht="14.25" customHeight="1" x14ac:dyDescent="0.25">
      <c r="A11" s="37"/>
      <c r="B11" s="11" t="s">
        <v>14</v>
      </c>
      <c r="D11" s="11"/>
      <c r="E11" s="11">
        <v>3</v>
      </c>
      <c r="F11" s="11">
        <v>3</v>
      </c>
      <c r="G11" s="11">
        <v>3</v>
      </c>
      <c r="H11" s="11">
        <v>3</v>
      </c>
      <c r="I11" s="11">
        <v>3</v>
      </c>
      <c r="J11" s="36">
        <v>3</v>
      </c>
      <c r="K11" s="7"/>
      <c r="L11" s="7"/>
      <c r="M11" s="7"/>
      <c r="N11" s="7"/>
      <c r="O11" s="7"/>
      <c r="W11" s="8"/>
    </row>
    <row r="12" spans="1:30" ht="14.25" customHeight="1" x14ac:dyDescent="0.25">
      <c r="A12" s="37"/>
      <c r="B12" s="16" t="s">
        <v>24</v>
      </c>
      <c r="C12" s="38"/>
      <c r="D12" s="16"/>
      <c r="E12" s="16">
        <v>0</v>
      </c>
      <c r="F12" s="16">
        <v>0.1</v>
      </c>
      <c r="G12" s="16">
        <v>0.3</v>
      </c>
      <c r="H12" s="16">
        <v>0.5</v>
      </c>
      <c r="I12" s="16">
        <v>0.5</v>
      </c>
      <c r="J12" s="39">
        <v>0.5</v>
      </c>
      <c r="K12" s="7"/>
      <c r="L12" s="7"/>
      <c r="M12" s="7"/>
      <c r="N12" s="7"/>
      <c r="O12" s="7"/>
      <c r="W12" s="8"/>
    </row>
    <row r="13" spans="1:30" ht="14.25" customHeight="1" x14ac:dyDescent="0.2">
      <c r="B13" s="32"/>
      <c r="C13" s="32"/>
      <c r="D13" s="32"/>
      <c r="E13" s="40"/>
      <c r="F13" s="40"/>
      <c r="G13" s="40"/>
      <c r="H13" s="40"/>
      <c r="I13" s="40"/>
      <c r="J13" s="40"/>
      <c r="K13" s="7"/>
      <c r="L13" s="7"/>
      <c r="M13" s="7"/>
      <c r="N13" s="7"/>
      <c r="O13" s="7"/>
      <c r="W13" s="8"/>
    </row>
    <row r="14" spans="1:30" ht="14.25" customHeight="1" x14ac:dyDescent="0.25">
      <c r="B14" s="19"/>
      <c r="C14" s="11"/>
      <c r="D14" s="11"/>
      <c r="E14" s="11"/>
      <c r="F14" s="11"/>
      <c r="G14" s="11"/>
      <c r="H14" s="11"/>
      <c r="I14" s="11"/>
      <c r="J14" s="11"/>
      <c r="K14" s="7"/>
      <c r="L14" s="7"/>
      <c r="M14" s="7"/>
      <c r="N14" s="7"/>
      <c r="O14" s="7"/>
      <c r="W14" s="8"/>
    </row>
    <row r="15" spans="1:30" ht="14.25" customHeight="1" x14ac:dyDescent="0.25">
      <c r="B15" s="11"/>
      <c r="C15" s="41"/>
      <c r="D15" s="41"/>
      <c r="E15" s="11"/>
      <c r="F15" s="11"/>
      <c r="G15" s="11"/>
      <c r="H15" s="11"/>
      <c r="I15" s="11"/>
      <c r="J15" s="11"/>
      <c r="K15" s="7"/>
      <c r="L15" s="7"/>
      <c r="M15" s="7"/>
      <c r="N15" s="7"/>
      <c r="O15" s="7"/>
      <c r="W15" s="8"/>
    </row>
    <row r="16" spans="1:30" ht="14.25" customHeight="1" x14ac:dyDescent="0.2">
      <c r="E16" s="7"/>
      <c r="F16" s="7"/>
      <c r="G16" s="7"/>
      <c r="H16" s="7"/>
      <c r="I16" s="7"/>
      <c r="J16" s="7"/>
    </row>
    <row r="17" spans="2:10" ht="14.25" customHeight="1" x14ac:dyDescent="0.2">
      <c r="B17" s="72" t="s">
        <v>36</v>
      </c>
      <c r="C17" s="68"/>
      <c r="D17" s="68"/>
      <c r="E17" s="68"/>
      <c r="F17" s="69"/>
      <c r="G17" s="72"/>
      <c r="H17" s="68"/>
      <c r="I17" s="68"/>
      <c r="J17" s="69"/>
    </row>
    <row r="18" spans="2:10" ht="14.25" customHeight="1" x14ac:dyDescent="0.25">
      <c r="B18" s="11"/>
      <c r="C18" s="11"/>
      <c r="D18" s="12" t="s">
        <v>3</v>
      </c>
      <c r="E18" s="13"/>
      <c r="F18" s="13"/>
      <c r="G18" s="13" t="s">
        <v>4</v>
      </c>
      <c r="H18" s="14"/>
      <c r="I18" s="14"/>
      <c r="J18" s="14"/>
    </row>
    <row r="19" spans="2:10" ht="14.25" customHeight="1" x14ac:dyDescent="0.25">
      <c r="B19" s="15" t="s">
        <v>37</v>
      </c>
      <c r="C19" s="16"/>
      <c r="D19" s="16">
        <v>2016</v>
      </c>
      <c r="E19" s="17">
        <v>2017</v>
      </c>
      <c r="F19" s="17">
        <v>2018</v>
      </c>
      <c r="G19" s="17">
        <v>2019</v>
      </c>
      <c r="H19" s="17">
        <v>2020</v>
      </c>
      <c r="I19" s="17">
        <v>2021</v>
      </c>
      <c r="J19" s="17">
        <v>2022</v>
      </c>
    </row>
    <row r="20" spans="2:10" ht="14.25" customHeight="1" x14ac:dyDescent="0.25">
      <c r="B20" s="18"/>
      <c r="C20" s="11"/>
      <c r="D20" s="19"/>
      <c r="E20" s="13"/>
      <c r="F20" s="13"/>
      <c r="G20" s="13"/>
      <c r="H20" s="13"/>
      <c r="I20" s="13"/>
      <c r="J20" s="13"/>
    </row>
    <row r="21" spans="2:10" ht="14.25" customHeight="1" x14ac:dyDescent="0.25">
      <c r="B21" s="11" t="s">
        <v>6</v>
      </c>
      <c r="C21" s="18" t="s">
        <v>7</v>
      </c>
      <c r="D21" s="21">
        <v>2.3023979498444147</v>
      </c>
      <c r="E21" s="11">
        <v>1.7</v>
      </c>
      <c r="F21" s="11">
        <v>2</v>
      </c>
      <c r="G21" s="11">
        <v>2.2000000000000002</v>
      </c>
      <c r="H21" s="11">
        <v>2.2999999999999998</v>
      </c>
      <c r="I21" s="11">
        <v>2.2999999999999998</v>
      </c>
      <c r="J21" s="36">
        <v>2.2999999999999998</v>
      </c>
    </row>
    <row r="22" spans="2:10" ht="14.25" customHeight="1" x14ac:dyDescent="0.25">
      <c r="B22" s="11" t="s">
        <v>8</v>
      </c>
      <c r="C22" s="18" t="s">
        <v>9</v>
      </c>
      <c r="D22" s="21">
        <v>6.8796798812804747</v>
      </c>
      <c r="E22" s="11">
        <v>6.9</v>
      </c>
      <c r="F22" s="11">
        <v>7.2</v>
      </c>
      <c r="G22" s="11">
        <v>6.5</v>
      </c>
      <c r="H22" s="11">
        <v>6.5</v>
      </c>
      <c r="I22" s="11">
        <v>6.5</v>
      </c>
      <c r="J22" s="36">
        <v>6.5</v>
      </c>
    </row>
    <row r="23" spans="2:10" ht="14.25" customHeight="1" x14ac:dyDescent="0.25">
      <c r="B23" s="11" t="s">
        <v>10</v>
      </c>
      <c r="C23" s="18" t="s">
        <v>11</v>
      </c>
      <c r="D23" s="21">
        <v>4.6118726429410284</v>
      </c>
      <c r="E23" s="11">
        <v>4.5999999999999996</v>
      </c>
      <c r="F23" s="11">
        <v>4.5</v>
      </c>
      <c r="G23" s="11">
        <v>4.3</v>
      </c>
      <c r="H23" s="11">
        <v>4.2</v>
      </c>
      <c r="I23" s="11">
        <v>4</v>
      </c>
      <c r="J23" s="36">
        <v>4</v>
      </c>
    </row>
    <row r="24" spans="2:10" ht="14.25" customHeight="1" x14ac:dyDescent="0.25">
      <c r="B24" s="11" t="s">
        <v>12</v>
      </c>
      <c r="C24" s="18" t="s">
        <v>38</v>
      </c>
      <c r="D24" s="21">
        <v>5.3251738974542846</v>
      </c>
      <c r="E24" s="11">
        <v>5.3</v>
      </c>
      <c r="F24" s="11">
        <v>5.3</v>
      </c>
      <c r="G24" s="11">
        <v>5.5</v>
      </c>
      <c r="H24" s="11">
        <v>5.5</v>
      </c>
      <c r="I24" s="11">
        <v>5.6</v>
      </c>
      <c r="J24" s="36">
        <v>5.6</v>
      </c>
    </row>
    <row r="25" spans="2:10" ht="14.25" customHeight="1" x14ac:dyDescent="0.25">
      <c r="B25" s="11" t="s">
        <v>14</v>
      </c>
      <c r="C25" s="18" t="s">
        <v>15</v>
      </c>
      <c r="D25" s="21">
        <v>20.485862900648023</v>
      </c>
      <c r="E25" s="11">
        <v>3</v>
      </c>
      <c r="F25" s="11">
        <v>3</v>
      </c>
      <c r="G25" s="11">
        <v>3</v>
      </c>
      <c r="H25" s="11">
        <v>3</v>
      </c>
      <c r="I25" s="11">
        <v>3</v>
      </c>
      <c r="J25" s="36">
        <v>3</v>
      </c>
    </row>
    <row r="26" spans="2:10" ht="14.25" customHeight="1" x14ac:dyDescent="0.25">
      <c r="B26" s="11" t="s">
        <v>16</v>
      </c>
      <c r="C26" s="18" t="s">
        <v>17</v>
      </c>
      <c r="D26" s="21">
        <v>27</v>
      </c>
      <c r="E26" s="22">
        <f t="shared" ref="E26:J26" si="0">D26</f>
        <v>27</v>
      </c>
      <c r="F26" s="22">
        <f t="shared" si="0"/>
        <v>27</v>
      </c>
      <c r="G26" s="22">
        <f t="shared" si="0"/>
        <v>27</v>
      </c>
      <c r="H26" s="22">
        <f t="shared" si="0"/>
        <v>27</v>
      </c>
      <c r="I26" s="22">
        <f t="shared" si="0"/>
        <v>27</v>
      </c>
      <c r="J26" s="22">
        <f t="shared" si="0"/>
        <v>27</v>
      </c>
    </row>
    <row r="27" spans="2:10" ht="14.25" customHeight="1" x14ac:dyDescent="0.25">
      <c r="B27" s="11" t="s">
        <v>18</v>
      </c>
      <c r="C27" s="18" t="s">
        <v>19</v>
      </c>
      <c r="D27" s="21">
        <v>2.1678296937479136</v>
      </c>
      <c r="E27" s="22">
        <f t="shared" ref="E27:J27" si="1">((1+E22%)/(1+E23%)-1)*100</f>
        <v>2.1988527724665197</v>
      </c>
      <c r="F27" s="22">
        <f t="shared" si="1"/>
        <v>2.5837320574162881</v>
      </c>
      <c r="G27" s="22">
        <f t="shared" si="1"/>
        <v>2.1093000958772867</v>
      </c>
      <c r="H27" s="22">
        <f t="shared" si="1"/>
        <v>2.207293666026855</v>
      </c>
      <c r="I27" s="22">
        <f t="shared" si="1"/>
        <v>2.4038461538461453</v>
      </c>
      <c r="J27" s="22">
        <f t="shared" si="1"/>
        <v>2.4038461538461453</v>
      </c>
    </row>
    <row r="28" spans="2:10" ht="14.25" customHeight="1" x14ac:dyDescent="0.25">
      <c r="B28" s="11" t="s">
        <v>20</v>
      </c>
      <c r="C28" s="18" t="s">
        <v>39</v>
      </c>
      <c r="D28" s="21">
        <v>21.3074017469268</v>
      </c>
      <c r="E28" s="22">
        <f t="shared" ref="E28:J28" si="2">(((1+E24%)*(1+E25%))/(1+E23%)-1)*100</f>
        <v>3.6892925430210166</v>
      </c>
      <c r="F28" s="22">
        <f t="shared" si="2"/>
        <v>3.7885167464114744</v>
      </c>
      <c r="G28" s="22">
        <f t="shared" si="2"/>
        <v>4.1850431447746805</v>
      </c>
      <c r="H28" s="22">
        <f t="shared" si="2"/>
        <v>4.2850287907869378</v>
      </c>
      <c r="I28" s="22">
        <f t="shared" si="2"/>
        <v>4.584615384615387</v>
      </c>
      <c r="J28" s="22">
        <f t="shared" si="2"/>
        <v>4.584615384615387</v>
      </c>
    </row>
    <row r="29" spans="2:10" ht="14.25" customHeight="1" x14ac:dyDescent="0.25">
      <c r="B29" s="11" t="s">
        <v>30</v>
      </c>
      <c r="C29" s="18" t="s">
        <v>40</v>
      </c>
      <c r="D29" s="21">
        <v>7.3355141481062134</v>
      </c>
      <c r="E29" s="22">
        <f t="shared" ref="E29:J29" si="3">((1-D26%)*E27%+D26%*E28%)*100</f>
        <v>2.6012715105162334</v>
      </c>
      <c r="F29" s="22">
        <f t="shared" si="3"/>
        <v>2.9090239234449884</v>
      </c>
      <c r="G29" s="22">
        <f t="shared" si="3"/>
        <v>2.6697507190795831</v>
      </c>
      <c r="H29" s="22">
        <f t="shared" si="3"/>
        <v>2.7682821497120775</v>
      </c>
      <c r="I29" s="22">
        <f t="shared" si="3"/>
        <v>2.9926538461538406</v>
      </c>
      <c r="J29" s="22">
        <f t="shared" si="3"/>
        <v>2.9926538461538406</v>
      </c>
    </row>
    <row r="30" spans="2:10" ht="14.25" customHeight="1" x14ac:dyDescent="0.25">
      <c r="B30" s="11" t="s">
        <v>24</v>
      </c>
      <c r="C30" s="18" t="s">
        <v>25</v>
      </c>
      <c r="D30" s="21">
        <v>5.0572023730628884E-2</v>
      </c>
      <c r="E30" s="16">
        <v>0</v>
      </c>
      <c r="F30" s="16">
        <v>0.1</v>
      </c>
      <c r="G30" s="16">
        <v>0.3</v>
      </c>
      <c r="H30" s="16">
        <v>0.5</v>
      </c>
      <c r="I30" s="16">
        <v>0.5</v>
      </c>
      <c r="J30" s="39">
        <v>0.5</v>
      </c>
    </row>
    <row r="31" spans="2:10" ht="14.25" customHeight="1" x14ac:dyDescent="0.25">
      <c r="B31" s="15" t="s">
        <v>26</v>
      </c>
      <c r="C31" s="24" t="s">
        <v>27</v>
      </c>
      <c r="D31" s="25">
        <v>58.095999999999997</v>
      </c>
      <c r="E31" s="42">
        <f t="shared" ref="E31:J31" si="4">((1+E29%)/(1+E21%))*D31-E30</f>
        <v>58.610850242624885</v>
      </c>
      <c r="F31" s="42">
        <f t="shared" si="4"/>
        <v>59.033190095997405</v>
      </c>
      <c r="G31" s="42">
        <f t="shared" si="4"/>
        <v>59.00452946485413</v>
      </c>
      <c r="H31" s="42">
        <f t="shared" si="4"/>
        <v>58.774624947752976</v>
      </c>
      <c r="I31" s="42">
        <f t="shared" si="4"/>
        <v>58.672576756416809</v>
      </c>
      <c r="J31" s="42">
        <f t="shared" si="4"/>
        <v>58.569837616183065</v>
      </c>
    </row>
    <row r="32" spans="2:10" ht="14.25" customHeight="1" x14ac:dyDescent="0.25">
      <c r="B32" s="43"/>
      <c r="C32" s="43"/>
      <c r="D32" s="43"/>
      <c r="E32" s="43"/>
      <c r="F32" s="43"/>
      <c r="G32" s="43"/>
      <c r="H32" s="43"/>
      <c r="I32" s="43"/>
      <c r="J32" s="43"/>
    </row>
    <row r="33" spans="2:10" ht="14.25" customHeight="1" x14ac:dyDescent="0.25">
      <c r="B33" s="11"/>
      <c r="C33" s="11"/>
      <c r="D33" s="11"/>
      <c r="E33" s="11"/>
      <c r="F33" s="11"/>
      <c r="G33" s="11"/>
      <c r="H33" s="11"/>
      <c r="I33" s="11"/>
      <c r="J33" s="11"/>
    </row>
    <row r="34" spans="2:10" ht="14.25" customHeight="1" x14ac:dyDescent="0.2"/>
    <row r="35" spans="2:10" ht="14.25" customHeight="1" x14ac:dyDescent="0.2"/>
    <row r="36" spans="2:10" ht="14.25" customHeight="1" x14ac:dyDescent="0.2"/>
    <row r="37" spans="2:10" ht="14.25" customHeight="1" x14ac:dyDescent="0.2"/>
    <row r="38" spans="2:10" ht="14.25" customHeight="1" x14ac:dyDescent="0.2"/>
    <row r="39" spans="2:10" ht="14.25" customHeight="1" x14ac:dyDescent="0.2"/>
    <row r="40" spans="2:10" ht="14.25" customHeight="1" x14ac:dyDescent="0.2"/>
    <row r="41" spans="2:10" ht="14.25" customHeight="1" x14ac:dyDescent="0.2"/>
    <row r="42" spans="2:10" ht="14.25" customHeight="1" x14ac:dyDescent="0.2"/>
    <row r="43" spans="2:10" ht="14.25" customHeight="1" x14ac:dyDescent="0.2"/>
    <row r="44" spans="2:10" ht="14.25" customHeight="1" x14ac:dyDescent="0.2"/>
    <row r="45" spans="2:10" ht="14.25" customHeight="1" x14ac:dyDescent="0.2"/>
    <row r="46" spans="2:10" ht="14.25" customHeight="1" x14ac:dyDescent="0.2"/>
    <row r="47" spans="2:10" ht="14.25" customHeight="1" x14ac:dyDescent="0.2"/>
    <row r="48" spans="2:10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3">
    <mergeCell ref="B4:J4"/>
    <mergeCell ref="B17:F17"/>
    <mergeCell ref="G17:J17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75B5"/>
  </sheetPr>
  <dimension ref="A1:AD1000"/>
  <sheetViews>
    <sheetView showGridLines="0" workbookViewId="0">
      <pane xSplit="12" ySplit="14" topLeftCell="R15" activePane="bottomRight" state="frozen"/>
      <selection pane="topRight" activeCell="M1" sqref="M1"/>
      <selection pane="bottomLeft" activeCell="A15" sqref="A15"/>
      <selection pane="bottomRight" activeCell="E30" sqref="E30"/>
    </sheetView>
  </sheetViews>
  <sheetFormatPr baseColWidth="10" defaultColWidth="14.5" defaultRowHeight="15" customHeight="1" x14ac:dyDescent="0.2"/>
  <cols>
    <col min="1" max="1" width="5.5" customWidth="1"/>
    <col min="2" max="2" width="54.33203125" customWidth="1"/>
    <col min="3" max="3" width="7" customWidth="1"/>
    <col min="4" max="4" width="9.5" customWidth="1"/>
    <col min="5" max="5" width="10.1640625" customWidth="1"/>
    <col min="6" max="6" width="9" customWidth="1"/>
    <col min="7" max="7" width="9.1640625" customWidth="1"/>
    <col min="8" max="8" width="9.83203125" customWidth="1"/>
    <col min="9" max="9" width="10.1640625" customWidth="1"/>
    <col min="10" max="10" width="10.5" customWidth="1"/>
    <col min="11" max="11" width="6.5" customWidth="1"/>
    <col min="12" max="12" width="2" customWidth="1"/>
    <col min="13" max="16" width="8.83203125" customWidth="1"/>
    <col min="17" max="17" width="9.33203125" customWidth="1"/>
    <col min="18" max="18" width="9.5" customWidth="1"/>
    <col min="19" max="30" width="8.83203125" customWidth="1"/>
  </cols>
  <sheetData>
    <row r="1" spans="1:30" ht="30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3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 x14ac:dyDescent="0.2">
      <c r="E3" s="7"/>
      <c r="F3" s="7"/>
      <c r="G3" s="7"/>
      <c r="H3" s="7"/>
      <c r="I3" s="7"/>
      <c r="J3" s="7"/>
      <c r="K3" s="7"/>
      <c r="L3" s="7"/>
      <c r="M3" s="7"/>
      <c r="N3" s="7"/>
      <c r="O3" s="7"/>
      <c r="W3" s="8"/>
    </row>
    <row r="4" spans="1:30" ht="14.25" customHeight="1" x14ac:dyDescent="0.2">
      <c r="B4" s="70" t="s">
        <v>1</v>
      </c>
      <c r="C4" s="65"/>
      <c r="D4" s="65"/>
      <c r="E4" s="65"/>
      <c r="F4" s="65"/>
      <c r="G4" s="65"/>
      <c r="H4" s="65"/>
      <c r="I4" s="65"/>
      <c r="J4" s="6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30" ht="14.25" customHeight="1" x14ac:dyDescent="0.2"/>
    <row r="6" spans="1:30" ht="14.25" customHeight="1" x14ac:dyDescent="0.2">
      <c r="B6" s="44" t="s">
        <v>41</v>
      </c>
      <c r="C6" s="44"/>
      <c r="D6" s="44"/>
      <c r="E6" s="44"/>
      <c r="F6" s="44"/>
      <c r="G6" s="44"/>
      <c r="H6" s="44"/>
      <c r="I6" s="44"/>
      <c r="J6" s="44"/>
    </row>
    <row r="7" spans="1:30" ht="14.25" customHeight="1" x14ac:dyDescent="0.25">
      <c r="B7" s="11"/>
      <c r="C7" s="11"/>
      <c r="D7" s="11"/>
      <c r="E7" s="11"/>
      <c r="F7" s="11"/>
      <c r="G7" s="11"/>
      <c r="H7" s="11"/>
      <c r="I7" s="11"/>
      <c r="J7" s="16"/>
    </row>
    <row r="8" spans="1:30" ht="14.25" customHeight="1" x14ac:dyDescent="0.2">
      <c r="B8" s="45" t="s">
        <v>42</v>
      </c>
      <c r="C8" s="46" t="s">
        <v>5</v>
      </c>
      <c r="D8" s="45"/>
      <c r="E8" s="47"/>
      <c r="F8" s="47"/>
      <c r="G8" s="47"/>
      <c r="H8" s="47"/>
      <c r="I8" s="47"/>
      <c r="J8" s="48"/>
    </row>
    <row r="9" spans="1:30" ht="14.25" customHeight="1" x14ac:dyDescent="0.2">
      <c r="B9" s="49" t="s">
        <v>43</v>
      </c>
      <c r="C9" s="50" t="s">
        <v>44</v>
      </c>
      <c r="D9" s="51"/>
      <c r="E9" s="51"/>
      <c r="F9" s="51"/>
      <c r="G9" s="51"/>
      <c r="H9" s="51"/>
      <c r="I9" s="51"/>
      <c r="J9" s="52"/>
    </row>
    <row r="10" spans="1:30" ht="14.25" customHeight="1" x14ac:dyDescent="0.25">
      <c r="B10" s="53" t="s">
        <v>45</v>
      </c>
      <c r="C10" s="11" t="s">
        <v>46</v>
      </c>
      <c r="D10" s="51"/>
      <c r="E10" s="51"/>
      <c r="F10" s="51"/>
      <c r="G10" s="51"/>
      <c r="H10" s="51"/>
      <c r="I10" s="51"/>
      <c r="J10" s="52"/>
    </row>
    <row r="11" spans="1:30" ht="14.25" customHeight="1" x14ac:dyDescent="0.2">
      <c r="B11" s="49" t="s">
        <v>47</v>
      </c>
      <c r="C11" s="51" t="s">
        <v>48</v>
      </c>
      <c r="D11" s="51"/>
      <c r="E11" s="51"/>
      <c r="F11" s="51"/>
      <c r="G11" s="51"/>
      <c r="H11" s="51"/>
      <c r="I11" s="51"/>
      <c r="J11" s="52"/>
    </row>
    <row r="12" spans="1:30" ht="14.25" customHeight="1" x14ac:dyDescent="0.2">
      <c r="B12" s="54" t="s">
        <v>49</v>
      </c>
      <c r="C12" s="55" t="s">
        <v>50</v>
      </c>
      <c r="D12" s="55"/>
      <c r="E12" s="55"/>
      <c r="F12" s="55"/>
      <c r="G12" s="55"/>
      <c r="H12" s="55"/>
      <c r="I12" s="55"/>
      <c r="J12" s="56"/>
    </row>
    <row r="13" spans="1:30" ht="14.25" customHeight="1" x14ac:dyDescent="0.25">
      <c r="B13" s="57"/>
      <c r="C13" s="34"/>
      <c r="D13" s="34"/>
      <c r="E13" s="34"/>
      <c r="F13" s="34"/>
      <c r="G13" s="34"/>
      <c r="H13" s="34"/>
      <c r="I13" s="34"/>
      <c r="J13" s="34"/>
    </row>
    <row r="14" spans="1:30" ht="14.25" customHeight="1" x14ac:dyDescent="0.25">
      <c r="B14" s="19"/>
      <c r="C14" s="11"/>
      <c r="D14" s="11"/>
      <c r="E14" s="11"/>
      <c r="F14" s="11"/>
      <c r="G14" s="11"/>
      <c r="H14" s="11"/>
      <c r="I14" s="11"/>
      <c r="J14" s="11"/>
    </row>
    <row r="15" spans="1:30" ht="15.75" customHeight="1" x14ac:dyDescent="0.25">
      <c r="B15" s="11"/>
      <c r="C15" s="41"/>
      <c r="D15" s="11"/>
      <c r="E15" s="11"/>
      <c r="F15" s="11"/>
      <c r="G15" s="11"/>
      <c r="H15" s="11"/>
      <c r="I15" s="11"/>
      <c r="J15" s="11"/>
    </row>
    <row r="16" spans="1:30" ht="14.25" customHeight="1" x14ac:dyDescent="0.2"/>
    <row r="17" spans="2:10" ht="14.25" customHeight="1" x14ac:dyDescent="0.25">
      <c r="B17" s="51"/>
      <c r="C17" s="41"/>
    </row>
    <row r="18" spans="2:10" ht="14.25" customHeight="1" x14ac:dyDescent="0.2"/>
    <row r="19" spans="2:10" ht="14.25" customHeight="1" x14ac:dyDescent="0.2"/>
    <row r="20" spans="2:10" ht="14.25" customHeight="1" x14ac:dyDescent="0.2"/>
    <row r="21" spans="2:10" ht="14.25" customHeight="1" x14ac:dyDescent="0.2"/>
    <row r="22" spans="2:10" ht="14.25" customHeight="1" x14ac:dyDescent="0.2"/>
    <row r="23" spans="2:10" ht="14.25" customHeight="1" x14ac:dyDescent="0.25">
      <c r="B23" s="51"/>
      <c r="C23" s="41"/>
    </row>
    <row r="24" spans="2:10" ht="14.25" customHeight="1" x14ac:dyDescent="0.25">
      <c r="B24" s="51"/>
      <c r="C24" s="41"/>
    </row>
    <row r="25" spans="2:10" ht="13.5" customHeight="1" x14ac:dyDescent="0.3">
      <c r="B25" s="58"/>
    </row>
    <row r="26" spans="2:10" ht="14.25" customHeight="1" x14ac:dyDescent="0.2">
      <c r="B26" s="72" t="s">
        <v>51</v>
      </c>
      <c r="C26" s="68"/>
      <c r="D26" s="68"/>
      <c r="E26" s="68"/>
      <c r="F26" s="69"/>
      <c r="G26" s="72"/>
      <c r="H26" s="68"/>
      <c r="I26" s="68"/>
      <c r="J26" s="69"/>
    </row>
    <row r="27" spans="2:10" ht="14.25" customHeight="1" x14ac:dyDescent="0.25">
      <c r="B27" s="11"/>
      <c r="C27" s="11"/>
      <c r="D27" s="12" t="s">
        <v>3</v>
      </c>
      <c r="E27" s="13"/>
      <c r="F27" s="13"/>
      <c r="G27" s="13" t="s">
        <v>4</v>
      </c>
      <c r="H27" s="14"/>
      <c r="I27" s="14"/>
      <c r="J27" s="14"/>
    </row>
    <row r="28" spans="2:10" ht="14.25" customHeight="1" x14ac:dyDescent="0.25">
      <c r="B28" s="15" t="s">
        <v>5</v>
      </c>
      <c r="C28" s="16"/>
      <c r="D28" s="16">
        <v>2016</v>
      </c>
      <c r="E28" s="17">
        <v>2017</v>
      </c>
      <c r="F28" s="17">
        <v>2018</v>
      </c>
      <c r="G28" s="17">
        <v>2019</v>
      </c>
      <c r="H28" s="17">
        <v>2020</v>
      </c>
      <c r="I28" s="17">
        <v>2021</v>
      </c>
      <c r="J28" s="17">
        <v>2022</v>
      </c>
    </row>
    <row r="29" spans="2:10" ht="9" customHeight="1" x14ac:dyDescent="0.25">
      <c r="B29" s="18"/>
      <c r="C29" s="11"/>
      <c r="D29" s="19"/>
      <c r="E29" s="13"/>
      <c r="F29" s="13"/>
      <c r="G29" s="13"/>
      <c r="H29" s="13"/>
      <c r="I29" s="13"/>
      <c r="J29" s="13"/>
    </row>
    <row r="30" spans="2:10" ht="17.25" customHeight="1" x14ac:dyDescent="0.25">
      <c r="B30" s="11" t="s">
        <v>6</v>
      </c>
      <c r="C30" s="18" t="s">
        <v>7</v>
      </c>
      <c r="D30" s="21">
        <v>2.3023979498444147</v>
      </c>
      <c r="E30" s="23">
        <f>(D30%-2%)*100</f>
        <v>0.30239794984441465</v>
      </c>
      <c r="F30" s="23">
        <f>(D30%-2%)*100</f>
        <v>0.30239794984441465</v>
      </c>
      <c r="G30" s="22">
        <f>'Baseline Scenario'!G21</f>
        <v>2.2000000000000002</v>
      </c>
      <c r="H30" s="22">
        <f>'Baseline Scenario'!H21</f>
        <v>2.2999999999999998</v>
      </c>
      <c r="I30" s="22">
        <f>'Baseline Scenario'!I21</f>
        <v>2.2999999999999998</v>
      </c>
      <c r="J30" s="22">
        <f>'Baseline Scenario'!J21</f>
        <v>2.2999999999999998</v>
      </c>
    </row>
    <row r="31" spans="2:10" ht="17.25" customHeight="1" x14ac:dyDescent="0.25">
      <c r="B31" s="11" t="s">
        <v>8</v>
      </c>
      <c r="C31" s="18" t="s">
        <v>9</v>
      </c>
      <c r="D31" s="21">
        <v>6.8796798812804747</v>
      </c>
      <c r="E31" s="22">
        <f>'Baseline Scenario'!E22</f>
        <v>6.9</v>
      </c>
      <c r="F31" s="22">
        <f>'Baseline Scenario'!F22</f>
        <v>7.2</v>
      </c>
      <c r="G31" s="22">
        <f>'Baseline Scenario'!G22</f>
        <v>6.5</v>
      </c>
      <c r="H31" s="22">
        <f>'Baseline Scenario'!H22</f>
        <v>6.5</v>
      </c>
      <c r="I31" s="22">
        <f>'Baseline Scenario'!I22</f>
        <v>6.5</v>
      </c>
      <c r="J31" s="22">
        <f>'Baseline Scenario'!J22</f>
        <v>6.5</v>
      </c>
    </row>
    <row r="32" spans="2:10" ht="17.25" customHeight="1" x14ac:dyDescent="0.25">
      <c r="B32" s="11" t="s">
        <v>10</v>
      </c>
      <c r="C32" s="18" t="s">
        <v>11</v>
      </c>
      <c r="D32" s="21">
        <v>4.6118726429410284</v>
      </c>
      <c r="E32" s="22">
        <f>'Baseline Scenario'!E23</f>
        <v>4.5999999999999996</v>
      </c>
      <c r="F32" s="22">
        <f>'Baseline Scenario'!F23</f>
        <v>4.5</v>
      </c>
      <c r="G32" s="22">
        <f>'Baseline Scenario'!G23</f>
        <v>4.3</v>
      </c>
      <c r="H32" s="22">
        <f>'Baseline Scenario'!H23</f>
        <v>4.2</v>
      </c>
      <c r="I32" s="22">
        <f>'Baseline Scenario'!I23</f>
        <v>4</v>
      </c>
      <c r="J32" s="22">
        <f>'Baseline Scenario'!J23</f>
        <v>4</v>
      </c>
    </row>
    <row r="33" spans="2:10" ht="17.25" customHeight="1" x14ac:dyDescent="0.25">
      <c r="B33" s="11" t="s">
        <v>12</v>
      </c>
      <c r="C33" s="18" t="s">
        <v>52</v>
      </c>
      <c r="D33" s="21">
        <v>5.3251738974542846</v>
      </c>
      <c r="E33" s="22">
        <f>'Baseline Scenario'!E24</f>
        <v>5.3</v>
      </c>
      <c r="F33" s="22">
        <f>'Baseline Scenario'!F24</f>
        <v>5.3</v>
      </c>
      <c r="G33" s="22">
        <f>'Baseline Scenario'!G24</f>
        <v>5.5</v>
      </c>
      <c r="H33" s="22">
        <f>'Baseline Scenario'!H24</f>
        <v>5.5</v>
      </c>
      <c r="I33" s="22">
        <f>'Baseline Scenario'!I24</f>
        <v>5.6</v>
      </c>
      <c r="J33" s="22">
        <f>'Baseline Scenario'!J24</f>
        <v>5.6</v>
      </c>
    </row>
    <row r="34" spans="2:10" ht="17.25" customHeight="1" x14ac:dyDescent="0.25">
      <c r="B34" s="11" t="s">
        <v>14</v>
      </c>
      <c r="C34" s="18" t="s">
        <v>15</v>
      </c>
      <c r="D34" s="21">
        <v>20.485862900648023</v>
      </c>
      <c r="E34" s="22">
        <f>'Baseline Scenario'!E25</f>
        <v>3</v>
      </c>
      <c r="F34" s="22">
        <f>'Baseline Scenario'!F25</f>
        <v>3</v>
      </c>
      <c r="G34" s="22">
        <f>'Baseline Scenario'!G25</f>
        <v>3</v>
      </c>
      <c r="H34" s="22">
        <f>'Baseline Scenario'!H25</f>
        <v>3</v>
      </c>
      <c r="I34" s="22">
        <f>'Baseline Scenario'!I25</f>
        <v>3</v>
      </c>
      <c r="J34" s="22">
        <f>'Baseline Scenario'!J25</f>
        <v>3</v>
      </c>
    </row>
    <row r="35" spans="2:10" ht="17.25" customHeight="1" x14ac:dyDescent="0.25">
      <c r="B35" s="11" t="s">
        <v>16</v>
      </c>
      <c r="C35" s="18" t="s">
        <v>17</v>
      </c>
      <c r="D35" s="21">
        <v>27</v>
      </c>
      <c r="E35" s="22">
        <f t="shared" ref="E35:J35" si="0">D35</f>
        <v>27</v>
      </c>
      <c r="F35" s="22">
        <f t="shared" si="0"/>
        <v>27</v>
      </c>
      <c r="G35" s="22">
        <f t="shared" si="0"/>
        <v>27</v>
      </c>
      <c r="H35" s="22">
        <f t="shared" si="0"/>
        <v>27</v>
      </c>
      <c r="I35" s="22">
        <f t="shared" si="0"/>
        <v>27</v>
      </c>
      <c r="J35" s="22">
        <f t="shared" si="0"/>
        <v>27</v>
      </c>
    </row>
    <row r="36" spans="2:10" ht="17.25" customHeight="1" x14ac:dyDescent="0.25">
      <c r="B36" s="11" t="s">
        <v>18</v>
      </c>
      <c r="C36" s="18" t="s">
        <v>19</v>
      </c>
      <c r="D36" s="21">
        <v>2.1678296937479136</v>
      </c>
      <c r="E36" s="22">
        <f t="shared" ref="E36:J36" si="1">((1+E31%)/(1+E32%)-1)*100</f>
        <v>2.1988527724665197</v>
      </c>
      <c r="F36" s="22">
        <f t="shared" si="1"/>
        <v>2.5837320574162881</v>
      </c>
      <c r="G36" s="22">
        <f t="shared" si="1"/>
        <v>2.1093000958772867</v>
      </c>
      <c r="H36" s="22">
        <f t="shared" si="1"/>
        <v>2.207293666026855</v>
      </c>
      <c r="I36" s="22">
        <f t="shared" si="1"/>
        <v>2.4038461538461453</v>
      </c>
      <c r="J36" s="22">
        <f t="shared" si="1"/>
        <v>2.4038461538461453</v>
      </c>
    </row>
    <row r="37" spans="2:10" ht="17.25" customHeight="1" x14ac:dyDescent="0.25">
      <c r="B37" s="11" t="s">
        <v>20</v>
      </c>
      <c r="C37" s="18" t="s">
        <v>53</v>
      </c>
      <c r="D37" s="21">
        <v>21.3074017469268</v>
      </c>
      <c r="E37" s="22">
        <f t="shared" ref="E37:J37" si="2">(((1+E33%)*(1+E34%))/(1+E32%)-1)*100</f>
        <v>3.6892925430210166</v>
      </c>
      <c r="F37" s="22">
        <f t="shared" si="2"/>
        <v>3.7885167464114744</v>
      </c>
      <c r="G37" s="22">
        <f t="shared" si="2"/>
        <v>4.1850431447746805</v>
      </c>
      <c r="H37" s="22">
        <f t="shared" si="2"/>
        <v>4.2850287907869378</v>
      </c>
      <c r="I37" s="22">
        <f t="shared" si="2"/>
        <v>4.584615384615387</v>
      </c>
      <c r="J37" s="22">
        <f t="shared" si="2"/>
        <v>4.584615384615387</v>
      </c>
    </row>
    <row r="38" spans="2:10" ht="17.25" customHeight="1" x14ac:dyDescent="0.25">
      <c r="B38" s="11" t="s">
        <v>30</v>
      </c>
      <c r="C38" s="18" t="s">
        <v>54</v>
      </c>
      <c r="D38" s="21">
        <v>7.3355141481062134</v>
      </c>
      <c r="E38" s="22">
        <f t="shared" ref="E38:J38" si="3">((1-D35%)*E36%+D35%*E37%)*100</f>
        <v>2.6012715105162334</v>
      </c>
      <c r="F38" s="22">
        <f t="shared" si="3"/>
        <v>2.9090239234449884</v>
      </c>
      <c r="G38" s="22">
        <f t="shared" si="3"/>
        <v>2.6697507190795831</v>
      </c>
      <c r="H38" s="22">
        <f t="shared" si="3"/>
        <v>2.7682821497120775</v>
      </c>
      <c r="I38" s="22">
        <f t="shared" si="3"/>
        <v>2.9926538461538406</v>
      </c>
      <c r="J38" s="22">
        <f t="shared" si="3"/>
        <v>2.9926538461538406</v>
      </c>
    </row>
    <row r="39" spans="2:10" ht="17.25" customHeight="1" x14ac:dyDescent="0.25">
      <c r="B39" s="11" t="s">
        <v>24</v>
      </c>
      <c r="C39" s="18" t="s">
        <v>25</v>
      </c>
      <c r="D39" s="21">
        <v>5.0572023730628884E-2</v>
      </c>
      <c r="E39" s="22">
        <f>'Baseline Scenario'!E30</f>
        <v>0</v>
      </c>
      <c r="F39" s="22">
        <f>'Baseline Scenario'!F30</f>
        <v>0.1</v>
      </c>
      <c r="G39" s="22">
        <f>'Baseline Scenario'!G30</f>
        <v>0.3</v>
      </c>
      <c r="H39" s="22">
        <f>'Baseline Scenario'!H30</f>
        <v>0.5</v>
      </c>
      <c r="I39" s="22">
        <f>'Baseline Scenario'!I30</f>
        <v>0.5</v>
      </c>
      <c r="J39" s="22">
        <f>'Baseline Scenario'!J30</f>
        <v>0.5</v>
      </c>
    </row>
    <row r="40" spans="2:10" ht="17.25" customHeight="1" x14ac:dyDescent="0.25">
      <c r="B40" s="15" t="s">
        <v>26</v>
      </c>
      <c r="C40" s="24" t="s">
        <v>27</v>
      </c>
      <c r="D40" s="25">
        <v>58.095999999999997</v>
      </c>
      <c r="E40" s="59">
        <f t="shared" ref="E40:J40" si="4">((1+E38%)/(1+E30%))*D40-E39</f>
        <v>59.427527073236803</v>
      </c>
      <c r="F40" s="59">
        <f t="shared" si="4"/>
        <v>60.871910246343084</v>
      </c>
      <c r="G40" s="59">
        <f t="shared" si="4"/>
        <v>60.851701084014003</v>
      </c>
      <c r="H40" s="59">
        <f t="shared" si="4"/>
        <v>60.630252065414389</v>
      </c>
      <c r="I40" s="59">
        <f t="shared" si="4"/>
        <v>60.540767972417186</v>
      </c>
      <c r="J40" s="59">
        <f t="shared" si="4"/>
        <v>60.450677999643005</v>
      </c>
    </row>
    <row r="41" spans="2:10" ht="14.25" customHeight="1" x14ac:dyDescent="0.25">
      <c r="B41" s="11"/>
      <c r="C41" s="11"/>
      <c r="D41" s="11"/>
      <c r="E41" s="11"/>
      <c r="F41" s="11"/>
      <c r="G41" s="11"/>
      <c r="H41" s="11"/>
      <c r="I41" s="11"/>
      <c r="J41" s="11"/>
    </row>
    <row r="42" spans="2:10" ht="14.25" customHeight="1" x14ac:dyDescent="0.25">
      <c r="B42" s="11"/>
      <c r="C42" s="11"/>
      <c r="D42" s="11"/>
      <c r="E42" s="11"/>
      <c r="F42" s="11"/>
      <c r="G42" s="11"/>
      <c r="H42" s="11"/>
      <c r="I42" s="11"/>
      <c r="J42" s="11"/>
    </row>
    <row r="43" spans="2:10" ht="14.25" customHeight="1" x14ac:dyDescent="0.2">
      <c r="B43" s="72" t="s">
        <v>55</v>
      </c>
      <c r="C43" s="68"/>
      <c r="D43" s="68"/>
      <c r="E43" s="68"/>
      <c r="F43" s="69"/>
      <c r="G43" s="72"/>
      <c r="H43" s="68"/>
      <c r="I43" s="68"/>
      <c r="J43" s="69"/>
    </row>
    <row r="44" spans="2:10" ht="14.25" customHeight="1" x14ac:dyDescent="0.25">
      <c r="B44" s="11"/>
      <c r="C44" s="11"/>
      <c r="D44" s="12" t="s">
        <v>3</v>
      </c>
      <c r="E44" s="13"/>
      <c r="F44" s="13"/>
      <c r="G44" s="13" t="s">
        <v>4</v>
      </c>
      <c r="H44" s="13"/>
      <c r="I44" s="14"/>
      <c r="J44" s="14"/>
    </row>
    <row r="45" spans="2:10" ht="14.25" customHeight="1" x14ac:dyDescent="0.25">
      <c r="B45" s="15" t="s">
        <v>5</v>
      </c>
      <c r="C45" s="16"/>
      <c r="D45" s="16">
        <v>2016</v>
      </c>
      <c r="E45" s="17">
        <v>2017</v>
      </c>
      <c r="F45" s="17">
        <v>2018</v>
      </c>
      <c r="G45" s="17">
        <v>2019</v>
      </c>
      <c r="H45" s="17">
        <v>2020</v>
      </c>
      <c r="I45" s="17">
        <v>2021</v>
      </c>
      <c r="J45" s="17">
        <v>2022</v>
      </c>
    </row>
    <row r="46" spans="2:10" ht="14.25" customHeight="1" x14ac:dyDescent="0.25">
      <c r="B46" s="18"/>
      <c r="C46" s="11"/>
      <c r="D46" s="19"/>
      <c r="E46" s="13"/>
      <c r="F46" s="13"/>
      <c r="G46" s="13"/>
      <c r="H46" s="13"/>
      <c r="I46" s="13"/>
      <c r="J46" s="13"/>
    </row>
    <row r="47" spans="2:10" ht="17.25" customHeight="1" x14ac:dyDescent="0.25">
      <c r="B47" s="11" t="s">
        <v>6</v>
      </c>
      <c r="C47" s="18" t="s">
        <v>7</v>
      </c>
      <c r="D47" s="21">
        <v>2.3023979498444147</v>
      </c>
      <c r="E47" s="22">
        <f>'Baseline Scenario'!E21</f>
        <v>1.7</v>
      </c>
      <c r="F47" s="22">
        <f>'Baseline Scenario'!F21</f>
        <v>2</v>
      </c>
      <c r="G47" s="22">
        <f>'Baseline Scenario'!G21</f>
        <v>2.2000000000000002</v>
      </c>
      <c r="H47" s="22">
        <f>'Baseline Scenario'!H21</f>
        <v>2.2999999999999998</v>
      </c>
      <c r="I47" s="22">
        <f>'Baseline Scenario'!I21</f>
        <v>2.2999999999999998</v>
      </c>
      <c r="J47" s="22">
        <f>'Baseline Scenario'!J21</f>
        <v>2.2999999999999998</v>
      </c>
    </row>
    <row r="48" spans="2:10" ht="17.25" customHeight="1" x14ac:dyDescent="0.25">
      <c r="B48" s="11" t="s">
        <v>8</v>
      </c>
      <c r="C48" s="18" t="s">
        <v>9</v>
      </c>
      <c r="D48" s="21">
        <v>6.8796798812804747</v>
      </c>
      <c r="E48" s="23">
        <f>'Baseline Scenario'!E22</f>
        <v>6.9</v>
      </c>
      <c r="F48" s="23">
        <f>'Baseline Scenario'!F22</f>
        <v>7.2</v>
      </c>
      <c r="G48" s="22">
        <f>'Baseline Scenario'!G22</f>
        <v>6.5</v>
      </c>
      <c r="H48" s="22">
        <f>'Baseline Scenario'!H22</f>
        <v>6.5</v>
      </c>
      <c r="I48" s="22">
        <f>'Baseline Scenario'!I22</f>
        <v>6.5</v>
      </c>
      <c r="J48" s="22">
        <f>'Baseline Scenario'!J22</f>
        <v>6.5</v>
      </c>
    </row>
    <row r="49" spans="2:10" ht="17.25" customHeight="1" x14ac:dyDescent="0.25">
      <c r="B49" s="11" t="s">
        <v>10</v>
      </c>
      <c r="C49" s="18" t="s">
        <v>11</v>
      </c>
      <c r="D49" s="21">
        <v>4.6118726429410284</v>
      </c>
      <c r="E49" s="22">
        <f>'Baseline Scenario'!E23</f>
        <v>4.5999999999999996</v>
      </c>
      <c r="F49" s="22">
        <f>'Baseline Scenario'!F23</f>
        <v>4.5</v>
      </c>
      <c r="G49" s="22">
        <f>'Baseline Scenario'!G23</f>
        <v>4.3</v>
      </c>
      <c r="H49" s="22">
        <f>'Baseline Scenario'!H23</f>
        <v>4.2</v>
      </c>
      <c r="I49" s="22">
        <f>'Baseline Scenario'!I23</f>
        <v>4</v>
      </c>
      <c r="J49" s="22">
        <f>'Baseline Scenario'!J23</f>
        <v>4</v>
      </c>
    </row>
    <row r="50" spans="2:10" ht="17.25" customHeight="1" x14ac:dyDescent="0.25">
      <c r="B50" s="11" t="s">
        <v>12</v>
      </c>
      <c r="C50" s="18" t="s">
        <v>56</v>
      </c>
      <c r="D50" s="21">
        <v>5.3251738974542846</v>
      </c>
      <c r="E50" s="23">
        <f>'Baseline Scenario'!E24</f>
        <v>5.3</v>
      </c>
      <c r="F50" s="23">
        <f>'Baseline Scenario'!F24</f>
        <v>5.3</v>
      </c>
      <c r="G50" s="22">
        <f>'Baseline Scenario'!G24</f>
        <v>5.5</v>
      </c>
      <c r="H50" s="22">
        <f>'Baseline Scenario'!H24</f>
        <v>5.5</v>
      </c>
      <c r="I50" s="22">
        <f>'Baseline Scenario'!I24</f>
        <v>5.6</v>
      </c>
      <c r="J50" s="22">
        <f>'Baseline Scenario'!J24</f>
        <v>5.6</v>
      </c>
    </row>
    <row r="51" spans="2:10" ht="17.25" customHeight="1" x14ac:dyDescent="0.25">
      <c r="B51" s="11" t="s">
        <v>14</v>
      </c>
      <c r="C51" s="18" t="s">
        <v>15</v>
      </c>
      <c r="D51" s="21">
        <v>20.485862900648023</v>
      </c>
      <c r="E51" s="22">
        <f>'Baseline Scenario'!E25</f>
        <v>3</v>
      </c>
      <c r="F51" s="22">
        <f>'Baseline Scenario'!F25</f>
        <v>3</v>
      </c>
      <c r="G51" s="22">
        <f>'Baseline Scenario'!G25</f>
        <v>3</v>
      </c>
      <c r="H51" s="22">
        <f>'Baseline Scenario'!H25</f>
        <v>3</v>
      </c>
      <c r="I51" s="22">
        <f>'Baseline Scenario'!I25</f>
        <v>3</v>
      </c>
      <c r="J51" s="22">
        <f>'Baseline Scenario'!J25</f>
        <v>3</v>
      </c>
    </row>
    <row r="52" spans="2:10" ht="17.25" customHeight="1" x14ac:dyDescent="0.25">
      <c r="B52" s="11" t="s">
        <v>16</v>
      </c>
      <c r="C52" s="18" t="s">
        <v>17</v>
      </c>
      <c r="D52" s="21">
        <v>27</v>
      </c>
      <c r="E52" s="22">
        <f t="shared" ref="E52:J52" si="5">D52</f>
        <v>27</v>
      </c>
      <c r="F52" s="22">
        <f t="shared" si="5"/>
        <v>27</v>
      </c>
      <c r="G52" s="22">
        <f t="shared" si="5"/>
        <v>27</v>
      </c>
      <c r="H52" s="22">
        <f t="shared" si="5"/>
        <v>27</v>
      </c>
      <c r="I52" s="22">
        <f t="shared" si="5"/>
        <v>27</v>
      </c>
      <c r="J52" s="22">
        <f t="shared" si="5"/>
        <v>27</v>
      </c>
    </row>
    <row r="53" spans="2:10" ht="17.25" customHeight="1" x14ac:dyDescent="0.25">
      <c r="B53" s="11" t="s">
        <v>18</v>
      </c>
      <c r="C53" s="18" t="s">
        <v>19</v>
      </c>
      <c r="D53" s="21">
        <v>2.1678296937479136</v>
      </c>
      <c r="E53" s="22">
        <f t="shared" ref="E53:J53" si="6">((1+E48%)/(1+E49%)-1)*100</f>
        <v>2.1988527724665197</v>
      </c>
      <c r="F53" s="22">
        <f t="shared" si="6"/>
        <v>2.5837320574162881</v>
      </c>
      <c r="G53" s="22">
        <f t="shared" si="6"/>
        <v>2.1093000958772867</v>
      </c>
      <c r="H53" s="22">
        <f t="shared" si="6"/>
        <v>2.207293666026855</v>
      </c>
      <c r="I53" s="22">
        <f t="shared" si="6"/>
        <v>2.4038461538461453</v>
      </c>
      <c r="J53" s="22">
        <f t="shared" si="6"/>
        <v>2.4038461538461453</v>
      </c>
    </row>
    <row r="54" spans="2:10" ht="17.25" customHeight="1" x14ac:dyDescent="0.25">
      <c r="B54" s="11" t="s">
        <v>20</v>
      </c>
      <c r="C54" s="18" t="s">
        <v>57</v>
      </c>
      <c r="D54" s="21">
        <v>21.3074017469268</v>
      </c>
      <c r="E54" s="22">
        <f t="shared" ref="E54:J54" si="7">(((1+E50%)*(1+E51%))/(1+E49%)-1)*100</f>
        <v>3.6892925430210166</v>
      </c>
      <c r="F54" s="22">
        <f t="shared" si="7"/>
        <v>3.7885167464114744</v>
      </c>
      <c r="G54" s="22">
        <f t="shared" si="7"/>
        <v>4.1850431447746805</v>
      </c>
      <c r="H54" s="22">
        <f t="shared" si="7"/>
        <v>4.2850287907869378</v>
      </c>
      <c r="I54" s="22">
        <f t="shared" si="7"/>
        <v>4.584615384615387</v>
      </c>
      <c r="J54" s="22">
        <f t="shared" si="7"/>
        <v>4.584615384615387</v>
      </c>
    </row>
    <row r="55" spans="2:10" ht="17.25" customHeight="1" x14ac:dyDescent="0.25">
      <c r="B55" s="11" t="s">
        <v>30</v>
      </c>
      <c r="C55" s="18" t="s">
        <v>58</v>
      </c>
      <c r="D55" s="21">
        <v>7.3355141481062134</v>
      </c>
      <c r="E55" s="22">
        <f t="shared" ref="E55:J55" si="8">((1-D52%)*E53%+D52%*E54%)*100</f>
        <v>2.6012715105162334</v>
      </c>
      <c r="F55" s="22">
        <f t="shared" si="8"/>
        <v>2.9090239234449884</v>
      </c>
      <c r="G55" s="22">
        <f t="shared" si="8"/>
        <v>2.6697507190795831</v>
      </c>
      <c r="H55" s="22">
        <f t="shared" si="8"/>
        <v>2.7682821497120775</v>
      </c>
      <c r="I55" s="22">
        <f t="shared" si="8"/>
        <v>2.9926538461538406</v>
      </c>
      <c r="J55" s="22">
        <f t="shared" si="8"/>
        <v>2.9926538461538406</v>
      </c>
    </row>
    <row r="56" spans="2:10" ht="17.25" customHeight="1" x14ac:dyDescent="0.25">
      <c r="B56" s="11" t="s">
        <v>24</v>
      </c>
      <c r="C56" s="18" t="s">
        <v>25</v>
      </c>
      <c r="D56" s="21">
        <v>5.0572023730628884E-2</v>
      </c>
      <c r="E56" s="22">
        <f>'Baseline Scenario'!E30</f>
        <v>0</v>
      </c>
      <c r="F56" s="22">
        <f>'Baseline Scenario'!F30</f>
        <v>0.1</v>
      </c>
      <c r="G56" s="22">
        <f>'Baseline Scenario'!G30</f>
        <v>0.3</v>
      </c>
      <c r="H56" s="22">
        <f>'Baseline Scenario'!H30</f>
        <v>0.5</v>
      </c>
      <c r="I56" s="22">
        <f>'Baseline Scenario'!I30</f>
        <v>0.5</v>
      </c>
      <c r="J56" s="22">
        <f>'Baseline Scenario'!J30</f>
        <v>0.5</v>
      </c>
    </row>
    <row r="57" spans="2:10" ht="17.25" customHeight="1" x14ac:dyDescent="0.25">
      <c r="B57" s="15" t="s">
        <v>26</v>
      </c>
      <c r="C57" s="24" t="s">
        <v>27</v>
      </c>
      <c r="D57" s="25">
        <v>58.095999999999997</v>
      </c>
      <c r="E57" s="59">
        <f t="shared" ref="E57:J57" si="9">((1+E55%)/(1+E47%))*D57-E56</f>
        <v>58.610850242624885</v>
      </c>
      <c r="F57" s="59">
        <f t="shared" si="9"/>
        <v>59.033190095997405</v>
      </c>
      <c r="G57" s="59">
        <f t="shared" si="9"/>
        <v>59.00452946485413</v>
      </c>
      <c r="H57" s="59">
        <f t="shared" si="9"/>
        <v>58.774624947752976</v>
      </c>
      <c r="I57" s="59">
        <f t="shared" si="9"/>
        <v>58.672576756416809</v>
      </c>
      <c r="J57" s="59">
        <f t="shared" si="9"/>
        <v>58.569837616183065</v>
      </c>
    </row>
    <row r="58" spans="2:10" ht="14.25" customHeight="1" x14ac:dyDescent="0.25">
      <c r="B58" s="11"/>
      <c r="C58" s="11"/>
      <c r="D58" s="11"/>
      <c r="E58" s="11"/>
      <c r="F58" s="11"/>
      <c r="G58" s="11"/>
      <c r="H58" s="11"/>
      <c r="I58" s="11"/>
      <c r="J58" s="11"/>
    </row>
    <row r="59" spans="2:10" ht="14.25" customHeight="1" x14ac:dyDescent="0.25">
      <c r="B59" s="11"/>
      <c r="C59" s="11"/>
      <c r="D59" s="11"/>
      <c r="E59" s="11"/>
      <c r="F59" s="11"/>
      <c r="G59" s="11"/>
      <c r="H59" s="11"/>
      <c r="I59" s="11"/>
      <c r="J59" s="11"/>
    </row>
    <row r="60" spans="2:10" ht="14.25" customHeight="1" x14ac:dyDescent="0.2">
      <c r="B60" s="72" t="s">
        <v>59</v>
      </c>
      <c r="C60" s="68"/>
      <c r="D60" s="68"/>
      <c r="E60" s="68"/>
      <c r="F60" s="69"/>
      <c r="G60" s="72"/>
      <c r="H60" s="68"/>
      <c r="I60" s="68"/>
      <c r="J60" s="69"/>
    </row>
    <row r="61" spans="2:10" ht="14.25" customHeight="1" x14ac:dyDescent="0.25">
      <c r="B61" s="11"/>
      <c r="C61" s="11"/>
      <c r="D61" s="12" t="s">
        <v>3</v>
      </c>
      <c r="E61" s="13"/>
      <c r="F61" s="13"/>
      <c r="G61" s="13" t="s">
        <v>4</v>
      </c>
      <c r="H61" s="14"/>
      <c r="I61" s="14"/>
      <c r="J61" s="14"/>
    </row>
    <row r="62" spans="2:10" ht="14.25" customHeight="1" x14ac:dyDescent="0.25">
      <c r="B62" s="15" t="s">
        <v>5</v>
      </c>
      <c r="C62" s="16"/>
      <c r="D62" s="16">
        <v>2016</v>
      </c>
      <c r="E62" s="17">
        <v>2017</v>
      </c>
      <c r="F62" s="17">
        <v>2018</v>
      </c>
      <c r="G62" s="17">
        <v>2019</v>
      </c>
      <c r="H62" s="17">
        <v>2020</v>
      </c>
      <c r="I62" s="17">
        <v>2021</v>
      </c>
      <c r="J62" s="17">
        <v>2022</v>
      </c>
    </row>
    <row r="63" spans="2:10" ht="14.25" customHeight="1" x14ac:dyDescent="0.25">
      <c r="B63" s="18"/>
      <c r="C63" s="11"/>
      <c r="D63" s="19"/>
      <c r="E63" s="13"/>
      <c r="F63" s="13"/>
      <c r="G63" s="13"/>
      <c r="H63" s="13"/>
      <c r="I63" s="13"/>
      <c r="J63" s="13"/>
    </row>
    <row r="64" spans="2:10" ht="17.25" customHeight="1" x14ac:dyDescent="0.25">
      <c r="B64" s="11" t="s">
        <v>6</v>
      </c>
      <c r="C64" s="18" t="s">
        <v>7</v>
      </c>
      <c r="D64" s="21">
        <v>2.3023979498444147</v>
      </c>
      <c r="E64" s="22">
        <f>'Baseline Scenario'!E21</f>
        <v>1.7</v>
      </c>
      <c r="F64" s="22">
        <f>'Baseline Scenario'!F21</f>
        <v>2</v>
      </c>
      <c r="G64" s="22">
        <f>'Baseline Scenario'!G21</f>
        <v>2.2000000000000002</v>
      </c>
      <c r="H64" s="22">
        <f>'Baseline Scenario'!H21</f>
        <v>2.2999999999999998</v>
      </c>
      <c r="I64" s="22">
        <f>'Baseline Scenario'!I21</f>
        <v>2.2999999999999998</v>
      </c>
      <c r="J64" s="22">
        <f>'Baseline Scenario'!J21</f>
        <v>2.2999999999999998</v>
      </c>
    </row>
    <row r="65" spans="2:10" ht="17.25" customHeight="1" x14ac:dyDescent="0.25">
      <c r="B65" s="11" t="s">
        <v>8</v>
      </c>
      <c r="C65" s="18" t="s">
        <v>9</v>
      </c>
      <c r="D65" s="21">
        <v>6.8796798812804747</v>
      </c>
      <c r="E65" s="22">
        <f>'Baseline Scenario'!E22</f>
        <v>6.9</v>
      </c>
      <c r="F65" s="22">
        <f>'Baseline Scenario'!F22</f>
        <v>7.2</v>
      </c>
      <c r="G65" s="22">
        <f>'Baseline Scenario'!G22</f>
        <v>6.5</v>
      </c>
      <c r="H65" s="22">
        <f>'Baseline Scenario'!H22</f>
        <v>6.5</v>
      </c>
      <c r="I65" s="22">
        <f>'Baseline Scenario'!I22</f>
        <v>6.5</v>
      </c>
      <c r="J65" s="22">
        <f>'Baseline Scenario'!J22</f>
        <v>6.5</v>
      </c>
    </row>
    <row r="66" spans="2:10" ht="17.25" customHeight="1" x14ac:dyDescent="0.25">
      <c r="B66" s="11" t="s">
        <v>10</v>
      </c>
      <c r="C66" s="18" t="s">
        <v>11</v>
      </c>
      <c r="D66" s="21">
        <v>4.6118726429410284</v>
      </c>
      <c r="E66" s="22">
        <f>'Baseline Scenario'!E23</f>
        <v>4.5999999999999996</v>
      </c>
      <c r="F66" s="22">
        <f>'Baseline Scenario'!F23</f>
        <v>4.5</v>
      </c>
      <c r="G66" s="22">
        <f>'Baseline Scenario'!G23</f>
        <v>4.3</v>
      </c>
      <c r="H66" s="22">
        <f>'Baseline Scenario'!H23</f>
        <v>4.2</v>
      </c>
      <c r="I66" s="22">
        <f>'Baseline Scenario'!I23</f>
        <v>4</v>
      </c>
      <c r="J66" s="22">
        <f>'Baseline Scenario'!J23</f>
        <v>4</v>
      </c>
    </row>
    <row r="67" spans="2:10" ht="17.25" customHeight="1" x14ac:dyDescent="0.25">
      <c r="B67" s="11" t="s">
        <v>12</v>
      </c>
      <c r="C67" s="18" t="s">
        <v>60</v>
      </c>
      <c r="D67" s="21">
        <v>5.3251738974542846</v>
      </c>
      <c r="E67" s="22">
        <f>'Baseline Scenario'!E24</f>
        <v>5.3</v>
      </c>
      <c r="F67" s="22">
        <f>'Baseline Scenario'!F24</f>
        <v>5.3</v>
      </c>
      <c r="G67" s="22">
        <f>'Baseline Scenario'!G24</f>
        <v>5.5</v>
      </c>
      <c r="H67" s="22">
        <f>'Baseline Scenario'!H24</f>
        <v>5.5</v>
      </c>
      <c r="I67" s="22">
        <f>'Baseline Scenario'!I24</f>
        <v>5.6</v>
      </c>
      <c r="J67" s="22">
        <f>'Baseline Scenario'!J24</f>
        <v>5.6</v>
      </c>
    </row>
    <row r="68" spans="2:10" ht="17.25" customHeight="1" x14ac:dyDescent="0.25">
      <c r="B68" s="11" t="s">
        <v>14</v>
      </c>
      <c r="C68" s="18" t="s">
        <v>15</v>
      </c>
      <c r="D68" s="21">
        <v>20.485862900648023</v>
      </c>
      <c r="E68" s="22">
        <f>'Baseline Scenario'!E25</f>
        <v>3</v>
      </c>
      <c r="F68" s="22">
        <f>'Baseline Scenario'!F25</f>
        <v>3</v>
      </c>
      <c r="G68" s="22">
        <f>'Baseline Scenario'!G25</f>
        <v>3</v>
      </c>
      <c r="H68" s="22">
        <f>'Baseline Scenario'!H25</f>
        <v>3</v>
      </c>
      <c r="I68" s="22">
        <f>'Baseline Scenario'!I25</f>
        <v>3</v>
      </c>
      <c r="J68" s="22">
        <f>'Baseline Scenario'!J25</f>
        <v>3</v>
      </c>
    </row>
    <row r="69" spans="2:10" ht="17.25" customHeight="1" x14ac:dyDescent="0.25">
      <c r="B69" s="11" t="s">
        <v>16</v>
      </c>
      <c r="C69" s="18" t="s">
        <v>17</v>
      </c>
      <c r="D69" s="21">
        <v>27</v>
      </c>
      <c r="E69" s="22">
        <f t="shared" ref="E69:J69" si="10">D69</f>
        <v>27</v>
      </c>
      <c r="F69" s="22">
        <f t="shared" si="10"/>
        <v>27</v>
      </c>
      <c r="G69" s="22">
        <f t="shared" si="10"/>
        <v>27</v>
      </c>
      <c r="H69" s="22">
        <f t="shared" si="10"/>
        <v>27</v>
      </c>
      <c r="I69" s="22">
        <f t="shared" si="10"/>
        <v>27</v>
      </c>
      <c r="J69" s="22">
        <f t="shared" si="10"/>
        <v>27</v>
      </c>
    </row>
    <row r="70" spans="2:10" ht="17.25" customHeight="1" x14ac:dyDescent="0.25">
      <c r="B70" s="11" t="s">
        <v>18</v>
      </c>
      <c r="C70" s="18" t="s">
        <v>19</v>
      </c>
      <c r="D70" s="21">
        <v>2.1678296937479136</v>
      </c>
      <c r="E70" s="22">
        <f t="shared" ref="E70:J70" si="11">((1+E65%)/(1+E66%)-1)*100</f>
        <v>2.1988527724665197</v>
      </c>
      <c r="F70" s="22">
        <f t="shared" si="11"/>
        <v>2.5837320574162881</v>
      </c>
      <c r="G70" s="22">
        <f t="shared" si="11"/>
        <v>2.1093000958772867</v>
      </c>
      <c r="H70" s="22">
        <f t="shared" si="11"/>
        <v>2.207293666026855</v>
      </c>
      <c r="I70" s="22">
        <f t="shared" si="11"/>
        <v>2.4038461538461453</v>
      </c>
      <c r="J70" s="22">
        <f t="shared" si="11"/>
        <v>2.4038461538461453</v>
      </c>
    </row>
    <row r="71" spans="2:10" ht="17.25" customHeight="1" x14ac:dyDescent="0.25">
      <c r="B71" s="11" t="s">
        <v>20</v>
      </c>
      <c r="C71" s="18" t="s">
        <v>61</v>
      </c>
      <c r="D71" s="21">
        <v>21.3074017469268</v>
      </c>
      <c r="E71" s="22">
        <f t="shared" ref="E71:J71" si="12">(((1+E67%)*(1+E68%))/(1+E66%)-1)*100</f>
        <v>3.6892925430210166</v>
      </c>
      <c r="F71" s="22">
        <f t="shared" si="12"/>
        <v>3.7885167464114744</v>
      </c>
      <c r="G71" s="22">
        <f t="shared" si="12"/>
        <v>4.1850431447746805</v>
      </c>
      <c r="H71" s="22">
        <f t="shared" si="12"/>
        <v>4.2850287907869378</v>
      </c>
      <c r="I71" s="22">
        <f t="shared" si="12"/>
        <v>4.584615384615387</v>
      </c>
      <c r="J71" s="22">
        <f t="shared" si="12"/>
        <v>4.584615384615387</v>
      </c>
    </row>
    <row r="72" spans="2:10" ht="17.25" customHeight="1" x14ac:dyDescent="0.25">
      <c r="B72" s="11" t="s">
        <v>30</v>
      </c>
      <c r="C72" s="18" t="s">
        <v>62</v>
      </c>
      <c r="D72" s="21">
        <v>7.3355141481062134</v>
      </c>
      <c r="E72" s="22">
        <f t="shared" ref="E72:J72" si="13">((1-D69%)*E70%+D69%*E71%)*100</f>
        <v>2.6012715105162334</v>
      </c>
      <c r="F72" s="22">
        <f t="shared" si="13"/>
        <v>2.9090239234449884</v>
      </c>
      <c r="G72" s="22">
        <f t="shared" si="13"/>
        <v>2.6697507190795831</v>
      </c>
      <c r="H72" s="22">
        <f t="shared" si="13"/>
        <v>2.7682821497120775</v>
      </c>
      <c r="I72" s="22">
        <f t="shared" si="13"/>
        <v>2.9926538461538406</v>
      </c>
      <c r="J72" s="22">
        <f t="shared" si="13"/>
        <v>2.9926538461538406</v>
      </c>
    </row>
    <row r="73" spans="2:10" ht="17.25" customHeight="1" x14ac:dyDescent="0.25">
      <c r="B73" s="11" t="s">
        <v>24</v>
      </c>
      <c r="C73" s="18" t="s">
        <v>25</v>
      </c>
      <c r="D73" s="21">
        <v>5.0572023730628884E-2</v>
      </c>
      <c r="E73" s="23">
        <f>-2%*100</f>
        <v>-2</v>
      </c>
      <c r="F73" s="23">
        <f>-2%*100</f>
        <v>-2</v>
      </c>
      <c r="G73" s="22">
        <f>'Baseline Scenario'!G30</f>
        <v>0.3</v>
      </c>
      <c r="H73" s="22">
        <f>'Baseline Scenario'!H30</f>
        <v>0.5</v>
      </c>
      <c r="I73" s="22">
        <f>'Baseline Scenario'!I30</f>
        <v>0.5</v>
      </c>
      <c r="J73" s="22">
        <f>'Baseline Scenario'!J30</f>
        <v>0.5</v>
      </c>
    </row>
    <row r="74" spans="2:10" ht="17.25" customHeight="1" x14ac:dyDescent="0.25">
      <c r="B74" s="15" t="s">
        <v>26</v>
      </c>
      <c r="C74" s="24" t="s">
        <v>27</v>
      </c>
      <c r="D74" s="25">
        <v>58.095999999999997</v>
      </c>
      <c r="E74" s="59">
        <f t="shared" ref="E74:J74" si="14">((1+E72%)/(1+E64%))*D74-E73</f>
        <v>60.610850242624885</v>
      </c>
      <c r="F74" s="59">
        <f t="shared" si="14"/>
        <v>63.151014094496325</v>
      </c>
      <c r="G74" s="59">
        <f t="shared" si="14"/>
        <v>63.141280574745785</v>
      </c>
      <c r="H74" s="59">
        <f t="shared" si="14"/>
        <v>62.930312193544573</v>
      </c>
      <c r="I74" s="59">
        <f t="shared" si="14"/>
        <v>62.85640137028475</v>
      </c>
      <c r="J74" s="59">
        <f t="shared" si="14"/>
        <v>62.781990110895862</v>
      </c>
    </row>
    <row r="75" spans="2:10" ht="14.25" customHeight="1" x14ac:dyDescent="0.25">
      <c r="B75" s="11"/>
      <c r="C75" s="11"/>
      <c r="D75" s="11"/>
      <c r="E75" s="11"/>
      <c r="F75" s="11"/>
      <c r="G75" s="11"/>
      <c r="H75" s="11"/>
      <c r="I75" s="11"/>
      <c r="J75" s="11"/>
    </row>
    <row r="76" spans="2:10" ht="14.25" customHeight="1" x14ac:dyDescent="0.25">
      <c r="B76" s="11"/>
      <c r="C76" s="11"/>
      <c r="D76" s="11"/>
      <c r="E76" s="11"/>
      <c r="F76" s="11"/>
      <c r="G76" s="11"/>
      <c r="H76" s="11"/>
      <c r="I76" s="11"/>
      <c r="J76" s="11"/>
    </row>
    <row r="77" spans="2:10" ht="14.25" customHeight="1" x14ac:dyDescent="0.2">
      <c r="B77" s="72" t="s">
        <v>63</v>
      </c>
      <c r="C77" s="68"/>
      <c r="D77" s="68"/>
      <c r="E77" s="68"/>
      <c r="F77" s="69"/>
      <c r="G77" s="72"/>
      <c r="H77" s="68"/>
      <c r="I77" s="68"/>
      <c r="J77" s="69"/>
    </row>
    <row r="78" spans="2:10" ht="14.25" customHeight="1" x14ac:dyDescent="0.25">
      <c r="B78" s="11"/>
      <c r="C78" s="11"/>
      <c r="D78" s="12" t="s">
        <v>3</v>
      </c>
      <c r="E78" s="13"/>
      <c r="F78" s="13"/>
      <c r="G78" s="13" t="s">
        <v>4</v>
      </c>
      <c r="H78" s="14"/>
      <c r="I78" s="14"/>
      <c r="J78" s="14"/>
    </row>
    <row r="79" spans="2:10" ht="14.25" customHeight="1" x14ac:dyDescent="0.25">
      <c r="B79" s="15" t="s">
        <v>5</v>
      </c>
      <c r="C79" s="16"/>
      <c r="D79" s="16">
        <v>2016</v>
      </c>
      <c r="E79" s="17">
        <v>2017</v>
      </c>
      <c r="F79" s="17">
        <v>2018</v>
      </c>
      <c r="G79" s="17">
        <v>2019</v>
      </c>
      <c r="H79" s="17">
        <v>2020</v>
      </c>
      <c r="I79" s="17">
        <v>2021</v>
      </c>
      <c r="J79" s="17">
        <v>2022</v>
      </c>
    </row>
    <row r="80" spans="2:10" ht="14.25" customHeight="1" x14ac:dyDescent="0.25">
      <c r="B80" s="18"/>
      <c r="C80" s="11"/>
      <c r="D80" s="19"/>
      <c r="E80" s="13"/>
      <c r="F80" s="13"/>
      <c r="G80" s="13"/>
      <c r="H80" s="13"/>
      <c r="I80" s="13"/>
      <c r="J80" s="13"/>
    </row>
    <row r="81" spans="2:10" ht="17.25" customHeight="1" x14ac:dyDescent="0.25">
      <c r="B81" s="11" t="s">
        <v>6</v>
      </c>
      <c r="C81" s="18" t="s">
        <v>7</v>
      </c>
      <c r="D81" s="21">
        <v>2.3023979498444147</v>
      </c>
      <c r="E81" s="22">
        <f>'Baseline Scenario'!E21</f>
        <v>1.7</v>
      </c>
      <c r="F81" s="22">
        <f>'Baseline Scenario'!F21</f>
        <v>2</v>
      </c>
      <c r="G81" s="22">
        <f>'Baseline Scenario'!G21</f>
        <v>2.2000000000000002</v>
      </c>
      <c r="H81" s="22">
        <f>'Baseline Scenario'!H21</f>
        <v>2.2999999999999998</v>
      </c>
      <c r="I81" s="22">
        <f>'Baseline Scenario'!I21</f>
        <v>2.2999999999999998</v>
      </c>
      <c r="J81" s="22">
        <f>'Baseline Scenario'!J21</f>
        <v>2.2999999999999998</v>
      </c>
    </row>
    <row r="82" spans="2:10" ht="17.25" customHeight="1" x14ac:dyDescent="0.25">
      <c r="B82" s="11" t="s">
        <v>8</v>
      </c>
      <c r="C82" s="18" t="s">
        <v>9</v>
      </c>
      <c r="D82" s="21">
        <v>6.8796798812804747</v>
      </c>
      <c r="E82" s="22">
        <f>'Baseline Scenario'!E22</f>
        <v>6.9</v>
      </c>
      <c r="F82" s="22">
        <f>'Baseline Scenario'!F22</f>
        <v>7.2</v>
      </c>
      <c r="G82" s="22">
        <f>'Baseline Scenario'!G22</f>
        <v>6.5</v>
      </c>
      <c r="H82" s="22">
        <f>'Baseline Scenario'!H22</f>
        <v>6.5</v>
      </c>
      <c r="I82" s="22">
        <f>'Baseline Scenario'!I22</f>
        <v>6.5</v>
      </c>
      <c r="J82" s="22">
        <f>'Baseline Scenario'!J22</f>
        <v>6.5</v>
      </c>
    </row>
    <row r="83" spans="2:10" ht="17.25" customHeight="1" x14ac:dyDescent="0.25">
      <c r="B83" s="11" t="s">
        <v>10</v>
      </c>
      <c r="C83" s="18" t="s">
        <v>11</v>
      </c>
      <c r="D83" s="21">
        <v>4.6118726429410284</v>
      </c>
      <c r="E83" s="22">
        <f>'Baseline Scenario'!E23</f>
        <v>4.5999999999999996</v>
      </c>
      <c r="F83" s="22">
        <f>'Baseline Scenario'!F23</f>
        <v>4.5</v>
      </c>
      <c r="G83" s="22">
        <f>'Baseline Scenario'!G23</f>
        <v>4.3</v>
      </c>
      <c r="H83" s="22">
        <f>'Baseline Scenario'!H23</f>
        <v>4.2</v>
      </c>
      <c r="I83" s="22">
        <f>'Baseline Scenario'!I23</f>
        <v>4</v>
      </c>
      <c r="J83" s="22">
        <f>'Baseline Scenario'!J23</f>
        <v>4</v>
      </c>
    </row>
    <row r="84" spans="2:10" ht="17.25" customHeight="1" x14ac:dyDescent="0.25">
      <c r="B84" s="11" t="s">
        <v>12</v>
      </c>
      <c r="C84" s="18" t="s">
        <v>64</v>
      </c>
      <c r="D84" s="21">
        <v>5.3251738974542846</v>
      </c>
      <c r="E84" s="22">
        <f>'Baseline Scenario'!E24</f>
        <v>5.3</v>
      </c>
      <c r="F84" s="22">
        <f>'Baseline Scenario'!F24</f>
        <v>5.3</v>
      </c>
      <c r="G84" s="22">
        <f>'Baseline Scenario'!G24</f>
        <v>5.5</v>
      </c>
      <c r="H84" s="22">
        <f>'Baseline Scenario'!H24</f>
        <v>5.5</v>
      </c>
      <c r="I84" s="22">
        <f>'Baseline Scenario'!I24</f>
        <v>5.6</v>
      </c>
      <c r="J84" s="22">
        <f>'Baseline Scenario'!J24</f>
        <v>5.6</v>
      </c>
    </row>
    <row r="85" spans="2:10" ht="17.25" customHeight="1" x14ac:dyDescent="0.25">
      <c r="B85" s="11" t="s">
        <v>14</v>
      </c>
      <c r="C85" s="18" t="s">
        <v>15</v>
      </c>
      <c r="D85" s="21">
        <v>20.485862900648023</v>
      </c>
      <c r="E85" s="23">
        <f>25%*100</f>
        <v>25</v>
      </c>
      <c r="F85" s="22">
        <f>'Baseline Scenario'!F25</f>
        <v>3</v>
      </c>
      <c r="G85" s="22">
        <f>'Baseline Scenario'!G25</f>
        <v>3</v>
      </c>
      <c r="H85" s="22">
        <f>'Baseline Scenario'!H25</f>
        <v>3</v>
      </c>
      <c r="I85" s="22">
        <f>'Baseline Scenario'!I25</f>
        <v>3</v>
      </c>
      <c r="J85" s="22">
        <f>'Baseline Scenario'!J25</f>
        <v>3</v>
      </c>
    </row>
    <row r="86" spans="2:10" ht="17.25" customHeight="1" x14ac:dyDescent="0.25">
      <c r="B86" s="11" t="s">
        <v>16</v>
      </c>
      <c r="C86" s="18" t="s">
        <v>17</v>
      </c>
      <c r="D86" s="21">
        <v>27</v>
      </c>
      <c r="E86" s="22">
        <f t="shared" ref="E86:J86" si="15">D86</f>
        <v>27</v>
      </c>
      <c r="F86" s="22">
        <f t="shared" si="15"/>
        <v>27</v>
      </c>
      <c r="G86" s="22">
        <f t="shared" si="15"/>
        <v>27</v>
      </c>
      <c r="H86" s="22">
        <f t="shared" si="15"/>
        <v>27</v>
      </c>
      <c r="I86" s="22">
        <f t="shared" si="15"/>
        <v>27</v>
      </c>
      <c r="J86" s="22">
        <f t="shared" si="15"/>
        <v>27</v>
      </c>
    </row>
    <row r="87" spans="2:10" ht="17.25" customHeight="1" x14ac:dyDescent="0.25">
      <c r="B87" s="11" t="s">
        <v>18</v>
      </c>
      <c r="C87" s="18" t="s">
        <v>19</v>
      </c>
      <c r="D87" s="21">
        <v>2.1678296937479136</v>
      </c>
      <c r="E87" s="22">
        <f t="shared" ref="E87:J87" si="16">((1+E82%)/(1+E83%)-1)*100</f>
        <v>2.1988527724665197</v>
      </c>
      <c r="F87" s="22">
        <f t="shared" si="16"/>
        <v>2.5837320574162881</v>
      </c>
      <c r="G87" s="22">
        <f t="shared" si="16"/>
        <v>2.1093000958772867</v>
      </c>
      <c r="H87" s="22">
        <f t="shared" si="16"/>
        <v>2.207293666026855</v>
      </c>
      <c r="I87" s="22">
        <f t="shared" si="16"/>
        <v>2.4038461538461453</v>
      </c>
      <c r="J87" s="22">
        <f t="shared" si="16"/>
        <v>2.4038461538461453</v>
      </c>
    </row>
    <row r="88" spans="2:10" ht="17.25" customHeight="1" x14ac:dyDescent="0.25">
      <c r="B88" s="11" t="s">
        <v>20</v>
      </c>
      <c r="C88" s="18" t="s">
        <v>65</v>
      </c>
      <c r="D88" s="21">
        <v>21.3074017469268</v>
      </c>
      <c r="E88" s="22">
        <f t="shared" ref="E88:J88" si="17">(((1+E84%)*(1+E85%))/(1+E83%)-1)*100</f>
        <v>25.836520076481829</v>
      </c>
      <c r="F88" s="22">
        <f t="shared" si="17"/>
        <v>3.7885167464114744</v>
      </c>
      <c r="G88" s="22">
        <f t="shared" si="17"/>
        <v>4.1850431447746805</v>
      </c>
      <c r="H88" s="22">
        <f t="shared" si="17"/>
        <v>4.2850287907869378</v>
      </c>
      <c r="I88" s="22">
        <f t="shared" si="17"/>
        <v>4.584615384615387</v>
      </c>
      <c r="J88" s="22">
        <f t="shared" si="17"/>
        <v>4.584615384615387</v>
      </c>
    </row>
    <row r="89" spans="2:10" ht="17.25" customHeight="1" x14ac:dyDescent="0.25">
      <c r="B89" s="11" t="s">
        <v>30</v>
      </c>
      <c r="C89" s="18" t="s">
        <v>66</v>
      </c>
      <c r="D89" s="21">
        <v>7.3355141481062134</v>
      </c>
      <c r="E89" s="22">
        <f t="shared" ref="E89:J89" si="18">((1-D86%)*E87%+D86%*E88%)*100</f>
        <v>8.5810229445506536</v>
      </c>
      <c r="F89" s="22">
        <f t="shared" si="18"/>
        <v>2.9090239234449884</v>
      </c>
      <c r="G89" s="22">
        <f t="shared" si="18"/>
        <v>2.6697507190795831</v>
      </c>
      <c r="H89" s="22">
        <f t="shared" si="18"/>
        <v>2.7682821497120775</v>
      </c>
      <c r="I89" s="22">
        <f t="shared" si="18"/>
        <v>2.9926538461538406</v>
      </c>
      <c r="J89" s="22">
        <f t="shared" si="18"/>
        <v>2.9926538461538406</v>
      </c>
    </row>
    <row r="90" spans="2:10" ht="17.25" customHeight="1" x14ac:dyDescent="0.25">
      <c r="B90" s="11" t="s">
        <v>24</v>
      </c>
      <c r="C90" s="18" t="s">
        <v>25</v>
      </c>
      <c r="D90" s="21">
        <v>5.0572023730628884E-2</v>
      </c>
      <c r="E90" s="22">
        <f>'Baseline Scenario'!E30</f>
        <v>0</v>
      </c>
      <c r="F90" s="22">
        <f>'Baseline Scenario'!F30</f>
        <v>0.1</v>
      </c>
      <c r="G90" s="22">
        <f>'Baseline Scenario'!G30</f>
        <v>0.3</v>
      </c>
      <c r="H90" s="22">
        <f>'Baseline Scenario'!H30</f>
        <v>0.5</v>
      </c>
      <c r="I90" s="22">
        <f>'Baseline Scenario'!I30</f>
        <v>0.5</v>
      </c>
      <c r="J90" s="22">
        <f>'Baseline Scenario'!J30</f>
        <v>0.5</v>
      </c>
    </row>
    <row r="91" spans="2:10" ht="17.25" customHeight="1" x14ac:dyDescent="0.25">
      <c r="B91" s="15" t="s">
        <v>26</v>
      </c>
      <c r="C91" s="24" t="s">
        <v>27</v>
      </c>
      <c r="D91" s="25">
        <v>58.095999999999997</v>
      </c>
      <c r="E91" s="59">
        <f t="shared" ref="E91:J91" si="19">((1+E89%)/(1+E81%))*D91-E90</f>
        <v>62.026775899573401</v>
      </c>
      <c r="F91" s="59">
        <f t="shared" si="19"/>
        <v>62.479558479836861</v>
      </c>
      <c r="G91" s="59">
        <f t="shared" si="19"/>
        <v>62.466738690440373</v>
      </c>
      <c r="H91" s="59">
        <f t="shared" si="19"/>
        <v>62.252682568049977</v>
      </c>
      <c r="I91" s="59">
        <f t="shared" si="19"/>
        <v>62.174183643457148</v>
      </c>
      <c r="J91" s="59">
        <f t="shared" si="19"/>
        <v>62.095153217573625</v>
      </c>
    </row>
    <row r="92" spans="2:10" ht="14.25" customHeight="1" x14ac:dyDescent="0.25">
      <c r="B92" s="11"/>
      <c r="C92" s="11"/>
      <c r="D92" s="11"/>
      <c r="E92" s="11"/>
      <c r="F92" s="11"/>
      <c r="G92" s="11"/>
      <c r="H92" s="11"/>
      <c r="I92" s="11"/>
      <c r="J92" s="11"/>
    </row>
    <row r="93" spans="2:10" ht="14.25" customHeight="1" x14ac:dyDescent="0.25">
      <c r="B93" s="11"/>
      <c r="C93" s="11"/>
      <c r="D93" s="11"/>
      <c r="E93" s="11"/>
      <c r="F93" s="11"/>
      <c r="G93" s="11"/>
      <c r="H93" s="11"/>
      <c r="I93" s="11"/>
      <c r="J93" s="11"/>
    </row>
    <row r="94" spans="2:10" ht="14.25" customHeight="1" x14ac:dyDescent="0.2"/>
    <row r="95" spans="2:10" ht="14.25" customHeight="1" x14ac:dyDescent="0.2"/>
    <row r="96" spans="2:10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9">
    <mergeCell ref="B77:F77"/>
    <mergeCell ref="G77:J77"/>
    <mergeCell ref="B4:J4"/>
    <mergeCell ref="B26:F26"/>
    <mergeCell ref="G26:J26"/>
    <mergeCell ref="B43:F43"/>
    <mergeCell ref="G43:J43"/>
    <mergeCell ref="B60:F60"/>
    <mergeCell ref="G60:J60"/>
  </mergeCells>
  <pageMargins left="0.7" right="0.7" top="0.75" bottom="0.75" header="0" footer="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BFE3-7BA6-5140-A27D-CD69C721C810}">
  <sheetPr>
    <tabColor rgb="FF1E4E79"/>
  </sheetPr>
  <dimension ref="A1:AD1000"/>
  <sheetViews>
    <sheetView showGridLines="0" tabSelected="1" topLeftCell="B7" workbookViewId="0">
      <selection activeCell="E11" sqref="E11"/>
    </sheetView>
  </sheetViews>
  <sheetFormatPr baseColWidth="10" defaultColWidth="14.5" defaultRowHeight="15" customHeight="1" x14ac:dyDescent="0.2"/>
  <cols>
    <col min="1" max="1" width="3.6640625" customWidth="1"/>
    <col min="2" max="2" width="55.5" customWidth="1"/>
    <col min="3" max="3" width="5.6640625" customWidth="1"/>
    <col min="4" max="4" width="10" customWidth="1"/>
    <col min="5" max="5" width="10.1640625" customWidth="1"/>
    <col min="6" max="6" width="9" customWidth="1"/>
    <col min="7" max="7" width="9.1640625" customWidth="1"/>
    <col min="8" max="8" width="9.83203125" customWidth="1"/>
    <col min="9" max="9" width="10.1640625" customWidth="1"/>
    <col min="10" max="10" width="10.5" customWidth="1"/>
    <col min="11" max="11" width="6.6640625" customWidth="1"/>
    <col min="12" max="16" width="8.83203125" customWidth="1"/>
    <col min="17" max="17" width="9.33203125" customWidth="1"/>
    <col min="18" max="18" width="9.5" customWidth="1"/>
    <col min="19" max="30" width="8.83203125" customWidth="1"/>
  </cols>
  <sheetData>
    <row r="1" spans="1:30" ht="30" customHeight="1" x14ac:dyDescent="0.3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"/>
      <c r="R1" s="3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thickBot="1" x14ac:dyDescent="0.35">
      <c r="A2" s="4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4"/>
      <c r="R2" s="6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ht="14.25" customHeight="1" x14ac:dyDescent="0.2">
      <c r="E3" s="7"/>
      <c r="F3" s="7"/>
      <c r="G3" s="7"/>
      <c r="H3" s="7"/>
      <c r="I3" s="7"/>
      <c r="J3" s="7"/>
      <c r="K3" s="7"/>
      <c r="L3" s="7"/>
      <c r="M3" s="7"/>
      <c r="N3" s="7"/>
      <c r="O3" s="7"/>
      <c r="W3" s="8"/>
    </row>
    <row r="4" spans="1:30" ht="22.5" customHeight="1" x14ac:dyDescent="0.2">
      <c r="B4" s="64" t="s">
        <v>1</v>
      </c>
      <c r="C4" s="65"/>
      <c r="D4" s="65"/>
      <c r="E4" s="65"/>
      <c r="F4" s="65"/>
      <c r="G4" s="65"/>
      <c r="H4" s="65"/>
      <c r="I4" s="65"/>
      <c r="J4" s="66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22.5" customHeight="1" x14ac:dyDescent="0.2"/>
    <row r="6" spans="1:30" ht="14.25" customHeight="1" x14ac:dyDescent="0.25">
      <c r="B6" s="10"/>
    </row>
    <row r="7" spans="1:30" ht="14.25" customHeight="1" thickBot="1" x14ac:dyDescent="0.25">
      <c r="B7" s="67" t="s">
        <v>2</v>
      </c>
      <c r="C7" s="68"/>
      <c r="D7" s="68"/>
      <c r="E7" s="68"/>
      <c r="F7" s="68"/>
      <c r="G7" s="68"/>
      <c r="H7" s="68"/>
      <c r="I7" s="68"/>
      <c r="J7" s="69"/>
    </row>
    <row r="8" spans="1:30" ht="14.25" customHeight="1" x14ac:dyDescent="0.25">
      <c r="B8" s="11"/>
      <c r="C8" s="11"/>
      <c r="D8" s="12"/>
      <c r="E8" s="60"/>
      <c r="F8" s="60"/>
      <c r="G8" s="60"/>
      <c r="H8" s="61"/>
      <c r="I8" s="61"/>
      <c r="J8" s="61"/>
    </row>
    <row r="9" spans="1:30" ht="14.25" customHeight="1" x14ac:dyDescent="0.25">
      <c r="B9" s="15" t="s">
        <v>5</v>
      </c>
      <c r="C9" s="16"/>
      <c r="D9" s="75">
        <v>2019</v>
      </c>
      <c r="E9" s="75">
        <v>2020</v>
      </c>
      <c r="F9" s="75">
        <v>2021</v>
      </c>
      <c r="G9" s="75">
        <v>2022</v>
      </c>
      <c r="H9" s="75">
        <v>2023</v>
      </c>
      <c r="I9" s="75">
        <v>2024</v>
      </c>
      <c r="J9" s="83">
        <v>2025</v>
      </c>
      <c r="K9" s="83">
        <v>2026</v>
      </c>
      <c r="L9" s="83">
        <v>2027</v>
      </c>
    </row>
    <row r="10" spans="1:30" ht="14.25" customHeight="1" x14ac:dyDescent="0.25">
      <c r="B10" s="18"/>
      <c r="C10" s="11"/>
      <c r="D10" s="76"/>
      <c r="E10" s="77"/>
      <c r="F10" s="77"/>
      <c r="G10" s="77"/>
      <c r="H10" s="77"/>
      <c r="I10" s="77"/>
      <c r="J10" s="84"/>
      <c r="K10" s="85"/>
      <c r="L10" s="85"/>
      <c r="Q10" s="20"/>
    </row>
    <row r="11" spans="1:30" ht="14.25" customHeight="1" x14ac:dyDescent="0.25">
      <c r="B11" s="11" t="s">
        <v>6</v>
      </c>
      <c r="C11" s="18" t="s">
        <v>7</v>
      </c>
      <c r="D11" s="78">
        <v>2.5</v>
      </c>
      <c r="E11" s="79">
        <v>-2</v>
      </c>
      <c r="F11" s="79">
        <v>5.9</v>
      </c>
      <c r="G11" s="79">
        <v>1.5</v>
      </c>
      <c r="H11" s="79">
        <v>-0.17</v>
      </c>
      <c r="I11" s="79">
        <v>0.9</v>
      </c>
      <c r="J11" s="86">
        <v>2.37</v>
      </c>
      <c r="K11" s="86">
        <v>2.21</v>
      </c>
      <c r="L11" s="86">
        <v>2.2000000000000002</v>
      </c>
      <c r="M11" s="63"/>
    </row>
    <row r="12" spans="1:30" ht="17.25" customHeight="1" x14ac:dyDescent="0.25">
      <c r="B12" s="11" t="s">
        <v>8</v>
      </c>
      <c r="C12" s="18" t="s">
        <v>9</v>
      </c>
      <c r="D12" s="78">
        <v>0</v>
      </c>
      <c r="E12" s="78">
        <v>0</v>
      </c>
      <c r="F12" s="78">
        <v>0</v>
      </c>
      <c r="G12" s="78">
        <v>2.5</v>
      </c>
      <c r="H12" s="78">
        <v>4</v>
      </c>
      <c r="I12" s="78">
        <v>2.75</v>
      </c>
      <c r="J12" s="87">
        <v>2.25</v>
      </c>
      <c r="K12" s="87">
        <v>2.25</v>
      </c>
      <c r="L12" s="87">
        <v>2.25</v>
      </c>
    </row>
    <row r="13" spans="1:30" ht="18.75" customHeight="1" x14ac:dyDescent="0.25">
      <c r="B13" s="11" t="s">
        <v>10</v>
      </c>
      <c r="C13" s="18" t="s">
        <v>11</v>
      </c>
      <c r="D13" s="78">
        <v>2.42</v>
      </c>
      <c r="E13" s="79">
        <v>1.8</v>
      </c>
      <c r="F13" s="79">
        <v>2.7406299999999999</v>
      </c>
      <c r="G13" s="79">
        <v>5.7819399999999996</v>
      </c>
      <c r="H13" s="79">
        <v>6.14907</v>
      </c>
      <c r="I13" s="79">
        <v>2.2999999999999998</v>
      </c>
      <c r="J13" s="86">
        <v>1.4</v>
      </c>
      <c r="K13" s="86">
        <v>1.3</v>
      </c>
      <c r="L13" s="86">
        <v>1.3</v>
      </c>
    </row>
    <row r="14" spans="1:30" ht="20.25" customHeight="1" x14ac:dyDescent="0.25">
      <c r="B14" s="11" t="s">
        <v>12</v>
      </c>
      <c r="C14" s="18" t="s">
        <v>13</v>
      </c>
      <c r="D14" s="78">
        <v>2</v>
      </c>
      <c r="E14" s="78">
        <v>2</v>
      </c>
      <c r="F14" s="78">
        <v>2</v>
      </c>
      <c r="G14" s="78">
        <v>2</v>
      </c>
      <c r="H14" s="78">
        <v>2</v>
      </c>
      <c r="I14" s="78">
        <v>2</v>
      </c>
      <c r="J14" s="87">
        <v>2</v>
      </c>
      <c r="K14" s="87">
        <v>2</v>
      </c>
      <c r="L14" s="87">
        <v>2</v>
      </c>
    </row>
    <row r="15" spans="1:30" ht="19.5" customHeight="1" x14ac:dyDescent="0.25">
      <c r="B15" s="11" t="s">
        <v>14</v>
      </c>
      <c r="C15" s="18" t="s">
        <v>15</v>
      </c>
      <c r="D15" s="78">
        <v>8.121123970576269</v>
      </c>
      <c r="E15" s="78">
        <v>-2.7885403107867073</v>
      </c>
      <c r="F15" s="78">
        <v>-7.2508218250634222</v>
      </c>
      <c r="G15" s="78">
        <v>15.239992572458046</v>
      </c>
      <c r="H15" s="78">
        <v>4.6015958028199817</v>
      </c>
      <c r="I15" s="78">
        <v>-0.48734207777968319</v>
      </c>
      <c r="J15" s="87">
        <v>8.5595670995671043</v>
      </c>
      <c r="K15" s="87">
        <v>0.68787618228718883</v>
      </c>
      <c r="L15" s="87">
        <v>0</v>
      </c>
    </row>
    <row r="16" spans="1:30" ht="19.5" customHeight="1" x14ac:dyDescent="0.25">
      <c r="B16" s="11" t="s">
        <v>16</v>
      </c>
      <c r="C16" s="18" t="s">
        <v>17</v>
      </c>
      <c r="D16" s="78">
        <v>2.5</v>
      </c>
      <c r="E16" s="79">
        <v>2</v>
      </c>
      <c r="F16" s="79">
        <v>2</v>
      </c>
      <c r="G16" s="79">
        <v>1.5</v>
      </c>
      <c r="H16" s="79">
        <v>1.5</v>
      </c>
      <c r="I16" s="79">
        <v>1.5</v>
      </c>
      <c r="J16" s="86">
        <v>1</v>
      </c>
      <c r="K16" s="87">
        <v>0.5</v>
      </c>
      <c r="L16" s="87">
        <v>0</v>
      </c>
    </row>
    <row r="17" spans="2:14" ht="19.5" customHeight="1" x14ac:dyDescent="0.25">
      <c r="B17" s="11" t="s">
        <v>18</v>
      </c>
      <c r="C17" s="18" t="s">
        <v>19</v>
      </c>
      <c r="D17" s="78">
        <f>((1+D12%)/(1+D13%)-1)*100</f>
        <v>-2.362819761765278</v>
      </c>
      <c r="E17" s="78">
        <f t="shared" ref="E17:L17" si="0">((1+E12%)/(1+E13%)-1)*100</f>
        <v>-1.7681728880157177</v>
      </c>
      <c r="F17" s="78">
        <f t="shared" si="0"/>
        <v>-2.6675230626870827</v>
      </c>
      <c r="G17" s="78">
        <f t="shared" si="0"/>
        <v>-3.1025522882261569</v>
      </c>
      <c r="H17" s="78">
        <f t="shared" si="0"/>
        <v>-2.0245773231927444</v>
      </c>
      <c r="I17" s="78">
        <f t="shared" si="0"/>
        <v>0.43988269794723589</v>
      </c>
      <c r="J17" s="87">
        <f t="shared" si="0"/>
        <v>0.83826429980276007</v>
      </c>
      <c r="K17" s="87">
        <f t="shared" si="0"/>
        <v>0.9378084896347616</v>
      </c>
      <c r="L17" s="87">
        <f t="shared" si="0"/>
        <v>0.9378084896347616</v>
      </c>
    </row>
    <row r="18" spans="2:14" ht="19.5" customHeight="1" x14ac:dyDescent="0.25">
      <c r="B18" s="11" t="s">
        <v>20</v>
      </c>
      <c r="C18" s="18" t="s">
        <v>21</v>
      </c>
      <c r="D18" s="78">
        <f>(((1+D14%)*(1+D15%))/(1+D13%)-1)*100</f>
        <v>7.6777450204918773</v>
      </c>
      <c r="E18" s="78">
        <f t="shared" ref="E18:L18" si="1">(((1+E14%)*(1+E15%))/(1+E13%)-1)*100</f>
        <v>-2.5975551247568229</v>
      </c>
      <c r="F18" s="78">
        <f t="shared" si="1"/>
        <v>-7.9194260941992329</v>
      </c>
      <c r="G18" s="78">
        <f t="shared" si="1"/>
        <v>11.119906123774248</v>
      </c>
      <c r="H18" s="78">
        <f t="shared" si="1"/>
        <v>0.51301223729645073</v>
      </c>
      <c r="I18" s="78">
        <f t="shared" si="1"/>
        <v>-0.77916805409118384</v>
      </c>
      <c r="J18" s="87">
        <f t="shared" si="1"/>
        <v>9.201931401931418</v>
      </c>
      <c r="K18" s="87">
        <f t="shared" si="1"/>
        <v>1.3836463039811786</v>
      </c>
      <c r="L18" s="87">
        <f t="shared" si="1"/>
        <v>0.69101678183614013</v>
      </c>
    </row>
    <row r="19" spans="2:14" ht="19.5" customHeight="1" x14ac:dyDescent="0.25">
      <c r="B19" s="11" t="s">
        <v>22</v>
      </c>
      <c r="C19" s="18" t="s">
        <v>23</v>
      </c>
      <c r="D19" s="78">
        <f>(2.5%*D18%+(1-2.5%)*D17%)*100</f>
        <v>-2.1118056422088491</v>
      </c>
      <c r="E19" s="80">
        <f>(D16%*E18%+(1-D16%)*E17%)*100</f>
        <v>-1.7889074439342452</v>
      </c>
      <c r="F19" s="80">
        <f t="shared" ref="F19:L19" si="2">(E16%*F18%+(1-E16%)*F17%)*100</f>
        <v>-2.7725611233173257</v>
      </c>
      <c r="G19" s="80">
        <f t="shared" si="2"/>
        <v>-2.8181031199861488</v>
      </c>
      <c r="H19" s="80">
        <f t="shared" si="2"/>
        <v>-1.9865134797854063</v>
      </c>
      <c r="I19" s="80">
        <f t="shared" si="2"/>
        <v>0.42159693666665954</v>
      </c>
      <c r="J19" s="88">
        <f t="shared" si="2"/>
        <v>0.96371930633468994</v>
      </c>
      <c r="K19" s="88">
        <f t="shared" si="2"/>
        <v>0.94226686777822577</v>
      </c>
      <c r="L19" s="88">
        <f t="shared" si="2"/>
        <v>0.93657453109576849</v>
      </c>
    </row>
    <row r="20" spans="2:14" ht="14.25" customHeight="1" x14ac:dyDescent="0.25">
      <c r="B20" s="11" t="s">
        <v>24</v>
      </c>
      <c r="C20" s="18" t="s">
        <v>25</v>
      </c>
      <c r="D20" s="78">
        <v>0.3</v>
      </c>
      <c r="E20" s="79">
        <v>-1</v>
      </c>
      <c r="F20" s="79">
        <v>-0.25</v>
      </c>
      <c r="G20" s="79">
        <v>0</v>
      </c>
      <c r="H20" s="79">
        <v>0.15</v>
      </c>
      <c r="I20" s="79">
        <v>0.2</v>
      </c>
      <c r="J20" s="86">
        <v>0</v>
      </c>
      <c r="K20" s="89">
        <v>0.2</v>
      </c>
      <c r="L20" s="89">
        <v>0.3</v>
      </c>
    </row>
    <row r="21" spans="2:14" ht="14.25" customHeight="1" x14ac:dyDescent="0.25">
      <c r="B21" s="15" t="s">
        <v>26</v>
      </c>
      <c r="C21" s="24" t="s">
        <v>27</v>
      </c>
      <c r="D21" s="81">
        <v>35.479999999999997</v>
      </c>
      <c r="E21" s="82">
        <v>39.83</v>
      </c>
      <c r="F21" s="82">
        <v>36.369999999999997</v>
      </c>
      <c r="G21" s="82">
        <v>32.69</v>
      </c>
      <c r="H21" s="82">
        <v>41.341034161517271</v>
      </c>
      <c r="I21" s="82">
        <v>41.859630193692105</v>
      </c>
      <c r="J21" s="92">
        <v>41.679464470896789</v>
      </c>
      <c r="K21" s="93">
        <v>41.535839916175597</v>
      </c>
      <c r="L21" s="93">
        <v>41.437569859922768</v>
      </c>
      <c r="N21" s="73" t="s">
        <v>79</v>
      </c>
    </row>
    <row r="22" spans="2:14" ht="14.25" customHeight="1" x14ac:dyDescent="0.25">
      <c r="B22" s="19"/>
      <c r="C22" s="18"/>
      <c r="D22" s="21">
        <f>((1+D19%)/(1+D11%)*42.26%-D20%)*100</f>
        <v>40.058586278636618</v>
      </c>
      <c r="E22" s="21">
        <f t="shared" ref="E22:L22" si="3">((1+E19%)/(1+E11%)*42.26%-E20%)*100</f>
        <v>43.351028279789176</v>
      </c>
      <c r="F22" s="21">
        <f t="shared" si="3"/>
        <v>39.049164937947211</v>
      </c>
      <c r="G22" s="21">
        <f t="shared" si="3"/>
        <v>40.462137558122024</v>
      </c>
      <c r="H22" s="21">
        <f t="shared" si="3"/>
        <v>41.341034161517271</v>
      </c>
      <c r="I22" s="21">
        <f t="shared" si="3"/>
        <v>41.859630193692105</v>
      </c>
      <c r="J22" s="21">
        <f t="shared" si="3"/>
        <v>41.679464470896789</v>
      </c>
      <c r="K22" s="21">
        <f t="shared" si="3"/>
        <v>41.535839916175597</v>
      </c>
      <c r="L22" s="21">
        <f t="shared" si="3"/>
        <v>41.437569859922768</v>
      </c>
      <c r="N22" s="95">
        <f>AVERAGE(D23:G23)</f>
        <v>4.6377292636237595</v>
      </c>
    </row>
    <row r="23" spans="2:14" ht="14.25" customHeight="1" x14ac:dyDescent="0.25">
      <c r="B23" s="11"/>
      <c r="C23" s="11"/>
      <c r="D23" s="94">
        <f>ABS(D21-D22)</f>
        <v>4.5785862786366209</v>
      </c>
      <c r="E23" s="94">
        <f t="shared" ref="E23:G23" si="4">ABS(E21-E22)</f>
        <v>3.5210282797891779</v>
      </c>
      <c r="F23" s="94">
        <f t="shared" si="4"/>
        <v>2.6791649379472133</v>
      </c>
      <c r="G23" s="94">
        <f t="shared" si="4"/>
        <v>7.7721375581220258</v>
      </c>
      <c r="H23" s="11"/>
      <c r="I23" s="11"/>
      <c r="J23" s="11"/>
    </row>
    <row r="24" spans="2:14" ht="14.25" customHeight="1" x14ac:dyDescent="0.2"/>
    <row r="25" spans="2:14" ht="14.25" customHeight="1" x14ac:dyDescent="0.2"/>
    <row r="26" spans="2:14" ht="14.25" customHeight="1" x14ac:dyDescent="0.25">
      <c r="B26" s="10"/>
    </row>
    <row r="27" spans="2:14" ht="14.25" customHeight="1" x14ac:dyDescent="0.2"/>
    <row r="28" spans="2:14" ht="14.25" customHeight="1" x14ac:dyDescent="0.2"/>
    <row r="29" spans="2:14" ht="14.25" customHeight="1" x14ac:dyDescent="0.2"/>
    <row r="30" spans="2:14" ht="14.25" customHeight="1" x14ac:dyDescent="0.2"/>
    <row r="31" spans="2:14" ht="14.25" customHeight="1" x14ac:dyDescent="0.2"/>
    <row r="32" spans="2:14" ht="14.25" customHeight="1" x14ac:dyDescent="0.2"/>
    <row r="33" spans="2:12" ht="14.25" customHeight="1" x14ac:dyDescent="0.2">
      <c r="B33" s="73" t="s">
        <v>67</v>
      </c>
    </row>
    <row r="34" spans="2:12" ht="14.25" customHeight="1" x14ac:dyDescent="0.2">
      <c r="B34" s="74" t="s">
        <v>68</v>
      </c>
    </row>
    <row r="35" spans="2:12" ht="14.25" customHeight="1" x14ac:dyDescent="0.2">
      <c r="B35" t="s">
        <v>69</v>
      </c>
    </row>
    <row r="36" spans="2:12" ht="14.25" customHeight="1" x14ac:dyDescent="0.2">
      <c r="B36" s="74" t="s">
        <v>70</v>
      </c>
    </row>
    <row r="37" spans="2:12" ht="14.25" customHeight="1" x14ac:dyDescent="0.2">
      <c r="B37" s="74" t="s">
        <v>71</v>
      </c>
    </row>
    <row r="38" spans="2:12" ht="14.25" customHeight="1" x14ac:dyDescent="0.2">
      <c r="B38" s="74" t="s">
        <v>72</v>
      </c>
    </row>
    <row r="39" spans="2:12" ht="14.25" customHeight="1" x14ac:dyDescent="0.2">
      <c r="B39" s="74" t="s">
        <v>73</v>
      </c>
    </row>
    <row r="40" spans="2:12" ht="14.25" customHeight="1" x14ac:dyDescent="0.2">
      <c r="B40" s="74" t="s">
        <v>74</v>
      </c>
    </row>
    <row r="41" spans="2:12" ht="14.25" customHeight="1" x14ac:dyDescent="0.2">
      <c r="B41" s="74" t="s">
        <v>76</v>
      </c>
    </row>
    <row r="42" spans="2:12" ht="14.25" customHeight="1" x14ac:dyDescent="0.2">
      <c r="B42" s="74" t="s">
        <v>77</v>
      </c>
    </row>
    <row r="43" spans="2:12" ht="14.25" customHeight="1" x14ac:dyDescent="0.2">
      <c r="B43" s="74" t="s">
        <v>78</v>
      </c>
    </row>
    <row r="44" spans="2:12" ht="14.25" customHeight="1" x14ac:dyDescent="0.25">
      <c r="C44" s="62">
        <v>2018</v>
      </c>
      <c r="D44" s="62">
        <v>2019</v>
      </c>
      <c r="E44" s="62">
        <v>2020</v>
      </c>
      <c r="F44" s="62">
        <v>2021</v>
      </c>
      <c r="G44" s="62">
        <v>2022</v>
      </c>
      <c r="H44" s="62">
        <v>2023</v>
      </c>
      <c r="I44" s="62">
        <v>2024</v>
      </c>
      <c r="J44" s="62">
        <v>2025</v>
      </c>
      <c r="K44" s="62">
        <v>2026</v>
      </c>
      <c r="L44" s="62">
        <v>2027</v>
      </c>
    </row>
    <row r="45" spans="2:12" ht="14.25" customHeight="1" x14ac:dyDescent="0.25">
      <c r="B45" s="11" t="s">
        <v>75</v>
      </c>
      <c r="C45" s="90">
        <v>8.6920999999999999</v>
      </c>
      <c r="D45" s="90">
        <v>9.4603900000000003</v>
      </c>
      <c r="E45" s="91">
        <v>9.2037399999999998</v>
      </c>
      <c r="F45" s="91">
        <v>8.5815099999999997</v>
      </c>
      <c r="G45" s="90">
        <v>10.12448</v>
      </c>
      <c r="H45" s="90">
        <v>10.61284</v>
      </c>
      <c r="I45" s="90">
        <v>10.56137</v>
      </c>
      <c r="J45" s="90">
        <v>11.55</v>
      </c>
      <c r="K45" s="90">
        <v>11.63</v>
      </c>
      <c r="L45" s="90">
        <v>11.63</v>
      </c>
    </row>
    <row r="46" spans="2:12" ht="14.25" customHeight="1" x14ac:dyDescent="0.2"/>
    <row r="47" spans="2:12" ht="14.25" customHeight="1" x14ac:dyDescent="0.2"/>
    <row r="48" spans="2:12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2">
    <mergeCell ref="B4:J4"/>
    <mergeCell ref="B7:J7"/>
  </mergeCells>
  <hyperlinks>
    <hyperlink ref="B34" r:id="rId1" xr:uid="{864B528C-3567-5449-8EA7-1A96184B155D}"/>
    <hyperlink ref="B36" r:id="rId2" xr:uid="{580F9A52-02B8-B54F-845C-DB86C78FADAC}"/>
    <hyperlink ref="B37" r:id="rId3" xr:uid="{49C27F44-18F2-F54B-9597-A6DF85A40B0B}"/>
    <hyperlink ref="B38" r:id="rId4" xr:uid="{2ADF7E5C-C23E-A14A-8F15-B5F75A3574D7}"/>
    <hyperlink ref="B39" r:id="rId5" xr:uid="{A6646C7E-2227-D444-8E83-D8BE7C997823}"/>
    <hyperlink ref="B40" r:id="rId6" location="result-section" xr:uid="{1EE12F01-0EAF-864F-9C2A-8D1C0799D41F}"/>
    <hyperlink ref="B41" r:id="rId7" xr:uid="{9CEBE252-56F9-4148-9DBA-BF3AC7377D35}"/>
    <hyperlink ref="B42" r:id="rId8" xr:uid="{6B0920DD-52BB-1143-93E7-0A4FF00B083A}"/>
    <hyperlink ref="B43" r:id="rId9" xr:uid="{5A920544-2B37-4748-84FC-2823BBCE9D56}"/>
  </hyperlinks>
  <pageMargins left="0.7" right="0.7" top="0.75" bottom="0.75" header="0" footer="0"/>
  <pageSetup paperSize="9" orientation="portrait"/>
  <drawing r:id="rId10"/>
  <legacy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Debt Dynamics</vt:lpstr>
      <vt:lpstr>Stabilizing Debt</vt:lpstr>
      <vt:lpstr>Baseline Scenario</vt:lpstr>
      <vt:lpstr>Stress Tests</vt:lpstr>
      <vt:lpstr>Sweden Debt Dynamics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 Isakova</dc:creator>
  <cp:lastModifiedBy>Nikita Kuznetsov</cp:lastModifiedBy>
  <dcterms:created xsi:type="dcterms:W3CDTF">2017-03-30T12:16:42Z</dcterms:created>
  <dcterms:modified xsi:type="dcterms:W3CDTF">2025-03-24T18:05:24Z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-485585121</vt:i4>
  </property>
  <property fmtid="{D5CDD505-2E9C-101B-9397-08002B2CF9AE}" pid="4" name="_EmailSubject">
    <vt:lpwstr>Module 7 and 8 beta testing completed</vt:lpwstr>
  </property>
  <property fmtid="{D5CDD505-2E9C-101B-9397-08002B2CF9AE}" pid="5" name="_AuthorEmail">
    <vt:lpwstr>GStisman@imf.org</vt:lpwstr>
  </property>
  <property fmtid="{D5CDD505-2E9C-101B-9397-08002B2CF9AE}" pid="6" name="_AuthorEmailDisplayName">
    <vt:lpwstr>Stisman, Gustavo</vt:lpwstr>
  </property>
  <property fmtid="{D5CDD505-2E9C-101B-9397-08002B2CF9AE}" pid="7" name="_PreviousAdHocReviewCycleID">
    <vt:i4>-485585121</vt:i4>
  </property>
  <property fmtid="{D5CDD505-2E9C-101B-9397-08002B2CF9AE}" pid="8" name="_ReviewingToolsShownOnce">
    <vt:lpwstr/>
  </property>
</Properties>
</file>