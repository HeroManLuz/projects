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filterPrivacy="1" hidePivotFieldList="1"/>
  <xr:revisionPtr revIDLastSave="0" documentId="13_ncr:1_{29D42EA4-5E2E-2B47-8B8B-8325E5863B25}" xr6:coauthVersionLast="47" xr6:coauthVersionMax="47" xr10:uidLastSave="{00000000-0000-0000-0000-000000000000}"/>
  <bookViews>
    <workbookView xWindow="0" yWindow="500" windowWidth="28300" windowHeight="15960" activeTab="1" xr2:uid="{00000000-000D-0000-FFFF-FFFF00000000}"/>
  </bookViews>
  <sheets>
    <sheet name="Variant 1" sheetId="7" r:id="rId1"/>
    <sheet name="Variant 2 " sheetId="5" r:id="rId2"/>
  </sheets>
  <definedNames>
    <definedName name="_xlnm._FilterDatabase" localSheetId="0" hidden="1">'Variant 1'!$Z$1:$AP$41</definedName>
    <definedName name="_xlnm._FilterDatabase" localSheetId="1" hidden="1">'Variant 2 '!$A$1:$O$36</definedName>
  </definedNames>
  <calcPr calcId="191029"/>
  <pivotCaches>
    <pivotCache cacheId="14" r:id="rId3"/>
    <pivotCache cacheId="2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5" l="1"/>
  <c r="AH4" i="5"/>
  <c r="AH5" i="5"/>
  <c r="AH6" i="5"/>
  <c r="AH7" i="5"/>
  <c r="AH8" i="5"/>
  <c r="AH9" i="5"/>
  <c r="AH10" i="5"/>
  <c r="AH11" i="5"/>
  <c r="AH12" i="5"/>
  <c r="AH13" i="5"/>
  <c r="AH14" i="5"/>
  <c r="AH15" i="5"/>
  <c r="AH16" i="5"/>
  <c r="AH17" i="5"/>
  <c r="AH18" i="5"/>
  <c r="AH19" i="5"/>
  <c r="AH20" i="5"/>
  <c r="AH21" i="5"/>
  <c r="AH22" i="5"/>
  <c r="AH23" i="5"/>
  <c r="AH24" i="5"/>
  <c r="AH25" i="5"/>
  <c r="AH26" i="5"/>
  <c r="AH27" i="5"/>
  <c r="AH28" i="5"/>
  <c r="AH29" i="5"/>
  <c r="AH30" i="5"/>
  <c r="AH31" i="5"/>
  <c r="AH32" i="5"/>
  <c r="AH33" i="5"/>
  <c r="AH34" i="5"/>
  <c r="AH35" i="5"/>
  <c r="AH36" i="5"/>
  <c r="AH2" i="5"/>
  <c r="AD3" i="5"/>
  <c r="AD4" i="5"/>
  <c r="AD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2" i="5"/>
  <c r="V4" i="5"/>
  <c r="X2" i="5"/>
  <c r="U2" i="5"/>
  <c r="W4" i="5"/>
  <c r="X4" i="5" s="1"/>
  <c r="U4" i="5"/>
  <c r="W3" i="5"/>
  <c r="X3" i="5" s="1"/>
  <c r="U3" i="5"/>
  <c r="V3" i="5" s="1"/>
  <c r="W2" i="5"/>
  <c r="V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2" i="5"/>
  <c r="R2" i="7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2" i="5"/>
  <c r="O3" i="5"/>
  <c r="O2" i="5"/>
  <c r="B44" i="5"/>
  <c r="N5" i="5"/>
  <c r="N6" i="5"/>
  <c r="N7" i="5"/>
  <c r="N12" i="5"/>
  <c r="N14" i="5"/>
  <c r="N15" i="5"/>
  <c r="N16" i="5"/>
  <c r="N24" i="5"/>
  <c r="N25" i="5"/>
  <c r="N26" i="5"/>
  <c r="N27" i="5"/>
  <c r="N28" i="5"/>
  <c r="N29" i="5"/>
  <c r="N3" i="5"/>
  <c r="N4" i="5"/>
  <c r="N8" i="5"/>
  <c r="N9" i="5"/>
  <c r="N10" i="5"/>
  <c r="N11" i="5"/>
  <c r="N13" i="5"/>
  <c r="N17" i="5"/>
  <c r="N18" i="5"/>
  <c r="N19" i="5"/>
  <c r="N20" i="5"/>
  <c r="N21" i="5"/>
  <c r="N22" i="5"/>
  <c r="N23" i="5"/>
  <c r="N30" i="5"/>
  <c r="N31" i="5"/>
  <c r="N32" i="5"/>
  <c r="N33" i="5"/>
  <c r="N34" i="5"/>
  <c r="N35" i="5"/>
  <c r="N36" i="5"/>
  <c r="N2" i="5"/>
  <c r="AU2" i="7"/>
  <c r="AU3" i="7"/>
  <c r="AU4" i="7"/>
  <c r="AU5" i="7"/>
  <c r="AU6" i="7"/>
  <c r="AU7" i="7"/>
  <c r="AU8" i="7"/>
  <c r="AU9" i="7"/>
  <c r="AU10" i="7"/>
  <c r="AU11" i="7"/>
  <c r="AU12" i="7"/>
  <c r="AU13" i="7"/>
  <c r="AU14" i="7"/>
  <c r="AU15" i="7"/>
  <c r="AU16" i="7"/>
  <c r="AU17" i="7"/>
  <c r="AU18" i="7"/>
  <c r="AU19" i="7"/>
  <c r="AU20" i="7"/>
  <c r="AU21" i="7"/>
  <c r="AU22" i="7"/>
  <c r="AU23" i="7"/>
  <c r="AU24" i="7"/>
  <c r="AU25" i="7"/>
  <c r="AU26" i="7"/>
  <c r="AU27" i="7"/>
  <c r="AU28" i="7"/>
  <c r="AU29" i="7"/>
  <c r="AU30" i="7"/>
  <c r="AU31" i="7"/>
  <c r="AU32" i="7"/>
  <c r="AU33" i="7"/>
  <c r="AU34" i="7"/>
  <c r="AU35" i="7"/>
  <c r="AU36" i="7"/>
  <c r="AU37" i="7"/>
  <c r="AU38" i="7"/>
  <c r="AU39" i="7"/>
  <c r="AU40" i="7"/>
  <c r="AU41" i="7"/>
  <c r="Q5" i="7"/>
  <c r="Q7" i="7"/>
  <c r="P12" i="7"/>
  <c r="P13" i="7"/>
  <c r="Q13" i="7" s="1"/>
  <c r="P14" i="7"/>
  <c r="Q14" i="7" s="1"/>
  <c r="P15" i="7"/>
  <c r="Q15" i="7" s="1"/>
  <c r="P16" i="7"/>
  <c r="Q16" i="7" s="1"/>
  <c r="P17" i="7"/>
  <c r="Q17" i="7" s="1"/>
  <c r="P18" i="7"/>
  <c r="P19" i="7"/>
  <c r="P20" i="7"/>
  <c r="P21" i="7"/>
  <c r="Q21" i="7" s="1"/>
  <c r="P22" i="7"/>
  <c r="Q22" i="7" s="1"/>
  <c r="P23" i="7"/>
  <c r="Q23" i="7" s="1"/>
  <c r="P24" i="7"/>
  <c r="Q24" i="7" s="1"/>
  <c r="P25" i="7"/>
  <c r="Q25" i="7" s="1"/>
  <c r="P26" i="7"/>
  <c r="P27" i="7"/>
  <c r="P28" i="7"/>
  <c r="P29" i="7"/>
  <c r="Q29" i="7" s="1"/>
  <c r="P30" i="7"/>
  <c r="Q30" i="7" s="1"/>
  <c r="P31" i="7"/>
  <c r="Q31" i="7" s="1"/>
  <c r="P32" i="7"/>
  <c r="Q32" i="7" s="1"/>
  <c r="P33" i="7"/>
  <c r="Q33" i="7" s="1"/>
  <c r="P34" i="7"/>
  <c r="P35" i="7"/>
  <c r="P36" i="7"/>
  <c r="P37" i="7"/>
  <c r="Q37" i="7" s="1"/>
  <c r="P38" i="7"/>
  <c r="Q38" i="7" s="1"/>
  <c r="P39" i="7"/>
  <c r="Q39" i="7" s="1"/>
  <c r="P40" i="7"/>
  <c r="Q40" i="7" s="1"/>
  <c r="P41" i="7"/>
  <c r="Q41" i="7" s="1"/>
  <c r="P3" i="7"/>
  <c r="P4" i="7"/>
  <c r="P5" i="7"/>
  <c r="P6" i="7"/>
  <c r="Q6" i="7" s="1"/>
  <c r="P7" i="7"/>
  <c r="P8" i="7"/>
  <c r="Q8" i="7" s="1"/>
  <c r="P9" i="7"/>
  <c r="Q9" i="7" s="1"/>
  <c r="P10" i="7"/>
  <c r="Q10" i="7" s="1"/>
  <c r="P11" i="7"/>
  <c r="P2" i="7"/>
  <c r="Q2" i="7" s="1"/>
  <c r="B44" i="7"/>
  <c r="Q3" i="7" s="1"/>
  <c r="N2" i="7"/>
  <c r="N4" i="7"/>
  <c r="N6" i="7"/>
  <c r="N5" i="7"/>
  <c r="N8" i="7"/>
  <c r="N7" i="7"/>
  <c r="N10" i="7"/>
  <c r="N12" i="7"/>
  <c r="N24" i="7"/>
  <c r="N21" i="7"/>
  <c r="N11" i="7"/>
  <c r="N14" i="7"/>
  <c r="N23" i="7"/>
  <c r="N13" i="7"/>
  <c r="N9" i="7"/>
  <c r="N19" i="7"/>
  <c r="N20" i="7"/>
  <c r="N27" i="7"/>
  <c r="N18" i="7"/>
  <c r="N15" i="7"/>
  <c r="N16" i="7"/>
  <c r="N29" i="7"/>
  <c r="N26" i="7"/>
  <c r="N30" i="7"/>
  <c r="N17" i="7"/>
  <c r="N37" i="7"/>
  <c r="N33" i="7"/>
  <c r="N34" i="7"/>
  <c r="N36" i="7"/>
  <c r="N31" i="7"/>
  <c r="N39" i="7"/>
  <c r="N35" i="7"/>
  <c r="N38" i="7"/>
  <c r="N41" i="7"/>
  <c r="N40" i="7"/>
  <c r="N22" i="7"/>
  <c r="N25" i="7"/>
  <c r="N28" i="7"/>
  <c r="N32" i="7"/>
  <c r="N3" i="7"/>
  <c r="O5" i="5" l="1"/>
  <c r="O25" i="5"/>
  <c r="O24" i="5"/>
  <c r="O15" i="5"/>
  <c r="O35" i="5"/>
  <c r="O33" i="5"/>
  <c r="B43" i="5"/>
  <c r="O9" i="5" s="1"/>
  <c r="O31" i="5"/>
  <c r="O17" i="5"/>
  <c r="O29" i="5"/>
  <c r="O14" i="5"/>
  <c r="O34" i="5"/>
  <c r="O16" i="5"/>
  <c r="O30" i="5"/>
  <c r="O13" i="5"/>
  <c r="O28" i="5"/>
  <c r="O12" i="5"/>
  <c r="O8" i="5"/>
  <c r="O4" i="5"/>
  <c r="O18" i="5"/>
  <c r="O23" i="5"/>
  <c r="O11" i="5"/>
  <c r="O27" i="5"/>
  <c r="O7" i="5"/>
  <c r="O20" i="5"/>
  <c r="O19" i="5"/>
  <c r="O32" i="5"/>
  <c r="O36" i="5"/>
  <c r="O22" i="5"/>
  <c r="O10" i="5"/>
  <c r="O26" i="5"/>
  <c r="O6" i="5"/>
  <c r="Q36" i="7"/>
  <c r="Q28" i="7"/>
  <c r="Q20" i="7"/>
  <c r="Q12" i="7"/>
  <c r="Q4" i="7"/>
  <c r="Q35" i="7"/>
  <c r="Q27" i="7"/>
  <c r="Q19" i="7"/>
  <c r="Q34" i="7"/>
  <c r="Q26" i="7"/>
  <c r="Q18" i="7"/>
  <c r="O21" i="7"/>
  <c r="R21" i="7" s="1"/>
  <c r="O9" i="7"/>
  <c r="R9" i="7" s="1"/>
  <c r="O31" i="7"/>
  <c r="R31" i="7" s="1"/>
  <c r="O38" i="7"/>
  <c r="R38" i="7" s="1"/>
  <c r="O37" i="7"/>
  <c r="R37" i="7" s="1"/>
  <c r="O28" i="7"/>
  <c r="R28" i="7" s="1"/>
  <c r="O20" i="7"/>
  <c r="R20" i="7" s="1"/>
  <c r="O12" i="7"/>
  <c r="R12" i="7" s="1"/>
  <c r="O4" i="7"/>
  <c r="R4" i="7" s="1"/>
  <c r="O13" i="7"/>
  <c r="R13" i="7" s="1"/>
  <c r="O19" i="7"/>
  <c r="R19" i="7" s="1"/>
  <c r="O2" i="7"/>
  <c r="O34" i="7"/>
  <c r="R34" i="7" s="1"/>
  <c r="O26" i="7"/>
  <c r="R26" i="7" s="1"/>
  <c r="O18" i="7"/>
  <c r="R18" i="7" s="1"/>
  <c r="O5" i="7"/>
  <c r="R5" i="7" s="1"/>
  <c r="O35" i="7"/>
  <c r="R35" i="7" s="1"/>
  <c r="O11" i="7"/>
  <c r="R11" i="7" s="1"/>
  <c r="O41" i="7"/>
  <c r="R41" i="7" s="1"/>
  <c r="O33" i="7"/>
  <c r="R33" i="7" s="1"/>
  <c r="O17" i="7"/>
  <c r="R17" i="7" s="1"/>
  <c r="Q11" i="7"/>
  <c r="B43" i="7"/>
  <c r="O7" i="7" s="1"/>
  <c r="R7" i="7" s="1"/>
  <c r="O27" i="7"/>
  <c r="R27" i="7" s="1"/>
  <c r="O3" i="7"/>
  <c r="R3" i="7" s="1"/>
  <c r="O25" i="7"/>
  <c r="R25" i="7" s="1"/>
  <c r="O40" i="7"/>
  <c r="R40" i="7" s="1"/>
  <c r="O32" i="7"/>
  <c r="R32" i="7" s="1"/>
  <c r="O24" i="7"/>
  <c r="R24" i="7" s="1"/>
  <c r="O8" i="7"/>
  <c r="R8" i="7" s="1"/>
  <c r="O21" i="5" l="1"/>
  <c r="O30" i="7"/>
  <c r="R30" i="7" s="1"/>
  <c r="O22" i="7"/>
  <c r="R22" i="7" s="1"/>
  <c r="O39" i="7"/>
  <c r="R39" i="7" s="1"/>
  <c r="O16" i="7"/>
  <c r="R16" i="7" s="1"/>
  <c r="O10" i="7"/>
  <c r="R10" i="7" s="1"/>
  <c r="O23" i="7"/>
  <c r="R23" i="7" s="1"/>
  <c r="O6" i="7"/>
  <c r="R6" i="7" s="1"/>
  <c r="W3" i="7"/>
  <c r="O29" i="7"/>
  <c r="R29" i="7" s="1"/>
  <c r="O14" i="7"/>
  <c r="R14" i="7" s="1"/>
  <c r="U4" i="7" s="1"/>
  <c r="O36" i="7"/>
  <c r="R36" i="7" s="1"/>
  <c r="O15" i="7"/>
  <c r="R15" i="7" s="1"/>
  <c r="W4" i="7" l="1"/>
  <c r="W2" i="7"/>
  <c r="X2" i="7" s="1"/>
  <c r="U2" i="7"/>
  <c r="U3" i="7"/>
  <c r="V3" i="7" s="1"/>
  <c r="V2" i="7" l="1"/>
  <c r="X4" i="7"/>
  <c r="X3" i="7"/>
  <c r="V4" i="7"/>
</calcChain>
</file>

<file path=xl/sharedStrings.xml><?xml version="1.0" encoding="utf-8"?>
<sst xmlns="http://schemas.openxmlformats.org/spreadsheetml/2006/main" count="553" uniqueCount="124">
  <si>
    <t>1Q</t>
  </si>
  <si>
    <t>2Q</t>
  </si>
  <si>
    <t>3Q</t>
  </si>
  <si>
    <t>4Q</t>
  </si>
  <si>
    <t>Profits per quarter</t>
  </si>
  <si>
    <t>Client  X1</t>
  </si>
  <si>
    <t>Client  X2</t>
  </si>
  <si>
    <t>Client  X3</t>
  </si>
  <si>
    <t>Client  X4</t>
  </si>
  <si>
    <t>Client  X5</t>
  </si>
  <si>
    <t>Client  X6</t>
  </si>
  <si>
    <t>Client  X7</t>
  </si>
  <si>
    <t>Client  X8</t>
  </si>
  <si>
    <t>Client  X9</t>
  </si>
  <si>
    <t>Client  X10</t>
  </si>
  <si>
    <t>Client  X11</t>
  </si>
  <si>
    <t>Client  X12</t>
  </si>
  <si>
    <t>Client  X13</t>
  </si>
  <si>
    <t>Client  X14</t>
  </si>
  <si>
    <t>Client  X15</t>
  </si>
  <si>
    <t>Client  X16</t>
  </si>
  <si>
    <t>Client  X17</t>
  </si>
  <si>
    <t>Client  X18</t>
  </si>
  <si>
    <t>Client  X19</t>
  </si>
  <si>
    <t>Client  X20</t>
  </si>
  <si>
    <t>Client  X21</t>
  </si>
  <si>
    <t>Client  X22</t>
  </si>
  <si>
    <t>Client  X23</t>
  </si>
  <si>
    <t>Client  X24</t>
  </si>
  <si>
    <t>Client  X25</t>
  </si>
  <si>
    <t>Client  X26</t>
  </si>
  <si>
    <t>Client  X27</t>
  </si>
  <si>
    <t>Client  X28</t>
  </si>
  <si>
    <t>Client  X29</t>
  </si>
  <si>
    <t>Client  X30</t>
  </si>
  <si>
    <t>Client  X31</t>
  </si>
  <si>
    <t>Client  X32</t>
  </si>
  <si>
    <t>Client  X33</t>
  </si>
  <si>
    <t>Client  X34</t>
  </si>
  <si>
    <t>Client  X35</t>
  </si>
  <si>
    <t>Client 1</t>
  </si>
  <si>
    <t>Client 5</t>
  </si>
  <si>
    <t>Client 6</t>
  </si>
  <si>
    <t>Client 2</t>
  </si>
  <si>
    <t>Client 3</t>
  </si>
  <si>
    <t>Client 8</t>
  </si>
  <si>
    <t>Client 7</t>
  </si>
  <si>
    <t>Client 4</t>
  </si>
  <si>
    <t>Client 9</t>
  </si>
  <si>
    <t>Client 10</t>
  </si>
  <si>
    <t>Client 11</t>
  </si>
  <si>
    <t>Client 12</t>
  </si>
  <si>
    <t>Client 13</t>
  </si>
  <si>
    <t>Client 14</t>
  </si>
  <si>
    <t>Client 15</t>
  </si>
  <si>
    <t>Client 16</t>
  </si>
  <si>
    <t>Client 17</t>
  </si>
  <si>
    <t>Client 18</t>
  </si>
  <si>
    <t>Client 19</t>
  </si>
  <si>
    <t>Client 20</t>
  </si>
  <si>
    <t>Client 21</t>
  </si>
  <si>
    <t>Client 22</t>
  </si>
  <si>
    <t>Client 23</t>
  </si>
  <si>
    <t>Client 24</t>
  </si>
  <si>
    <t>Client 25</t>
  </si>
  <si>
    <t>Client 26</t>
  </si>
  <si>
    <t>Client 27</t>
  </si>
  <si>
    <t>Client 28</t>
  </si>
  <si>
    <t>Client 29</t>
  </si>
  <si>
    <t>Client 30</t>
  </si>
  <si>
    <t>Client 31</t>
  </si>
  <si>
    <t>Client 32</t>
  </si>
  <si>
    <t>Client 33</t>
  </si>
  <si>
    <t>Client 34</t>
  </si>
  <si>
    <t>Client 35</t>
  </si>
  <si>
    <t>Client 36</t>
  </si>
  <si>
    <t>Client 37</t>
  </si>
  <si>
    <t>Client 38</t>
  </si>
  <si>
    <t>Client 39</t>
  </si>
  <si>
    <t>Client 40</t>
  </si>
  <si>
    <t>Profits per Q</t>
  </si>
  <si>
    <t>Average Profit</t>
  </si>
  <si>
    <t>Total Average Profit</t>
  </si>
  <si>
    <t>Cummaltive % of Avg. Profit</t>
  </si>
  <si>
    <t>Total Number of clients</t>
  </si>
  <si>
    <t>Cummulative Number of clients</t>
  </si>
  <si>
    <t>Cumumulative % of clients</t>
  </si>
  <si>
    <t>ABC category</t>
  </si>
  <si>
    <t>ABC Analysis</t>
  </si>
  <si>
    <t xml:space="preserve">A </t>
  </si>
  <si>
    <t>B</t>
  </si>
  <si>
    <t>C</t>
  </si>
  <si>
    <t>Number of clients</t>
  </si>
  <si>
    <t>% of clients</t>
  </si>
  <si>
    <t>Total Average Profit across quarters</t>
  </si>
  <si>
    <t>% of profit</t>
  </si>
  <si>
    <t>Sum</t>
  </si>
  <si>
    <t xml:space="preserve">Income Variability </t>
  </si>
  <si>
    <t>Clients</t>
  </si>
  <si>
    <t>Cummulative number of clients</t>
  </si>
  <si>
    <t>Cummulative % of clients</t>
  </si>
  <si>
    <t>XYZ category</t>
  </si>
  <si>
    <t>Total Profits</t>
  </si>
  <si>
    <t>A</t>
  </si>
  <si>
    <t>Z</t>
  </si>
  <si>
    <t>X</t>
  </si>
  <si>
    <t>Y</t>
  </si>
  <si>
    <t>Row Labels</t>
  </si>
  <si>
    <t>Grand Total</t>
  </si>
  <si>
    <t>Column Labels</t>
  </si>
  <si>
    <t>Total Sum. Total Profits</t>
  </si>
  <si>
    <t>Sum. Total Profits</t>
  </si>
  <si>
    <t>Profits</t>
  </si>
  <si>
    <t>Cummulative % of Avg. Profit</t>
  </si>
  <si>
    <t>ABC Category</t>
  </si>
  <si>
    <t>Standart Deviation</t>
  </si>
  <si>
    <t>Coefficient of variation</t>
  </si>
  <si>
    <t>Total Profit</t>
  </si>
  <si>
    <t>Sum of Total Profit</t>
  </si>
  <si>
    <t>Total Sum of Total Profit</t>
  </si>
  <si>
    <t>Total Count of Profits per quarter</t>
  </si>
  <si>
    <t>Count of Profits per quarter</t>
  </si>
  <si>
    <t>Total Count of Clients</t>
  </si>
  <si>
    <t>Count of Clients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</si>
</sst>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2">
    <xf numFmtId="0" fontId="0" fillId="0" borderId="0" xfId="0"/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  <xf numFmtId="1" fontId="0" fillId="0" borderId="2" xfId="0" applyNumberFormat="1" applyBorder="1"/>
    <xf numFmtId="1" fontId="0" fillId="0" borderId="3" xfId="0" applyNumberFormat="1" applyBorder="1"/>
    <xf numFmtId="1" fontId="0" fillId="0" borderId="4" xfId="0" applyNumberFormat="1" applyBorder="1"/>
    <xf numFmtId="1" fontId="1" fillId="0" borderId="1" xfId="0" applyNumberFormat="1" applyFont="1" applyBorder="1"/>
    <xf numFmtId="1" fontId="1" fillId="0" borderId="0" xfId="0" applyNumberFormat="1" applyFont="1"/>
    <xf numFmtId="9" fontId="0" fillId="0" borderId="0" xfId="1" applyFont="1"/>
    <xf numFmtId="1" fontId="1" fillId="6" borderId="3" xfId="0" applyNumberFormat="1" applyFont="1" applyFill="1" applyBorder="1" applyAlignment="1">
      <alignment horizontal="center" wrapText="1"/>
    </xf>
    <xf numFmtId="1" fontId="1" fillId="0" borderId="1" xfId="0" applyNumberFormat="1" applyFont="1" applyBorder="1" applyAlignment="1">
      <alignment wrapText="1"/>
    </xf>
    <xf numFmtId="1" fontId="1" fillId="2" borderId="1" xfId="0" applyNumberFormat="1" applyFont="1" applyFill="1" applyBorder="1" applyAlignment="1">
      <alignment horizontal="center" wrapText="1"/>
    </xf>
    <xf numFmtId="1" fontId="1" fillId="3" borderId="1" xfId="0" applyNumberFormat="1" applyFont="1" applyFill="1" applyBorder="1" applyAlignment="1">
      <alignment horizontal="center" wrapText="1"/>
    </xf>
    <xf numFmtId="1" fontId="1" fillId="4" borderId="1" xfId="0" applyNumberFormat="1" applyFont="1" applyFill="1" applyBorder="1" applyAlignment="1">
      <alignment horizontal="center" wrapText="1"/>
    </xf>
    <xf numFmtId="1" fontId="1" fillId="5" borderId="2" xfId="0" applyNumberFormat="1" applyFont="1" applyFill="1" applyBorder="1" applyAlignment="1">
      <alignment horizontal="center" wrapText="1"/>
    </xf>
    <xf numFmtId="0" fontId="0" fillId="7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3" fillId="4" borderId="5" xfId="0" applyFont="1" applyFill="1" applyBorder="1"/>
    <xf numFmtId="0" fontId="3" fillId="4" borderId="8" xfId="0" applyFont="1" applyFill="1" applyBorder="1"/>
    <xf numFmtId="3" fontId="0" fillId="0" borderId="1" xfId="0" applyNumberFormat="1" applyBorder="1"/>
    <xf numFmtId="0" fontId="3" fillId="8" borderId="9" xfId="0" applyFont="1" applyFill="1" applyBorder="1"/>
    <xf numFmtId="3" fontId="3" fillId="8" borderId="10" xfId="0" applyNumberFormat="1" applyFont="1" applyFill="1" applyBorder="1"/>
    <xf numFmtId="3" fontId="3" fillId="8" borderId="11" xfId="0" applyNumberFormat="1" applyFont="1" applyFill="1" applyBorder="1"/>
    <xf numFmtId="3" fontId="3" fillId="8" borderId="1" xfId="0" applyNumberFormat="1" applyFont="1" applyFill="1" applyBorder="1"/>
    <xf numFmtId="3" fontId="3" fillId="8" borderId="4" xfId="0" applyNumberFormat="1" applyFont="1" applyFill="1" applyBorder="1"/>
    <xf numFmtId="0" fontId="4" fillId="9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164" fontId="0" fillId="0" borderId="0" xfId="0" applyNumberFormat="1"/>
    <xf numFmtId="0" fontId="3" fillId="5" borderId="0" xfId="0" applyFont="1" applyFill="1" applyAlignment="1">
      <alignment horizontal="center" vertical="center" wrapText="1"/>
    </xf>
    <xf numFmtId="0" fontId="3" fillId="4" borderId="6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457200</xdr:colOff>
      <xdr:row>17</xdr:row>
      <xdr:rowOff>88900</xdr:rowOff>
    </xdr:from>
    <xdr:to>
      <xdr:col>57</xdr:col>
      <xdr:colOff>558800</xdr:colOff>
      <xdr:row>83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AF0F3FF-39F6-0531-441F-F6A9953F1AF4}"/>
            </a:ext>
          </a:extLst>
        </xdr:cNvPr>
        <xdr:cNvSpPr txBox="1"/>
      </xdr:nvSpPr>
      <xdr:spPr>
        <a:xfrm>
          <a:off x="34861500" y="3657600"/>
          <a:ext cx="6832600" cy="12509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Strategies for Each ABC-XYZ Segment</a:t>
          </a:r>
        </a:p>
        <a:p>
          <a:r>
            <a:rPr lang="en-US" sz="1100"/>
            <a:t>1. AX (High Profit, Low Variability)</a:t>
          </a:r>
        </a:p>
        <a:p>
          <a:r>
            <a:rPr lang="en-US" sz="1100"/>
            <a:t>Characteristics: 1 client contributing €58,174 with stable profits.</a:t>
          </a:r>
        </a:p>
        <a:p>
          <a:r>
            <a:rPr lang="en-US" sz="1100"/>
            <a:t>Strategy: Focus on retention and moderate growth.</a:t>
          </a:r>
        </a:p>
        <a:p>
          <a:r>
            <a:rPr lang="en-US" sz="1100"/>
            <a:t>Offer loyalty programs, premium services, or exclusive benefits to maintain their business.</a:t>
          </a:r>
        </a:p>
        <a:p>
          <a:r>
            <a:rPr lang="en-US" sz="1100"/>
            <a:t>Aim for a 5-10% profit increase (e.g., €2,909–€5,817) through upselling or cross-selling complementary products/services.</a:t>
          </a:r>
        </a:p>
        <a:p>
          <a:r>
            <a:rPr lang="en-US" sz="1100"/>
            <a:t>Use personalized communication to strengthen the relationship and ensure long-term stability.</a:t>
          </a:r>
        </a:p>
        <a:p>
          <a:r>
            <a:rPr lang="en-US" sz="1100"/>
            <a:t>2. AY (High Profit, Medium Variability)</a:t>
          </a:r>
        </a:p>
        <a:p>
          <a:r>
            <a:rPr lang="en-US" sz="1100"/>
            <a:t>Characteristics: 1 client contributing €23,188 with moderately variable profits.</a:t>
          </a:r>
        </a:p>
        <a:p>
          <a:r>
            <a:rPr lang="en-US" sz="1100"/>
            <a:t>Strategy: Stabilize profits while encouraging growth.</a:t>
          </a:r>
        </a:p>
        <a:p>
          <a:r>
            <a:rPr lang="en-US" sz="1100"/>
            <a:t>Provide incentives for consistent ordering, such as volume discounts or long-term contracts, to reduce variability.</a:t>
          </a:r>
        </a:p>
        <a:p>
          <a:r>
            <a:rPr lang="en-US" sz="1100"/>
            <a:t>Offer flexible payment terms or service packages to smooth out fluctuations.</a:t>
          </a:r>
        </a:p>
        <a:p>
          <a:r>
            <a:rPr lang="en-US" sz="1100"/>
            <a:t>Target a 10% profit increase (€2,319) while reducing variability by 10-15% through structured engagement.</a:t>
          </a:r>
        </a:p>
        <a:p>
          <a:r>
            <a:rPr lang="en-US" sz="1100"/>
            <a:t>3. AZ (High Profit, High Variability)</a:t>
          </a:r>
        </a:p>
        <a:p>
          <a:r>
            <a:rPr lang="en-US" sz="1100"/>
            <a:t>Characteristics: 7 clients contributing €184,003 with highly variable profits.</a:t>
          </a:r>
        </a:p>
        <a:p>
          <a:r>
            <a:rPr lang="en-US" sz="1100"/>
            <a:t>Strategy: Reduce variability and maximize profit potential.</a:t>
          </a:r>
        </a:p>
        <a:p>
          <a:r>
            <a:rPr lang="en-US" sz="1100"/>
            <a:t>Investigate causes of variability (e.g., seasonal trends, irregular orders) and address them with tailored solutions.</a:t>
          </a:r>
        </a:p>
        <a:p>
          <a:r>
            <a:rPr lang="en-US" sz="1100"/>
            <a:t>Offer incentives like prepaid plans or retainer agreements to encourage consistent engagement.</a:t>
          </a:r>
        </a:p>
        <a:p>
          <a:r>
            <a:rPr lang="en-US" sz="1100"/>
            <a:t>Implement tiered pricing to reward higher commitment, aiming to reduce variability by 20% and increase profits by 5-10% (e.g., €9,200–€18,400).</a:t>
          </a:r>
        </a:p>
        <a:p>
          <a:r>
            <a:rPr lang="en-US" sz="1100"/>
            <a:t>4. BX (Medium Profit, Low Variability)</a:t>
          </a:r>
        </a:p>
        <a:p>
          <a:r>
            <a:rPr lang="en-US" sz="1100"/>
            <a:t>Characteristics: No clients in this segment (profits: €0, clients: 0).</a:t>
          </a:r>
        </a:p>
        <a:p>
          <a:r>
            <a:rPr lang="en-US" sz="1100"/>
            <a:t>Strategy: N/A.</a:t>
          </a:r>
        </a:p>
        <a:p>
          <a:r>
            <a:rPr lang="en-US" sz="1100"/>
            <a:t>Since there are no clients here, no action is required. Focus resources on other segments.</a:t>
          </a:r>
        </a:p>
        <a:p>
          <a:r>
            <a:rPr lang="en-US" sz="1100"/>
            <a:t>5. BY (Medium Profit, Medium Variability)</a:t>
          </a:r>
        </a:p>
        <a:p>
          <a:r>
            <a:rPr lang="en-US" sz="1100"/>
            <a:t>Characteristics: 4 clients contributing €15,527 with moderately variable profits.</a:t>
          </a:r>
        </a:p>
        <a:p>
          <a:r>
            <a:rPr lang="en-US" sz="1100"/>
            <a:t>Strategy: Balance stability and moderate growth.</a:t>
          </a:r>
        </a:p>
        <a:p>
          <a:r>
            <a:rPr lang="en-US" sz="1100"/>
            <a:t>Offer small incentives, such as a 5% discount for stable quarterly orders, to encourage consistency.</a:t>
          </a:r>
        </a:p>
        <a:p>
          <a:r>
            <a:rPr lang="en-US" sz="1100"/>
            <a:t>Promote additional products/services to boost profits by 5% (e.g., €776).</a:t>
          </a:r>
        </a:p>
        <a:p>
          <a:r>
            <a:rPr lang="en-US" sz="1100"/>
            <a:t>Use regular check-ins or targeted campaigns to maintain engagement and reduce variability.</a:t>
          </a:r>
        </a:p>
        <a:p>
          <a:r>
            <a:rPr lang="en-US" sz="1100"/>
            <a:t>6. BZ (Medium Profit, High Variability)</a:t>
          </a:r>
        </a:p>
        <a:p>
          <a:r>
            <a:rPr lang="en-US" sz="1100"/>
            <a:t>Characteristics: 8 clients contributing €41,100 with highly variable profits.</a:t>
          </a:r>
        </a:p>
        <a:p>
          <a:r>
            <a:rPr lang="en-US" sz="1100"/>
            <a:t>Strategy: Assess profitability and stabilize if valuable.</a:t>
          </a:r>
        </a:p>
        <a:p>
          <a:r>
            <a:rPr lang="en-US" sz="1100"/>
            <a:t>Analyze the cost of serving these clients; if profitable, offer fixed-rate plans or tailored packages to reduce variability by 15-20%.</a:t>
          </a:r>
        </a:p>
        <a:p>
          <a:r>
            <a:rPr lang="en-US" sz="1100"/>
            <a:t>If costs outweigh benefits, consider reducing focus and reallocating resources to higher-value segments.</a:t>
          </a:r>
        </a:p>
        <a:p>
          <a:r>
            <a:rPr lang="en-US" sz="1100"/>
            <a:t>Target a 5% profit increase (€2,055) only if stabilization efforts succeed.</a:t>
          </a:r>
        </a:p>
        <a:p>
          <a:r>
            <a:rPr lang="en-US" sz="1100"/>
            <a:t>7. CX (Low Profit, Low Variability)</a:t>
          </a:r>
        </a:p>
        <a:p>
          <a:r>
            <a:rPr lang="en-US" sz="1100"/>
            <a:t>Characteristics: 9 clients contributing €3,718 with stable profits.</a:t>
          </a:r>
        </a:p>
        <a:p>
          <a:r>
            <a:rPr lang="en-US" sz="1100"/>
            <a:t>Strategy: Minimize costs while maintaining the relationship.</a:t>
          </a:r>
        </a:p>
        <a:p>
          <a:r>
            <a:rPr lang="en-US" sz="1100"/>
            <a:t>Shift to automated or self-service platforms to lower operational costs.</a:t>
          </a:r>
        </a:p>
        <a:p>
          <a:r>
            <a:rPr lang="en-US" sz="1100"/>
            <a:t>Explore efficient upselling or bundling low-cost services for a 2-5% profit increase (e.g., €74–€186).</a:t>
          </a:r>
        </a:p>
        <a:p>
          <a:r>
            <a:rPr lang="en-US" sz="1100"/>
            <a:t>Keep engagement minimal but consistent to retain stability.</a:t>
          </a:r>
        </a:p>
        <a:p>
          <a:r>
            <a:rPr lang="en-US" sz="1100"/>
            <a:t>8. CY (Low Profit, Medium Variability)</a:t>
          </a:r>
        </a:p>
        <a:p>
          <a:r>
            <a:rPr lang="en-US" sz="1100"/>
            <a:t>Characteristics: 9 clients contributing €11,795 with moderately variable profits.</a:t>
          </a:r>
        </a:p>
        <a:p>
          <a:r>
            <a:rPr lang="en-US" sz="1100"/>
            <a:t>Strategy: Low effort unless growth potential exists.</a:t>
          </a:r>
        </a:p>
        <a:p>
          <a:r>
            <a:rPr lang="en-US" sz="1100"/>
            <a:t>Monitor for signs of increased profit potential; if none, maintain with automated marketing or service options.</a:t>
          </a:r>
        </a:p>
        <a:p>
          <a:r>
            <a:rPr lang="en-US" sz="1100"/>
            <a:t>Offer small incentives for consistency (e.g., a 3% discount for regular orders) if growth is feasible.</a:t>
          </a:r>
        </a:p>
        <a:p>
          <a:r>
            <a:rPr lang="en-US" sz="1100"/>
            <a:t>Target a 5% profit increase (€590) only if clients show potential to move to a higher-profit segment.</a:t>
          </a:r>
        </a:p>
        <a:p>
          <a:r>
            <a:rPr lang="en-US" sz="1100"/>
            <a:t>9. CZ (Low Profit, High Variability)</a:t>
          </a:r>
        </a:p>
        <a:p>
          <a:r>
            <a:rPr lang="en-US" sz="1100"/>
            <a:t>Characteristics: 1 client contributing €2,276 with highly variable profits.</a:t>
          </a:r>
        </a:p>
        <a:p>
          <a:r>
            <a:rPr lang="en-US" sz="1100"/>
            <a:t>Strategy: De-prioritize unless strategic value exists.</a:t>
          </a:r>
        </a:p>
        <a:p>
          <a:r>
            <a:rPr lang="en-US" sz="1100"/>
            <a:t>Evaluate the cost of retention; if it exceeds the benefit, consider phasing out the relationship.</a:t>
          </a:r>
        </a:p>
        <a:p>
          <a:r>
            <a:rPr lang="en-US" sz="1100"/>
            <a:t>If strategically important (e.g., market foothold), offer a standardized package to limit variability.</a:t>
          </a:r>
        </a:p>
        <a:p>
          <a:r>
            <a:rPr lang="en-US" sz="1100"/>
            <a:t>Minimize resource allocation unless clear potential for a 10% profit increase (€228) emerges.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Summary of Key Strategies</a:t>
          </a:r>
        </a:p>
        <a:p>
          <a:r>
            <a:rPr lang="en-US" sz="1100"/>
            <a:t>High-profit segments (A):</a:t>
          </a:r>
        </a:p>
        <a:p>
          <a:r>
            <a:rPr lang="en-US" sz="1100"/>
            <a:t>AX: Retain and grow by 5-10% (€2,909–€5,817).</a:t>
          </a:r>
        </a:p>
        <a:p>
          <a:r>
            <a:rPr lang="en-US" sz="1100"/>
            <a:t>AY: Stabilize and grow by 10% (€2,319).</a:t>
          </a:r>
        </a:p>
        <a:p>
          <a:r>
            <a:rPr lang="en-US" sz="1100"/>
            <a:t>AZ: Reduce variability by 20%, grow by 5-10% (€9,200–€18,400).</a:t>
          </a:r>
        </a:p>
        <a:p>
          <a:r>
            <a:rPr lang="en-US" sz="1100"/>
            <a:t>Medium-profit segments (B):</a:t>
          </a:r>
        </a:p>
        <a:p>
          <a:r>
            <a:rPr lang="en-US" sz="1100"/>
            <a:t>BY: Stabilize and grow by 5% (€776).</a:t>
          </a:r>
        </a:p>
        <a:p>
          <a:r>
            <a:rPr lang="en-US" sz="1100"/>
            <a:t>BZ: Stabilize if profitable, grow by 5% (€2,055).</a:t>
          </a:r>
        </a:p>
        <a:p>
          <a:r>
            <a:rPr lang="en-US" sz="1100"/>
            <a:t>Low-profit segments (C):</a:t>
          </a:r>
        </a:p>
        <a:p>
          <a:r>
            <a:rPr lang="en-US" sz="1100"/>
            <a:t>CX: Minimize costs, grow by 2-5% (€74–€186).</a:t>
          </a:r>
        </a:p>
        <a:p>
          <a:r>
            <a:rPr lang="en-US" sz="1100"/>
            <a:t>CY: Low focus, grow by 5% (€590) if potential exists.</a:t>
          </a:r>
        </a:p>
        <a:p>
          <a:r>
            <a:rPr lang="en-US" sz="1100"/>
            <a:t>CZ: De-prioritize or stabilize for 10% growth (€228) if strategic.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508000</xdr:colOff>
      <xdr:row>17</xdr:row>
      <xdr:rowOff>139700</xdr:rowOff>
    </xdr:from>
    <xdr:to>
      <xdr:col>42</xdr:col>
      <xdr:colOff>76200</xdr:colOff>
      <xdr:row>99</xdr:row>
      <xdr:rowOff>63500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D5E5DB-BEE6-3F58-B629-37A4896D8DFC}"/>
            </a:ext>
          </a:extLst>
        </xdr:cNvPr>
        <xdr:cNvSpPr txBox="1"/>
      </xdr:nvSpPr>
      <xdr:spPr>
        <a:xfrm>
          <a:off x="26060400" y="4089400"/>
          <a:ext cx="5194300" cy="1554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Strategies for Each Cell</a:t>
          </a:r>
        </a:p>
        <a:p>
          <a:r>
            <a:rPr lang="en-US" b="1"/>
            <a:t>A-X (Profit: 108,206, Clients: 1)</a:t>
          </a:r>
        </a:p>
        <a:p>
          <a:r>
            <a:rPr lang="en-US" b="1"/>
            <a:t>Profile</a:t>
          </a:r>
          <a:r>
            <a:rPr lang="en-US"/>
            <a:t>: High profit from a single client (profit per client = 108,206), contributing 15.7% to total profits.</a:t>
          </a:r>
        </a:p>
        <a:p>
          <a:r>
            <a:rPr lang="en-US" b="1"/>
            <a:t>Strategy</a:t>
          </a:r>
          <a:r>
            <a:rPr lang="en-US"/>
            <a:t>: </a:t>
          </a:r>
        </a:p>
        <a:p>
          <a:pPr lvl="1"/>
          <a:r>
            <a:rPr lang="en-US" b="1"/>
            <a:t>Secure the Client</a:t>
          </a:r>
          <a:r>
            <a:rPr lang="en-US"/>
            <a:t>: Offer personalized services or a long-term contract with exclusive benefits to ensure loyalty, reducing risk from reliance on one client.</a:t>
          </a:r>
        </a:p>
        <a:p>
          <a:pPr lvl="1"/>
          <a:r>
            <a:rPr lang="en-US" b="1"/>
            <a:t>Increase Profit by 10%</a:t>
          </a:r>
          <a:r>
            <a:rPr lang="en-US"/>
            <a:t>: Target 119,027 (an increase of 10,821). Upsell additional products/services to this client or negotiate a slight price increase.</a:t>
          </a:r>
        </a:p>
        <a:p>
          <a:pPr lvl="1"/>
          <a:r>
            <a:rPr lang="en-US" b="1"/>
            <a:t>Diversify</a:t>
          </a:r>
          <a:r>
            <a:rPr lang="en-US"/>
            <a:t>: Launch a targeted marketing campaign to attract at least one more high-value client in this category, leveraging the current client’s profile.</a:t>
          </a:r>
        </a:p>
        <a:p>
          <a:r>
            <a:rPr lang="en-US" b="1"/>
            <a:t>A-Y (Profit: 355,465, Clients: 4)</a:t>
          </a:r>
        </a:p>
        <a:p>
          <a:r>
            <a:rPr lang="en-US" b="1"/>
            <a:t>Profile</a:t>
          </a:r>
          <a:r>
            <a:rPr lang="en-US"/>
            <a:t>: Highest profit cell (51.5% of total profits), with a solid profit per client (≈88,866).</a:t>
          </a:r>
        </a:p>
        <a:p>
          <a:r>
            <a:rPr lang="en-US" b="1"/>
            <a:t>Strategy</a:t>
          </a:r>
          <a:r>
            <a:rPr lang="en-US"/>
            <a:t>: </a:t>
          </a:r>
        </a:p>
        <a:p>
          <a:pPr lvl="1"/>
          <a:r>
            <a:rPr lang="en-US" b="1"/>
            <a:t>Expand Client Base</a:t>
          </a:r>
          <a:r>
            <a:rPr lang="en-US"/>
            <a:t>: Implement a referral program with incentives for existing clients to bring in similar businesses, aiming to add one more client.</a:t>
          </a:r>
        </a:p>
        <a:p>
          <a:pPr lvl="1"/>
          <a:r>
            <a:rPr lang="en-US" b="1"/>
            <a:t>Increase Profit by 10%</a:t>
          </a:r>
          <a:r>
            <a:rPr lang="en-US"/>
            <a:t>: Target 391,012 (an increase of 35,547). Upsell premium features or complementary services to current clients (e.g., each client increases spending by ≈8,887, or 10%).</a:t>
          </a:r>
        </a:p>
        <a:p>
          <a:pPr lvl="1"/>
          <a:r>
            <a:rPr lang="en-US" b="1"/>
            <a:t>Showcase Success</a:t>
          </a:r>
          <a:r>
            <a:rPr lang="en-US"/>
            <a:t>: Use this strong performance in marketing materials (e.g., case studies) to attract new clients.</a:t>
          </a:r>
        </a:p>
        <a:p>
          <a:r>
            <a:rPr lang="en-US" b="1"/>
            <a:t>A-Z (Profit: 74,416, Clients: 1)</a:t>
          </a:r>
        </a:p>
        <a:p>
          <a:r>
            <a:rPr lang="en-US" b="1"/>
            <a:t>Profile</a:t>
          </a:r>
          <a:r>
            <a:rPr lang="en-US"/>
            <a:t>: High profit from one client (profit per client = 74,416), contributing 10.8% to total profits.</a:t>
          </a:r>
        </a:p>
        <a:p>
          <a:r>
            <a:rPr lang="en-US" b="1"/>
            <a:t>Strategy</a:t>
          </a:r>
          <a:r>
            <a:rPr lang="en-US"/>
            <a:t>: </a:t>
          </a:r>
        </a:p>
        <a:p>
          <a:pPr lvl="1"/>
          <a:r>
            <a:rPr lang="en-US" b="1"/>
            <a:t>Stabilize Income</a:t>
          </a:r>
          <a:r>
            <a:rPr lang="en-US"/>
            <a:t>: Negotiate a multi-year contract with a small discount (e.g., 5%) for commitment, securing stable revenue.</a:t>
          </a:r>
        </a:p>
        <a:p>
          <a:pPr lvl="1"/>
          <a:r>
            <a:rPr lang="en-US" b="1"/>
            <a:t>Increase Profit by 10%</a:t>
          </a:r>
          <a:r>
            <a:rPr lang="en-US"/>
            <a:t>: Target 81,858 (an increase of 7,442). Offer additional value (e.g., enhanced support) to justify a higher price.</a:t>
          </a:r>
        </a:p>
        <a:p>
          <a:pPr lvl="1"/>
          <a:r>
            <a:rPr lang="en-US" b="1"/>
            <a:t>Grow</a:t>
          </a:r>
          <a:r>
            <a:rPr lang="en-US"/>
            <a:t>: Use this client as a reference to target similar clients in Z, aiming for at least one more.</a:t>
          </a:r>
        </a:p>
        <a:p>
          <a:r>
            <a:rPr lang="en-US" b="1"/>
            <a:t>B-X (Profit: 67,607, Clients: 3)</a:t>
          </a:r>
        </a:p>
        <a:p>
          <a:r>
            <a:rPr lang="en-US" b="1"/>
            <a:t>Profile</a:t>
          </a:r>
          <a:r>
            <a:rPr lang="en-US"/>
            <a:t>: Moderate profit with a profit per client of ≈22,536, contributing 9.8% to total profits.</a:t>
          </a:r>
        </a:p>
        <a:p>
          <a:r>
            <a:rPr lang="en-US" b="1"/>
            <a:t>Strategy</a:t>
          </a:r>
          <a:r>
            <a:rPr lang="en-US"/>
            <a:t>: </a:t>
          </a:r>
        </a:p>
        <a:p>
          <a:pPr lvl="1"/>
          <a:r>
            <a:rPr lang="en-US" b="1"/>
            <a:t>Grow Client Base</a:t>
          </a:r>
          <a:r>
            <a:rPr lang="en-US"/>
            <a:t>: Launch digital marketing campaigns to add two more clients, potentially increasing profit to ≈90,143 (assuming similar contribution).</a:t>
          </a:r>
        </a:p>
        <a:p>
          <a:pPr lvl="1"/>
          <a:r>
            <a:rPr lang="en-US" b="1"/>
            <a:t>Increase Profit by 10%</a:t>
          </a:r>
          <a:r>
            <a:rPr lang="en-US"/>
            <a:t>: Target 74,368 (an increase of 6,761). Introduce bundle deals to encourage higher purchases per client (e.g., ≈2,254 more per client).</a:t>
          </a:r>
        </a:p>
        <a:p>
          <a:pPr lvl="1"/>
          <a:r>
            <a:rPr lang="en-US" b="1"/>
            <a:t>Optimize</a:t>
          </a:r>
          <a:r>
            <a:rPr lang="en-US"/>
            <a:t>: Review pricing to balance competitiveness and profitability.</a:t>
          </a:r>
        </a:p>
        <a:p>
          <a:r>
            <a:rPr lang="en-US" b="1"/>
            <a:t>B-Y (Profit: 0, Clients: 0)</a:t>
          </a:r>
        </a:p>
        <a:p>
          <a:r>
            <a:rPr lang="en-US" b="1"/>
            <a:t>Profile</a:t>
          </a:r>
          <a:r>
            <a:rPr lang="en-US"/>
            <a:t>: No presence in Y, despite Y being the most profitable category overall (371,570).</a:t>
          </a:r>
        </a:p>
        <a:p>
          <a:r>
            <a:rPr lang="en-US" b="1"/>
            <a:t>Strategy</a:t>
          </a:r>
          <a:r>
            <a:rPr lang="en-US"/>
            <a:t>: </a:t>
          </a:r>
        </a:p>
        <a:p>
          <a:pPr lvl="1"/>
          <a:r>
            <a:rPr lang="en-US" b="1"/>
            <a:t>Explore Entry</a:t>
          </a:r>
          <a:r>
            <a:rPr lang="en-US"/>
            <a:t>: Conduct market research to assess demand and competition in Y. If viable, develop a minimum viable product/service and pilot it with a goal of acquiring two clients in the first year.</a:t>
          </a:r>
        </a:p>
        <a:p>
          <a:pPr lvl="1"/>
          <a:r>
            <a:rPr lang="en-US" b="1"/>
            <a:t>Leverage Y’s Potential</a:t>
          </a:r>
          <a:r>
            <a:rPr lang="en-US"/>
            <a:t>: Given Y’s high profitability for A and C, prioritize entry if B’s capabilities align; otherwise, focus resources on X and Z.</a:t>
          </a:r>
        </a:p>
        <a:p>
          <a:pPr lvl="1"/>
          <a:r>
            <a:rPr lang="en-US" b="1"/>
            <a:t>Initial Target</a:t>
          </a:r>
          <a:r>
            <a:rPr lang="en-US"/>
            <a:t>: Aim for a modest profit (e.g., 20,000) to establish a foothold.</a:t>
          </a:r>
        </a:p>
        <a:p>
          <a:r>
            <a:rPr lang="en-US" b="1"/>
            <a:t>B-Z (Profit: 47,847, Clients: 4)</a:t>
          </a:r>
        </a:p>
        <a:p>
          <a:r>
            <a:rPr lang="en-US" b="1"/>
            <a:t>Profile</a:t>
          </a:r>
          <a:r>
            <a:rPr lang="en-US"/>
            <a:t>: Moderate profit with a lower profit per client (≈11,962), contributing 6.9% to total profits.</a:t>
          </a:r>
        </a:p>
        <a:p>
          <a:r>
            <a:rPr lang="en-US" b="1"/>
            <a:t>Strategy</a:t>
          </a:r>
          <a:r>
            <a:rPr lang="en-US"/>
            <a:t>: </a:t>
          </a:r>
        </a:p>
        <a:p>
          <a:pPr lvl="1"/>
          <a:r>
            <a:rPr lang="en-US" b="1"/>
            <a:t>Increase Usage</a:t>
          </a:r>
          <a:r>
            <a:rPr lang="en-US"/>
            <a:t>: Host workshops/webinars to educate clients on additional product uses, boosting per-client revenue.</a:t>
          </a:r>
        </a:p>
        <a:p>
          <a:pPr lvl="1"/>
          <a:r>
            <a:rPr lang="en-US" b="1"/>
            <a:t>Increase Profit by 10%</a:t>
          </a:r>
          <a:r>
            <a:rPr lang="en-US"/>
            <a:t>: Target 52,632 (an increase of 4,785). Add one more client or improve margins (e.g., ≈1,196 more per client).</a:t>
          </a:r>
        </a:p>
        <a:p>
          <a:pPr lvl="1"/>
          <a:r>
            <a:rPr lang="en-US" b="1"/>
            <a:t>Loyalty Program</a:t>
          </a:r>
          <a:r>
            <a:rPr lang="en-US"/>
            <a:t>: Offer discounts for consistent purchases to retain clients and stabilize income.</a:t>
          </a:r>
        </a:p>
        <a:p>
          <a:r>
            <a:rPr lang="en-US" b="1"/>
            <a:t>C-X (Profit: 4,059, Clients: 6)</a:t>
          </a:r>
        </a:p>
        <a:p>
          <a:r>
            <a:rPr lang="en-US" b="1"/>
            <a:t>Profile</a:t>
          </a:r>
          <a:r>
            <a:rPr lang="en-US"/>
            <a:t>: Very low profit per client (≈676), contributing only 0.6% to total profits despite many clients.</a:t>
          </a:r>
        </a:p>
        <a:p>
          <a:r>
            <a:rPr lang="en-US" b="1"/>
            <a:t>Strategy</a:t>
          </a:r>
          <a:r>
            <a:rPr lang="en-US"/>
            <a:t>: </a:t>
          </a:r>
        </a:p>
        <a:p>
          <a:pPr lvl="1"/>
          <a:r>
            <a:rPr lang="en-US" b="1"/>
            <a:t>Improve Margins</a:t>
          </a:r>
          <a:r>
            <a:rPr lang="en-US"/>
            <a:t>: Analyze costs (e.g., supply chain, operations) to reduce expenses and boost profitability.</a:t>
          </a:r>
        </a:p>
        <a:p>
          <a:pPr lvl="1"/>
          <a:r>
            <a:rPr lang="en-US" b="1"/>
            <a:t>Increase Profit by 10%</a:t>
          </a:r>
          <a:r>
            <a:rPr lang="en-US"/>
            <a:t>: Target 4,465 (an increase of 406). Introduce a premium version of the product/service for clients willing to pay more.</a:t>
          </a:r>
        </a:p>
        <a:p>
          <a:pPr lvl="1"/>
          <a:r>
            <a:rPr lang="en-US" b="1"/>
            <a:t>Reassess</a:t>
          </a:r>
          <a:r>
            <a:rPr lang="en-US"/>
            <a:t>: If margins can’t improve, consider exiting X and reallocating resources to Y or Z.</a:t>
          </a:r>
        </a:p>
        <a:p>
          <a:r>
            <a:rPr lang="en-US" b="1"/>
            <a:t>C-Y (Profit: 16,106, Clients: 8)</a:t>
          </a:r>
        </a:p>
        <a:p>
          <a:r>
            <a:rPr lang="en-US" b="1"/>
            <a:t>Profile</a:t>
          </a:r>
          <a:r>
            <a:rPr lang="en-US"/>
            <a:t>: Low profit per client (≈2,013), contributing 2.3% to total profits with a large client base.</a:t>
          </a:r>
        </a:p>
        <a:p>
          <a:r>
            <a:rPr lang="en-US" b="1"/>
            <a:t>Strategy</a:t>
          </a:r>
          <a:r>
            <a:rPr lang="en-US"/>
            <a:t>: </a:t>
          </a:r>
        </a:p>
        <a:p>
          <a:pPr lvl="1"/>
          <a:r>
            <a:rPr lang="en-US" b="1"/>
            <a:t>Stabilize Income</a:t>
          </a:r>
          <a:r>
            <a:rPr lang="en-US"/>
            <a:t>: Launch a subscription model with a recurring fee (e.g., monthly or annual with a discount for upfront payment).</a:t>
          </a:r>
        </a:p>
        <a:p>
          <a:pPr lvl="1"/>
          <a:r>
            <a:rPr lang="en-US" b="1"/>
            <a:t>Increase Profit by 10%</a:t>
          </a:r>
          <a:r>
            <a:rPr lang="en-US"/>
            <a:t>: Target 17,717 (an increase of 1,611). Upsell small add-ons to existing clients (e.g., ≈201 more per client).</a:t>
          </a:r>
        </a:p>
        <a:p>
          <a:pPr lvl="1"/>
          <a:r>
            <a:rPr lang="en-US" b="1"/>
            <a:t>Retention</a:t>
          </a:r>
          <a:r>
            <a:rPr lang="en-US"/>
            <a:t>: Offer loyalty discounts to maintain the client base.</a:t>
          </a:r>
        </a:p>
        <a:p>
          <a:r>
            <a:rPr lang="en-US" b="1"/>
            <a:t>C-Z (Profit: 16,169, Clients: 8)</a:t>
          </a:r>
        </a:p>
        <a:p>
          <a:r>
            <a:rPr lang="en-US" b="1"/>
            <a:t>Profile</a:t>
          </a:r>
          <a:r>
            <a:rPr lang="en-US"/>
            <a:t>: Similar to C-Y, with a profit per client of ≈2,021, contributing 2.3% to total profits.</a:t>
          </a:r>
        </a:p>
        <a:p>
          <a:r>
            <a:rPr lang="en-US" b="1"/>
            <a:t>Strategy</a:t>
          </a:r>
          <a:r>
            <a:rPr lang="en-US"/>
            <a:t>: </a:t>
          </a:r>
        </a:p>
        <a:p>
          <a:pPr lvl="1"/>
          <a:r>
            <a:rPr lang="en-US" b="1"/>
            <a:t>Secure Revenue</a:t>
          </a:r>
          <a:r>
            <a:rPr lang="en-US"/>
            <a:t>: Introduce subscription plans or maintenance contracts for predictable income.</a:t>
          </a:r>
        </a:p>
        <a:p>
          <a:pPr lvl="1"/>
          <a:r>
            <a:rPr lang="en-US" b="1"/>
            <a:t>Increase Profit by 10%</a:t>
          </a:r>
          <a:r>
            <a:rPr lang="en-US"/>
            <a:t>: Target 17,786 (an increase of 1,617). Enhance offerings (e.g., ≈202 more per client) or add one client.</a:t>
          </a:r>
        </a:p>
        <a:p>
          <a:pPr lvl="1"/>
          <a:r>
            <a:rPr lang="en-US" b="1"/>
            <a:t>Efficiency</a:t>
          </a:r>
          <a:r>
            <a:rPr lang="en-US"/>
            <a:t>: Streamline operations across C’s categories to reduce costs and improve margins.</a:t>
          </a:r>
        </a:p>
        <a:p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753.793467592594" createdVersion="8" refreshedVersion="8" minRefreshableVersion="3" recordCount="35" xr:uid="{3C0D2F77-1E2E-6B46-8E96-E8876E66256A}">
  <cacheSource type="worksheet">
    <worksheetSource ref="AG1:AJ36" sheet="Variant 2 "/>
  </cacheSource>
  <cacheFields count="4">
    <cacheField name="Profits per quarter" numFmtId="0">
      <sharedItems count="35">
        <s v="Client  X1"/>
        <s v="Client  X15"/>
        <s v="Client  X16"/>
        <s v="Client  X2"/>
        <s v="Client  X3"/>
        <s v="Client  X4"/>
        <s v="Client  X17"/>
        <s v="Client  X18"/>
        <s v="Client  X19"/>
        <s v="Client  X20"/>
        <s v="Client  X5"/>
        <s v="Client  X21"/>
        <s v="Client  X6"/>
        <s v="Client  X7"/>
        <s v="Client  X8"/>
        <s v="Client  X22"/>
        <s v="Client  X23"/>
        <s v="Client  X24"/>
        <s v="Client  X25"/>
        <s v="Client  X26"/>
        <s v="Client  X27"/>
        <s v="Client  X28"/>
        <s v="Client  X9"/>
        <s v="Client  X10"/>
        <s v="Client  X11"/>
        <s v="Client  X12"/>
        <s v="Client  X13"/>
        <s v="Client  X14"/>
        <s v="Client  X29"/>
        <s v="Client  X30"/>
        <s v="Client  X31"/>
        <s v="Client  X32"/>
        <s v="Client  X33"/>
        <s v="Client  X34"/>
        <s v="Client  X35"/>
      </sharedItems>
    </cacheField>
    <cacheField name="Total Profit" numFmtId="1">
      <sharedItems containsSemiMixedTypes="0" containsString="0" containsNumber="1" minValue="21" maxValue="113540"/>
    </cacheField>
    <cacheField name="ABC Category" numFmtId="0">
      <sharedItems count="3">
        <s v="A"/>
        <s v="B"/>
        <s v="C"/>
      </sharedItems>
    </cacheField>
    <cacheField name="XYZ category" numFmtId="0">
      <sharedItems count="3">
        <s v="Y"/>
        <s v="X"/>
        <s v="Z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754.030556481484" createdVersion="8" refreshedVersion="8" minRefreshableVersion="3" recordCount="40" xr:uid="{329510C3-8FA3-7E4A-83FA-44BEDB912314}">
  <cacheSource type="worksheet">
    <worksheetSource ref="AT1:AW41" sheet="Variant 1"/>
  </cacheSource>
  <cacheFields count="4">
    <cacheField name="Clients" numFmtId="0">
      <sharedItems/>
    </cacheField>
    <cacheField name="Total Profits" numFmtId="1">
      <sharedItems containsSemiMixedTypes="0" containsString="0" containsNumber="1" minValue="37.700000000000003" maxValue="76164.142479999995"/>
    </cacheField>
    <cacheField name="ABC category" numFmtId="0">
      <sharedItems count="3">
        <s v="A"/>
        <s v="B"/>
        <s v="C"/>
      </sharedItems>
    </cacheField>
    <cacheField name="XYZ category" numFmtId="0">
      <sharedItems count="3">
        <s v="Z"/>
        <s v="X"/>
        <s v="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x v="0"/>
    <n v="113540"/>
    <x v="0"/>
    <x v="0"/>
  </r>
  <r>
    <x v="1"/>
    <n v="108206"/>
    <x v="0"/>
    <x v="1"/>
  </r>
  <r>
    <x v="2"/>
    <n v="101506.4"/>
    <x v="0"/>
    <x v="0"/>
  </r>
  <r>
    <x v="3"/>
    <n v="76236.436720000012"/>
    <x v="0"/>
    <x v="0"/>
  </r>
  <r>
    <x v="4"/>
    <n v="74416.08756"/>
    <x v="0"/>
    <x v="2"/>
  </r>
  <r>
    <x v="5"/>
    <n v="64181.957999999999"/>
    <x v="0"/>
    <x v="0"/>
  </r>
  <r>
    <x v="6"/>
    <n v="34322"/>
    <x v="1"/>
    <x v="1"/>
  </r>
  <r>
    <x v="7"/>
    <n v="22611"/>
    <x v="1"/>
    <x v="1"/>
  </r>
  <r>
    <x v="8"/>
    <n v="19000"/>
    <x v="1"/>
    <x v="2"/>
  </r>
  <r>
    <x v="9"/>
    <n v="10673.810000000001"/>
    <x v="1"/>
    <x v="1"/>
  </r>
  <r>
    <x v="10"/>
    <n v="10325.839999999998"/>
    <x v="1"/>
    <x v="2"/>
  </r>
  <r>
    <x v="11"/>
    <n v="9438"/>
    <x v="1"/>
    <x v="2"/>
  </r>
  <r>
    <x v="12"/>
    <n v="9083.2000000000007"/>
    <x v="1"/>
    <x v="2"/>
  </r>
  <r>
    <x v="13"/>
    <n v="3943.7541999999994"/>
    <x v="2"/>
    <x v="2"/>
  </r>
  <r>
    <x v="14"/>
    <n v="3518.84"/>
    <x v="2"/>
    <x v="2"/>
  </r>
  <r>
    <x v="15"/>
    <n v="3151.3263000000002"/>
    <x v="2"/>
    <x v="0"/>
  </r>
  <r>
    <x v="16"/>
    <n v="3080.7263000000003"/>
    <x v="2"/>
    <x v="0"/>
  </r>
  <r>
    <x v="17"/>
    <n v="2815.2"/>
    <x v="2"/>
    <x v="1"/>
  </r>
  <r>
    <x v="18"/>
    <n v="2496.4497999999999"/>
    <x v="2"/>
    <x v="0"/>
  </r>
  <r>
    <x v="19"/>
    <n v="2446.9497999999999"/>
    <x v="2"/>
    <x v="0"/>
  </r>
  <r>
    <x v="20"/>
    <n v="2231.58"/>
    <x v="2"/>
    <x v="0"/>
  </r>
  <r>
    <x v="21"/>
    <n v="2216.58"/>
    <x v="2"/>
    <x v="0"/>
  </r>
  <r>
    <x v="22"/>
    <n v="1830.0585874486922"/>
    <x v="2"/>
    <x v="2"/>
  </r>
  <r>
    <x v="23"/>
    <n v="1668.6161661643389"/>
    <x v="2"/>
    <x v="2"/>
  </r>
  <r>
    <x v="24"/>
    <n v="1555.8648145962236"/>
    <x v="2"/>
    <x v="2"/>
  </r>
  <r>
    <x v="25"/>
    <n v="1345.6069908607999"/>
    <x v="2"/>
    <x v="2"/>
  </r>
  <r>
    <x v="26"/>
    <n v="1166.74432256"/>
    <x v="2"/>
    <x v="2"/>
  </r>
  <r>
    <x v="27"/>
    <n v="1139.98432256"/>
    <x v="2"/>
    <x v="2"/>
  </r>
  <r>
    <x v="28"/>
    <n v="515"/>
    <x v="2"/>
    <x v="1"/>
  </r>
  <r>
    <x v="29"/>
    <n v="461"/>
    <x v="2"/>
    <x v="0"/>
  </r>
  <r>
    <x v="30"/>
    <n v="430"/>
    <x v="2"/>
    <x v="1"/>
  </r>
  <r>
    <x v="31"/>
    <n v="133"/>
    <x v="2"/>
    <x v="1"/>
  </r>
  <r>
    <x v="32"/>
    <n v="91"/>
    <x v="2"/>
    <x v="1"/>
  </r>
  <r>
    <x v="33"/>
    <n v="75"/>
    <x v="2"/>
    <x v="1"/>
  </r>
  <r>
    <x v="34"/>
    <n v="21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Client 2"/>
    <n v="76164.142479999995"/>
    <x v="0"/>
    <x v="0"/>
  </r>
  <r>
    <s v="Client 1"/>
    <n v="58174.2"/>
    <x v="0"/>
    <x v="1"/>
  </r>
  <r>
    <s v="Client 3"/>
    <n v="43897.424999999996"/>
    <x v="0"/>
    <x v="0"/>
  </r>
  <r>
    <s v="Client 5"/>
    <n v="23187.600000000002"/>
    <x v="0"/>
    <x v="2"/>
  </r>
  <r>
    <s v="Client 4"/>
    <n v="18638.429999999993"/>
    <x v="0"/>
    <x v="0"/>
  </r>
  <r>
    <s v="Client 7"/>
    <n v="14601.95"/>
    <x v="0"/>
    <x v="0"/>
  </r>
  <r>
    <s v="Client 6"/>
    <n v="13500"/>
    <x v="0"/>
    <x v="0"/>
  </r>
  <r>
    <s v="Client 16"/>
    <n v="9491.4815999999992"/>
    <x v="0"/>
    <x v="0"/>
  </r>
  <r>
    <s v="Client 8"/>
    <n v="7709.24"/>
    <x v="0"/>
    <x v="0"/>
  </r>
  <r>
    <s v="Client 12"/>
    <n v="7515.9630000000006"/>
    <x v="1"/>
    <x v="0"/>
  </r>
  <r>
    <s v="Client 9"/>
    <n v="6899.07"/>
    <x v="1"/>
    <x v="2"/>
  </r>
  <r>
    <s v="Client 15"/>
    <n v="6885.6"/>
    <x v="1"/>
    <x v="0"/>
  </r>
  <r>
    <s v="Client 13"/>
    <n v="6249.1"/>
    <x v="1"/>
    <x v="0"/>
  </r>
  <r>
    <s v="Client 21"/>
    <n v="5476.9400000000005"/>
    <x v="1"/>
    <x v="0"/>
  </r>
  <r>
    <s v="Client 22"/>
    <n v="4932.0914622700293"/>
    <x v="1"/>
    <x v="0"/>
  </r>
  <r>
    <s v="Client 26"/>
    <n v="4662.5358792703992"/>
    <x v="1"/>
    <x v="0"/>
  </r>
  <r>
    <s v="Client 20"/>
    <n v="3435.6989999999996"/>
    <x v="1"/>
    <x v="2"/>
  </r>
  <r>
    <s v="Client 17"/>
    <n v="3037.5000000000005"/>
    <x v="1"/>
    <x v="0"/>
  </r>
  <r>
    <s v="Client 18"/>
    <n v="2912.6344000000004"/>
    <x v="1"/>
    <x v="2"/>
  </r>
  <r>
    <s v="Client 11"/>
    <n v="2340"/>
    <x v="1"/>
    <x v="0"/>
  </r>
  <r>
    <s v="Client 37"/>
    <n v="2279.96864512"/>
    <x v="1"/>
    <x v="2"/>
  </r>
  <r>
    <s v="Client 14"/>
    <n v="2276.4"/>
    <x v="2"/>
    <x v="0"/>
  </r>
  <r>
    <s v="Client 10"/>
    <n v="2121.5999999999995"/>
    <x v="2"/>
    <x v="2"/>
  </r>
  <r>
    <s v="Client 38"/>
    <n v="1879.4827967999997"/>
    <x v="2"/>
    <x v="2"/>
  </r>
  <r>
    <s v="Client 24"/>
    <n v="1734.2468462837755"/>
    <x v="2"/>
    <x v="2"/>
  </r>
  <r>
    <s v="Client 19"/>
    <n v="1482.4799999999996"/>
    <x v="2"/>
    <x v="2"/>
  </r>
  <r>
    <s v="Client 39"/>
    <n v="1410.6751999999999"/>
    <x v="2"/>
    <x v="2"/>
  </r>
  <r>
    <s v="Client 23"/>
    <n v="1065.2211879783933"/>
    <x v="2"/>
    <x v="2"/>
  </r>
  <r>
    <s v="Client 25"/>
    <n v="1003.1862038527998"/>
    <x v="2"/>
    <x v="2"/>
  </r>
  <r>
    <s v="Client 31"/>
    <n v="969.5999999999998"/>
    <x v="2"/>
    <x v="1"/>
  </r>
  <r>
    <s v="Client 40"/>
    <n v="802.5"/>
    <x v="2"/>
    <x v="1"/>
  </r>
  <r>
    <s v="Client 28"/>
    <n v="761.76460800000007"/>
    <x v="2"/>
    <x v="2"/>
  </r>
  <r>
    <s v="Client 29"/>
    <n v="481.50000000000006"/>
    <x v="2"/>
    <x v="1"/>
  </r>
  <r>
    <s v="Client 33"/>
    <n v="430"/>
    <x v="2"/>
    <x v="1"/>
  </r>
  <r>
    <s v="Client 30"/>
    <n v="390.60000000000008"/>
    <x v="2"/>
    <x v="1"/>
  </r>
  <r>
    <s v="Client 27"/>
    <n v="336.32850048"/>
    <x v="2"/>
    <x v="2"/>
  </r>
  <r>
    <s v="Client 34"/>
    <n v="292"/>
    <x v="2"/>
    <x v="1"/>
  </r>
  <r>
    <s v="Client 32"/>
    <n v="227"/>
    <x v="2"/>
    <x v="1"/>
  </r>
  <r>
    <s v="Client 36"/>
    <n v="87"/>
    <x v="2"/>
    <x v="1"/>
  </r>
  <r>
    <s v="Client 35"/>
    <n v="37.700000000000003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E8547B-9212-7B4C-8C5E-6DCC80C924A4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BA1:BI7" firstHeaderRow="1" firstDataRow="3" firstDataCol="1"/>
  <pivotFields count="4">
    <pivotField dataField="1" showAll="0"/>
    <pivotField dataField="1" numFmtId="1" showAll="0"/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1"/>
        <item x="2"/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2">
    <field x="3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. Total Profits" fld="1" baseField="0" baseItem="0" numFmtId="1"/>
    <dataField name="Count of Client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80CF68-E923-114F-9795-F163A77E3A81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M1:AU7" firstHeaderRow="1" firstDataRow="3" firstDataCol="1"/>
  <pivotFields count="4">
    <pivotField dataField="1" showAll="0">
      <items count="36">
        <item x="0"/>
        <item x="23"/>
        <item x="24"/>
        <item x="25"/>
        <item x="26"/>
        <item x="27"/>
        <item x="1"/>
        <item x="2"/>
        <item x="6"/>
        <item x="7"/>
        <item x="8"/>
        <item x="3"/>
        <item x="9"/>
        <item x="11"/>
        <item x="15"/>
        <item x="16"/>
        <item x="17"/>
        <item x="18"/>
        <item x="19"/>
        <item x="20"/>
        <item x="21"/>
        <item x="28"/>
        <item x="4"/>
        <item x="29"/>
        <item x="30"/>
        <item x="31"/>
        <item x="32"/>
        <item x="33"/>
        <item x="34"/>
        <item x="5"/>
        <item x="10"/>
        <item x="12"/>
        <item x="13"/>
        <item x="14"/>
        <item x="22"/>
        <item t="default"/>
      </items>
    </pivotField>
    <pivotField dataField="1" numFmtId="1" showAll="0"/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1"/>
        <item x="0"/>
        <item x="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2">
    <field x="3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Total Profit" fld="1" baseField="0" baseItem="0" numFmtId="1"/>
    <dataField name="Count of Profits per quart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144C7-5374-4E2B-9AC5-3B88093B4FD1}">
  <dimension ref="A1:BI44"/>
  <sheetViews>
    <sheetView topLeftCell="AL1" workbookViewId="0">
      <selection activeCell="AW20" sqref="AW20"/>
    </sheetView>
  </sheetViews>
  <sheetFormatPr baseColWidth="10" defaultColWidth="8.83203125" defaultRowHeight="15" x14ac:dyDescent="0.2"/>
  <cols>
    <col min="1" max="1" width="15.33203125" customWidth="1"/>
    <col min="2" max="2" width="6.6640625" customWidth="1"/>
    <col min="3" max="3" width="7.83203125" customWidth="1"/>
    <col min="4" max="4" width="8.5" customWidth="1"/>
    <col min="5" max="5" width="8.6640625" customWidth="1"/>
    <col min="6" max="6" width="10" customWidth="1"/>
    <col min="7" max="7" width="8.1640625" customWidth="1"/>
    <col min="8" max="9" width="8.5" customWidth="1"/>
    <col min="10" max="10" width="8.83203125" customWidth="1"/>
    <col min="11" max="11" width="8.6640625" customWidth="1"/>
    <col min="12" max="12" width="7.1640625" customWidth="1"/>
    <col min="13" max="13" width="9" customWidth="1"/>
    <col min="53" max="53" width="12.1640625" bestFit="1" customWidth="1"/>
    <col min="54" max="54" width="14.83203125" bestFit="1" customWidth="1"/>
    <col min="55" max="55" width="13.33203125" bestFit="1" customWidth="1"/>
    <col min="56" max="56" width="14.5" bestFit="1" customWidth="1"/>
    <col min="57" max="57" width="13.33203125" bestFit="1" customWidth="1"/>
    <col min="58" max="58" width="14.5" bestFit="1" customWidth="1"/>
    <col min="59" max="59" width="13.33203125" bestFit="1" customWidth="1"/>
    <col min="60" max="60" width="18.83203125" bestFit="1" customWidth="1"/>
    <col min="61" max="61" width="17.6640625" bestFit="1" customWidth="1"/>
  </cols>
  <sheetData>
    <row r="1" spans="1:61" ht="41" customHeight="1" x14ac:dyDescent="0.2">
      <c r="A1" s="11" t="s">
        <v>80</v>
      </c>
      <c r="B1" s="12" t="s">
        <v>0</v>
      </c>
      <c r="C1" s="12" t="s">
        <v>1</v>
      </c>
      <c r="D1" s="12" t="s">
        <v>2</v>
      </c>
      <c r="E1" s="12" t="s">
        <v>3</v>
      </c>
      <c r="F1" s="13" t="s">
        <v>0</v>
      </c>
      <c r="G1" s="13" t="s">
        <v>1</v>
      </c>
      <c r="H1" s="13" t="s">
        <v>2</v>
      </c>
      <c r="I1" s="13" t="s">
        <v>3</v>
      </c>
      <c r="J1" s="14" t="s">
        <v>0</v>
      </c>
      <c r="K1" s="14" t="s">
        <v>1</v>
      </c>
      <c r="L1" s="14" t="s">
        <v>2</v>
      </c>
      <c r="M1" s="14" t="s">
        <v>3</v>
      </c>
      <c r="N1" s="15" t="s">
        <v>81</v>
      </c>
      <c r="O1" s="15" t="s">
        <v>83</v>
      </c>
      <c r="P1" s="15" t="s">
        <v>85</v>
      </c>
      <c r="Q1" s="15" t="s">
        <v>86</v>
      </c>
      <c r="R1" s="15" t="s">
        <v>87</v>
      </c>
      <c r="T1" s="10" t="s">
        <v>88</v>
      </c>
      <c r="U1" s="10" t="s">
        <v>92</v>
      </c>
      <c r="V1" s="10" t="s">
        <v>93</v>
      </c>
      <c r="W1" s="10" t="s">
        <v>94</v>
      </c>
      <c r="X1" s="10" t="s">
        <v>95</v>
      </c>
      <c r="Z1" s="16" t="s">
        <v>98</v>
      </c>
      <c r="AA1" s="16">
        <v>1</v>
      </c>
      <c r="AB1" s="16">
        <v>2</v>
      </c>
      <c r="AC1" s="16">
        <v>3</v>
      </c>
      <c r="AD1" s="16">
        <v>4</v>
      </c>
      <c r="AE1" s="16">
        <v>5</v>
      </c>
      <c r="AF1" s="16">
        <v>6</v>
      </c>
      <c r="AG1" s="16">
        <v>7</v>
      </c>
      <c r="AH1" s="16">
        <v>8</v>
      </c>
      <c r="AI1" s="16">
        <v>9</v>
      </c>
      <c r="AJ1" s="16">
        <v>10</v>
      </c>
      <c r="AK1" s="16">
        <v>11</v>
      </c>
      <c r="AL1" s="16" t="s">
        <v>96</v>
      </c>
      <c r="AM1" s="16" t="s">
        <v>97</v>
      </c>
      <c r="AN1" s="16" t="s">
        <v>99</v>
      </c>
      <c r="AO1" s="16" t="s">
        <v>100</v>
      </c>
      <c r="AP1" s="16" t="s">
        <v>101</v>
      </c>
      <c r="AT1" s="17" t="s">
        <v>98</v>
      </c>
      <c r="AU1" s="17" t="s">
        <v>102</v>
      </c>
      <c r="AV1" s="17" t="s">
        <v>87</v>
      </c>
      <c r="AW1" s="17" t="s">
        <v>101</v>
      </c>
      <c r="BB1" s="18" t="s">
        <v>109</v>
      </c>
    </row>
    <row r="2" spans="1:61" x14ac:dyDescent="0.2">
      <c r="A2" s="7" t="s">
        <v>43</v>
      </c>
      <c r="B2" s="7">
        <v>5011.7760000000007</v>
      </c>
      <c r="C2" s="7">
        <v>2970.7586999999999</v>
      </c>
      <c r="D2" s="7">
        <v>3841.9999999999995</v>
      </c>
      <c r="E2" s="7">
        <v>7709.1650999999983</v>
      </c>
      <c r="F2" s="7">
        <v>8339.4</v>
      </c>
      <c r="G2" s="7">
        <v>5873.6495999999997</v>
      </c>
      <c r="H2" s="7">
        <v>2538.4319999999998</v>
      </c>
      <c r="I2" s="7">
        <v>11381.359999999999</v>
      </c>
      <c r="J2" s="7">
        <v>9624.887999999999</v>
      </c>
      <c r="K2" s="7">
        <v>4072.0680000000002</v>
      </c>
      <c r="L2" s="7">
        <v>8771.8690800000004</v>
      </c>
      <c r="M2" s="7">
        <v>6028.7759999999989</v>
      </c>
      <c r="N2" s="3">
        <f t="shared" ref="N2:N41" si="0">AVERAGE(B2:M2)</f>
        <v>6347.0118733333329</v>
      </c>
      <c r="O2" s="9">
        <f>SUM($N$2:N2)/$B$43</f>
        <v>0.22415666142892021</v>
      </c>
      <c r="P2">
        <f>COUNTA($A$2:A2)</f>
        <v>1</v>
      </c>
      <c r="Q2" s="9">
        <f t="shared" ref="Q2:Q10" si="1">P2/$B$44</f>
        <v>2.5000000000000001E-2</v>
      </c>
      <c r="R2" t="str">
        <f>IF(O2&lt;=80%,"A",IF(O2&lt;=95%,"B","C"))</f>
        <v>A</v>
      </c>
      <c r="T2" t="s">
        <v>89</v>
      </c>
      <c r="U2">
        <f>COUNTIF($R$1:$R$41,"A")</f>
        <v>9</v>
      </c>
      <c r="V2" s="9">
        <f>U2/SUM($U$2:$U$4)</f>
        <v>0.22500000000000001</v>
      </c>
      <c r="W2" s="3">
        <f>SUMIF($R$2:$R$41,"A",$N$2:$N$41)</f>
        <v>22113.705756666666</v>
      </c>
      <c r="X2" s="9">
        <f>W2/SUM($W$2:$W$4)</f>
        <v>0.78098710907761426</v>
      </c>
      <c r="Z2" t="s">
        <v>70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>
        <v>30</v>
      </c>
      <c r="AO2" s="9">
        <v>0.75</v>
      </c>
      <c r="AP2" t="s">
        <v>105</v>
      </c>
      <c r="AT2" t="s">
        <v>43</v>
      </c>
      <c r="AU2" s="3">
        <f>SUM(B2:M2)</f>
        <v>76164.142479999995</v>
      </c>
      <c r="AV2" s="9" t="s">
        <v>103</v>
      </c>
      <c r="AW2" t="s">
        <v>104</v>
      </c>
      <c r="BB2" t="s">
        <v>105</v>
      </c>
      <c r="BD2" t="s">
        <v>106</v>
      </c>
      <c r="BF2" t="s">
        <v>104</v>
      </c>
      <c r="BH2" t="s">
        <v>110</v>
      </c>
      <c r="BI2" t="s">
        <v>122</v>
      </c>
    </row>
    <row r="3" spans="1:61" x14ac:dyDescent="0.2">
      <c r="A3" s="7" t="s">
        <v>40</v>
      </c>
      <c r="B3" s="7">
        <v>4845</v>
      </c>
      <c r="C3" s="7">
        <v>4845</v>
      </c>
      <c r="D3" s="7">
        <v>4845</v>
      </c>
      <c r="E3" s="7">
        <v>4845</v>
      </c>
      <c r="F3" s="7">
        <v>4845</v>
      </c>
      <c r="G3" s="7">
        <v>4845</v>
      </c>
      <c r="H3" s="7">
        <v>4845</v>
      </c>
      <c r="I3" s="7">
        <v>4845</v>
      </c>
      <c r="J3" s="7">
        <v>4879.2</v>
      </c>
      <c r="K3" s="7">
        <v>4845</v>
      </c>
      <c r="L3" s="7">
        <v>4845</v>
      </c>
      <c r="M3" s="7">
        <v>4845</v>
      </c>
      <c r="N3" s="3">
        <f t="shared" si="0"/>
        <v>4847.8499999999995</v>
      </c>
      <c r="O3" s="9">
        <f>SUM($N$2:N3)/$B$43</f>
        <v>0.39536760175720531</v>
      </c>
      <c r="P3">
        <f>COUNTA($A$2:A3)</f>
        <v>2</v>
      </c>
      <c r="Q3" s="9">
        <f t="shared" si="1"/>
        <v>0.05</v>
      </c>
      <c r="R3" t="str">
        <f t="shared" ref="R3:R41" si="2">IF(O3&lt;=80%,"A",IF(O3&lt;=95%,"B","C"))</f>
        <v>A</v>
      </c>
      <c r="T3" t="s">
        <v>90</v>
      </c>
      <c r="U3">
        <f>COUNTIF($R$1:$R$41,"B")</f>
        <v>12</v>
      </c>
      <c r="V3" s="9">
        <f t="shared" ref="V3:V4" si="3">U3/SUM($U$2:$U$4)</f>
        <v>0.3</v>
      </c>
      <c r="W3" s="3">
        <f>SUMIF($R$2:$R$41,"B",$N$2:$N$41)</f>
        <v>4718.9251988883698</v>
      </c>
      <c r="X3" s="9">
        <f t="shared" ref="X3:X4" si="4">W3/SUM($W$2:$W$4)</f>
        <v>0.16665771850212319</v>
      </c>
      <c r="Z3" t="s">
        <v>71</v>
      </c>
      <c r="AA3" s="3">
        <v>1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1</v>
      </c>
      <c r="AM3" s="3">
        <v>9.0909090909090912E-2</v>
      </c>
      <c r="AN3">
        <v>38</v>
      </c>
      <c r="AO3" s="9">
        <v>0.95</v>
      </c>
      <c r="AP3" t="s">
        <v>105</v>
      </c>
      <c r="AT3" t="s">
        <v>40</v>
      </c>
      <c r="AU3" s="3">
        <f t="shared" ref="AU3:AU41" si="5">SUM(B3:M3)</f>
        <v>58174.2</v>
      </c>
      <c r="AV3" s="9" t="s">
        <v>103</v>
      </c>
      <c r="AW3" t="s">
        <v>105</v>
      </c>
      <c r="BA3" s="18" t="s">
        <v>107</v>
      </c>
      <c r="BB3" t="s">
        <v>111</v>
      </c>
      <c r="BC3" t="s">
        <v>123</v>
      </c>
      <c r="BD3" t="s">
        <v>111</v>
      </c>
      <c r="BE3" t="s">
        <v>123</v>
      </c>
      <c r="BF3" t="s">
        <v>111</v>
      </c>
      <c r="BG3" t="s">
        <v>123</v>
      </c>
    </row>
    <row r="4" spans="1:61" x14ac:dyDescent="0.2">
      <c r="A4" s="7" t="s">
        <v>44</v>
      </c>
      <c r="B4" s="7">
        <v>3024</v>
      </c>
      <c r="C4" s="7">
        <v>1842.75</v>
      </c>
      <c r="D4" s="7">
        <v>1079.325</v>
      </c>
      <c r="E4" s="7">
        <v>4299.75</v>
      </c>
      <c r="F4" s="7">
        <v>5250</v>
      </c>
      <c r="G4" s="7">
        <v>3978</v>
      </c>
      <c r="H4" s="7">
        <v>2106</v>
      </c>
      <c r="I4" s="7">
        <v>4860</v>
      </c>
      <c r="J4" s="7">
        <v>4914</v>
      </c>
      <c r="K4" s="7">
        <v>3207</v>
      </c>
      <c r="L4" s="7">
        <v>6002.1</v>
      </c>
      <c r="M4" s="7">
        <v>3334.5</v>
      </c>
      <c r="N4" s="3">
        <f t="shared" si="0"/>
        <v>3658.1187499999996</v>
      </c>
      <c r="O4" s="9">
        <f>SUM($N$2:N4)/$B$43</f>
        <v>0.52456094540852105</v>
      </c>
      <c r="P4">
        <f>COUNTA($A$2:A4)</f>
        <v>3</v>
      </c>
      <c r="Q4" s="9">
        <f t="shared" si="1"/>
        <v>7.4999999999999997E-2</v>
      </c>
      <c r="R4" t="str">
        <f t="shared" si="2"/>
        <v>A</v>
      </c>
      <c r="T4" t="s">
        <v>91</v>
      </c>
      <c r="U4">
        <f>COUNTIF($R$1:$R$41,"C")</f>
        <v>19</v>
      </c>
      <c r="V4" s="9">
        <f t="shared" si="3"/>
        <v>0.47499999999999998</v>
      </c>
      <c r="W4" s="3">
        <f>SUMIF($R$2:$R$41,"C",$N$2:$N$41)</f>
        <v>1482.4404452829137</v>
      </c>
      <c r="X4" s="9">
        <f t="shared" si="4"/>
        <v>5.2355172420262469E-2</v>
      </c>
      <c r="Z4" t="s">
        <v>73</v>
      </c>
      <c r="AA4" s="3">
        <v>4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4</v>
      </c>
      <c r="AM4" s="3">
        <v>0.36363636363636365</v>
      </c>
      <c r="AN4">
        <v>37</v>
      </c>
      <c r="AO4" s="9">
        <v>0.92500000000000004</v>
      </c>
      <c r="AP4" t="s">
        <v>105</v>
      </c>
      <c r="AT4" t="s">
        <v>44</v>
      </c>
      <c r="AU4" s="3">
        <f t="shared" si="5"/>
        <v>43897.424999999996</v>
      </c>
      <c r="AV4" s="9" t="s">
        <v>103</v>
      </c>
      <c r="AW4" t="s">
        <v>104</v>
      </c>
      <c r="BA4" s="19" t="s">
        <v>103</v>
      </c>
      <c r="BB4" s="3">
        <v>58174.2</v>
      </c>
      <c r="BC4" s="41">
        <v>1</v>
      </c>
      <c r="BD4" s="3">
        <v>23187.600000000002</v>
      </c>
      <c r="BE4" s="41">
        <v>1</v>
      </c>
      <c r="BF4" s="3">
        <v>184002.66907999999</v>
      </c>
      <c r="BG4" s="41">
        <v>7</v>
      </c>
      <c r="BH4" s="3">
        <v>265364.46908000001</v>
      </c>
      <c r="BI4" s="41">
        <v>9</v>
      </c>
    </row>
    <row r="5" spans="1:61" x14ac:dyDescent="0.2">
      <c r="A5" s="7" t="s">
        <v>41</v>
      </c>
      <c r="B5" s="7">
        <v>1887.1</v>
      </c>
      <c r="C5" s="7">
        <v>1887.1</v>
      </c>
      <c r="D5" s="7">
        <v>1887.1</v>
      </c>
      <c r="E5" s="7">
        <v>1887.1</v>
      </c>
      <c r="F5" s="7">
        <v>1898.3999999999999</v>
      </c>
      <c r="G5" s="7">
        <v>1898.3999999999999</v>
      </c>
      <c r="H5" s="7">
        <v>1898.3999999999999</v>
      </c>
      <c r="I5" s="7">
        <v>2260</v>
      </c>
      <c r="J5" s="7">
        <v>1898.3999999999999</v>
      </c>
      <c r="K5" s="7">
        <v>1898.3999999999999</v>
      </c>
      <c r="L5" s="7">
        <v>1898.3999999999999</v>
      </c>
      <c r="M5" s="7">
        <v>1988.7999999999997</v>
      </c>
      <c r="N5" s="3">
        <f t="shared" si="0"/>
        <v>1932.3000000000002</v>
      </c>
      <c r="O5" s="9">
        <f>SUM($N$2:N5)/$B$43</f>
        <v>0.59280375407552721</v>
      </c>
      <c r="P5">
        <f>COUNTA($A$2:A5)</f>
        <v>4</v>
      </c>
      <c r="Q5" s="9">
        <f t="shared" si="1"/>
        <v>0.1</v>
      </c>
      <c r="R5" t="str">
        <f t="shared" si="2"/>
        <v>A</v>
      </c>
      <c r="Z5" t="s">
        <v>74</v>
      </c>
      <c r="AA5" s="3">
        <v>1.2999999999999998</v>
      </c>
      <c r="AB5" s="3">
        <v>2.6000000000000005</v>
      </c>
      <c r="AC5" s="3">
        <v>1.3</v>
      </c>
      <c r="AD5" s="3">
        <v>0</v>
      </c>
      <c r="AE5" s="3">
        <v>1.3</v>
      </c>
      <c r="AF5" s="3">
        <v>1.3</v>
      </c>
      <c r="AG5" s="3">
        <v>2.6</v>
      </c>
      <c r="AH5" s="3">
        <v>0</v>
      </c>
      <c r="AI5" s="3">
        <v>1.2999999999999998</v>
      </c>
      <c r="AJ5" s="3">
        <v>1.3000000000000003</v>
      </c>
      <c r="AK5" s="3">
        <v>1.3</v>
      </c>
      <c r="AL5" s="3">
        <v>14.3</v>
      </c>
      <c r="AM5" s="3">
        <v>1.3</v>
      </c>
      <c r="AN5">
        <v>40</v>
      </c>
      <c r="AO5" s="9">
        <v>1</v>
      </c>
      <c r="AP5" t="s">
        <v>105</v>
      </c>
      <c r="AT5" t="s">
        <v>41</v>
      </c>
      <c r="AU5" s="3">
        <f t="shared" si="5"/>
        <v>23187.600000000002</v>
      </c>
      <c r="AV5" s="9" t="s">
        <v>103</v>
      </c>
      <c r="AW5" t="s">
        <v>106</v>
      </c>
      <c r="BA5" s="19" t="s">
        <v>90</v>
      </c>
      <c r="BB5" s="3"/>
      <c r="BC5" s="41"/>
      <c r="BD5" s="3">
        <v>15527.372045120001</v>
      </c>
      <c r="BE5" s="41">
        <v>4</v>
      </c>
      <c r="BF5" s="3">
        <v>41099.730341540431</v>
      </c>
      <c r="BG5" s="41">
        <v>8</v>
      </c>
      <c r="BH5" s="3">
        <v>56627.10238666043</v>
      </c>
      <c r="BI5" s="41">
        <v>12</v>
      </c>
    </row>
    <row r="6" spans="1:61" x14ac:dyDescent="0.2">
      <c r="A6" s="7" t="s">
        <v>47</v>
      </c>
      <c r="B6" s="7">
        <v>1712.2799999999997</v>
      </c>
      <c r="C6" s="7">
        <v>1712.2799999999997</v>
      </c>
      <c r="D6" s="7">
        <v>1712.2799999999997</v>
      </c>
      <c r="E6" s="7">
        <v>1712.2799999999997</v>
      </c>
      <c r="F6" s="7">
        <v>1719.12</v>
      </c>
      <c r="G6" s="7">
        <v>1719.12</v>
      </c>
      <c r="H6" s="7">
        <v>1652.9999999999998</v>
      </c>
      <c r="I6" s="7">
        <v>1968.7799999999997</v>
      </c>
      <c r="J6" s="7">
        <v>1434.12</v>
      </c>
      <c r="K6" s="7">
        <v>951.89999999999986</v>
      </c>
      <c r="L6" s="7">
        <v>1139.4299999999998</v>
      </c>
      <c r="M6" s="7">
        <v>1203.8399999999999</v>
      </c>
      <c r="N6" s="3">
        <f t="shared" si="0"/>
        <v>1553.2024999999994</v>
      </c>
      <c r="O6" s="9">
        <f>SUM($N$2:N6)/$B$43</f>
        <v>0.64765802154363028</v>
      </c>
      <c r="P6">
        <f>COUNTA($A$2:A6)</f>
        <v>5</v>
      </c>
      <c r="Q6" s="9">
        <f t="shared" si="1"/>
        <v>0.125</v>
      </c>
      <c r="R6" t="str">
        <f t="shared" si="2"/>
        <v>A</v>
      </c>
      <c r="Z6" t="s">
        <v>75</v>
      </c>
      <c r="AA6" s="3">
        <v>3</v>
      </c>
      <c r="AB6" s="3">
        <v>6</v>
      </c>
      <c r="AC6" s="3">
        <v>3</v>
      </c>
      <c r="AD6" s="3">
        <v>0</v>
      </c>
      <c r="AE6" s="3">
        <v>3</v>
      </c>
      <c r="AF6" s="3">
        <v>3</v>
      </c>
      <c r="AG6" s="3">
        <v>6</v>
      </c>
      <c r="AH6" s="3">
        <v>0</v>
      </c>
      <c r="AI6" s="3">
        <v>3</v>
      </c>
      <c r="AJ6" s="3">
        <v>3</v>
      </c>
      <c r="AK6" s="3">
        <v>3</v>
      </c>
      <c r="AL6" s="3">
        <v>33</v>
      </c>
      <c r="AM6" s="3">
        <v>3</v>
      </c>
      <c r="AN6">
        <v>39</v>
      </c>
      <c r="AO6" s="9">
        <v>0.97499999999999998</v>
      </c>
      <c r="AP6" t="s">
        <v>105</v>
      </c>
      <c r="AT6" t="s">
        <v>47</v>
      </c>
      <c r="AU6" s="3">
        <f t="shared" si="5"/>
        <v>18638.429999999993</v>
      </c>
      <c r="AV6" s="9" t="s">
        <v>103</v>
      </c>
      <c r="AW6" t="s">
        <v>104</v>
      </c>
      <c r="BA6" s="19" t="s">
        <v>91</v>
      </c>
      <c r="BB6" s="3">
        <v>3717.8999999999996</v>
      </c>
      <c r="BC6" s="41">
        <v>9</v>
      </c>
      <c r="BD6" s="3">
        <v>11794.985343394967</v>
      </c>
      <c r="BE6" s="41">
        <v>9</v>
      </c>
      <c r="BF6" s="3">
        <v>2276.4</v>
      </c>
      <c r="BG6" s="41">
        <v>1</v>
      </c>
      <c r="BH6" s="3">
        <v>17789.285343394968</v>
      </c>
      <c r="BI6" s="41">
        <v>19</v>
      </c>
    </row>
    <row r="7" spans="1:61" x14ac:dyDescent="0.2">
      <c r="A7" s="7" t="s">
        <v>46</v>
      </c>
      <c r="B7" s="7">
        <v>1109.9000000000001</v>
      </c>
      <c r="C7" s="7">
        <v>374.00000000000006</v>
      </c>
      <c r="D7" s="7">
        <v>473.55</v>
      </c>
      <c r="E7" s="7">
        <v>1886.5000000000002</v>
      </c>
      <c r="F7" s="7">
        <v>2186.8000000000002</v>
      </c>
      <c r="G7" s="7">
        <v>1309</v>
      </c>
      <c r="H7" s="7">
        <v>2057</v>
      </c>
      <c r="I7" s="7">
        <v>1540.0000000000002</v>
      </c>
      <c r="J7" s="7">
        <v>1078</v>
      </c>
      <c r="K7" s="7">
        <v>539</v>
      </c>
      <c r="L7" s="7">
        <v>1316.7</v>
      </c>
      <c r="M7" s="7">
        <v>731.50000000000011</v>
      </c>
      <c r="N7" s="3">
        <f t="shared" si="0"/>
        <v>1216.8291666666667</v>
      </c>
      <c r="O7" s="9">
        <f>SUM($N$2:N7)/$B$43</f>
        <v>0.69063263211200254</v>
      </c>
      <c r="P7">
        <f>COUNTA($A$2:A7)</f>
        <v>6</v>
      </c>
      <c r="Q7" s="9">
        <f t="shared" si="1"/>
        <v>0.15</v>
      </c>
      <c r="R7" t="str">
        <f t="shared" si="2"/>
        <v>A</v>
      </c>
      <c r="Z7" t="s">
        <v>68</v>
      </c>
      <c r="AA7" s="3">
        <v>2.6999999999999957</v>
      </c>
      <c r="AB7" s="3">
        <v>5.3999999999999986</v>
      </c>
      <c r="AC7" s="3">
        <v>7.1999999999999957</v>
      </c>
      <c r="AD7" s="3">
        <v>0</v>
      </c>
      <c r="AE7" s="3">
        <v>1.7999999999999972</v>
      </c>
      <c r="AF7" s="3">
        <v>2.7000000000000028</v>
      </c>
      <c r="AG7" s="3">
        <v>8.1000000000000014</v>
      </c>
      <c r="AH7" s="3">
        <v>5.3999999999999986</v>
      </c>
      <c r="AI7" s="3">
        <v>0</v>
      </c>
      <c r="AJ7" s="3">
        <v>0.89999999999999858</v>
      </c>
      <c r="AK7" s="3">
        <v>0.89999999999999858</v>
      </c>
      <c r="AL7" s="3">
        <v>35.099999999999987</v>
      </c>
      <c r="AM7" s="3">
        <v>3.1909090909090896</v>
      </c>
      <c r="AN7">
        <v>33</v>
      </c>
      <c r="AO7" s="9">
        <v>0.82499999999999996</v>
      </c>
      <c r="AP7" t="s">
        <v>105</v>
      </c>
      <c r="AT7" t="s">
        <v>46</v>
      </c>
      <c r="AU7" s="3">
        <f t="shared" si="5"/>
        <v>14601.95</v>
      </c>
      <c r="AV7" s="9" t="s">
        <v>103</v>
      </c>
      <c r="AW7" t="s">
        <v>104</v>
      </c>
      <c r="BA7" s="19" t="s">
        <v>108</v>
      </c>
      <c r="BB7" s="3">
        <v>61892.099999999991</v>
      </c>
      <c r="BC7" s="41">
        <v>10</v>
      </c>
      <c r="BD7" s="3">
        <v>50509.957388514973</v>
      </c>
      <c r="BE7" s="41">
        <v>14</v>
      </c>
      <c r="BF7" s="3">
        <v>227378.79942154043</v>
      </c>
      <c r="BG7" s="41">
        <v>16</v>
      </c>
      <c r="BH7" s="3">
        <v>339780.85681005538</v>
      </c>
      <c r="BI7" s="41">
        <v>40</v>
      </c>
    </row>
    <row r="8" spans="1:61" x14ac:dyDescent="0.2">
      <c r="A8" s="7" t="s">
        <v>42</v>
      </c>
      <c r="B8" s="7">
        <v>0</v>
      </c>
      <c r="C8" s="7">
        <v>0</v>
      </c>
      <c r="D8" s="7">
        <v>0</v>
      </c>
      <c r="E8" s="7">
        <v>4500</v>
      </c>
      <c r="F8" s="7">
        <v>0</v>
      </c>
      <c r="G8" s="7">
        <v>0</v>
      </c>
      <c r="H8" s="7">
        <v>0</v>
      </c>
      <c r="I8" s="7">
        <v>4500</v>
      </c>
      <c r="J8" s="7">
        <v>0</v>
      </c>
      <c r="K8" s="7">
        <v>0</v>
      </c>
      <c r="L8" s="7">
        <v>0</v>
      </c>
      <c r="M8" s="7">
        <v>4500</v>
      </c>
      <c r="N8" s="3">
        <f t="shared" si="0"/>
        <v>1125</v>
      </c>
      <c r="O8" s="9">
        <f>SUM($N$2:N8)/$B$43</f>
        <v>0.73036412295213182</v>
      </c>
      <c r="P8">
        <f>COUNTA($A$2:A8)</f>
        <v>7</v>
      </c>
      <c r="Q8" s="9">
        <f t="shared" si="1"/>
        <v>0.17499999999999999</v>
      </c>
      <c r="R8" t="str">
        <f t="shared" si="2"/>
        <v>A</v>
      </c>
      <c r="S8" s="3"/>
      <c r="Z8" t="s">
        <v>79</v>
      </c>
      <c r="AA8" s="3">
        <v>4.5</v>
      </c>
      <c r="AB8" s="3">
        <v>9</v>
      </c>
      <c r="AC8" s="3">
        <v>12</v>
      </c>
      <c r="AD8" s="3">
        <v>0</v>
      </c>
      <c r="AE8" s="3">
        <v>3</v>
      </c>
      <c r="AF8" s="3">
        <v>4.5</v>
      </c>
      <c r="AG8" s="3">
        <v>13.5</v>
      </c>
      <c r="AH8" s="3">
        <v>9</v>
      </c>
      <c r="AI8" s="3">
        <v>0</v>
      </c>
      <c r="AJ8" s="3">
        <v>1.5</v>
      </c>
      <c r="AK8" s="3">
        <v>1.5</v>
      </c>
      <c r="AL8" s="3">
        <v>58.5</v>
      </c>
      <c r="AM8" s="3">
        <v>5.3181818181818183</v>
      </c>
      <c r="AN8">
        <v>31</v>
      </c>
      <c r="AO8" s="9">
        <v>0.77500000000000002</v>
      </c>
      <c r="AP8" t="s">
        <v>105</v>
      </c>
      <c r="AT8" t="s">
        <v>42</v>
      </c>
      <c r="AU8" s="3">
        <f t="shared" si="5"/>
        <v>13500</v>
      </c>
      <c r="AV8" s="9" t="s">
        <v>103</v>
      </c>
      <c r="AW8" t="s">
        <v>104</v>
      </c>
    </row>
    <row r="9" spans="1:61" x14ac:dyDescent="0.2">
      <c r="A9" s="7" t="s">
        <v>55</v>
      </c>
      <c r="B9" s="7">
        <v>1533.8400000000001</v>
      </c>
      <c r="C9" s="7">
        <v>559.50300000000004</v>
      </c>
      <c r="D9" s="7">
        <v>251.14140000000003</v>
      </c>
      <c r="E9" s="7">
        <v>1451.9190000000001</v>
      </c>
      <c r="F9" s="7">
        <v>1739.6136000000001</v>
      </c>
      <c r="G9" s="7">
        <v>829.66800000000001</v>
      </c>
      <c r="H9" s="7">
        <v>23.904000000000007</v>
      </c>
      <c r="I9" s="7">
        <v>418.32000000000005</v>
      </c>
      <c r="J9" s="7">
        <v>906.36000000000013</v>
      </c>
      <c r="K9" s="7">
        <v>383.46000000000004</v>
      </c>
      <c r="L9" s="7">
        <v>826.03260000000012</v>
      </c>
      <c r="M9" s="7">
        <v>567.72</v>
      </c>
      <c r="N9" s="3">
        <f t="shared" si="0"/>
        <v>790.95679999999993</v>
      </c>
      <c r="O9" s="9">
        <f>SUM($N$2:N9)/$B$43</f>
        <v>0.75829824993358785</v>
      </c>
      <c r="P9">
        <f>COUNTA($A$2:A9)</f>
        <v>8</v>
      </c>
      <c r="Q9" s="9">
        <f t="shared" si="1"/>
        <v>0.2</v>
      </c>
      <c r="R9" t="str">
        <f t="shared" si="2"/>
        <v>A</v>
      </c>
      <c r="Z9" t="s">
        <v>72</v>
      </c>
      <c r="AA9" s="3">
        <v>22</v>
      </c>
      <c r="AB9" s="3">
        <v>2</v>
      </c>
      <c r="AC9" s="3">
        <v>2</v>
      </c>
      <c r="AD9" s="3">
        <v>0</v>
      </c>
      <c r="AE9" s="3">
        <v>4</v>
      </c>
      <c r="AF9" s="3">
        <v>4</v>
      </c>
      <c r="AG9" s="3">
        <v>0</v>
      </c>
      <c r="AH9" s="3">
        <v>8</v>
      </c>
      <c r="AI9" s="3">
        <v>8</v>
      </c>
      <c r="AJ9" s="3">
        <v>14</v>
      </c>
      <c r="AK9" s="3">
        <v>2</v>
      </c>
      <c r="AL9" s="3">
        <v>66</v>
      </c>
      <c r="AM9" s="3">
        <v>6</v>
      </c>
      <c r="AN9">
        <v>34</v>
      </c>
      <c r="AO9" s="9">
        <v>0.85</v>
      </c>
      <c r="AP9" t="s">
        <v>105</v>
      </c>
      <c r="AT9" t="s">
        <v>55</v>
      </c>
      <c r="AU9" s="3">
        <f t="shared" si="5"/>
        <v>9491.4815999999992</v>
      </c>
      <c r="AV9" s="9" t="s">
        <v>103</v>
      </c>
      <c r="AW9" t="s">
        <v>104</v>
      </c>
    </row>
    <row r="10" spans="1:61" x14ac:dyDescent="0.2">
      <c r="A10" s="7" t="s">
        <v>45</v>
      </c>
      <c r="B10" s="7">
        <v>693</v>
      </c>
      <c r="C10" s="7">
        <v>693</v>
      </c>
      <c r="D10" s="7">
        <v>693</v>
      </c>
      <c r="E10" s="7">
        <v>0</v>
      </c>
      <c r="F10" s="7">
        <v>693</v>
      </c>
      <c r="G10" s="7">
        <v>700.7</v>
      </c>
      <c r="H10" s="7">
        <v>708.4</v>
      </c>
      <c r="I10" s="7">
        <v>716.1</v>
      </c>
      <c r="J10" s="7">
        <v>617.54</v>
      </c>
      <c r="K10" s="7">
        <v>723.80000000000007</v>
      </c>
      <c r="L10" s="7">
        <v>731.5</v>
      </c>
      <c r="M10" s="7">
        <v>739.2</v>
      </c>
      <c r="N10" s="3">
        <f t="shared" si="0"/>
        <v>642.43666666666661</v>
      </c>
      <c r="O10" s="9">
        <f>SUM($N$2:N10)/$B$43</f>
        <v>0.78098710907761437</v>
      </c>
      <c r="P10">
        <f>COUNTA($A$2:A10)</f>
        <v>9</v>
      </c>
      <c r="Q10" s="9">
        <f t="shared" si="1"/>
        <v>0.22500000000000001</v>
      </c>
      <c r="R10" t="str">
        <f t="shared" si="2"/>
        <v>A</v>
      </c>
      <c r="Z10" t="s">
        <v>40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34.199999999999818</v>
      </c>
      <c r="AI10" s="3">
        <v>34.199999999999818</v>
      </c>
      <c r="AJ10" s="3">
        <v>0</v>
      </c>
      <c r="AK10" s="3">
        <v>0</v>
      </c>
      <c r="AL10" s="3">
        <v>68.399999999999636</v>
      </c>
      <c r="AM10" s="3">
        <v>6.2181818181817849</v>
      </c>
      <c r="AN10">
        <v>2</v>
      </c>
      <c r="AO10" s="9">
        <v>0.05</v>
      </c>
      <c r="AP10" t="s">
        <v>105</v>
      </c>
      <c r="AT10" t="s">
        <v>45</v>
      </c>
      <c r="AU10" s="3">
        <f t="shared" si="5"/>
        <v>7709.24</v>
      </c>
      <c r="AV10" s="9" t="s">
        <v>103</v>
      </c>
      <c r="AW10" t="s">
        <v>104</v>
      </c>
    </row>
    <row r="11" spans="1:61" x14ac:dyDescent="0.2">
      <c r="A11" s="7" t="s">
        <v>51</v>
      </c>
      <c r="B11" s="7">
        <v>589.67999999999995</v>
      </c>
      <c r="C11" s="7">
        <v>221.13</v>
      </c>
      <c r="D11" s="7">
        <v>129.51900000000001</v>
      </c>
      <c r="E11" s="7">
        <v>515.96999999999991</v>
      </c>
      <c r="F11" s="7">
        <v>797.47199999999998</v>
      </c>
      <c r="G11" s="7">
        <v>477.35999999999996</v>
      </c>
      <c r="H11" s="7">
        <v>252.71999999999997</v>
      </c>
      <c r="I11" s="7">
        <v>2527.1999999999998</v>
      </c>
      <c r="J11" s="7">
        <v>589.67999999999995</v>
      </c>
      <c r="K11" s="7">
        <v>294.83999999999997</v>
      </c>
      <c r="L11" s="7">
        <v>720.25199999999995</v>
      </c>
      <c r="M11" s="7">
        <v>400.14</v>
      </c>
      <c r="N11" s="3">
        <f t="shared" si="0"/>
        <v>626.33025000000009</v>
      </c>
      <c r="O11" s="9">
        <f>SUM($N$2:N11)/$B$43</f>
        <v>0.80310713982496629</v>
      </c>
      <c r="P11">
        <f>COUNTA($A$2:A11)</f>
        <v>10</v>
      </c>
      <c r="Q11" s="9">
        <f>P11/$B$44</f>
        <v>0.25</v>
      </c>
      <c r="R11" t="str">
        <f t="shared" si="2"/>
        <v>B</v>
      </c>
      <c r="Z11" t="s">
        <v>69</v>
      </c>
      <c r="AA11" s="3">
        <v>4.2000000000000028</v>
      </c>
      <c r="AB11" s="3">
        <v>1.0499999999999972</v>
      </c>
      <c r="AC11" s="3">
        <v>22.049999999999997</v>
      </c>
      <c r="AD11" s="3">
        <v>9.4500000000000011</v>
      </c>
      <c r="AE11" s="3">
        <v>7.3499999999999979</v>
      </c>
      <c r="AF11" s="3">
        <v>6.3000000000000043</v>
      </c>
      <c r="AG11" s="3">
        <v>9.4499999999999957</v>
      </c>
      <c r="AH11" s="3">
        <v>13.649999999999999</v>
      </c>
      <c r="AI11" s="3">
        <v>0</v>
      </c>
      <c r="AJ11" s="3">
        <v>3.1499999999999986</v>
      </c>
      <c r="AK11" s="3">
        <v>3.1499999999999986</v>
      </c>
      <c r="AL11" s="3">
        <v>79.800000000000011</v>
      </c>
      <c r="AM11" s="3">
        <v>7.2545454545454557</v>
      </c>
      <c r="AN11">
        <v>35</v>
      </c>
      <c r="AO11" s="9">
        <v>0.875</v>
      </c>
      <c r="AP11" t="s">
        <v>105</v>
      </c>
      <c r="AT11" t="s">
        <v>51</v>
      </c>
      <c r="AU11" s="3">
        <f t="shared" si="5"/>
        <v>7515.9630000000006</v>
      </c>
      <c r="AV11" t="s">
        <v>90</v>
      </c>
      <c r="AW11" t="s">
        <v>104</v>
      </c>
      <c r="BA11" s="20"/>
      <c r="BB11" s="36" t="s">
        <v>105</v>
      </c>
      <c r="BC11" s="36"/>
      <c r="BD11" s="36" t="s">
        <v>106</v>
      </c>
      <c r="BE11" s="36"/>
      <c r="BF11" s="36" t="s">
        <v>104</v>
      </c>
      <c r="BG11" s="36"/>
      <c r="BH11" s="37" t="s">
        <v>102</v>
      </c>
      <c r="BI11" s="39" t="s">
        <v>84</v>
      </c>
    </row>
    <row r="12" spans="1:61" x14ac:dyDescent="0.2">
      <c r="A12" s="7" t="s">
        <v>48</v>
      </c>
      <c r="B12" s="7">
        <v>568</v>
      </c>
      <c r="C12" s="7">
        <v>568.70999999999992</v>
      </c>
      <c r="D12" s="7">
        <v>574.39</v>
      </c>
      <c r="E12" s="7">
        <v>536.76</v>
      </c>
      <c r="F12" s="7">
        <v>631.9</v>
      </c>
      <c r="G12" s="7">
        <v>574.39</v>
      </c>
      <c r="H12" s="7">
        <v>570.83999999999992</v>
      </c>
      <c r="I12" s="7">
        <v>601.37</v>
      </c>
      <c r="J12" s="7">
        <v>568</v>
      </c>
      <c r="K12" s="7">
        <v>568</v>
      </c>
      <c r="L12" s="7">
        <v>568</v>
      </c>
      <c r="M12" s="7">
        <v>568.70999999999992</v>
      </c>
      <c r="N12" s="3">
        <f t="shared" si="0"/>
        <v>574.92250000000001</v>
      </c>
      <c r="O12" s="9">
        <f>SUM($N$2:N12)/$B$43</f>
        <v>0.8234116091961079</v>
      </c>
      <c r="P12">
        <f>COUNTA($A$2:A12)</f>
        <v>11</v>
      </c>
      <c r="Q12" s="9">
        <f t="shared" ref="Q12:Q41" si="6">P12/$B$44</f>
        <v>0.27500000000000002</v>
      </c>
      <c r="R12" t="str">
        <f t="shared" si="2"/>
        <v>B</v>
      </c>
      <c r="Z12" t="s">
        <v>58</v>
      </c>
      <c r="AA12" s="3">
        <v>2.9000000000000057</v>
      </c>
      <c r="AB12" s="3">
        <v>2.3199999999999932</v>
      </c>
      <c r="AC12" s="3">
        <v>11.599999999999994</v>
      </c>
      <c r="AD12" s="3">
        <v>30.739999999999995</v>
      </c>
      <c r="AE12" s="3">
        <v>11.019999999999982</v>
      </c>
      <c r="AF12" s="3">
        <v>13.340000000000018</v>
      </c>
      <c r="AG12" s="3">
        <v>10.440000000000012</v>
      </c>
      <c r="AH12" s="3">
        <v>7.539999999999992</v>
      </c>
      <c r="AI12" s="3">
        <v>11.599999999999994</v>
      </c>
      <c r="AJ12" s="3">
        <v>1.7400000000000091</v>
      </c>
      <c r="AK12" s="3">
        <v>6.960000000000008</v>
      </c>
      <c r="AL12" s="3">
        <v>110.2</v>
      </c>
      <c r="AM12" s="3">
        <v>10.018181818181818</v>
      </c>
      <c r="AN12">
        <v>26</v>
      </c>
      <c r="AO12" s="9">
        <v>0.65</v>
      </c>
      <c r="AP12" t="s">
        <v>106</v>
      </c>
      <c r="AT12" t="s">
        <v>48</v>
      </c>
      <c r="AU12" s="3">
        <f t="shared" si="5"/>
        <v>6899.07</v>
      </c>
      <c r="AV12" t="s">
        <v>90</v>
      </c>
      <c r="AW12" t="s">
        <v>106</v>
      </c>
      <c r="BA12" s="21"/>
      <c r="BB12" s="28" t="s">
        <v>112</v>
      </c>
      <c r="BC12" s="28" t="s">
        <v>92</v>
      </c>
      <c r="BD12" s="28" t="s">
        <v>112</v>
      </c>
      <c r="BE12" s="28" t="s">
        <v>92</v>
      </c>
      <c r="BF12" s="28" t="s">
        <v>112</v>
      </c>
      <c r="BG12" s="28" t="s">
        <v>92</v>
      </c>
      <c r="BH12" s="38"/>
      <c r="BI12" s="40"/>
    </row>
    <row r="13" spans="1:61" x14ac:dyDescent="0.2">
      <c r="A13" s="7" t="s">
        <v>54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6885.6</v>
      </c>
      <c r="J13" s="7">
        <v>0</v>
      </c>
      <c r="K13" s="7">
        <v>0</v>
      </c>
      <c r="L13" s="7">
        <v>0</v>
      </c>
      <c r="M13" s="7">
        <v>0</v>
      </c>
      <c r="N13" s="3">
        <f t="shared" si="0"/>
        <v>573.80000000000007</v>
      </c>
      <c r="O13" s="9">
        <f>SUM($N$2:N13)/$B$43</f>
        <v>0.84367643536861114</v>
      </c>
      <c r="P13">
        <f>COUNTA($A$2:A13)</f>
        <v>12</v>
      </c>
      <c r="Q13" s="9">
        <f t="shared" si="6"/>
        <v>0.3</v>
      </c>
      <c r="R13" t="str">
        <f t="shared" si="2"/>
        <v>B</v>
      </c>
      <c r="Z13" t="s">
        <v>66</v>
      </c>
      <c r="AA13" s="3">
        <v>2.7526399999999995</v>
      </c>
      <c r="AB13" s="3">
        <v>1.5438720000000039</v>
      </c>
      <c r="AC13" s="3">
        <v>13.097779199999994</v>
      </c>
      <c r="AD13" s="3">
        <v>7.3933516800000021</v>
      </c>
      <c r="AE13" s="3">
        <v>14.698618879999991</v>
      </c>
      <c r="AF13" s="3">
        <v>0.4787200000000027</v>
      </c>
      <c r="AG13" s="3">
        <v>25.27641599999999</v>
      </c>
      <c r="AH13" s="3">
        <v>5.5148543999999973</v>
      </c>
      <c r="AI13" s="3">
        <v>30.989830399999988</v>
      </c>
      <c r="AJ13" s="3">
        <v>3.7399999999999984</v>
      </c>
      <c r="AK13" s="3">
        <v>4.759999999999998</v>
      </c>
      <c r="AL13" s="3">
        <v>110.24608255999996</v>
      </c>
      <c r="AM13" s="3">
        <v>10.022371141818178</v>
      </c>
      <c r="AN13">
        <v>36</v>
      </c>
      <c r="AO13" s="9">
        <v>0.9</v>
      </c>
      <c r="AP13" t="s">
        <v>106</v>
      </c>
      <c r="AT13" t="s">
        <v>54</v>
      </c>
      <c r="AU13" s="3">
        <f t="shared" si="5"/>
        <v>6885.6</v>
      </c>
      <c r="AV13" t="s">
        <v>90</v>
      </c>
      <c r="AW13" t="s">
        <v>104</v>
      </c>
      <c r="BA13" s="21" t="s">
        <v>103</v>
      </c>
      <c r="BB13" s="22">
        <v>58174.2</v>
      </c>
      <c r="BC13" s="22">
        <v>1</v>
      </c>
      <c r="BD13" s="22">
        <v>23187.600000000002</v>
      </c>
      <c r="BE13" s="22">
        <v>1</v>
      </c>
      <c r="BF13" s="22">
        <v>184002.66907999999</v>
      </c>
      <c r="BG13" s="22">
        <v>7</v>
      </c>
      <c r="BH13" s="26">
        <v>265364.46908000001</v>
      </c>
      <c r="BI13" s="27">
        <v>9</v>
      </c>
    </row>
    <row r="14" spans="1:61" x14ac:dyDescent="0.2">
      <c r="A14" s="7" t="s">
        <v>52</v>
      </c>
      <c r="B14" s="7">
        <v>517.5</v>
      </c>
      <c r="C14" s="7">
        <v>396.74999999999994</v>
      </c>
      <c r="D14" s="7">
        <v>518.65</v>
      </c>
      <c r="E14" s="7">
        <v>459.99999999999994</v>
      </c>
      <c r="F14" s="7">
        <v>563.5</v>
      </c>
      <c r="G14" s="7">
        <v>575</v>
      </c>
      <c r="H14" s="7">
        <v>354.2</v>
      </c>
      <c r="I14" s="7">
        <v>218.49999999999997</v>
      </c>
      <c r="J14" s="7">
        <v>678.5</v>
      </c>
      <c r="K14" s="7">
        <v>770.49999999999989</v>
      </c>
      <c r="L14" s="7">
        <v>931.49999999999989</v>
      </c>
      <c r="M14" s="7">
        <v>264.5</v>
      </c>
      <c r="N14" s="3">
        <f t="shared" si="0"/>
        <v>520.75833333333333</v>
      </c>
      <c r="O14" s="9">
        <f>SUM($N$2:N14)/$B$43</f>
        <v>0.86206799532483724</v>
      </c>
      <c r="P14">
        <f>COUNTA($A$2:A14)</f>
        <v>13</v>
      </c>
      <c r="Q14" s="9">
        <f t="shared" si="6"/>
        <v>0.32500000000000001</v>
      </c>
      <c r="R14" t="str">
        <f t="shared" si="2"/>
        <v>B</v>
      </c>
      <c r="Z14" t="s">
        <v>67</v>
      </c>
      <c r="AA14" s="3">
        <v>9.5039999999999978</v>
      </c>
      <c r="AB14" s="3">
        <v>11.404799999999994</v>
      </c>
      <c r="AC14" s="3">
        <v>13.685759999999988</v>
      </c>
      <c r="AD14" s="3">
        <v>16.422911999999997</v>
      </c>
      <c r="AE14" s="3">
        <v>22.505471999999969</v>
      </c>
      <c r="AF14" s="3">
        <v>15.206400000000002</v>
      </c>
      <c r="AG14" s="3">
        <v>18.247679999999988</v>
      </c>
      <c r="AH14" s="3">
        <v>21.897215999999972</v>
      </c>
      <c r="AI14" s="3">
        <v>131.38329599999997</v>
      </c>
      <c r="AJ14" s="3">
        <v>0</v>
      </c>
      <c r="AK14" s="3">
        <v>0</v>
      </c>
      <c r="AL14" s="3">
        <v>260.25753599999985</v>
      </c>
      <c r="AM14" s="3">
        <v>23.659775999999987</v>
      </c>
      <c r="AN14">
        <v>32</v>
      </c>
      <c r="AO14" s="9">
        <v>0.8</v>
      </c>
      <c r="AP14" t="s">
        <v>106</v>
      </c>
      <c r="AT14" t="s">
        <v>52</v>
      </c>
      <c r="AU14" s="3">
        <f t="shared" si="5"/>
        <v>6249.1</v>
      </c>
      <c r="AV14" t="s">
        <v>90</v>
      </c>
      <c r="AW14" t="s">
        <v>104</v>
      </c>
      <c r="BA14" s="21" t="s">
        <v>90</v>
      </c>
      <c r="BB14" s="22"/>
      <c r="BC14" s="22"/>
      <c r="BD14" s="22">
        <v>15527.372045120001</v>
      </c>
      <c r="BE14" s="22">
        <v>4</v>
      </c>
      <c r="BF14" s="22">
        <v>41099.730341540431</v>
      </c>
      <c r="BG14" s="22">
        <v>8</v>
      </c>
      <c r="BH14" s="26">
        <v>56627.10238666043</v>
      </c>
      <c r="BI14" s="27">
        <v>12</v>
      </c>
    </row>
    <row r="15" spans="1:61" x14ac:dyDescent="0.2">
      <c r="A15" s="7" t="s">
        <v>60</v>
      </c>
      <c r="B15" s="7">
        <v>399</v>
      </c>
      <c r="C15" s="7">
        <v>473.48</v>
      </c>
      <c r="D15" s="7">
        <v>555.94000000000005</v>
      </c>
      <c r="E15" s="7">
        <v>444.22</v>
      </c>
      <c r="F15" s="7">
        <v>343.14000000000004</v>
      </c>
      <c r="G15" s="7">
        <v>859.18000000000006</v>
      </c>
      <c r="H15" s="7">
        <v>399</v>
      </c>
      <c r="I15" s="7">
        <v>422.94</v>
      </c>
      <c r="J15" s="7">
        <v>340.48</v>
      </c>
      <c r="K15" s="7">
        <v>414.96000000000004</v>
      </c>
      <c r="L15" s="7">
        <v>425.6</v>
      </c>
      <c r="M15" s="7">
        <v>399</v>
      </c>
      <c r="N15" s="3">
        <f t="shared" si="0"/>
        <v>456.41166666666669</v>
      </c>
      <c r="O15" s="9">
        <f>SUM($N$2:N15)/$B$43</f>
        <v>0.87818703172794377</v>
      </c>
      <c r="P15">
        <f>COUNTA($A$2:A15)</f>
        <v>14</v>
      </c>
      <c r="Q15" s="9">
        <f t="shared" si="6"/>
        <v>0.35</v>
      </c>
      <c r="R15" t="str">
        <f t="shared" si="2"/>
        <v>B</v>
      </c>
      <c r="Z15" t="s">
        <v>48</v>
      </c>
      <c r="AA15" s="3">
        <v>0.70999999999992269</v>
      </c>
      <c r="AB15" s="3">
        <v>5.6800000000000637</v>
      </c>
      <c r="AC15" s="3">
        <v>37.629999999999995</v>
      </c>
      <c r="AD15" s="3">
        <v>95.139999999999986</v>
      </c>
      <c r="AE15" s="3">
        <v>57.509999999999991</v>
      </c>
      <c r="AF15" s="3">
        <v>3.5500000000000682</v>
      </c>
      <c r="AG15" s="3">
        <v>30.530000000000086</v>
      </c>
      <c r="AH15" s="3">
        <v>33.370000000000005</v>
      </c>
      <c r="AI15" s="3">
        <v>0</v>
      </c>
      <c r="AJ15" s="3">
        <v>0</v>
      </c>
      <c r="AK15" s="3">
        <v>0.70999999999992269</v>
      </c>
      <c r="AL15" s="3">
        <v>264.83000000000004</v>
      </c>
      <c r="AM15" s="3">
        <v>24.075454545454548</v>
      </c>
      <c r="AN15">
        <v>11</v>
      </c>
      <c r="AO15" s="9">
        <v>0.27500000000000002</v>
      </c>
      <c r="AP15" t="s">
        <v>106</v>
      </c>
      <c r="AT15" t="s">
        <v>60</v>
      </c>
      <c r="AU15" s="3">
        <f t="shared" si="5"/>
        <v>5476.9400000000005</v>
      </c>
      <c r="AV15" t="s">
        <v>90</v>
      </c>
      <c r="AW15" t="s">
        <v>104</v>
      </c>
      <c r="BA15" s="21" t="s">
        <v>91</v>
      </c>
      <c r="BB15" s="22">
        <v>3717.8999999999996</v>
      </c>
      <c r="BC15" s="22">
        <v>9</v>
      </c>
      <c r="BD15" s="22">
        <v>11794.985343394967</v>
      </c>
      <c r="BE15" s="22">
        <v>9</v>
      </c>
      <c r="BF15" s="22">
        <v>2276.4</v>
      </c>
      <c r="BG15" s="22">
        <v>1</v>
      </c>
      <c r="BH15" s="26">
        <v>17789.285343394968</v>
      </c>
      <c r="BI15" s="27">
        <v>19</v>
      </c>
    </row>
    <row r="16" spans="1:61" x14ac:dyDescent="0.2">
      <c r="A16" s="7" t="s">
        <v>61</v>
      </c>
      <c r="B16" s="7">
        <v>152.23126160000001</v>
      </c>
      <c r="C16" s="7">
        <v>244.00092862992003</v>
      </c>
      <c r="D16" s="7">
        <v>136.21379706316793</v>
      </c>
      <c r="E16" s="7">
        <v>398.03625983278067</v>
      </c>
      <c r="F16" s="7">
        <v>430.56849022894062</v>
      </c>
      <c r="G16" s="7">
        <v>294.06151075839995</v>
      </c>
      <c r="H16" s="7">
        <v>178.24874496000004</v>
      </c>
      <c r="I16" s="7">
        <v>969.99881932799974</v>
      </c>
      <c r="J16" s="7">
        <v>821.82140891135975</v>
      </c>
      <c r="K16" s="7">
        <v>308.39028000000002</v>
      </c>
      <c r="L16" s="7">
        <v>594.80904895746028</v>
      </c>
      <c r="M16" s="7">
        <v>403.71091200000001</v>
      </c>
      <c r="N16" s="3">
        <f t="shared" si="0"/>
        <v>411.00762185583579</v>
      </c>
      <c r="O16" s="9">
        <f>SUM($N$2:N16)/$B$43</f>
        <v>0.89270253889504458</v>
      </c>
      <c r="P16">
        <f>COUNTA($A$2:A16)</f>
        <v>15</v>
      </c>
      <c r="Q16" s="9">
        <f t="shared" si="6"/>
        <v>0.375</v>
      </c>
      <c r="R16" t="str">
        <f t="shared" si="2"/>
        <v>B</v>
      </c>
      <c r="Z16" t="s">
        <v>57</v>
      </c>
      <c r="AA16" s="3">
        <v>47.73599999999999</v>
      </c>
      <c r="AB16" s="3">
        <v>83.83439999999996</v>
      </c>
      <c r="AC16" s="3">
        <v>16.889599999999973</v>
      </c>
      <c r="AD16" s="3">
        <v>4.877600000000001</v>
      </c>
      <c r="AE16" s="3">
        <v>61.110399999999998</v>
      </c>
      <c r="AF16" s="3">
        <v>105.66399999999999</v>
      </c>
      <c r="AG16" s="3">
        <v>3.5360000000000582</v>
      </c>
      <c r="AH16" s="3">
        <v>30.472000000000037</v>
      </c>
      <c r="AI16" s="3">
        <v>51.407200000000017</v>
      </c>
      <c r="AJ16" s="3">
        <v>46.727200000000011</v>
      </c>
      <c r="AK16" s="3">
        <v>0.41599999999999682</v>
      </c>
      <c r="AL16" s="3">
        <v>452.67040000000003</v>
      </c>
      <c r="AM16" s="3">
        <v>41.151854545454547</v>
      </c>
      <c r="AN16">
        <v>19</v>
      </c>
      <c r="AO16" s="9">
        <v>0.47499999999999998</v>
      </c>
      <c r="AP16" t="s">
        <v>106</v>
      </c>
      <c r="AT16" t="s">
        <v>61</v>
      </c>
      <c r="AU16" s="3">
        <f t="shared" si="5"/>
        <v>4932.0914622700293</v>
      </c>
      <c r="AV16" t="s">
        <v>90</v>
      </c>
      <c r="AW16" t="s">
        <v>104</v>
      </c>
      <c r="BA16" s="23" t="s">
        <v>108</v>
      </c>
      <c r="BB16" s="24">
        <v>61892.099999999991</v>
      </c>
      <c r="BC16" s="24">
        <v>10</v>
      </c>
      <c r="BD16" s="24">
        <v>50509.957388514973</v>
      </c>
      <c r="BE16" s="24">
        <v>14</v>
      </c>
      <c r="BF16" s="24">
        <v>227378.79942154043</v>
      </c>
      <c r="BG16" s="24">
        <v>16</v>
      </c>
      <c r="BH16" s="24">
        <v>339780.85681005538</v>
      </c>
      <c r="BI16" s="25">
        <v>40</v>
      </c>
    </row>
    <row r="17" spans="1:49" x14ac:dyDescent="0.2">
      <c r="A17" s="7" t="s">
        <v>65</v>
      </c>
      <c r="B17" s="7">
        <v>217.75160000000002</v>
      </c>
      <c r="C17" s="7">
        <v>247.24344480000002</v>
      </c>
      <c r="D17" s="7">
        <v>174.24734975999993</v>
      </c>
      <c r="E17" s="7">
        <v>440.36586316799986</v>
      </c>
      <c r="F17" s="7">
        <v>564.56141322239978</v>
      </c>
      <c r="G17" s="7">
        <v>276.53373440000001</v>
      </c>
      <c r="H17" s="7">
        <v>221.13484800000003</v>
      </c>
      <c r="I17" s="7">
        <v>812.67056639999987</v>
      </c>
      <c r="J17" s="7">
        <v>840.86525951999977</v>
      </c>
      <c r="K17" s="7">
        <v>301.43299999999999</v>
      </c>
      <c r="L17" s="7">
        <v>222.1688</v>
      </c>
      <c r="M17" s="7">
        <v>343.56</v>
      </c>
      <c r="N17" s="3">
        <f t="shared" si="0"/>
        <v>388.54465660586658</v>
      </c>
      <c r="O17" s="9">
        <f>SUM($N$2:N17)/$B$43</f>
        <v>0.90642472419719322</v>
      </c>
      <c r="P17">
        <f>COUNTA($A$2:A17)</f>
        <v>16</v>
      </c>
      <c r="Q17" s="9">
        <f t="shared" si="6"/>
        <v>0.4</v>
      </c>
      <c r="R17" t="str">
        <f t="shared" si="2"/>
        <v>B</v>
      </c>
      <c r="Z17" t="s">
        <v>64</v>
      </c>
      <c r="AA17" s="3">
        <v>6.3454335999999998</v>
      </c>
      <c r="AB17" s="3">
        <v>15.705761280000019</v>
      </c>
      <c r="AC17" s="3">
        <v>57.257773055999984</v>
      </c>
      <c r="AD17" s="3">
        <v>26.721780940800002</v>
      </c>
      <c r="AE17" s="3">
        <v>61.971725516799971</v>
      </c>
      <c r="AF17" s="3">
        <v>11.919564799999996</v>
      </c>
      <c r="AG17" s="3">
        <v>127.27418879999996</v>
      </c>
      <c r="AH17" s="3">
        <v>6.0663398399999835</v>
      </c>
      <c r="AI17" s="3">
        <v>116.06366463999994</v>
      </c>
      <c r="AJ17" s="3">
        <v>17.054400000000008</v>
      </c>
      <c r="AK17" s="3">
        <v>26.118400000000001</v>
      </c>
      <c r="AL17" s="3">
        <v>472.49903247359981</v>
      </c>
      <c r="AM17" s="3">
        <v>42.954457497599982</v>
      </c>
      <c r="AN17">
        <v>29</v>
      </c>
      <c r="AO17" s="9">
        <v>0.72499999999999998</v>
      </c>
      <c r="AP17" t="s">
        <v>106</v>
      </c>
      <c r="AT17" t="s">
        <v>65</v>
      </c>
      <c r="AU17" s="3">
        <f t="shared" si="5"/>
        <v>4662.5358792703992</v>
      </c>
      <c r="AV17" t="s">
        <v>90</v>
      </c>
      <c r="AW17" t="s">
        <v>104</v>
      </c>
    </row>
    <row r="18" spans="1:49" x14ac:dyDescent="0.2">
      <c r="A18" s="7" t="s">
        <v>59</v>
      </c>
      <c r="B18" s="7">
        <v>255.75</v>
      </c>
      <c r="C18" s="7">
        <v>295.21300000000002</v>
      </c>
      <c r="D18" s="7">
        <v>265.63900000000001</v>
      </c>
      <c r="E18" s="7">
        <v>308.03149999999999</v>
      </c>
      <c r="F18" s="7">
        <v>245.93849999999998</v>
      </c>
      <c r="G18" s="7">
        <v>490.63700000000006</v>
      </c>
      <c r="H18" s="7">
        <v>186</v>
      </c>
      <c r="I18" s="7">
        <v>345.03</v>
      </c>
      <c r="J18" s="7">
        <v>257.92</v>
      </c>
      <c r="K18" s="7">
        <v>265.98</v>
      </c>
      <c r="L18" s="7">
        <v>240.56</v>
      </c>
      <c r="M18" s="7">
        <v>279</v>
      </c>
      <c r="N18" s="3">
        <f t="shared" si="0"/>
        <v>286.30824999999999</v>
      </c>
      <c r="O18" s="9">
        <f>SUM($N$2:N18)/$B$43</f>
        <v>0.91653623851926291</v>
      </c>
      <c r="P18">
        <f>COUNTA($A$2:A18)</f>
        <v>17</v>
      </c>
      <c r="Q18" s="9">
        <f t="shared" si="6"/>
        <v>0.42499999999999999</v>
      </c>
      <c r="R18" t="str">
        <f t="shared" si="2"/>
        <v>B</v>
      </c>
      <c r="Z18" t="s">
        <v>78</v>
      </c>
      <c r="AA18" s="3">
        <v>17.599999999999994</v>
      </c>
      <c r="AB18" s="3">
        <v>21.11999999999999</v>
      </c>
      <c r="AC18" s="3">
        <v>25.34399999999998</v>
      </c>
      <c r="AD18" s="3">
        <v>30.412799999999976</v>
      </c>
      <c r="AE18" s="3">
        <v>41.676799999999929</v>
      </c>
      <c r="AF18" s="3">
        <v>28.159999999999997</v>
      </c>
      <c r="AG18" s="3">
        <v>33.791999999999973</v>
      </c>
      <c r="AH18" s="3">
        <v>40.550399999999968</v>
      </c>
      <c r="AI18" s="3">
        <v>243.30239999999995</v>
      </c>
      <c r="AJ18" s="3">
        <v>0</v>
      </c>
      <c r="AK18" s="3">
        <v>0</v>
      </c>
      <c r="AL18" s="3">
        <v>481.95839999999976</v>
      </c>
      <c r="AM18" s="3">
        <v>43.814399999999978</v>
      </c>
      <c r="AN18">
        <v>27</v>
      </c>
      <c r="AO18" s="9">
        <v>0.67500000000000004</v>
      </c>
      <c r="AP18" t="s">
        <v>106</v>
      </c>
      <c r="AT18" t="s">
        <v>59</v>
      </c>
      <c r="AU18" s="3">
        <f t="shared" si="5"/>
        <v>3435.6989999999996</v>
      </c>
      <c r="AV18" t="s">
        <v>90</v>
      </c>
      <c r="AW18" t="s">
        <v>106</v>
      </c>
    </row>
    <row r="19" spans="1:49" x14ac:dyDescent="0.2">
      <c r="A19" s="7" t="s">
        <v>56</v>
      </c>
      <c r="B19" s="7">
        <v>504</v>
      </c>
      <c r="C19" s="7">
        <v>189</v>
      </c>
      <c r="D19" s="7">
        <v>110.7</v>
      </c>
      <c r="E19" s="7">
        <v>441</v>
      </c>
      <c r="F19" s="7">
        <v>511.2</v>
      </c>
      <c r="G19" s="7">
        <v>306</v>
      </c>
      <c r="H19" s="7">
        <v>10.8</v>
      </c>
      <c r="I19" s="7">
        <v>108</v>
      </c>
      <c r="J19" s="7">
        <v>252</v>
      </c>
      <c r="K19" s="7">
        <v>126</v>
      </c>
      <c r="L19" s="7">
        <v>307.8</v>
      </c>
      <c r="M19" s="7">
        <v>171</v>
      </c>
      <c r="N19" s="3">
        <f t="shared" si="0"/>
        <v>253.12500000000003</v>
      </c>
      <c r="O19" s="9">
        <f>SUM($N$2:N19)/$B$43</f>
        <v>0.92547582395829198</v>
      </c>
      <c r="P19">
        <f>COUNTA($A$2:A19)</f>
        <v>18</v>
      </c>
      <c r="Q19" s="9">
        <f t="shared" si="6"/>
        <v>0.45</v>
      </c>
      <c r="R19" t="str">
        <f t="shared" si="2"/>
        <v>B</v>
      </c>
      <c r="Z19" t="s">
        <v>77</v>
      </c>
      <c r="AA19" s="3">
        <v>15.38239999999999</v>
      </c>
      <c r="AB19" s="3">
        <v>8.6275200000000183</v>
      </c>
      <c r="AC19" s="3">
        <v>73.193471999999971</v>
      </c>
      <c r="AD19" s="3">
        <v>41.315788799999979</v>
      </c>
      <c r="AE19" s="3">
        <v>82.139340799999928</v>
      </c>
      <c r="AF19" s="3">
        <v>2.6751999999999896</v>
      </c>
      <c r="AG19" s="3">
        <v>141.25055999999995</v>
      </c>
      <c r="AH19" s="3">
        <v>30.818303999999955</v>
      </c>
      <c r="AI19" s="3">
        <v>173.17846399999991</v>
      </c>
      <c r="AJ19" s="3">
        <v>20.900000000000006</v>
      </c>
      <c r="AK19" s="3">
        <v>26.600000000000009</v>
      </c>
      <c r="AL19" s="3">
        <v>616.08104959999969</v>
      </c>
      <c r="AM19" s="3">
        <v>56.007368145454514</v>
      </c>
      <c r="AN19">
        <v>24</v>
      </c>
      <c r="AO19" s="9">
        <v>0.6</v>
      </c>
      <c r="AP19" t="s">
        <v>106</v>
      </c>
      <c r="AT19" t="s">
        <v>56</v>
      </c>
      <c r="AU19" s="3">
        <f t="shared" si="5"/>
        <v>3037.5000000000005</v>
      </c>
      <c r="AV19" t="s">
        <v>90</v>
      </c>
      <c r="AW19" t="s">
        <v>104</v>
      </c>
    </row>
    <row r="20" spans="1:49" x14ac:dyDescent="0.2">
      <c r="A20" s="7" t="s">
        <v>57</v>
      </c>
      <c r="B20" s="7">
        <v>222.56</v>
      </c>
      <c r="C20" s="7">
        <v>174.82400000000001</v>
      </c>
      <c r="D20" s="7">
        <v>258.65839999999997</v>
      </c>
      <c r="E20" s="7">
        <v>241.7688</v>
      </c>
      <c r="F20" s="7">
        <v>246.6464</v>
      </c>
      <c r="G20" s="7">
        <v>185.536</v>
      </c>
      <c r="H20" s="7">
        <v>291.2</v>
      </c>
      <c r="I20" s="7">
        <v>294.73600000000005</v>
      </c>
      <c r="J20" s="7">
        <v>264.26400000000001</v>
      </c>
      <c r="K20" s="7">
        <v>212.85679999999999</v>
      </c>
      <c r="L20" s="7">
        <v>259.584</v>
      </c>
      <c r="M20" s="7">
        <v>260</v>
      </c>
      <c r="N20" s="3">
        <f t="shared" si="0"/>
        <v>242.71953333333337</v>
      </c>
      <c r="O20" s="9">
        <f>SUM($N$2:N20)/$B$43</f>
        <v>0.93404792077193977</v>
      </c>
      <c r="P20">
        <f>COUNTA($A$2:A20)</f>
        <v>19</v>
      </c>
      <c r="Q20" s="9">
        <f t="shared" si="6"/>
        <v>0.47499999999999998</v>
      </c>
      <c r="R20" t="str">
        <f t="shared" si="2"/>
        <v>B</v>
      </c>
      <c r="Z20" t="s">
        <v>62</v>
      </c>
      <c r="AA20" s="3">
        <v>9.3290277977599914</v>
      </c>
      <c r="AB20" s="3">
        <v>2.5616445550079874</v>
      </c>
      <c r="AC20" s="3">
        <v>51.243541777612798</v>
      </c>
      <c r="AD20" s="3">
        <v>16.389402507878401</v>
      </c>
      <c r="AE20" s="3">
        <v>24.695050790502378</v>
      </c>
      <c r="AF20" s="3">
        <v>17.234280448000007</v>
      </c>
      <c r="AG20" s="3">
        <v>141.15810508799999</v>
      </c>
      <c r="AH20" s="3">
        <v>49.226385162240007</v>
      </c>
      <c r="AI20" s="3">
        <v>101.51950296575998</v>
      </c>
      <c r="AJ20" s="3">
        <v>111.21942854922233</v>
      </c>
      <c r="AK20" s="3">
        <v>176.41739654922233</v>
      </c>
      <c r="AL20" s="3">
        <v>700.99376619120619</v>
      </c>
      <c r="AM20" s="3">
        <v>63.726706017382384</v>
      </c>
      <c r="AN20">
        <v>28</v>
      </c>
      <c r="AO20" s="9">
        <v>0.7</v>
      </c>
      <c r="AP20" t="s">
        <v>106</v>
      </c>
      <c r="AT20" t="s">
        <v>57</v>
      </c>
      <c r="AU20" s="3">
        <f t="shared" si="5"/>
        <v>2912.6344000000004</v>
      </c>
      <c r="AV20" t="s">
        <v>90</v>
      </c>
      <c r="AW20" t="s">
        <v>106</v>
      </c>
    </row>
    <row r="21" spans="1:49" x14ac:dyDescent="0.2">
      <c r="A21" s="7" t="s">
        <v>50</v>
      </c>
      <c r="B21" s="7">
        <v>780</v>
      </c>
      <c r="C21" s="7">
        <v>0</v>
      </c>
      <c r="D21" s="7">
        <v>0</v>
      </c>
      <c r="E21" s="7">
        <v>0</v>
      </c>
      <c r="F21" s="7">
        <v>780</v>
      </c>
      <c r="G21" s="7">
        <v>0</v>
      </c>
      <c r="H21" s="7">
        <v>0</v>
      </c>
      <c r="I21" s="7">
        <v>0</v>
      </c>
      <c r="J21" s="7">
        <v>780</v>
      </c>
      <c r="K21" s="7">
        <v>0</v>
      </c>
      <c r="L21" s="7">
        <v>0</v>
      </c>
      <c r="M21" s="7">
        <v>0</v>
      </c>
      <c r="N21" s="3">
        <f t="shared" si="0"/>
        <v>195</v>
      </c>
      <c r="O21" s="9">
        <f>SUM($N$2:N21)/$B$43</f>
        <v>0.94093471251756222</v>
      </c>
      <c r="P21">
        <f>COUNTA($A$2:A21)</f>
        <v>20</v>
      </c>
      <c r="Q21" s="9">
        <f t="shared" si="6"/>
        <v>0.5</v>
      </c>
      <c r="R21" t="str">
        <f t="shared" si="2"/>
        <v>B</v>
      </c>
      <c r="Z21" t="s">
        <v>49</v>
      </c>
      <c r="AA21" s="3">
        <v>0</v>
      </c>
      <c r="AB21" s="3">
        <v>0</v>
      </c>
      <c r="AC21" s="3">
        <v>374.4</v>
      </c>
      <c r="AD21" s="3">
        <v>374.4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748.8</v>
      </c>
      <c r="AM21" s="3">
        <v>68.072727272727263</v>
      </c>
      <c r="AN21">
        <v>23</v>
      </c>
      <c r="AO21" s="9">
        <v>0.57499999999999996</v>
      </c>
      <c r="AP21" t="s">
        <v>106</v>
      </c>
      <c r="AT21" t="s">
        <v>50</v>
      </c>
      <c r="AU21" s="3">
        <f t="shared" si="5"/>
        <v>2340</v>
      </c>
      <c r="AV21" t="s">
        <v>90</v>
      </c>
      <c r="AW21" t="s">
        <v>104</v>
      </c>
    </row>
    <row r="22" spans="1:49" x14ac:dyDescent="0.2">
      <c r="A22" s="7" t="s">
        <v>76</v>
      </c>
      <c r="B22" s="7">
        <v>106.48000000000002</v>
      </c>
      <c r="C22" s="7">
        <v>120.90144000000001</v>
      </c>
      <c r="D22" s="7">
        <v>85.206527999999977</v>
      </c>
      <c r="E22" s="7">
        <v>215.33783039999994</v>
      </c>
      <c r="F22" s="7">
        <v>276.06915071999993</v>
      </c>
      <c r="G22" s="7">
        <v>135.22432000000001</v>
      </c>
      <c r="H22" s="7">
        <v>108.13440000000001</v>
      </c>
      <c r="I22" s="7">
        <v>397.39391999999992</v>
      </c>
      <c r="J22" s="7">
        <v>411.1810559999999</v>
      </c>
      <c r="K22" s="7">
        <v>147.4</v>
      </c>
      <c r="L22" s="7">
        <v>108.64</v>
      </c>
      <c r="M22" s="7">
        <v>168</v>
      </c>
      <c r="N22" s="3">
        <f t="shared" si="0"/>
        <v>189.99738709333334</v>
      </c>
      <c r="O22" s="9">
        <f>SUM($N$2:N22)/$B$43</f>
        <v>0.94764482757973745</v>
      </c>
      <c r="P22">
        <f>COUNTA($A$2:A22)</f>
        <v>21</v>
      </c>
      <c r="Q22" s="9">
        <f t="shared" si="6"/>
        <v>0.52500000000000002</v>
      </c>
      <c r="R22" t="str">
        <f t="shared" si="2"/>
        <v>B</v>
      </c>
      <c r="Z22" t="s">
        <v>63</v>
      </c>
      <c r="AA22" s="3">
        <v>36.197832703999993</v>
      </c>
      <c r="AB22" s="3">
        <v>25.003957862400028</v>
      </c>
      <c r="AC22" s="3">
        <v>67.985308385279993</v>
      </c>
      <c r="AD22" s="3">
        <v>6.2875179417600009</v>
      </c>
      <c r="AE22" s="3">
        <v>20.186414448639979</v>
      </c>
      <c r="AF22" s="3">
        <v>31.193169919999974</v>
      </c>
      <c r="AG22" s="3">
        <v>189.79749887999992</v>
      </c>
      <c r="AH22" s="3">
        <v>24.50412011520001</v>
      </c>
      <c r="AI22" s="3">
        <v>142.05799956479996</v>
      </c>
      <c r="AJ22" s="3">
        <v>134.40016357785595</v>
      </c>
      <c r="AK22" s="3">
        <v>111.75952357785593</v>
      </c>
      <c r="AL22" s="3">
        <v>789.37350697779164</v>
      </c>
      <c r="AM22" s="3">
        <v>71.761227907071969</v>
      </c>
      <c r="AN22">
        <v>25</v>
      </c>
      <c r="AO22" s="9">
        <v>0.625</v>
      </c>
      <c r="AP22" t="s">
        <v>106</v>
      </c>
      <c r="AT22" t="s">
        <v>76</v>
      </c>
      <c r="AU22" s="3">
        <f t="shared" si="5"/>
        <v>2279.96864512</v>
      </c>
      <c r="AV22" t="s">
        <v>90</v>
      </c>
      <c r="AW22" t="s">
        <v>106</v>
      </c>
    </row>
    <row r="23" spans="1:49" x14ac:dyDescent="0.2">
      <c r="A23" s="7" t="s">
        <v>53</v>
      </c>
      <c r="B23" s="7">
        <v>672</v>
      </c>
      <c r="C23" s="7">
        <v>0</v>
      </c>
      <c r="D23" s="7">
        <v>0</v>
      </c>
      <c r="E23" s="7">
        <v>0</v>
      </c>
      <c r="F23" s="7">
        <v>856.8</v>
      </c>
      <c r="G23" s="7">
        <v>0</v>
      </c>
      <c r="H23" s="7">
        <v>0</v>
      </c>
      <c r="I23" s="7">
        <v>0</v>
      </c>
      <c r="J23" s="7">
        <v>747.6</v>
      </c>
      <c r="K23" s="7">
        <v>0</v>
      </c>
      <c r="L23" s="7">
        <v>0</v>
      </c>
      <c r="M23" s="7">
        <v>0</v>
      </c>
      <c r="N23" s="3">
        <f t="shared" si="0"/>
        <v>189.70000000000002</v>
      </c>
      <c r="O23" s="9">
        <f>SUM($N$2:N23)/$B$43</f>
        <v>0.95434443985740203</v>
      </c>
      <c r="P23">
        <f>COUNTA($A$2:A23)</f>
        <v>22</v>
      </c>
      <c r="Q23" s="9">
        <f t="shared" si="6"/>
        <v>0.55000000000000004</v>
      </c>
      <c r="R23" t="str">
        <f t="shared" si="2"/>
        <v>C</v>
      </c>
      <c r="Z23" t="s">
        <v>41</v>
      </c>
      <c r="AA23" s="3">
        <v>0</v>
      </c>
      <c r="AB23" s="3">
        <v>0</v>
      </c>
      <c r="AC23" s="3">
        <v>0</v>
      </c>
      <c r="AD23" s="3">
        <v>11.299999999999955</v>
      </c>
      <c r="AE23" s="3">
        <v>0</v>
      </c>
      <c r="AF23" s="3">
        <v>0</v>
      </c>
      <c r="AG23" s="3">
        <v>361.60000000000014</v>
      </c>
      <c r="AH23" s="3">
        <v>361.60000000000014</v>
      </c>
      <c r="AI23" s="3">
        <v>0</v>
      </c>
      <c r="AJ23" s="3">
        <v>0</v>
      </c>
      <c r="AK23" s="3">
        <v>90.399999999999864</v>
      </c>
      <c r="AL23" s="3">
        <v>824.90000000000009</v>
      </c>
      <c r="AM23" s="3">
        <v>74.990909090909099</v>
      </c>
      <c r="AN23">
        <v>4</v>
      </c>
      <c r="AO23" s="9">
        <v>0.1</v>
      </c>
      <c r="AP23" t="s">
        <v>106</v>
      </c>
      <c r="AT23" t="s">
        <v>53</v>
      </c>
      <c r="AU23" s="3">
        <f t="shared" si="5"/>
        <v>2276.4</v>
      </c>
      <c r="AV23" t="s">
        <v>91</v>
      </c>
      <c r="AW23" t="s">
        <v>104</v>
      </c>
    </row>
    <row r="24" spans="1:49" x14ac:dyDescent="0.2">
      <c r="A24" s="7" t="s">
        <v>49</v>
      </c>
      <c r="B24" s="7">
        <v>145.6</v>
      </c>
      <c r="C24" s="7">
        <v>145.6</v>
      </c>
      <c r="D24" s="7">
        <v>145.6</v>
      </c>
      <c r="E24" s="7">
        <v>520</v>
      </c>
      <c r="F24" s="7">
        <v>145.6</v>
      </c>
      <c r="G24" s="7">
        <v>145.6</v>
      </c>
      <c r="H24" s="7">
        <v>145.6</v>
      </c>
      <c r="I24" s="7">
        <v>145.6</v>
      </c>
      <c r="J24" s="7">
        <v>145.6</v>
      </c>
      <c r="K24" s="7">
        <v>145.6</v>
      </c>
      <c r="L24" s="7">
        <v>145.6</v>
      </c>
      <c r="M24" s="7">
        <v>145.6</v>
      </c>
      <c r="N24" s="3">
        <f t="shared" si="0"/>
        <v>176.79999999999995</v>
      </c>
      <c r="O24" s="9">
        <f>SUM($N$2:N24)/$B$43</f>
        <v>0.96058846437343293</v>
      </c>
      <c r="P24">
        <f>COUNTA($A$2:A24)</f>
        <v>23</v>
      </c>
      <c r="Q24" s="9">
        <f t="shared" si="6"/>
        <v>0.57499999999999996</v>
      </c>
      <c r="R24" t="str">
        <f t="shared" si="2"/>
        <v>C</v>
      </c>
      <c r="Z24" t="s">
        <v>59</v>
      </c>
      <c r="AA24" s="3">
        <v>39.463000000000022</v>
      </c>
      <c r="AB24" s="3">
        <v>29.574000000000012</v>
      </c>
      <c r="AC24" s="3">
        <v>42.392499999999984</v>
      </c>
      <c r="AD24" s="3">
        <v>62.093000000000018</v>
      </c>
      <c r="AE24" s="3">
        <v>244.69850000000008</v>
      </c>
      <c r="AF24" s="3">
        <v>304.63700000000006</v>
      </c>
      <c r="AG24" s="3">
        <v>159.02999999999997</v>
      </c>
      <c r="AH24" s="3">
        <v>87.109999999999957</v>
      </c>
      <c r="AI24" s="3">
        <v>8.0600000000000023</v>
      </c>
      <c r="AJ24" s="3">
        <v>25.420000000000016</v>
      </c>
      <c r="AK24" s="3">
        <v>38.44</v>
      </c>
      <c r="AL24" s="3">
        <v>1040.9180000000001</v>
      </c>
      <c r="AM24" s="3">
        <v>94.628909090909104</v>
      </c>
      <c r="AN24">
        <v>17</v>
      </c>
      <c r="AO24" s="9">
        <v>0.42499999999999999</v>
      </c>
      <c r="AP24" t="s">
        <v>106</v>
      </c>
      <c r="AT24" t="s">
        <v>49</v>
      </c>
      <c r="AU24" s="3">
        <f t="shared" si="5"/>
        <v>2121.5999999999995</v>
      </c>
      <c r="AV24" t="s">
        <v>91</v>
      </c>
      <c r="AW24" t="s">
        <v>106</v>
      </c>
    </row>
    <row r="25" spans="1:49" x14ac:dyDescent="0.2">
      <c r="A25" s="7" t="s">
        <v>77</v>
      </c>
      <c r="B25" s="7">
        <v>91.960000000000008</v>
      </c>
      <c r="C25" s="7">
        <v>107.3424</v>
      </c>
      <c r="D25" s="7">
        <v>98.71487999999998</v>
      </c>
      <c r="E25" s="7">
        <v>171.90835199999995</v>
      </c>
      <c r="F25" s="7">
        <v>213.22414079999993</v>
      </c>
      <c r="G25" s="7">
        <v>131.0848</v>
      </c>
      <c r="H25" s="7">
        <v>128.40960000000001</v>
      </c>
      <c r="I25" s="7">
        <v>269.66015999999996</v>
      </c>
      <c r="J25" s="7">
        <v>300.47846399999992</v>
      </c>
      <c r="K25" s="7">
        <v>127.3</v>
      </c>
      <c r="L25" s="7">
        <v>106.39999999999999</v>
      </c>
      <c r="M25" s="7">
        <v>133</v>
      </c>
      <c r="N25" s="3">
        <f t="shared" si="0"/>
        <v>156.62356639999999</v>
      </c>
      <c r="O25" s="9">
        <f>SUM($N$2:N25)/$B$43</f>
        <v>0.96611992019011739</v>
      </c>
      <c r="P25">
        <f>COUNTA($A$2:A25)</f>
        <v>24</v>
      </c>
      <c r="Q25" s="9">
        <f t="shared" si="6"/>
        <v>0.6</v>
      </c>
      <c r="R25" t="str">
        <f t="shared" si="2"/>
        <v>C</v>
      </c>
      <c r="Z25" t="s">
        <v>76</v>
      </c>
      <c r="AA25" s="3">
        <v>14.42143999999999</v>
      </c>
      <c r="AB25" s="3">
        <v>35.694912000000031</v>
      </c>
      <c r="AC25" s="3">
        <v>130.13130239999998</v>
      </c>
      <c r="AD25" s="3">
        <v>60.73132031999998</v>
      </c>
      <c r="AE25" s="3">
        <v>140.84483071999992</v>
      </c>
      <c r="AF25" s="3">
        <v>27.089919999999992</v>
      </c>
      <c r="AG25" s="3">
        <v>289.2595199999999</v>
      </c>
      <c r="AH25" s="3">
        <v>13.787135999999975</v>
      </c>
      <c r="AI25" s="3">
        <v>263.78105599999992</v>
      </c>
      <c r="AJ25" s="3">
        <v>38.760000000000005</v>
      </c>
      <c r="AK25" s="3">
        <v>59.36</v>
      </c>
      <c r="AL25" s="3">
        <v>1073.8614374399997</v>
      </c>
      <c r="AM25" s="3">
        <v>97.623767039999976</v>
      </c>
      <c r="AN25">
        <v>21</v>
      </c>
      <c r="AO25" s="9">
        <v>0.52500000000000002</v>
      </c>
      <c r="AP25" t="s">
        <v>106</v>
      </c>
      <c r="AT25" t="s">
        <v>77</v>
      </c>
      <c r="AU25" s="3">
        <f t="shared" si="5"/>
        <v>1879.4827967999997</v>
      </c>
      <c r="AV25" t="s">
        <v>91</v>
      </c>
      <c r="AW25" t="s">
        <v>106</v>
      </c>
    </row>
    <row r="26" spans="1:49" x14ac:dyDescent="0.2">
      <c r="A26" s="7" t="s">
        <v>63</v>
      </c>
      <c r="B26" s="7">
        <v>55.880704000000009</v>
      </c>
      <c r="C26" s="7">
        <v>92.078536704000001</v>
      </c>
      <c r="D26" s="7">
        <v>67.074578841599973</v>
      </c>
      <c r="E26" s="7">
        <v>135.05988722687997</v>
      </c>
      <c r="F26" s="7">
        <v>141.34740516863997</v>
      </c>
      <c r="G26" s="7">
        <v>121.16099071999999</v>
      </c>
      <c r="H26" s="7">
        <v>89.967820800000013</v>
      </c>
      <c r="I26" s="7">
        <v>279.76531967999995</v>
      </c>
      <c r="J26" s="7">
        <v>255.26119956479994</v>
      </c>
      <c r="K26" s="7">
        <v>113.2032</v>
      </c>
      <c r="L26" s="7">
        <v>247.60336357785593</v>
      </c>
      <c r="M26" s="7">
        <v>135.84384</v>
      </c>
      <c r="N26" s="3">
        <f t="shared" si="0"/>
        <v>144.52057052364796</v>
      </c>
      <c r="O26" s="9">
        <f>SUM($N$2:N26)/$B$43</f>
        <v>0.97122393594475798</v>
      </c>
      <c r="P26">
        <f>COUNTA($A$2:A26)</f>
        <v>25</v>
      </c>
      <c r="Q26" s="9">
        <f t="shared" si="6"/>
        <v>0.625</v>
      </c>
      <c r="R26" t="str">
        <f t="shared" si="2"/>
        <v>C</v>
      </c>
      <c r="Z26" t="s">
        <v>60</v>
      </c>
      <c r="AA26" s="3">
        <v>74.480000000000018</v>
      </c>
      <c r="AB26" s="3">
        <v>82.460000000000036</v>
      </c>
      <c r="AC26" s="3">
        <v>111.72000000000003</v>
      </c>
      <c r="AD26" s="3">
        <v>101.07999999999998</v>
      </c>
      <c r="AE26" s="3">
        <v>516.04</v>
      </c>
      <c r="AF26" s="3">
        <v>460.18000000000006</v>
      </c>
      <c r="AG26" s="3">
        <v>23.939999999999998</v>
      </c>
      <c r="AH26" s="3">
        <v>82.45999999999998</v>
      </c>
      <c r="AI26" s="3">
        <v>74.480000000000018</v>
      </c>
      <c r="AJ26" s="3">
        <v>10.639999999999986</v>
      </c>
      <c r="AK26" s="3">
        <v>26.600000000000023</v>
      </c>
      <c r="AL26" s="3">
        <v>1564.08</v>
      </c>
      <c r="AM26" s="3">
        <v>142.18909090909091</v>
      </c>
      <c r="AN26">
        <v>14</v>
      </c>
      <c r="AO26" s="9">
        <v>0.35</v>
      </c>
      <c r="AP26" t="s">
        <v>104</v>
      </c>
      <c r="AT26" t="s">
        <v>63</v>
      </c>
      <c r="AU26" s="3">
        <f t="shared" si="5"/>
        <v>1734.2468462837755</v>
      </c>
      <c r="AV26" t="s">
        <v>91</v>
      </c>
      <c r="AW26" t="s">
        <v>106</v>
      </c>
    </row>
    <row r="27" spans="1:49" x14ac:dyDescent="0.2">
      <c r="A27" s="7" t="s">
        <v>58</v>
      </c>
      <c r="B27" s="7">
        <v>115.99999999999999</v>
      </c>
      <c r="C27" s="7">
        <v>118.89999999999999</v>
      </c>
      <c r="D27" s="7">
        <v>121.21999999999998</v>
      </c>
      <c r="E27" s="7">
        <v>109.61999999999999</v>
      </c>
      <c r="F27" s="7">
        <v>140.35999999999999</v>
      </c>
      <c r="G27" s="7">
        <v>129.34</v>
      </c>
      <c r="H27" s="7">
        <v>115.99999999999999</v>
      </c>
      <c r="I27" s="7">
        <v>126.44</v>
      </c>
      <c r="J27" s="7">
        <v>133.97999999999999</v>
      </c>
      <c r="K27" s="7">
        <v>122.38</v>
      </c>
      <c r="L27" s="7">
        <v>120.63999999999999</v>
      </c>
      <c r="M27" s="7">
        <v>127.6</v>
      </c>
      <c r="N27" s="3">
        <f t="shared" si="0"/>
        <v>123.53999999999996</v>
      </c>
      <c r="O27" s="9">
        <f>SUM($N$2:N27)/$B$43</f>
        <v>0.97558698339221539</v>
      </c>
      <c r="P27">
        <f>COUNTA($A$2:A27)</f>
        <v>26</v>
      </c>
      <c r="Q27" s="9">
        <f t="shared" si="6"/>
        <v>0.65</v>
      </c>
      <c r="R27" t="str">
        <f t="shared" si="2"/>
        <v>C</v>
      </c>
      <c r="Z27" t="s">
        <v>45</v>
      </c>
      <c r="AA27" s="3">
        <v>0</v>
      </c>
      <c r="AB27" s="3">
        <v>0</v>
      </c>
      <c r="AC27" s="3">
        <v>693</v>
      </c>
      <c r="AD27" s="3">
        <v>693</v>
      </c>
      <c r="AE27" s="3">
        <v>7.7000000000000455</v>
      </c>
      <c r="AF27" s="3">
        <v>7.6999999999999318</v>
      </c>
      <c r="AG27" s="3">
        <v>7.7000000000000455</v>
      </c>
      <c r="AH27" s="3">
        <v>98.560000000000059</v>
      </c>
      <c r="AI27" s="3">
        <v>106.2600000000001</v>
      </c>
      <c r="AJ27" s="3">
        <v>7.6999999999999318</v>
      </c>
      <c r="AK27" s="3">
        <v>7.7000000000000455</v>
      </c>
      <c r="AL27" s="3">
        <v>1629.3200000000004</v>
      </c>
      <c r="AM27" s="3">
        <v>148.12000000000003</v>
      </c>
      <c r="AN27">
        <v>9</v>
      </c>
      <c r="AO27" s="9">
        <v>0.22500000000000001</v>
      </c>
      <c r="AP27" t="s">
        <v>104</v>
      </c>
      <c r="AT27" t="s">
        <v>58</v>
      </c>
      <c r="AU27" s="3">
        <f t="shared" si="5"/>
        <v>1482.4799999999996</v>
      </c>
      <c r="AV27" t="s">
        <v>91</v>
      </c>
      <c r="AW27" t="s">
        <v>106</v>
      </c>
    </row>
    <row r="28" spans="1:49" x14ac:dyDescent="0.2">
      <c r="A28" s="7" t="s">
        <v>78</v>
      </c>
      <c r="B28" s="7">
        <v>88</v>
      </c>
      <c r="C28" s="7">
        <v>105.6</v>
      </c>
      <c r="D28" s="7">
        <v>126.71999999999998</v>
      </c>
      <c r="E28" s="7">
        <v>152.06399999999996</v>
      </c>
      <c r="F28" s="7">
        <v>182.47679999999994</v>
      </c>
      <c r="G28" s="7">
        <v>140.80000000000001</v>
      </c>
      <c r="H28" s="7">
        <v>168.96</v>
      </c>
      <c r="I28" s="7">
        <v>202.75199999999998</v>
      </c>
      <c r="J28" s="7">
        <v>243.30239999999995</v>
      </c>
      <c r="K28" s="7">
        <v>0</v>
      </c>
      <c r="L28" s="7">
        <v>0</v>
      </c>
      <c r="M28" s="7">
        <v>0</v>
      </c>
      <c r="N28" s="3">
        <f t="shared" si="0"/>
        <v>117.55626666666666</v>
      </c>
      <c r="O28" s="9">
        <f>SUM($N$2:N28)/$B$43</f>
        <v>0.97973870404311891</v>
      </c>
      <c r="P28">
        <f>COUNTA($A$2:A28)</f>
        <v>27</v>
      </c>
      <c r="Q28" s="9">
        <f t="shared" si="6"/>
        <v>0.67500000000000004</v>
      </c>
      <c r="R28" t="str">
        <f t="shared" si="2"/>
        <v>C</v>
      </c>
      <c r="Z28" t="s">
        <v>47</v>
      </c>
      <c r="AA28" s="3">
        <v>0</v>
      </c>
      <c r="AB28" s="3">
        <v>0</v>
      </c>
      <c r="AC28" s="3">
        <v>0</v>
      </c>
      <c r="AD28" s="3">
        <v>6.8400000000001455</v>
      </c>
      <c r="AE28" s="3">
        <v>0</v>
      </c>
      <c r="AF28" s="3">
        <v>66.120000000000118</v>
      </c>
      <c r="AG28" s="3">
        <v>315.77999999999997</v>
      </c>
      <c r="AH28" s="3">
        <v>534.65999999999985</v>
      </c>
      <c r="AI28" s="3">
        <v>482.22</v>
      </c>
      <c r="AJ28" s="3">
        <v>187.52999999999997</v>
      </c>
      <c r="AK28" s="3">
        <v>64.410000000000082</v>
      </c>
      <c r="AL28" s="3">
        <v>1657.5600000000002</v>
      </c>
      <c r="AM28" s="3">
        <v>150.68727272727276</v>
      </c>
      <c r="AN28">
        <v>5</v>
      </c>
      <c r="AO28" s="9">
        <v>0.125</v>
      </c>
      <c r="AP28" t="s">
        <v>104</v>
      </c>
      <c r="AT28" t="s">
        <v>78</v>
      </c>
      <c r="AU28" s="3">
        <f t="shared" si="5"/>
        <v>1410.6751999999999</v>
      </c>
      <c r="AV28" t="s">
        <v>91</v>
      </c>
      <c r="AW28" t="s">
        <v>106</v>
      </c>
    </row>
    <row r="29" spans="1:49" x14ac:dyDescent="0.2">
      <c r="A29" s="7" t="s">
        <v>62</v>
      </c>
      <c r="B29" s="7">
        <v>35.501709760000004</v>
      </c>
      <c r="C29" s="7">
        <v>44.830737557759996</v>
      </c>
      <c r="D29" s="7">
        <v>47.392382112767983</v>
      </c>
      <c r="E29" s="7">
        <v>98.635923890380781</v>
      </c>
      <c r="F29" s="7">
        <v>82.24652138250238</v>
      </c>
      <c r="G29" s="7">
        <v>57.551470592000001</v>
      </c>
      <c r="H29" s="7">
        <v>74.785751040000008</v>
      </c>
      <c r="I29" s="7">
        <v>215.94385612799999</v>
      </c>
      <c r="J29" s="7">
        <v>166.71747096575999</v>
      </c>
      <c r="K29" s="7">
        <v>65.197968000000003</v>
      </c>
      <c r="L29" s="7">
        <v>176.41739654922233</v>
      </c>
      <c r="M29" s="7">
        <v>0</v>
      </c>
      <c r="N29" s="3">
        <f t="shared" si="0"/>
        <v>88.768432331532779</v>
      </c>
      <c r="O29" s="9">
        <f>SUM($N$2:N29)/$B$43</f>
        <v>0.98287372818185037</v>
      </c>
      <c r="P29">
        <f>COUNTA($A$2:A29)</f>
        <v>28</v>
      </c>
      <c r="Q29" s="9">
        <f t="shared" si="6"/>
        <v>0.7</v>
      </c>
      <c r="R29" t="str">
        <f t="shared" si="2"/>
        <v>C</v>
      </c>
      <c r="Z29" t="s">
        <v>56</v>
      </c>
      <c r="AA29" s="3">
        <v>315</v>
      </c>
      <c r="AB29" s="3">
        <v>78.3</v>
      </c>
      <c r="AC29" s="3">
        <v>330.3</v>
      </c>
      <c r="AD29" s="3">
        <v>70.199999999999989</v>
      </c>
      <c r="AE29" s="3">
        <v>205.2</v>
      </c>
      <c r="AF29" s="3">
        <v>295.2</v>
      </c>
      <c r="AG29" s="3">
        <v>97.2</v>
      </c>
      <c r="AH29" s="3">
        <v>144</v>
      </c>
      <c r="AI29" s="3">
        <v>126</v>
      </c>
      <c r="AJ29" s="3">
        <v>181.8</v>
      </c>
      <c r="AK29" s="3">
        <v>136.80000000000001</v>
      </c>
      <c r="AL29" s="3">
        <v>1980</v>
      </c>
      <c r="AM29" s="3">
        <v>180</v>
      </c>
      <c r="AN29">
        <v>18</v>
      </c>
      <c r="AO29" s="9">
        <v>0.45</v>
      </c>
      <c r="AP29" t="s">
        <v>104</v>
      </c>
      <c r="AT29" t="s">
        <v>62</v>
      </c>
      <c r="AU29" s="3">
        <f t="shared" si="5"/>
        <v>1065.2211879783933</v>
      </c>
      <c r="AV29" t="s">
        <v>91</v>
      </c>
      <c r="AW29" t="s">
        <v>106</v>
      </c>
    </row>
    <row r="30" spans="1:49" x14ac:dyDescent="0.2">
      <c r="A30" s="7" t="s">
        <v>64</v>
      </c>
      <c r="B30" s="7">
        <v>46.851200000000006</v>
      </c>
      <c r="C30" s="7">
        <v>53.196633600000006</v>
      </c>
      <c r="D30" s="7">
        <v>37.490872319999987</v>
      </c>
      <c r="E30" s="7">
        <v>94.74864537599997</v>
      </c>
      <c r="F30" s="7">
        <v>121.47042631679997</v>
      </c>
      <c r="G30" s="7">
        <v>59.498700800000002</v>
      </c>
      <c r="H30" s="7">
        <v>47.579136000000005</v>
      </c>
      <c r="I30" s="7">
        <v>174.85332479999997</v>
      </c>
      <c r="J30" s="7">
        <v>180.91966463999995</v>
      </c>
      <c r="K30" s="7">
        <v>64.856000000000009</v>
      </c>
      <c r="L30" s="7">
        <v>47.801600000000001</v>
      </c>
      <c r="M30" s="7">
        <v>73.92</v>
      </c>
      <c r="N30" s="3">
        <f t="shared" si="0"/>
        <v>83.598850321066649</v>
      </c>
      <c r="O30" s="9">
        <f>SUM($N$2:N30)/$B$43</f>
        <v>0.98582617880920764</v>
      </c>
      <c r="P30">
        <f>COUNTA($A$2:A30)</f>
        <v>29</v>
      </c>
      <c r="Q30" s="9">
        <f t="shared" si="6"/>
        <v>0.72499999999999998</v>
      </c>
      <c r="R30" t="str">
        <f t="shared" si="2"/>
        <v>C</v>
      </c>
      <c r="Z30" t="s">
        <v>52</v>
      </c>
      <c r="AA30" s="3">
        <v>120.75000000000006</v>
      </c>
      <c r="AB30" s="3">
        <v>121.90000000000003</v>
      </c>
      <c r="AC30" s="3">
        <v>58.650000000000034</v>
      </c>
      <c r="AD30" s="3">
        <v>103.50000000000006</v>
      </c>
      <c r="AE30" s="3">
        <v>11.5</v>
      </c>
      <c r="AF30" s="3">
        <v>220.8</v>
      </c>
      <c r="AG30" s="3">
        <v>135.70000000000002</v>
      </c>
      <c r="AH30" s="3">
        <v>460</v>
      </c>
      <c r="AI30" s="3">
        <v>91.999999999999886</v>
      </c>
      <c r="AJ30" s="3">
        <v>161</v>
      </c>
      <c r="AK30" s="3">
        <v>666.99999999999989</v>
      </c>
      <c r="AL30" s="3">
        <v>2152.8000000000002</v>
      </c>
      <c r="AM30" s="3">
        <v>195.70909090909092</v>
      </c>
      <c r="AN30">
        <v>13</v>
      </c>
      <c r="AO30" s="9">
        <v>0.32500000000000001</v>
      </c>
      <c r="AP30" t="s">
        <v>104</v>
      </c>
      <c r="AT30" t="s">
        <v>64</v>
      </c>
      <c r="AU30" s="3">
        <f t="shared" si="5"/>
        <v>1003.1862038527998</v>
      </c>
      <c r="AV30" t="s">
        <v>91</v>
      </c>
      <c r="AW30" t="s">
        <v>106</v>
      </c>
    </row>
    <row r="31" spans="1:49" x14ac:dyDescent="0.2">
      <c r="A31" s="7" t="s">
        <v>70</v>
      </c>
      <c r="B31" s="7">
        <v>80.8</v>
      </c>
      <c r="C31" s="7">
        <v>80.8</v>
      </c>
      <c r="D31" s="7">
        <v>80.8</v>
      </c>
      <c r="E31" s="7">
        <v>80.8</v>
      </c>
      <c r="F31" s="7">
        <v>80.8</v>
      </c>
      <c r="G31" s="7">
        <v>80.8</v>
      </c>
      <c r="H31" s="7">
        <v>80.8</v>
      </c>
      <c r="I31" s="7">
        <v>80.8</v>
      </c>
      <c r="J31" s="7">
        <v>80.8</v>
      </c>
      <c r="K31" s="7">
        <v>80.8</v>
      </c>
      <c r="L31" s="7">
        <v>80.8</v>
      </c>
      <c r="M31" s="7">
        <v>80.8</v>
      </c>
      <c r="N31" s="3">
        <f t="shared" si="0"/>
        <v>80.799999999999983</v>
      </c>
      <c r="O31" s="9">
        <f>SUM($N$2:N31)/$B$43</f>
        <v>0.98867978277354751</v>
      </c>
      <c r="P31">
        <f>COUNTA($A$2:A31)</f>
        <v>30</v>
      </c>
      <c r="Q31" s="9">
        <f t="shared" si="6"/>
        <v>0.75</v>
      </c>
      <c r="R31" t="str">
        <f t="shared" si="2"/>
        <v>C</v>
      </c>
      <c r="Z31" t="s">
        <v>65</v>
      </c>
      <c r="AA31" s="3">
        <v>29.491844799999996</v>
      </c>
      <c r="AB31" s="3">
        <v>72.996095040000085</v>
      </c>
      <c r="AC31" s="3">
        <v>266.1185134079999</v>
      </c>
      <c r="AD31" s="3">
        <v>124.19555005439992</v>
      </c>
      <c r="AE31" s="3">
        <v>288.02767882239976</v>
      </c>
      <c r="AF31" s="3">
        <v>55.398886399999981</v>
      </c>
      <c r="AG31" s="3">
        <v>591.53571839999984</v>
      </c>
      <c r="AH31" s="3">
        <v>28.194693119999897</v>
      </c>
      <c r="AI31" s="3">
        <v>539.43225951999977</v>
      </c>
      <c r="AJ31" s="3">
        <v>79.264199999999988</v>
      </c>
      <c r="AK31" s="3">
        <v>121.3912</v>
      </c>
      <c r="AL31" s="3">
        <v>2196.0466395647991</v>
      </c>
      <c r="AM31" s="3">
        <v>199.64060359679991</v>
      </c>
      <c r="AN31">
        <v>16</v>
      </c>
      <c r="AO31" s="9">
        <v>0.4</v>
      </c>
      <c r="AP31" t="s">
        <v>104</v>
      </c>
      <c r="AT31" t="s">
        <v>70</v>
      </c>
      <c r="AU31" s="3">
        <f t="shared" si="5"/>
        <v>969.5999999999998</v>
      </c>
      <c r="AV31" t="s">
        <v>91</v>
      </c>
      <c r="AW31" t="s">
        <v>105</v>
      </c>
    </row>
    <row r="32" spans="1:49" x14ac:dyDescent="0.2">
      <c r="A32" s="7" t="s">
        <v>79</v>
      </c>
      <c r="B32" s="7">
        <v>63</v>
      </c>
      <c r="C32" s="7">
        <v>67.5</v>
      </c>
      <c r="D32" s="7">
        <v>76.5</v>
      </c>
      <c r="E32" s="7">
        <v>64.5</v>
      </c>
      <c r="F32" s="7">
        <v>64.5</v>
      </c>
      <c r="G32" s="7">
        <v>67.5</v>
      </c>
      <c r="H32" s="7">
        <v>72</v>
      </c>
      <c r="I32" s="7">
        <v>58.5</v>
      </c>
      <c r="J32" s="7">
        <v>67.5</v>
      </c>
      <c r="K32" s="7">
        <v>67.5</v>
      </c>
      <c r="L32" s="7">
        <v>66</v>
      </c>
      <c r="M32" s="7">
        <v>67.5</v>
      </c>
      <c r="N32" s="3">
        <f t="shared" si="0"/>
        <v>66.875</v>
      </c>
      <c r="O32" s="9">
        <f>SUM($N$2:N32)/$B$43</f>
        <v>0.99104159917348855</v>
      </c>
      <c r="P32">
        <f>COUNTA($A$2:A32)</f>
        <v>31</v>
      </c>
      <c r="Q32" s="9">
        <f t="shared" si="6"/>
        <v>0.77500000000000002</v>
      </c>
      <c r="R32" t="str">
        <f t="shared" si="2"/>
        <v>C</v>
      </c>
      <c r="Z32" t="s">
        <v>61</v>
      </c>
      <c r="AA32" s="3">
        <v>91.769667029920015</v>
      </c>
      <c r="AB32" s="3">
        <v>107.78713156675209</v>
      </c>
      <c r="AC32" s="3">
        <v>261.82246276961274</v>
      </c>
      <c r="AD32" s="3">
        <v>32.532230396159946</v>
      </c>
      <c r="AE32" s="3">
        <v>136.50697947054067</v>
      </c>
      <c r="AF32" s="3">
        <v>115.81276579839991</v>
      </c>
      <c r="AG32" s="3">
        <v>791.75007436799967</v>
      </c>
      <c r="AH32" s="3">
        <v>148.17741041663999</v>
      </c>
      <c r="AI32" s="3">
        <v>513.43112891135979</v>
      </c>
      <c r="AJ32" s="3">
        <v>286.41876895746026</v>
      </c>
      <c r="AK32" s="3">
        <v>191.09813695746027</v>
      </c>
      <c r="AL32" s="3">
        <v>2677.1067566423053</v>
      </c>
      <c r="AM32" s="3">
        <v>243.37334151293683</v>
      </c>
      <c r="AN32">
        <v>15</v>
      </c>
      <c r="AO32" s="9">
        <v>0.375</v>
      </c>
      <c r="AP32" t="s">
        <v>104</v>
      </c>
      <c r="AT32" t="s">
        <v>79</v>
      </c>
      <c r="AU32" s="3">
        <f t="shared" si="5"/>
        <v>802.5</v>
      </c>
      <c r="AV32" t="s">
        <v>91</v>
      </c>
      <c r="AW32" t="s">
        <v>105</v>
      </c>
    </row>
    <row r="33" spans="1:49" x14ac:dyDescent="0.2">
      <c r="A33" s="7" t="s">
        <v>67</v>
      </c>
      <c r="B33" s="7">
        <v>47.52</v>
      </c>
      <c r="C33" s="7">
        <v>57.024000000000001</v>
      </c>
      <c r="D33" s="7">
        <v>68.428799999999995</v>
      </c>
      <c r="E33" s="7">
        <v>82.114559999999983</v>
      </c>
      <c r="F33" s="7">
        <v>98.53747199999998</v>
      </c>
      <c r="G33" s="7">
        <v>76.032000000000011</v>
      </c>
      <c r="H33" s="7">
        <v>91.238400000000013</v>
      </c>
      <c r="I33" s="7">
        <v>109.48608</v>
      </c>
      <c r="J33" s="7">
        <v>131.38329599999997</v>
      </c>
      <c r="K33" s="7">
        <v>0</v>
      </c>
      <c r="L33" s="7">
        <v>0</v>
      </c>
      <c r="M33" s="7">
        <v>0</v>
      </c>
      <c r="N33" s="3">
        <f t="shared" si="0"/>
        <v>63.480384000000008</v>
      </c>
      <c r="O33" s="9">
        <f>SUM($N$2:N33)/$B$43</f>
        <v>0.99328352832497635</v>
      </c>
      <c r="P33">
        <f>COUNTA($A$2:A33)</f>
        <v>32</v>
      </c>
      <c r="Q33" s="9">
        <f t="shared" si="6"/>
        <v>0.8</v>
      </c>
      <c r="R33" t="str">
        <f t="shared" si="2"/>
        <v>C</v>
      </c>
      <c r="Z33" t="s">
        <v>53</v>
      </c>
      <c r="AA33" s="3">
        <v>672</v>
      </c>
      <c r="AB33" s="3">
        <v>0</v>
      </c>
      <c r="AC33" s="3">
        <v>0</v>
      </c>
      <c r="AD33" s="3">
        <v>856.8</v>
      </c>
      <c r="AE33" s="3">
        <v>856.8</v>
      </c>
      <c r="AF33" s="3">
        <v>0</v>
      </c>
      <c r="AG33" s="3">
        <v>0</v>
      </c>
      <c r="AH33" s="3">
        <v>747.6</v>
      </c>
      <c r="AI33" s="3">
        <v>747.6</v>
      </c>
      <c r="AJ33" s="3">
        <v>0</v>
      </c>
      <c r="AK33" s="3">
        <v>0</v>
      </c>
      <c r="AL33" s="3">
        <v>3880.7999999999997</v>
      </c>
      <c r="AM33" s="3">
        <v>352.79999999999995</v>
      </c>
      <c r="AN33">
        <v>22</v>
      </c>
      <c r="AO33" s="9">
        <v>0.55000000000000004</v>
      </c>
      <c r="AP33" t="s">
        <v>104</v>
      </c>
      <c r="AT33" t="s">
        <v>67</v>
      </c>
      <c r="AU33" s="3">
        <f t="shared" si="5"/>
        <v>761.76460800000007</v>
      </c>
      <c r="AV33" t="s">
        <v>91</v>
      </c>
      <c r="AW33" t="s">
        <v>106</v>
      </c>
    </row>
    <row r="34" spans="1:49" x14ac:dyDescent="0.2">
      <c r="A34" s="7" t="s">
        <v>68</v>
      </c>
      <c r="B34" s="7">
        <v>37.800000000000004</v>
      </c>
      <c r="C34" s="7">
        <v>40.5</v>
      </c>
      <c r="D34" s="7">
        <v>45.9</v>
      </c>
      <c r="E34" s="7">
        <v>38.700000000000003</v>
      </c>
      <c r="F34" s="7">
        <v>38.700000000000003</v>
      </c>
      <c r="G34" s="7">
        <v>40.5</v>
      </c>
      <c r="H34" s="7">
        <v>43.2</v>
      </c>
      <c r="I34" s="7">
        <v>35.1</v>
      </c>
      <c r="J34" s="7">
        <v>40.5</v>
      </c>
      <c r="K34" s="7">
        <v>40.5</v>
      </c>
      <c r="L34" s="7">
        <v>39.6</v>
      </c>
      <c r="M34" s="7">
        <v>40.5</v>
      </c>
      <c r="N34" s="3">
        <f t="shared" si="0"/>
        <v>40.125000000000007</v>
      </c>
      <c r="O34" s="9">
        <f>SUM($N$2:N34)/$B$43</f>
        <v>0.99470061816494104</v>
      </c>
      <c r="P34">
        <f>COUNTA($A$2:A34)</f>
        <v>33</v>
      </c>
      <c r="Q34" s="9">
        <f t="shared" si="6"/>
        <v>0.82499999999999996</v>
      </c>
      <c r="R34" t="str">
        <f t="shared" si="2"/>
        <v>C</v>
      </c>
      <c r="Z34" t="s">
        <v>50</v>
      </c>
      <c r="AA34" s="3">
        <v>780</v>
      </c>
      <c r="AB34" s="3">
        <v>0</v>
      </c>
      <c r="AC34" s="3">
        <v>0</v>
      </c>
      <c r="AD34" s="3">
        <v>780</v>
      </c>
      <c r="AE34" s="3">
        <v>780</v>
      </c>
      <c r="AF34" s="3">
        <v>0</v>
      </c>
      <c r="AG34" s="3">
        <v>0</v>
      </c>
      <c r="AH34" s="3">
        <v>780</v>
      </c>
      <c r="AI34" s="3">
        <v>780</v>
      </c>
      <c r="AJ34" s="3">
        <v>0</v>
      </c>
      <c r="AK34" s="3">
        <v>0</v>
      </c>
      <c r="AL34" s="3">
        <v>3900</v>
      </c>
      <c r="AM34" s="3">
        <v>354.54545454545456</v>
      </c>
      <c r="AN34">
        <v>20</v>
      </c>
      <c r="AO34" s="9">
        <v>0.5</v>
      </c>
      <c r="AP34" t="s">
        <v>104</v>
      </c>
      <c r="AT34" t="s">
        <v>68</v>
      </c>
      <c r="AU34" s="3">
        <f t="shared" si="5"/>
        <v>481.50000000000006</v>
      </c>
      <c r="AV34" t="s">
        <v>91</v>
      </c>
      <c r="AW34" t="s">
        <v>105</v>
      </c>
    </row>
    <row r="35" spans="1:49" x14ac:dyDescent="0.2">
      <c r="A35" s="7" t="s">
        <v>72</v>
      </c>
      <c r="B35" s="7">
        <v>58</v>
      </c>
      <c r="C35" s="7">
        <v>36</v>
      </c>
      <c r="D35" s="7">
        <v>38</v>
      </c>
      <c r="E35" s="7">
        <v>36</v>
      </c>
      <c r="F35" s="7">
        <v>36</v>
      </c>
      <c r="G35" s="7">
        <v>32</v>
      </c>
      <c r="H35" s="7">
        <v>36</v>
      </c>
      <c r="I35" s="7">
        <v>36</v>
      </c>
      <c r="J35" s="7">
        <v>44</v>
      </c>
      <c r="K35" s="7">
        <v>36</v>
      </c>
      <c r="L35" s="7">
        <v>22</v>
      </c>
      <c r="M35" s="7">
        <v>20</v>
      </c>
      <c r="N35" s="3">
        <f t="shared" si="0"/>
        <v>35.833333333333336</v>
      </c>
      <c r="O35" s="9">
        <f>SUM($N$2:N35)/$B$43</f>
        <v>0.99596613972503401</v>
      </c>
      <c r="P35">
        <f>COUNTA($A$2:A35)</f>
        <v>34</v>
      </c>
      <c r="Q35" s="9">
        <f t="shared" si="6"/>
        <v>0.85</v>
      </c>
      <c r="R35" t="str">
        <f t="shared" si="2"/>
        <v>C</v>
      </c>
      <c r="Z35" t="s">
        <v>55</v>
      </c>
      <c r="AA35" s="3">
        <v>974.3370000000001</v>
      </c>
      <c r="AB35" s="3">
        <v>308.36160000000001</v>
      </c>
      <c r="AC35" s="3">
        <v>1200.7776000000001</v>
      </c>
      <c r="AD35" s="3">
        <v>287.69460000000004</v>
      </c>
      <c r="AE35" s="3">
        <v>909.94560000000013</v>
      </c>
      <c r="AF35" s="3">
        <v>805.76400000000001</v>
      </c>
      <c r="AG35" s="3">
        <v>394.41600000000005</v>
      </c>
      <c r="AH35" s="3">
        <v>488.04000000000008</v>
      </c>
      <c r="AI35" s="3">
        <v>522.90000000000009</v>
      </c>
      <c r="AJ35" s="3">
        <v>442.57260000000008</v>
      </c>
      <c r="AK35" s="3">
        <v>258.31260000000009</v>
      </c>
      <c r="AL35" s="3">
        <v>6593.1216000000004</v>
      </c>
      <c r="AM35" s="3">
        <v>599.37469090909099</v>
      </c>
      <c r="AN35">
        <v>8</v>
      </c>
      <c r="AO35" s="9">
        <v>0.2</v>
      </c>
      <c r="AP35" t="s">
        <v>104</v>
      </c>
      <c r="AT35" t="s">
        <v>72</v>
      </c>
      <c r="AU35" s="3">
        <f t="shared" si="5"/>
        <v>430</v>
      </c>
      <c r="AV35" t="s">
        <v>91</v>
      </c>
      <c r="AW35" t="s">
        <v>105</v>
      </c>
    </row>
    <row r="36" spans="1:49" x14ac:dyDescent="0.2">
      <c r="A36" s="7" t="s">
        <v>69</v>
      </c>
      <c r="B36" s="7">
        <v>31.5</v>
      </c>
      <c r="C36" s="7">
        <v>35.700000000000003</v>
      </c>
      <c r="D36" s="7">
        <v>36.75</v>
      </c>
      <c r="E36" s="7">
        <v>14.700000000000001</v>
      </c>
      <c r="F36" s="7">
        <v>24.150000000000002</v>
      </c>
      <c r="G36" s="7">
        <v>31.5</v>
      </c>
      <c r="H36" s="7">
        <v>37.800000000000004</v>
      </c>
      <c r="I36" s="7">
        <v>47.25</v>
      </c>
      <c r="J36" s="7">
        <v>33.6</v>
      </c>
      <c r="K36" s="7">
        <v>33.6</v>
      </c>
      <c r="L36" s="7">
        <v>30.450000000000003</v>
      </c>
      <c r="M36" s="7">
        <v>33.6</v>
      </c>
      <c r="N36" s="3">
        <f t="shared" si="0"/>
        <v>32.550000000000004</v>
      </c>
      <c r="O36" s="9">
        <f>SUM($N$2:N36)/$B$43</f>
        <v>0.99711570419334172</v>
      </c>
      <c r="P36">
        <f>COUNTA($A$2:A36)</f>
        <v>35</v>
      </c>
      <c r="Q36" s="9">
        <f t="shared" si="6"/>
        <v>0.875</v>
      </c>
      <c r="R36" t="str">
        <f t="shared" si="2"/>
        <v>C</v>
      </c>
      <c r="Z36" t="s">
        <v>51</v>
      </c>
      <c r="AA36" s="3">
        <v>368.54999999999995</v>
      </c>
      <c r="AB36" s="3">
        <v>91.61099999999999</v>
      </c>
      <c r="AC36" s="3">
        <v>386.45099999999991</v>
      </c>
      <c r="AD36" s="3">
        <v>281.50200000000007</v>
      </c>
      <c r="AE36" s="3">
        <v>320.11200000000002</v>
      </c>
      <c r="AF36" s="3">
        <v>224.64</v>
      </c>
      <c r="AG36" s="3">
        <v>2274.48</v>
      </c>
      <c r="AH36" s="3">
        <v>1937.52</v>
      </c>
      <c r="AI36" s="3">
        <v>294.83999999999997</v>
      </c>
      <c r="AJ36" s="3">
        <v>425.41199999999998</v>
      </c>
      <c r="AK36" s="3">
        <v>320.11199999999997</v>
      </c>
      <c r="AL36" s="3">
        <v>6925.2300000000005</v>
      </c>
      <c r="AM36" s="3">
        <v>629.56636363636369</v>
      </c>
      <c r="AN36">
        <v>10</v>
      </c>
      <c r="AO36" s="9">
        <v>0.25</v>
      </c>
      <c r="AP36" t="s">
        <v>104</v>
      </c>
      <c r="AT36" t="s">
        <v>69</v>
      </c>
      <c r="AU36" s="3">
        <f t="shared" si="5"/>
        <v>390.60000000000008</v>
      </c>
      <c r="AV36" t="s">
        <v>91</v>
      </c>
      <c r="AW36" t="s">
        <v>105</v>
      </c>
    </row>
    <row r="37" spans="1:49" x14ac:dyDescent="0.2">
      <c r="A37" s="7" t="s">
        <v>66</v>
      </c>
      <c r="B37" s="7">
        <v>16.456000000000003</v>
      </c>
      <c r="C37" s="7">
        <v>19.208640000000003</v>
      </c>
      <c r="D37" s="7">
        <v>17.664767999999999</v>
      </c>
      <c r="E37" s="7">
        <v>30.762547199999993</v>
      </c>
      <c r="F37" s="7">
        <v>38.155898879999995</v>
      </c>
      <c r="G37" s="7">
        <v>23.457280000000004</v>
      </c>
      <c r="H37" s="7">
        <v>22.978560000000002</v>
      </c>
      <c r="I37" s="7">
        <v>48.254975999999992</v>
      </c>
      <c r="J37" s="7">
        <v>53.769830399999989</v>
      </c>
      <c r="K37" s="7">
        <v>22.78</v>
      </c>
      <c r="L37" s="7">
        <v>19.040000000000003</v>
      </c>
      <c r="M37" s="7">
        <v>23.8</v>
      </c>
      <c r="N37" s="3">
        <f t="shared" si="0"/>
        <v>28.027375039999999</v>
      </c>
      <c r="O37" s="9">
        <f>SUM($N$2:N37)/$B$43</f>
        <v>0.99810554365527471</v>
      </c>
      <c r="P37">
        <f>COUNTA($A$2:A37)</f>
        <v>36</v>
      </c>
      <c r="Q37" s="9">
        <f t="shared" si="6"/>
        <v>0.9</v>
      </c>
      <c r="R37" t="str">
        <f t="shared" si="2"/>
        <v>C</v>
      </c>
      <c r="Z37" t="s">
        <v>46</v>
      </c>
      <c r="AA37" s="3">
        <v>735.90000000000009</v>
      </c>
      <c r="AB37" s="3">
        <v>99.549999999999955</v>
      </c>
      <c r="AC37" s="3">
        <v>1412.9500000000003</v>
      </c>
      <c r="AD37" s="3">
        <v>300.29999999999995</v>
      </c>
      <c r="AE37" s="3">
        <v>877.80000000000018</v>
      </c>
      <c r="AF37" s="3">
        <v>748</v>
      </c>
      <c r="AG37" s="3">
        <v>516.99999999999977</v>
      </c>
      <c r="AH37" s="3">
        <v>462.00000000000023</v>
      </c>
      <c r="AI37" s="3">
        <v>539</v>
      </c>
      <c r="AJ37" s="3">
        <v>777.7</v>
      </c>
      <c r="AK37" s="3">
        <v>585.19999999999993</v>
      </c>
      <c r="AL37" s="3">
        <v>7055.4000000000005</v>
      </c>
      <c r="AM37" s="3">
        <v>641.40000000000009</v>
      </c>
      <c r="AN37">
        <v>6</v>
      </c>
      <c r="AO37" s="9">
        <v>0.15</v>
      </c>
      <c r="AP37" t="s">
        <v>104</v>
      </c>
      <c r="AT37" t="s">
        <v>66</v>
      </c>
      <c r="AU37" s="3">
        <f t="shared" si="5"/>
        <v>336.32850048</v>
      </c>
      <c r="AV37" t="s">
        <v>91</v>
      </c>
      <c r="AW37" t="s">
        <v>106</v>
      </c>
    </row>
    <row r="38" spans="1:49" x14ac:dyDescent="0.2">
      <c r="A38" s="7" t="s">
        <v>73</v>
      </c>
      <c r="B38" s="7">
        <v>28</v>
      </c>
      <c r="C38" s="7">
        <v>24</v>
      </c>
      <c r="D38" s="7">
        <v>24</v>
      </c>
      <c r="E38" s="7">
        <v>24</v>
      </c>
      <c r="F38" s="7">
        <v>24</v>
      </c>
      <c r="G38" s="7">
        <v>24</v>
      </c>
      <c r="H38" s="7">
        <v>24</v>
      </c>
      <c r="I38" s="7">
        <v>24</v>
      </c>
      <c r="J38" s="7">
        <v>24</v>
      </c>
      <c r="K38" s="7">
        <v>24</v>
      </c>
      <c r="L38" s="7">
        <v>24</v>
      </c>
      <c r="M38" s="7">
        <v>24</v>
      </c>
      <c r="N38" s="3">
        <f t="shared" si="0"/>
        <v>24.333333333333332</v>
      </c>
      <c r="O38" s="9">
        <f>SUM($N$2:N38)/$B$43</f>
        <v>0.9989649210867797</v>
      </c>
      <c r="P38">
        <f>COUNTA($A$2:A38)</f>
        <v>37</v>
      </c>
      <c r="Q38" s="9">
        <f t="shared" si="6"/>
        <v>0.92500000000000004</v>
      </c>
      <c r="R38" t="str">
        <f t="shared" si="2"/>
        <v>C</v>
      </c>
      <c r="Z38" t="s">
        <v>54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6885.6</v>
      </c>
      <c r="AH38" s="3">
        <v>6885.6</v>
      </c>
      <c r="AI38" s="3">
        <v>0</v>
      </c>
      <c r="AJ38" s="3">
        <v>0</v>
      </c>
      <c r="AK38" s="3">
        <v>0</v>
      </c>
      <c r="AL38" s="3">
        <v>13771.2</v>
      </c>
      <c r="AM38" s="3">
        <v>1251.9272727272728</v>
      </c>
      <c r="AN38">
        <v>12</v>
      </c>
      <c r="AO38" s="9">
        <v>0.3</v>
      </c>
      <c r="AP38" t="s">
        <v>104</v>
      </c>
      <c r="AT38" t="s">
        <v>73</v>
      </c>
      <c r="AU38" s="3">
        <f t="shared" si="5"/>
        <v>292</v>
      </c>
      <c r="AV38" t="s">
        <v>91</v>
      </c>
      <c r="AW38" t="s">
        <v>105</v>
      </c>
    </row>
    <row r="39" spans="1:49" x14ac:dyDescent="0.2">
      <c r="A39" s="7" t="s">
        <v>71</v>
      </c>
      <c r="B39" s="7">
        <v>18</v>
      </c>
      <c r="C39" s="7">
        <v>19</v>
      </c>
      <c r="D39" s="7">
        <v>19</v>
      </c>
      <c r="E39" s="7">
        <v>19</v>
      </c>
      <c r="F39" s="7">
        <v>19</v>
      </c>
      <c r="G39" s="7">
        <v>19</v>
      </c>
      <c r="H39" s="7">
        <v>19</v>
      </c>
      <c r="I39" s="7">
        <v>19</v>
      </c>
      <c r="J39" s="7">
        <v>19</v>
      </c>
      <c r="K39" s="7">
        <v>19</v>
      </c>
      <c r="L39" s="7">
        <v>19</v>
      </c>
      <c r="M39" s="7">
        <v>19</v>
      </c>
      <c r="N39" s="3">
        <f t="shared" si="0"/>
        <v>18.916666666666668</v>
      </c>
      <c r="O39" s="9">
        <f>SUM($N$2:N39)/$B$43</f>
        <v>0.99963299874757305</v>
      </c>
      <c r="P39">
        <f>COUNTA($A$2:A39)</f>
        <v>38</v>
      </c>
      <c r="Q39" s="9">
        <f t="shared" si="6"/>
        <v>0.95</v>
      </c>
      <c r="R39" t="str">
        <f t="shared" si="2"/>
        <v>C</v>
      </c>
      <c r="Z39" t="s">
        <v>44</v>
      </c>
      <c r="AA39" s="3">
        <v>1181.25</v>
      </c>
      <c r="AB39" s="3">
        <v>763.42499999999995</v>
      </c>
      <c r="AC39" s="3">
        <v>3220.4250000000002</v>
      </c>
      <c r="AD39" s="3">
        <v>950.25</v>
      </c>
      <c r="AE39" s="3">
        <v>1272</v>
      </c>
      <c r="AF39" s="3">
        <v>1872</v>
      </c>
      <c r="AG39" s="3">
        <v>2754</v>
      </c>
      <c r="AH39" s="3">
        <v>54</v>
      </c>
      <c r="AI39" s="3">
        <v>1707</v>
      </c>
      <c r="AJ39" s="3">
        <v>2795.1000000000004</v>
      </c>
      <c r="AK39" s="3">
        <v>2667.6000000000004</v>
      </c>
      <c r="AL39" s="3">
        <v>19237.050000000003</v>
      </c>
      <c r="AM39" s="3">
        <v>1748.8227272727274</v>
      </c>
      <c r="AN39">
        <v>3</v>
      </c>
      <c r="AO39" s="9">
        <v>7.4999999999999997E-2</v>
      </c>
      <c r="AP39" t="s">
        <v>104</v>
      </c>
      <c r="AT39" t="s">
        <v>71</v>
      </c>
      <c r="AU39" s="3">
        <f t="shared" si="5"/>
        <v>227</v>
      </c>
      <c r="AV39" t="s">
        <v>91</v>
      </c>
      <c r="AW39" t="s">
        <v>105</v>
      </c>
    </row>
    <row r="40" spans="1:49" x14ac:dyDescent="0.2">
      <c r="A40" s="7" t="s">
        <v>75</v>
      </c>
      <c r="B40" s="7">
        <v>12</v>
      </c>
      <c r="C40" s="7">
        <v>9</v>
      </c>
      <c r="D40" s="7">
        <v>3</v>
      </c>
      <c r="E40" s="7">
        <v>6</v>
      </c>
      <c r="F40" s="7">
        <v>6</v>
      </c>
      <c r="G40" s="7">
        <v>3</v>
      </c>
      <c r="H40" s="7">
        <v>6</v>
      </c>
      <c r="I40" s="7">
        <v>12</v>
      </c>
      <c r="J40" s="7">
        <v>12</v>
      </c>
      <c r="K40" s="7">
        <v>9</v>
      </c>
      <c r="L40" s="7">
        <v>6</v>
      </c>
      <c r="M40" s="7">
        <v>3</v>
      </c>
      <c r="N40" s="3">
        <f t="shared" si="0"/>
        <v>7.25</v>
      </c>
      <c r="O40" s="9">
        <f>SUM($N$2:N40)/$B$43</f>
        <v>0.99988904613298724</v>
      </c>
      <c r="P40">
        <f>COUNTA($A$2:A40)</f>
        <v>39</v>
      </c>
      <c r="Q40" s="9">
        <f t="shared" si="6"/>
        <v>0.97499999999999998</v>
      </c>
      <c r="R40" t="str">
        <f t="shared" si="2"/>
        <v>C</v>
      </c>
      <c r="Z40" t="s">
        <v>42</v>
      </c>
      <c r="AA40" s="3">
        <v>0</v>
      </c>
      <c r="AB40" s="3">
        <v>0</v>
      </c>
      <c r="AC40" s="3">
        <v>4500</v>
      </c>
      <c r="AD40" s="3">
        <v>4500</v>
      </c>
      <c r="AE40" s="3">
        <v>0</v>
      </c>
      <c r="AF40" s="3">
        <v>0</v>
      </c>
      <c r="AG40" s="3">
        <v>4500</v>
      </c>
      <c r="AH40" s="3">
        <v>4500</v>
      </c>
      <c r="AI40" s="3">
        <v>0</v>
      </c>
      <c r="AJ40" s="3">
        <v>0</v>
      </c>
      <c r="AK40" s="3">
        <v>4500</v>
      </c>
      <c r="AL40" s="3">
        <v>22500</v>
      </c>
      <c r="AM40" s="3">
        <v>2045.4545454545455</v>
      </c>
      <c r="AN40">
        <v>7</v>
      </c>
      <c r="AO40" s="9">
        <v>0.17499999999999999</v>
      </c>
      <c r="AP40" t="s">
        <v>104</v>
      </c>
      <c r="AT40" t="s">
        <v>75</v>
      </c>
      <c r="AU40" s="3">
        <f t="shared" si="5"/>
        <v>87</v>
      </c>
      <c r="AV40" t="s">
        <v>91</v>
      </c>
      <c r="AW40" t="s">
        <v>105</v>
      </c>
    </row>
    <row r="41" spans="1:49" x14ac:dyDescent="0.2">
      <c r="A41" s="7" t="s">
        <v>74</v>
      </c>
      <c r="B41" s="7">
        <v>5.2</v>
      </c>
      <c r="C41" s="7">
        <v>3.9000000000000004</v>
      </c>
      <c r="D41" s="7">
        <v>1.3</v>
      </c>
      <c r="E41" s="7">
        <v>2.6</v>
      </c>
      <c r="F41" s="7">
        <v>2.6</v>
      </c>
      <c r="G41" s="7">
        <v>1.3</v>
      </c>
      <c r="H41" s="7">
        <v>2.6</v>
      </c>
      <c r="I41" s="7">
        <v>5.2</v>
      </c>
      <c r="J41" s="7">
        <v>5.2</v>
      </c>
      <c r="K41" s="7">
        <v>3.9000000000000004</v>
      </c>
      <c r="L41" s="7">
        <v>2.6</v>
      </c>
      <c r="M41" s="7">
        <v>1.3</v>
      </c>
      <c r="N41" s="3">
        <f t="shared" si="0"/>
        <v>3.1416666666666671</v>
      </c>
      <c r="O41" s="9">
        <f>SUM($N$2:N41)/$B$43</f>
        <v>1</v>
      </c>
      <c r="P41">
        <f>COUNTA($A$2:A41)</f>
        <v>40</v>
      </c>
      <c r="Q41" s="9">
        <f t="shared" si="6"/>
        <v>1</v>
      </c>
      <c r="R41" t="str">
        <f t="shared" si="2"/>
        <v>C</v>
      </c>
      <c r="Z41" t="s">
        <v>43</v>
      </c>
      <c r="AA41" s="3">
        <v>2041.0173000000009</v>
      </c>
      <c r="AB41" s="3">
        <v>871.24129999999968</v>
      </c>
      <c r="AC41" s="3">
        <v>3867.1650999999988</v>
      </c>
      <c r="AD41" s="3">
        <v>630.23490000000129</v>
      </c>
      <c r="AE41" s="3">
        <v>2465.7503999999999</v>
      </c>
      <c r="AF41" s="3">
        <v>3335.2175999999999</v>
      </c>
      <c r="AG41" s="3">
        <v>8842.9279999999999</v>
      </c>
      <c r="AH41" s="3">
        <v>1756.4719999999998</v>
      </c>
      <c r="AI41" s="3">
        <v>5552.8199999999988</v>
      </c>
      <c r="AJ41" s="3">
        <v>4699.8010800000002</v>
      </c>
      <c r="AK41" s="3">
        <v>2743.0930800000015</v>
      </c>
      <c r="AL41" s="3">
        <v>36805.740759999993</v>
      </c>
      <c r="AM41" s="3">
        <v>3345.9764327272719</v>
      </c>
      <c r="AN41">
        <v>1</v>
      </c>
      <c r="AO41" s="9">
        <v>2.5000000000000001E-2</v>
      </c>
      <c r="AP41" t="s">
        <v>104</v>
      </c>
      <c r="AT41" t="s">
        <v>74</v>
      </c>
      <c r="AU41" s="3">
        <f t="shared" si="5"/>
        <v>37.700000000000003</v>
      </c>
      <c r="AV41" t="s">
        <v>91</v>
      </c>
      <c r="AW41" t="s">
        <v>105</v>
      </c>
    </row>
    <row r="42" spans="1:49" x14ac:dyDescent="0.2">
      <c r="N42" s="3"/>
    </row>
    <row r="43" spans="1:49" x14ac:dyDescent="0.2">
      <c r="A43" s="8" t="s">
        <v>82</v>
      </c>
      <c r="B43" s="3">
        <f>SUM(N2:N41)</f>
        <v>28315.071400837947</v>
      </c>
    </row>
    <row r="44" spans="1:49" x14ac:dyDescent="0.2">
      <c r="A44" s="8" t="s">
        <v>84</v>
      </c>
      <c r="B44">
        <f>COUNTA(A2:A41)</f>
        <v>40</v>
      </c>
    </row>
  </sheetData>
  <autoFilter ref="Z1:AP41" xr:uid="{640144C7-5374-4E2B-9AC5-3B88093B4FD1}">
    <sortState xmlns:xlrd2="http://schemas.microsoft.com/office/spreadsheetml/2017/richdata2" ref="Z2:AP41">
      <sortCondition ref="AM1:AM41"/>
    </sortState>
  </autoFilter>
  <sortState xmlns:xlrd2="http://schemas.microsoft.com/office/spreadsheetml/2017/richdata2" ref="Z2:AP41">
    <sortCondition ref="AM2:AM41"/>
  </sortState>
  <mergeCells count="5">
    <mergeCell ref="BF11:BG11"/>
    <mergeCell ref="BH11:BH12"/>
    <mergeCell ref="BI11:BI12"/>
    <mergeCell ref="BD11:BE11"/>
    <mergeCell ref="BB11:BC11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32192-37AC-4A03-970A-5CC72DE710A9}">
  <dimension ref="A1:AU44"/>
  <sheetViews>
    <sheetView tabSelected="1" topLeftCell="S1" workbookViewId="0">
      <selection activeCell="AI7" sqref="AI7"/>
    </sheetView>
  </sheetViews>
  <sheetFormatPr baseColWidth="10" defaultColWidth="8.83203125" defaultRowHeight="15" x14ac:dyDescent="0.2"/>
  <cols>
    <col min="4" max="4" width="15.33203125" customWidth="1"/>
    <col min="5" max="6" width="8.83203125" bestFit="1" customWidth="1"/>
    <col min="7" max="9" width="9.1640625" bestFit="1" customWidth="1"/>
    <col min="10" max="10" width="8.83203125" bestFit="1" customWidth="1"/>
    <col min="11" max="13" width="9.1640625" bestFit="1" customWidth="1"/>
    <col min="14" max="16" width="8.83203125" bestFit="1" customWidth="1"/>
    <col min="39" max="39" width="12.1640625" bestFit="1" customWidth="1"/>
    <col min="40" max="40" width="15.1640625" bestFit="1" customWidth="1"/>
    <col min="41" max="41" width="22.5" bestFit="1" customWidth="1"/>
    <col min="42" max="42" width="15.1640625" bestFit="1" customWidth="1"/>
    <col min="43" max="43" width="22.5" bestFit="1" customWidth="1"/>
    <col min="44" max="44" width="15.1640625" bestFit="1" customWidth="1"/>
    <col min="45" max="45" width="22.5" bestFit="1" customWidth="1"/>
    <col min="46" max="46" width="19.5" bestFit="1" customWidth="1"/>
    <col min="47" max="47" width="26.83203125" bestFit="1" customWidth="1"/>
  </cols>
  <sheetData>
    <row r="1" spans="1:47" ht="71" x14ac:dyDescent="0.2">
      <c r="A1" s="29" t="s">
        <v>4</v>
      </c>
      <c r="B1" s="30" t="s">
        <v>0</v>
      </c>
      <c r="C1" s="30" t="s">
        <v>1</v>
      </c>
      <c r="D1" s="30" t="s">
        <v>2</v>
      </c>
      <c r="E1" s="30" t="s">
        <v>3</v>
      </c>
      <c r="F1" s="31" t="s">
        <v>0</v>
      </c>
      <c r="G1" s="31" t="s">
        <v>1</v>
      </c>
      <c r="H1" s="31" t="s">
        <v>2</v>
      </c>
      <c r="I1" s="31" t="s">
        <v>3</v>
      </c>
      <c r="J1" s="32" t="s">
        <v>0</v>
      </c>
      <c r="K1" s="32" t="s">
        <v>1</v>
      </c>
      <c r="L1" s="32" t="s">
        <v>2</v>
      </c>
      <c r="M1" s="32" t="s">
        <v>3</v>
      </c>
      <c r="N1" s="33" t="s">
        <v>81</v>
      </c>
      <c r="O1" s="33" t="s">
        <v>113</v>
      </c>
      <c r="P1" s="33" t="s">
        <v>85</v>
      </c>
      <c r="Q1" s="33" t="s">
        <v>93</v>
      </c>
      <c r="R1" s="33" t="s">
        <v>114</v>
      </c>
      <c r="T1" s="10" t="s">
        <v>88</v>
      </c>
      <c r="U1" s="10" t="s">
        <v>92</v>
      </c>
      <c r="V1" s="10" t="s">
        <v>93</v>
      </c>
      <c r="W1" s="10" t="s">
        <v>94</v>
      </c>
      <c r="X1" s="10" t="s">
        <v>95</v>
      </c>
      <c r="AA1" s="29" t="s">
        <v>4</v>
      </c>
      <c r="AB1" s="35" t="s">
        <v>115</v>
      </c>
      <c r="AC1" s="35" t="s">
        <v>116</v>
      </c>
      <c r="AD1" s="35" t="s">
        <v>101</v>
      </c>
      <c r="AG1" s="29" t="s">
        <v>4</v>
      </c>
      <c r="AH1" s="35" t="s">
        <v>117</v>
      </c>
      <c r="AI1" s="35" t="s">
        <v>114</v>
      </c>
      <c r="AJ1" s="35" t="s">
        <v>101</v>
      </c>
      <c r="AN1" s="18" t="s">
        <v>109</v>
      </c>
    </row>
    <row r="2" spans="1:47" x14ac:dyDescent="0.2">
      <c r="A2" s="1" t="s">
        <v>5</v>
      </c>
      <c r="B2" s="2">
        <v>10285</v>
      </c>
      <c r="C2" s="2">
        <v>9731.6500000000015</v>
      </c>
      <c r="D2" s="2">
        <v>5715.4</v>
      </c>
      <c r="E2" s="2">
        <v>12036.85</v>
      </c>
      <c r="F2" s="2">
        <v>12859.65</v>
      </c>
      <c r="G2" s="2">
        <v>7491.12</v>
      </c>
      <c r="H2" s="2">
        <v>5440</v>
      </c>
      <c r="I2" s="2">
        <v>16660</v>
      </c>
      <c r="J2" s="2">
        <v>14804.4</v>
      </c>
      <c r="K2" s="2">
        <v>10285</v>
      </c>
      <c r="L2" s="2">
        <v>7997.65</v>
      </c>
      <c r="M2" s="6">
        <v>233.28</v>
      </c>
      <c r="N2" s="3">
        <f t="shared" ref="N2:N36" si="0">AVERAGE(B2:M2)</f>
        <v>9461.6666666666661</v>
      </c>
      <c r="O2" s="9">
        <f>SUM($N$2:N2)/$B$43</f>
        <v>0.16458053664059802</v>
      </c>
      <c r="P2">
        <f>COUNTA($A$2:A2)</f>
        <v>1</v>
      </c>
      <c r="Q2" s="9">
        <f>P2/$B$44</f>
        <v>2.8571428571428571E-2</v>
      </c>
      <c r="R2" t="str">
        <f>IF(O2&lt;=80%,"A",IF(O2&lt;=95%,"B","C"))</f>
        <v>A</v>
      </c>
      <c r="T2" t="s">
        <v>89</v>
      </c>
      <c r="U2">
        <f>COUNTIF($R$1:$R$41,"A")</f>
        <v>6</v>
      </c>
      <c r="V2" s="9">
        <f>U2/SUM($U$2:$U$4)</f>
        <v>0.17142857142857143</v>
      </c>
      <c r="W2" s="3">
        <f>SUMIF($R$2:$R$41,"A",$N$2:$N$41)</f>
        <v>44840.573523333333</v>
      </c>
      <c r="X2" s="9">
        <f>W2/SUM($W$2:$W$4)</f>
        <v>0.77997734582445555</v>
      </c>
      <c r="AA2" s="1" t="s">
        <v>21</v>
      </c>
      <c r="AB2">
        <v>0.5773502691894945</v>
      </c>
      <c r="AC2" s="34">
        <v>2.0185896015016417E-4</v>
      </c>
      <c r="AD2" t="str">
        <f>IF(AC2&lt;0.25,"X",IF(AC2&lt;0.55,"Y","Z"))</f>
        <v>X</v>
      </c>
      <c r="AG2" s="1" t="s">
        <v>5</v>
      </c>
      <c r="AH2" s="3">
        <f>SUM(B2:M2)</f>
        <v>113540</v>
      </c>
      <c r="AI2" t="s">
        <v>103</v>
      </c>
      <c r="AJ2" t="s">
        <v>106</v>
      </c>
      <c r="AN2" t="s">
        <v>105</v>
      </c>
      <c r="AP2" t="s">
        <v>106</v>
      </c>
      <c r="AR2" t="s">
        <v>104</v>
      </c>
      <c r="AT2" t="s">
        <v>119</v>
      </c>
      <c r="AU2" t="s">
        <v>120</v>
      </c>
    </row>
    <row r="3" spans="1:47" x14ac:dyDescent="0.2">
      <c r="A3" s="1" t="s">
        <v>19</v>
      </c>
      <c r="B3" s="2">
        <v>9095</v>
      </c>
      <c r="C3" s="2">
        <v>6970</v>
      </c>
      <c r="D3" s="2">
        <v>10115</v>
      </c>
      <c r="E3" s="2">
        <v>10455</v>
      </c>
      <c r="F3" s="2">
        <v>7644</v>
      </c>
      <c r="G3" s="2">
        <v>6800</v>
      </c>
      <c r="H3" s="2">
        <v>11900</v>
      </c>
      <c r="I3" s="2">
        <v>11388</v>
      </c>
      <c r="J3" s="2">
        <v>9350</v>
      </c>
      <c r="K3" s="2">
        <v>8245</v>
      </c>
      <c r="L3" s="2">
        <v>7999</v>
      </c>
      <c r="M3" s="6">
        <v>8245</v>
      </c>
      <c r="N3" s="3">
        <f t="shared" si="0"/>
        <v>9017.1666666666661</v>
      </c>
      <c r="O3" s="9">
        <f>SUM($N$2:N3)/$B$43</f>
        <v>0.32142923795936273</v>
      </c>
      <c r="P3">
        <f>COUNTA($A$2:A3)</f>
        <v>2</v>
      </c>
      <c r="Q3" s="9">
        <f t="shared" ref="Q3:Q36" si="1">P3/$B$44</f>
        <v>5.7142857142857141E-2</v>
      </c>
      <c r="R3" t="str">
        <f t="shared" ref="R3:R36" si="2">IF(O3&lt;=80%,"A",IF(O3&lt;=95%,"B","C"))</f>
        <v>A</v>
      </c>
      <c r="T3" t="s">
        <v>90</v>
      </c>
      <c r="U3">
        <f>COUNTIF($R$1:$R$41,"B")</f>
        <v>7</v>
      </c>
      <c r="V3" s="9">
        <f t="shared" ref="V3" si="3">U3/SUM($U$2:$U$4)</f>
        <v>0.2</v>
      </c>
      <c r="W3" s="3">
        <f>SUMIF($R$2:$R$41,"B",$N$2:$N$41)</f>
        <v>9621.1541666666672</v>
      </c>
      <c r="X3" s="9">
        <f t="shared" ref="X3:X4" si="4">W3/SUM($W$2:$W$4)</f>
        <v>0.16735473480908145</v>
      </c>
      <c r="AA3" s="1" t="s">
        <v>35</v>
      </c>
      <c r="AB3">
        <v>2.4058010698889443</v>
      </c>
      <c r="AC3" s="34">
        <v>6.7138634508528666E-2</v>
      </c>
      <c r="AD3" t="str">
        <f t="shared" ref="AD3:AD36" si="5">IF(AC3&lt;0.25,"X",IF(AC3&lt;0.55,"Y","Z"))</f>
        <v>X</v>
      </c>
      <c r="AG3" s="1" t="s">
        <v>19</v>
      </c>
      <c r="AH3" s="3">
        <f t="shared" ref="AH3:AH36" si="6">SUM(B3:M3)</f>
        <v>108206</v>
      </c>
      <c r="AI3" t="s">
        <v>103</v>
      </c>
      <c r="AJ3" t="s">
        <v>105</v>
      </c>
      <c r="AM3" s="18" t="s">
        <v>107</v>
      </c>
      <c r="AN3" t="s">
        <v>118</v>
      </c>
      <c r="AO3" t="s">
        <v>121</v>
      </c>
      <c r="AP3" t="s">
        <v>118</v>
      </c>
      <c r="AQ3" t="s">
        <v>121</v>
      </c>
      <c r="AR3" t="s">
        <v>118</v>
      </c>
      <c r="AS3" t="s">
        <v>121</v>
      </c>
    </row>
    <row r="4" spans="1:47" x14ac:dyDescent="0.2">
      <c r="A4" s="1" t="s">
        <v>20</v>
      </c>
      <c r="B4" s="2">
        <v>9350</v>
      </c>
      <c r="C4" s="2">
        <v>9095</v>
      </c>
      <c r="D4" s="2">
        <v>6970</v>
      </c>
      <c r="E4" s="2">
        <v>10115</v>
      </c>
      <c r="F4" s="2">
        <v>10455</v>
      </c>
      <c r="G4" s="2">
        <v>7644</v>
      </c>
      <c r="H4" s="2">
        <v>6800</v>
      </c>
      <c r="I4" s="2">
        <v>11900</v>
      </c>
      <c r="J4" s="2">
        <v>11388</v>
      </c>
      <c r="K4" s="2">
        <v>9350</v>
      </c>
      <c r="L4" s="2">
        <v>8245</v>
      </c>
      <c r="M4" s="6">
        <v>194.4</v>
      </c>
      <c r="N4" s="3">
        <f t="shared" si="0"/>
        <v>8458.8666666666668</v>
      </c>
      <c r="O4" s="9">
        <f>SUM($N$2:N4)/$B$43</f>
        <v>0.46856661495826352</v>
      </c>
      <c r="P4">
        <f>COUNTA($A$2:A4)</f>
        <v>3</v>
      </c>
      <c r="Q4" s="9">
        <f t="shared" si="1"/>
        <v>8.5714285714285715E-2</v>
      </c>
      <c r="R4" t="str">
        <f t="shared" si="2"/>
        <v>A</v>
      </c>
      <c r="T4" t="s">
        <v>91</v>
      </c>
      <c r="U4">
        <f>COUNTIF($R$1:$R$41,"C")</f>
        <v>22</v>
      </c>
      <c r="V4" s="9">
        <f>U4/SUM($U$2:$U$4)</f>
        <v>0.62857142857142856</v>
      </c>
      <c r="W4" s="3">
        <f>SUMIF($R$2:$R$41,"C",$N$2:$N$41)</f>
        <v>3027.8568003491714</v>
      </c>
      <c r="X4" s="9">
        <f t="shared" si="4"/>
        <v>5.2667919366462985E-2</v>
      </c>
      <c r="AA4" s="1" t="s">
        <v>33</v>
      </c>
      <c r="AB4">
        <v>3.028901190901153</v>
      </c>
      <c r="AC4" s="34">
        <v>7.0576338428764734E-2</v>
      </c>
      <c r="AD4" t="str">
        <f t="shared" si="5"/>
        <v>X</v>
      </c>
      <c r="AG4" s="1" t="s">
        <v>20</v>
      </c>
      <c r="AH4" s="3">
        <f t="shared" si="6"/>
        <v>101506.4</v>
      </c>
      <c r="AI4" t="s">
        <v>103</v>
      </c>
      <c r="AJ4" t="s">
        <v>106</v>
      </c>
      <c r="AM4" s="19" t="s">
        <v>103</v>
      </c>
      <c r="AN4" s="3">
        <v>108206</v>
      </c>
      <c r="AO4">
        <v>1</v>
      </c>
      <c r="AP4" s="3">
        <v>355464.79472000001</v>
      </c>
      <c r="AQ4">
        <v>4</v>
      </c>
      <c r="AR4" s="3">
        <v>74416.08756</v>
      </c>
      <c r="AS4">
        <v>1</v>
      </c>
      <c r="AT4" s="3">
        <v>538086.88228000002</v>
      </c>
      <c r="AU4">
        <v>6</v>
      </c>
    </row>
    <row r="5" spans="1:47" x14ac:dyDescent="0.2">
      <c r="A5" s="1" t="s">
        <v>6</v>
      </c>
      <c r="B5" s="2">
        <v>4878.7200000000012</v>
      </c>
      <c r="C5" s="2">
        <v>2813.0193000000004</v>
      </c>
      <c r="D5" s="2">
        <v>2788</v>
      </c>
      <c r="E5" s="2">
        <v>8118.501299999999</v>
      </c>
      <c r="F5" s="2">
        <v>9077.4</v>
      </c>
      <c r="G5" s="2">
        <v>5093.9615999999996</v>
      </c>
      <c r="H5" s="2">
        <v>1797.1200000000001</v>
      </c>
      <c r="I5" s="2">
        <v>12700.8</v>
      </c>
      <c r="J5" s="2">
        <v>11072.880000000001</v>
      </c>
      <c r="K5" s="2">
        <v>3963.9600000000009</v>
      </c>
      <c r="L5" s="2">
        <v>7529.8345200000003</v>
      </c>
      <c r="M5" s="6">
        <v>6402.24</v>
      </c>
      <c r="N5" s="3">
        <f t="shared" si="0"/>
        <v>6353.0363933333347</v>
      </c>
      <c r="O5" s="9">
        <f>SUM($N$2:N5)/$B$43</f>
        <v>0.57907422167787426</v>
      </c>
      <c r="P5">
        <f>COUNTA($A$2:A5)</f>
        <v>4</v>
      </c>
      <c r="Q5" s="9">
        <f t="shared" si="1"/>
        <v>0.11428571428571428</v>
      </c>
      <c r="R5" t="str">
        <f t="shared" si="2"/>
        <v>A</v>
      </c>
      <c r="AA5" s="1" t="s">
        <v>36</v>
      </c>
      <c r="AB5">
        <v>0.90033663737851999</v>
      </c>
      <c r="AC5" s="34">
        <v>8.1233380816107065E-2</v>
      </c>
      <c r="AD5" t="str">
        <f t="shared" si="5"/>
        <v>X</v>
      </c>
      <c r="AG5" s="1" t="s">
        <v>6</v>
      </c>
      <c r="AH5" s="3">
        <f t="shared" si="6"/>
        <v>76236.436720000012</v>
      </c>
      <c r="AI5" t="s">
        <v>103</v>
      </c>
      <c r="AJ5" t="s">
        <v>106</v>
      </c>
      <c r="AM5" s="19" t="s">
        <v>90</v>
      </c>
      <c r="AN5" s="3">
        <v>67606.81</v>
      </c>
      <c r="AO5">
        <v>3</v>
      </c>
      <c r="AP5" s="3"/>
      <c r="AR5" s="3">
        <v>47847.039999999994</v>
      </c>
      <c r="AS5">
        <v>4</v>
      </c>
      <c r="AT5" s="3">
        <v>115453.84999999999</v>
      </c>
      <c r="AU5">
        <v>7</v>
      </c>
    </row>
    <row r="6" spans="1:47" x14ac:dyDescent="0.2">
      <c r="A6" s="1" t="s">
        <v>7</v>
      </c>
      <c r="B6" s="2">
        <v>4878.7200000000012</v>
      </c>
      <c r="C6" s="2">
        <v>2813.0193000000004</v>
      </c>
      <c r="D6" s="2">
        <v>967.65084000000002</v>
      </c>
      <c r="E6" s="2">
        <v>8118.501299999999</v>
      </c>
      <c r="F6" s="2">
        <v>9077.4</v>
      </c>
      <c r="G6" s="2">
        <v>5093.9615999999996</v>
      </c>
      <c r="H6" s="2">
        <v>1797.1200000000001</v>
      </c>
      <c r="I6" s="2">
        <v>12700.8</v>
      </c>
      <c r="J6" s="2">
        <v>11072.880000000001</v>
      </c>
      <c r="K6" s="2">
        <v>3963.9600000000009</v>
      </c>
      <c r="L6" s="2">
        <v>7529.8345200000003</v>
      </c>
      <c r="M6" s="6">
        <v>6402.24</v>
      </c>
      <c r="N6" s="3">
        <f t="shared" si="0"/>
        <v>6201.3406299999997</v>
      </c>
      <c r="O6" s="9">
        <f>SUM($N$2:N6)/$B$43</f>
        <v>0.68694316324312454</v>
      </c>
      <c r="P6">
        <f>COUNTA($A$2:A6)</f>
        <v>5</v>
      </c>
      <c r="Q6" s="9">
        <f t="shared" si="1"/>
        <v>0.14285714285714285</v>
      </c>
      <c r="R6" t="str">
        <f t="shared" si="2"/>
        <v>A</v>
      </c>
      <c r="AA6" s="1" t="s">
        <v>37</v>
      </c>
      <c r="AB6">
        <v>0.7929614610987592</v>
      </c>
      <c r="AC6" s="34">
        <v>0.10456634651851771</v>
      </c>
      <c r="AD6" t="str">
        <f t="shared" si="5"/>
        <v>X</v>
      </c>
      <c r="AG6" s="1" t="s">
        <v>7</v>
      </c>
      <c r="AH6" s="3">
        <f t="shared" si="6"/>
        <v>74416.08756</v>
      </c>
      <c r="AI6" t="s">
        <v>103</v>
      </c>
      <c r="AJ6" t="s">
        <v>104</v>
      </c>
      <c r="AM6" s="19" t="s">
        <v>91</v>
      </c>
      <c r="AN6" s="3">
        <v>4059.2</v>
      </c>
      <c r="AO6">
        <v>6</v>
      </c>
      <c r="AP6" s="3">
        <v>16105.612200000001</v>
      </c>
      <c r="AQ6">
        <v>8</v>
      </c>
      <c r="AR6" s="3">
        <v>16169.469404190053</v>
      </c>
      <c r="AS6">
        <v>8</v>
      </c>
      <c r="AT6" s="3">
        <v>36334.281604190051</v>
      </c>
      <c r="AU6">
        <v>22</v>
      </c>
    </row>
    <row r="7" spans="1:47" x14ac:dyDescent="0.2">
      <c r="A7" s="1" t="s">
        <v>8</v>
      </c>
      <c r="B7" s="2">
        <v>4435.2000000000007</v>
      </c>
      <c r="C7" s="2">
        <v>2628.9900000000002</v>
      </c>
      <c r="D7" s="2">
        <v>1180.0620000000001</v>
      </c>
      <c r="E7" s="2">
        <v>6822.2699999999995</v>
      </c>
      <c r="F7" s="2">
        <v>7380</v>
      </c>
      <c r="G7" s="2">
        <v>5197.92</v>
      </c>
      <c r="H7" s="2">
        <v>2246.4</v>
      </c>
      <c r="I7" s="2">
        <v>9072</v>
      </c>
      <c r="J7" s="2">
        <v>8517.6</v>
      </c>
      <c r="K7" s="2">
        <v>3603.6000000000004</v>
      </c>
      <c r="L7" s="2">
        <v>7762.7160000000003</v>
      </c>
      <c r="M7" s="6">
        <v>5335.2</v>
      </c>
      <c r="N7" s="3">
        <f t="shared" si="0"/>
        <v>5348.4965000000002</v>
      </c>
      <c r="O7" s="9">
        <f>SUM($N$2:N7)/$B$43</f>
        <v>0.77997734582445566</v>
      </c>
      <c r="P7">
        <f>COUNTA($A$2:A7)</f>
        <v>6</v>
      </c>
      <c r="Q7" s="9">
        <f t="shared" si="1"/>
        <v>0.17142857142857143</v>
      </c>
      <c r="R7" t="str">
        <f t="shared" si="2"/>
        <v>A</v>
      </c>
      <c r="AA7" s="1" t="s">
        <v>38</v>
      </c>
      <c r="AB7">
        <v>0.96530729916342273</v>
      </c>
      <c r="AC7" s="34">
        <v>0.15444916786614762</v>
      </c>
      <c r="AD7" t="str">
        <f t="shared" si="5"/>
        <v>X</v>
      </c>
      <c r="AG7" s="1" t="s">
        <v>8</v>
      </c>
      <c r="AH7" s="3">
        <f t="shared" si="6"/>
        <v>64181.957999999999</v>
      </c>
      <c r="AI7" t="s">
        <v>103</v>
      </c>
      <c r="AJ7" t="s">
        <v>106</v>
      </c>
      <c r="AM7" s="19" t="s">
        <v>108</v>
      </c>
      <c r="AN7" s="3">
        <v>179872.01</v>
      </c>
      <c r="AO7">
        <v>10</v>
      </c>
      <c r="AP7" s="3">
        <v>371570.40692000004</v>
      </c>
      <c r="AQ7">
        <v>12</v>
      </c>
      <c r="AR7" s="3">
        <v>138432.59696419004</v>
      </c>
      <c r="AS7">
        <v>13</v>
      </c>
      <c r="AT7" s="3">
        <v>689875.01388419</v>
      </c>
      <c r="AU7">
        <v>35</v>
      </c>
    </row>
    <row r="8" spans="1:47" x14ac:dyDescent="0.2">
      <c r="A8" s="1" t="s">
        <v>21</v>
      </c>
      <c r="B8" s="2">
        <v>2860.0000000000005</v>
      </c>
      <c r="C8" s="2">
        <v>2860.0000000000005</v>
      </c>
      <c r="D8" s="2">
        <v>2860.0000000000005</v>
      </c>
      <c r="E8" s="2">
        <v>2860.0000000000005</v>
      </c>
      <c r="F8" s="2">
        <v>2860.0000000000005</v>
      </c>
      <c r="G8" s="2">
        <v>2862</v>
      </c>
      <c r="H8" s="2">
        <v>2860.0000000000005</v>
      </c>
      <c r="I8" s="2">
        <v>2860.0000000000005</v>
      </c>
      <c r="J8" s="2">
        <v>2860.0000000000005</v>
      </c>
      <c r="K8" s="2">
        <v>2860.0000000000005</v>
      </c>
      <c r="L8" s="2">
        <v>2860.0000000000005</v>
      </c>
      <c r="M8" s="6">
        <v>2860.0000000000005</v>
      </c>
      <c r="N8" s="3">
        <f t="shared" si="0"/>
        <v>2860.1666666666665</v>
      </c>
      <c r="O8" s="9">
        <f>SUM($N$2:N8)/$B$43</f>
        <v>0.82972838667859161</v>
      </c>
      <c r="P8">
        <f>COUNTA($A$2:A8)</f>
        <v>7</v>
      </c>
      <c r="Q8" s="9">
        <f t="shared" si="1"/>
        <v>0.2</v>
      </c>
      <c r="R8" t="str">
        <f t="shared" si="2"/>
        <v>B</v>
      </c>
      <c r="AA8" s="1" t="s">
        <v>24</v>
      </c>
      <c r="AB8">
        <v>163.22046114260843</v>
      </c>
      <c r="AC8" s="34">
        <v>0.18350013104142765</v>
      </c>
      <c r="AD8" t="str">
        <f t="shared" si="5"/>
        <v>X</v>
      </c>
      <c r="AG8" s="1" t="s">
        <v>21</v>
      </c>
      <c r="AH8" s="3">
        <f t="shared" si="6"/>
        <v>34322</v>
      </c>
      <c r="AI8" t="s">
        <v>90</v>
      </c>
      <c r="AJ8" t="s">
        <v>105</v>
      </c>
    </row>
    <row r="9" spans="1:47" x14ac:dyDescent="0.2">
      <c r="A9" s="1" t="s">
        <v>22</v>
      </c>
      <c r="B9" s="2">
        <v>1837.0000000000002</v>
      </c>
      <c r="C9" s="2">
        <v>1786.9</v>
      </c>
      <c r="D9" s="2">
        <v>1369.3999999999999</v>
      </c>
      <c r="E9" s="2">
        <v>1987.3</v>
      </c>
      <c r="F9" s="2">
        <v>2066.4</v>
      </c>
      <c r="G9" s="2">
        <v>1646.3999999999999</v>
      </c>
      <c r="H9" s="2">
        <v>1344</v>
      </c>
      <c r="I9" s="2">
        <v>2800</v>
      </c>
      <c r="J9" s="2">
        <v>2184</v>
      </c>
      <c r="K9" s="2">
        <v>1848.0000000000002</v>
      </c>
      <c r="L9" s="2">
        <v>1629.6</v>
      </c>
      <c r="M9" s="6">
        <v>2112</v>
      </c>
      <c r="N9" s="3">
        <f t="shared" si="0"/>
        <v>1884.25</v>
      </c>
      <c r="O9" s="9">
        <f>SUM($N$2:N9)/$B$43</f>
        <v>0.86250388882744278</v>
      </c>
      <c r="P9">
        <f>COUNTA($A$2:A9)</f>
        <v>8</v>
      </c>
      <c r="Q9" s="9">
        <f t="shared" si="1"/>
        <v>0.22857142857142856</v>
      </c>
      <c r="R9" t="str">
        <f t="shared" si="2"/>
        <v>B</v>
      </c>
      <c r="AA9" s="1" t="s">
        <v>19</v>
      </c>
      <c r="AB9">
        <v>1666.309740569006</v>
      </c>
      <c r="AC9" s="34">
        <v>0.18479305109539279</v>
      </c>
      <c r="AD9" t="str">
        <f t="shared" si="5"/>
        <v>X</v>
      </c>
      <c r="AG9" s="1" t="s">
        <v>22</v>
      </c>
      <c r="AH9" s="3">
        <f t="shared" si="6"/>
        <v>22611</v>
      </c>
      <c r="AI9" t="s">
        <v>90</v>
      </c>
      <c r="AJ9" t="s">
        <v>105</v>
      </c>
    </row>
    <row r="10" spans="1:47" x14ac:dyDescent="0.2">
      <c r="A10" s="1" t="s">
        <v>23</v>
      </c>
      <c r="B10" s="2">
        <v>0</v>
      </c>
      <c r="C10" s="2">
        <v>0</v>
      </c>
      <c r="D10" s="2">
        <v>0</v>
      </c>
      <c r="E10" s="2">
        <v>6000</v>
      </c>
      <c r="F10" s="2">
        <v>0</v>
      </c>
      <c r="G10" s="2">
        <v>0</v>
      </c>
      <c r="H10" s="2">
        <v>0</v>
      </c>
      <c r="I10" s="2">
        <v>7000</v>
      </c>
      <c r="J10" s="2">
        <v>0</v>
      </c>
      <c r="K10" s="2">
        <v>0</v>
      </c>
      <c r="L10" s="2">
        <v>0</v>
      </c>
      <c r="M10" s="6">
        <v>6000</v>
      </c>
      <c r="N10" s="3">
        <f t="shared" si="0"/>
        <v>1583.3333333333333</v>
      </c>
      <c r="O10" s="9">
        <f>SUM($N$2:N10)/$B$43</f>
        <v>0.89004510950888871</v>
      </c>
      <c r="P10">
        <f>COUNTA($A$2:A10)</f>
        <v>9</v>
      </c>
      <c r="Q10" s="9">
        <f t="shared" si="1"/>
        <v>0.25714285714285712</v>
      </c>
      <c r="R10" t="str">
        <f t="shared" si="2"/>
        <v>B</v>
      </c>
      <c r="AA10" s="1" t="s">
        <v>28</v>
      </c>
      <c r="AB10">
        <v>48.228584319411155</v>
      </c>
      <c r="AC10" s="34">
        <v>0.20557793827540988</v>
      </c>
      <c r="AD10" t="str">
        <f t="shared" si="5"/>
        <v>X</v>
      </c>
      <c r="AG10" s="1" t="s">
        <v>23</v>
      </c>
      <c r="AH10" s="3">
        <f t="shared" si="6"/>
        <v>19000</v>
      </c>
      <c r="AI10" t="s">
        <v>90</v>
      </c>
      <c r="AJ10" t="s">
        <v>104</v>
      </c>
    </row>
    <row r="11" spans="1:47" x14ac:dyDescent="0.2">
      <c r="A11" s="1" t="s">
        <v>24</v>
      </c>
      <c r="B11" s="2">
        <v>880.00000000000011</v>
      </c>
      <c r="C11" s="2">
        <v>857.07</v>
      </c>
      <c r="D11" s="2">
        <v>663.38</v>
      </c>
      <c r="E11" s="2">
        <v>899.64</v>
      </c>
      <c r="F11" s="2">
        <v>1094.7</v>
      </c>
      <c r="G11" s="2">
        <v>792.81999999999994</v>
      </c>
      <c r="H11" s="2">
        <v>643.20000000000005</v>
      </c>
      <c r="I11" s="2">
        <v>1185.8</v>
      </c>
      <c r="J11" s="2">
        <v>1040</v>
      </c>
      <c r="K11" s="2">
        <v>880.00000000000011</v>
      </c>
      <c r="L11" s="2">
        <v>776</v>
      </c>
      <c r="M11" s="6">
        <v>961.19999999999993</v>
      </c>
      <c r="N11" s="3">
        <f t="shared" si="0"/>
        <v>889.48416666666674</v>
      </c>
      <c r="O11" s="9">
        <f>SUM($N$2:N11)/$B$43</f>
        <v>0.90551720196793206</v>
      </c>
      <c r="P11">
        <f>COUNTA($A$2:A11)</f>
        <v>10</v>
      </c>
      <c r="Q11" s="9">
        <f t="shared" si="1"/>
        <v>0.2857142857142857</v>
      </c>
      <c r="R11" t="str">
        <f t="shared" si="2"/>
        <v>B</v>
      </c>
      <c r="AA11" s="1" t="s">
        <v>22</v>
      </c>
      <c r="AB11">
        <v>394.91075976961997</v>
      </c>
      <c r="AC11" s="34">
        <v>0.20958511862524609</v>
      </c>
      <c r="AD11" t="str">
        <f t="shared" si="5"/>
        <v>X</v>
      </c>
      <c r="AG11" s="1" t="s">
        <v>24</v>
      </c>
      <c r="AH11" s="3">
        <f t="shared" si="6"/>
        <v>10673.810000000001</v>
      </c>
      <c r="AI11" t="s">
        <v>90</v>
      </c>
      <c r="AJ11" t="s">
        <v>105</v>
      </c>
      <c r="AM11" s="20"/>
      <c r="AN11" s="36" t="s">
        <v>105</v>
      </c>
      <c r="AO11" s="36"/>
      <c r="AP11" s="36" t="s">
        <v>106</v>
      </c>
      <c r="AQ11" s="36"/>
      <c r="AR11" s="36" t="s">
        <v>104</v>
      </c>
      <c r="AS11" s="36"/>
      <c r="AT11" s="37" t="s">
        <v>102</v>
      </c>
      <c r="AU11" s="39" t="s">
        <v>92</v>
      </c>
    </row>
    <row r="12" spans="1:47" x14ac:dyDescent="0.2">
      <c r="A12" s="1" t="s">
        <v>9</v>
      </c>
      <c r="B12" s="2">
        <v>677.6</v>
      </c>
      <c r="C12" s="2">
        <v>641.14400000000012</v>
      </c>
      <c r="D12" s="2">
        <v>376.54399999999998</v>
      </c>
      <c r="E12" s="2">
        <v>2832.2</v>
      </c>
      <c r="F12" s="2">
        <v>847.22399999999993</v>
      </c>
      <c r="G12" s="2">
        <v>537.82399999999996</v>
      </c>
      <c r="H12" s="2">
        <v>358.40000000000003</v>
      </c>
      <c r="I12" s="2">
        <v>1097.5999999999999</v>
      </c>
      <c r="J12" s="2">
        <v>946.4</v>
      </c>
      <c r="K12" s="2">
        <v>677.6</v>
      </c>
      <c r="L12" s="2">
        <v>526.90399999999988</v>
      </c>
      <c r="M12" s="6">
        <v>806.4</v>
      </c>
      <c r="N12" s="3">
        <f t="shared" si="0"/>
        <v>860.48666666666657</v>
      </c>
      <c r="O12" s="9">
        <f>SUM($N$2:N12)/$B$43</f>
        <v>0.92048489871326367</v>
      </c>
      <c r="P12">
        <f>COUNTA($A$2:A12)</f>
        <v>11</v>
      </c>
      <c r="Q12" s="9">
        <f t="shared" si="1"/>
        <v>0.31428571428571428</v>
      </c>
      <c r="R12" t="str">
        <f t="shared" si="2"/>
        <v>B</v>
      </c>
      <c r="AA12" s="1" t="s">
        <v>26</v>
      </c>
      <c r="AB12">
        <v>66.205457100166925</v>
      </c>
      <c r="AC12" s="34">
        <v>0.25210511688427922</v>
      </c>
      <c r="AD12" t="str">
        <f t="shared" si="5"/>
        <v>Y</v>
      </c>
      <c r="AG12" s="1" t="s">
        <v>9</v>
      </c>
      <c r="AH12" s="3">
        <f t="shared" si="6"/>
        <v>10325.839999999998</v>
      </c>
      <c r="AI12" t="s">
        <v>90</v>
      </c>
      <c r="AJ12" t="s">
        <v>104</v>
      </c>
      <c r="AM12" s="21"/>
      <c r="AN12" s="28" t="s">
        <v>112</v>
      </c>
      <c r="AO12" s="28" t="s">
        <v>92</v>
      </c>
      <c r="AP12" s="28" t="s">
        <v>112</v>
      </c>
      <c r="AQ12" s="28" t="s">
        <v>92</v>
      </c>
      <c r="AR12" s="28" t="s">
        <v>112</v>
      </c>
      <c r="AS12" s="28" t="s">
        <v>92</v>
      </c>
      <c r="AT12" s="38"/>
      <c r="AU12" s="40"/>
    </row>
    <row r="13" spans="1:47" x14ac:dyDescent="0.2">
      <c r="A13" s="1" t="s">
        <v>25</v>
      </c>
      <c r="B13" s="2">
        <v>2860.0000000000005</v>
      </c>
      <c r="C13" s="2">
        <v>0</v>
      </c>
      <c r="D13" s="2">
        <v>0</v>
      </c>
      <c r="E13" s="2">
        <v>0</v>
      </c>
      <c r="F13" s="2">
        <v>3198</v>
      </c>
      <c r="G13" s="2">
        <v>0</v>
      </c>
      <c r="H13" s="2">
        <v>0</v>
      </c>
      <c r="I13" s="2">
        <v>0</v>
      </c>
      <c r="J13" s="2">
        <v>3380</v>
      </c>
      <c r="K13" s="2">
        <v>0</v>
      </c>
      <c r="L13" s="2">
        <v>0</v>
      </c>
      <c r="M13" s="6">
        <v>0</v>
      </c>
      <c r="N13" s="3">
        <f t="shared" si="0"/>
        <v>786.5</v>
      </c>
      <c r="O13" s="9">
        <f>SUM($N$2:N13)/$B$43</f>
        <v>0.93416563770228922</v>
      </c>
      <c r="P13">
        <f>COUNTA($A$2:A13)</f>
        <v>12</v>
      </c>
      <c r="Q13" s="9">
        <f t="shared" si="1"/>
        <v>0.34285714285714286</v>
      </c>
      <c r="R13" t="str">
        <f t="shared" si="2"/>
        <v>B</v>
      </c>
      <c r="AA13" s="1" t="s">
        <v>27</v>
      </c>
      <c r="AB13">
        <v>65.127281565289309</v>
      </c>
      <c r="AC13" s="34">
        <v>0.25368283407178094</v>
      </c>
      <c r="AD13" t="str">
        <f t="shared" si="5"/>
        <v>Y</v>
      </c>
      <c r="AG13" s="1" t="s">
        <v>25</v>
      </c>
      <c r="AH13" s="3">
        <f t="shared" si="6"/>
        <v>9438</v>
      </c>
      <c r="AI13" t="s">
        <v>90</v>
      </c>
      <c r="AJ13" t="s">
        <v>104</v>
      </c>
      <c r="AM13" s="21" t="s">
        <v>103</v>
      </c>
      <c r="AN13" s="22">
        <v>108206</v>
      </c>
      <c r="AO13" s="22">
        <v>1</v>
      </c>
      <c r="AP13" s="22">
        <v>355464.79472000001</v>
      </c>
      <c r="AQ13" s="22">
        <v>4</v>
      </c>
      <c r="AR13" s="22">
        <v>74416.08756</v>
      </c>
      <c r="AS13" s="22">
        <v>1</v>
      </c>
      <c r="AT13" s="26">
        <v>538086.88228000002</v>
      </c>
      <c r="AU13" s="27">
        <v>6</v>
      </c>
    </row>
    <row r="14" spans="1:47" x14ac:dyDescent="0.2">
      <c r="A14" s="1" t="s">
        <v>10</v>
      </c>
      <c r="B14" s="2">
        <v>616</v>
      </c>
      <c r="C14" s="2">
        <v>599.20000000000005</v>
      </c>
      <c r="D14" s="2">
        <v>459.2</v>
      </c>
      <c r="E14" s="2">
        <v>2380</v>
      </c>
      <c r="F14" s="2">
        <v>688.8</v>
      </c>
      <c r="G14" s="2">
        <v>548.79999999999995</v>
      </c>
      <c r="H14" s="2">
        <v>448</v>
      </c>
      <c r="I14" s="2">
        <v>784</v>
      </c>
      <c r="J14" s="2">
        <v>728</v>
      </c>
      <c r="K14" s="2">
        <v>616</v>
      </c>
      <c r="L14" s="2">
        <v>543.19999999999993</v>
      </c>
      <c r="M14" s="6">
        <v>672</v>
      </c>
      <c r="N14" s="3">
        <f t="shared" si="0"/>
        <v>756.93333333333339</v>
      </c>
      <c r="O14" s="9">
        <f>SUM($N$2:N14)/$B$43</f>
        <v>0.94733208063353713</v>
      </c>
      <c r="P14">
        <f>COUNTA($A$2:A14)</f>
        <v>13</v>
      </c>
      <c r="Q14" s="9">
        <f t="shared" si="1"/>
        <v>0.37142857142857144</v>
      </c>
      <c r="R14" t="str">
        <f t="shared" si="2"/>
        <v>B</v>
      </c>
      <c r="AA14" s="1" t="s">
        <v>31</v>
      </c>
      <c r="AB14">
        <v>48.13901715580905</v>
      </c>
      <c r="AC14" s="34">
        <v>0.25886063052622293</v>
      </c>
      <c r="AD14" t="str">
        <f t="shared" si="5"/>
        <v>Y</v>
      </c>
      <c r="AG14" s="1" t="s">
        <v>10</v>
      </c>
      <c r="AH14" s="3">
        <f t="shared" si="6"/>
        <v>9083.2000000000007</v>
      </c>
      <c r="AI14" t="s">
        <v>90</v>
      </c>
      <c r="AJ14" t="s">
        <v>104</v>
      </c>
      <c r="AM14" s="21" t="s">
        <v>90</v>
      </c>
      <c r="AN14" s="22">
        <v>67606.81</v>
      </c>
      <c r="AO14" s="22">
        <v>3</v>
      </c>
      <c r="AP14" s="22"/>
      <c r="AQ14" s="22"/>
      <c r="AR14" s="22">
        <v>47847.039999999994</v>
      </c>
      <c r="AS14" s="22">
        <v>4</v>
      </c>
      <c r="AT14" s="26">
        <v>115453.84999999999</v>
      </c>
      <c r="AU14" s="27">
        <v>7</v>
      </c>
    </row>
    <row r="15" spans="1:47" x14ac:dyDescent="0.2">
      <c r="A15" s="1" t="s">
        <v>11</v>
      </c>
      <c r="B15" s="2">
        <v>240.42900000000003</v>
      </c>
      <c r="C15" s="2">
        <v>82.705199999999991</v>
      </c>
      <c r="D15" s="2">
        <v>693.88900000000001</v>
      </c>
      <c r="E15" s="2">
        <v>859.32719999999995</v>
      </c>
      <c r="F15" s="2">
        <v>326.536</v>
      </c>
      <c r="G15" s="2">
        <v>7.6800000000000015</v>
      </c>
      <c r="H15" s="2">
        <v>235.2</v>
      </c>
      <c r="I15" s="2">
        <v>473.2</v>
      </c>
      <c r="J15" s="2">
        <v>169.4</v>
      </c>
      <c r="K15" s="2">
        <v>321.7878</v>
      </c>
      <c r="L15" s="2">
        <v>273.59999999999997</v>
      </c>
      <c r="M15" s="6">
        <v>260</v>
      </c>
      <c r="N15" s="3">
        <f t="shared" si="0"/>
        <v>328.64618333333328</v>
      </c>
      <c r="O15" s="9">
        <f>SUM($N$2:N15)/$B$43</f>
        <v>0.95304870193540958</v>
      </c>
      <c r="P15">
        <f>COUNTA($A$2:A15)</f>
        <v>14</v>
      </c>
      <c r="Q15" s="9">
        <f t="shared" si="1"/>
        <v>0.4</v>
      </c>
      <c r="R15" t="str">
        <f t="shared" si="2"/>
        <v>C</v>
      </c>
      <c r="AA15" s="1" t="s">
        <v>32</v>
      </c>
      <c r="AB15">
        <v>48.501372707846684</v>
      </c>
      <c r="AC15" s="34">
        <v>0.26257408823239414</v>
      </c>
      <c r="AD15" t="str">
        <f t="shared" si="5"/>
        <v>Y</v>
      </c>
      <c r="AG15" s="1" t="s">
        <v>11</v>
      </c>
      <c r="AH15" s="3">
        <f t="shared" si="6"/>
        <v>3943.7541999999994</v>
      </c>
      <c r="AI15" t="s">
        <v>91</v>
      </c>
      <c r="AJ15" t="s">
        <v>104</v>
      </c>
      <c r="AM15" s="21" t="s">
        <v>91</v>
      </c>
      <c r="AN15" s="22">
        <v>4059.2</v>
      </c>
      <c r="AO15" s="22">
        <v>6</v>
      </c>
      <c r="AP15" s="22">
        <v>16105.612200000001</v>
      </c>
      <c r="AQ15" s="22">
        <v>8</v>
      </c>
      <c r="AR15" s="22">
        <v>16169.469404190053</v>
      </c>
      <c r="AS15" s="22">
        <v>8</v>
      </c>
      <c r="AT15" s="26">
        <v>36334.281604190051</v>
      </c>
      <c r="AU15" s="27">
        <v>22</v>
      </c>
    </row>
    <row r="16" spans="1:47" x14ac:dyDescent="0.2">
      <c r="A16" s="1" t="s">
        <v>12</v>
      </c>
      <c r="B16" s="2">
        <v>323</v>
      </c>
      <c r="C16" s="2">
        <v>224.70000000000002</v>
      </c>
      <c r="D16" s="2">
        <v>100.86</v>
      </c>
      <c r="E16" s="2">
        <v>583.1</v>
      </c>
      <c r="F16" s="2">
        <v>698.64</v>
      </c>
      <c r="G16" s="2">
        <v>333.2</v>
      </c>
      <c r="H16" s="2">
        <v>9.6000000000000014</v>
      </c>
      <c r="I16" s="2">
        <v>168</v>
      </c>
      <c r="J16" s="2">
        <v>364</v>
      </c>
      <c r="K16" s="2">
        <v>154</v>
      </c>
      <c r="L16" s="2">
        <v>331.74</v>
      </c>
      <c r="M16" s="6">
        <v>228</v>
      </c>
      <c r="N16" s="3">
        <f t="shared" si="0"/>
        <v>293.23666666666668</v>
      </c>
      <c r="O16" s="9">
        <f>SUM($N$2:N16)/$B$43</f>
        <v>0.9581493939871305</v>
      </c>
      <c r="P16">
        <f>COUNTA($A$2:A16)</f>
        <v>15</v>
      </c>
      <c r="Q16" s="9">
        <f t="shared" si="1"/>
        <v>0.42857142857142855</v>
      </c>
      <c r="R16" t="str">
        <f t="shared" si="2"/>
        <v>C</v>
      </c>
      <c r="AA16" s="1" t="s">
        <v>34</v>
      </c>
      <c r="AB16">
        <v>10.999655641992813</v>
      </c>
      <c r="AC16" s="34">
        <v>0.28632509263321859</v>
      </c>
      <c r="AD16" t="str">
        <f t="shared" si="5"/>
        <v>Y</v>
      </c>
      <c r="AG16" s="1" t="s">
        <v>12</v>
      </c>
      <c r="AH16" s="3">
        <f t="shared" si="6"/>
        <v>3518.84</v>
      </c>
      <c r="AI16" t="s">
        <v>91</v>
      </c>
      <c r="AJ16" t="s">
        <v>104</v>
      </c>
      <c r="AM16" s="23" t="s">
        <v>108</v>
      </c>
      <c r="AN16" s="24">
        <v>179872.01</v>
      </c>
      <c r="AO16" s="24">
        <v>10</v>
      </c>
      <c r="AP16" s="24">
        <v>371570.40692000004</v>
      </c>
      <c r="AQ16" s="24">
        <v>12</v>
      </c>
      <c r="AR16" s="24">
        <v>138432.59696419004</v>
      </c>
      <c r="AS16" s="24">
        <v>13</v>
      </c>
      <c r="AT16" s="24">
        <v>689875.01388419</v>
      </c>
      <c r="AU16" s="25">
        <v>35</v>
      </c>
    </row>
    <row r="17" spans="1:36" x14ac:dyDescent="0.2">
      <c r="A17" s="1" t="s">
        <v>26</v>
      </c>
      <c r="B17" s="2">
        <v>179.86699999999999</v>
      </c>
      <c r="C17" s="2">
        <v>203.94219999999996</v>
      </c>
      <c r="D17" s="2">
        <v>276.63929999999999</v>
      </c>
      <c r="E17" s="2">
        <v>291.70679999999999</v>
      </c>
      <c r="F17" s="2">
        <v>174.83199999999999</v>
      </c>
      <c r="G17" s="2">
        <v>224</v>
      </c>
      <c r="H17" s="2">
        <v>396.76000000000005</v>
      </c>
      <c r="I17" s="2">
        <v>330.33000000000004</v>
      </c>
      <c r="J17" s="2">
        <v>225.137</v>
      </c>
      <c r="K17" s="2">
        <v>242.11199999999999</v>
      </c>
      <c r="L17" s="2">
        <v>300</v>
      </c>
      <c r="M17" s="6">
        <v>306</v>
      </c>
      <c r="N17" s="3">
        <f t="shared" si="0"/>
        <v>262.610525</v>
      </c>
      <c r="O17" s="9">
        <f>SUM($N$2:N17)/$B$43</f>
        <v>0.9627173609906855</v>
      </c>
      <c r="P17">
        <f>COUNTA($A$2:A17)</f>
        <v>16</v>
      </c>
      <c r="Q17" s="9">
        <f t="shared" si="1"/>
        <v>0.45714285714285713</v>
      </c>
      <c r="R17" t="str">
        <f t="shared" si="2"/>
        <v>C</v>
      </c>
      <c r="AA17" s="1" t="s">
        <v>29</v>
      </c>
      <c r="AB17">
        <v>62.965793149597438</v>
      </c>
      <c r="AC17" s="34">
        <v>0.30266561650675666</v>
      </c>
      <c r="AD17" t="str">
        <f t="shared" si="5"/>
        <v>Y</v>
      </c>
      <c r="AG17" s="1" t="s">
        <v>26</v>
      </c>
      <c r="AH17" s="3">
        <f t="shared" si="6"/>
        <v>3151.3263000000002</v>
      </c>
      <c r="AI17" t="s">
        <v>91</v>
      </c>
      <c r="AJ17" t="s">
        <v>106</v>
      </c>
    </row>
    <row r="18" spans="1:36" x14ac:dyDescent="0.2">
      <c r="A18" s="1" t="s">
        <v>27</v>
      </c>
      <c r="B18" s="2">
        <v>235.4</v>
      </c>
      <c r="C18" s="2">
        <v>179.86699999999999</v>
      </c>
      <c r="D18" s="2">
        <v>203.94219999999996</v>
      </c>
      <c r="E18" s="2">
        <v>276.63929999999999</v>
      </c>
      <c r="F18" s="2">
        <v>291.70679999999999</v>
      </c>
      <c r="G18" s="2">
        <v>174.83199999999999</v>
      </c>
      <c r="H18" s="2">
        <v>224</v>
      </c>
      <c r="I18" s="2">
        <v>396.76000000000005</v>
      </c>
      <c r="J18" s="2">
        <v>330.33000000000004</v>
      </c>
      <c r="K18" s="2">
        <v>225.137</v>
      </c>
      <c r="L18" s="2">
        <v>242.11199999999999</v>
      </c>
      <c r="M18" s="6">
        <v>300</v>
      </c>
      <c r="N18" s="3">
        <f t="shared" si="0"/>
        <v>256.72719166666667</v>
      </c>
      <c r="O18" s="9">
        <f>SUM($N$2:N18)/$B$43</f>
        <v>0.96718299061633983</v>
      </c>
      <c r="P18">
        <f>COUNTA($A$2:A18)</f>
        <v>17</v>
      </c>
      <c r="Q18" s="9">
        <f t="shared" si="1"/>
        <v>0.48571428571428571</v>
      </c>
      <c r="R18" t="str">
        <f t="shared" si="2"/>
        <v>C</v>
      </c>
      <c r="AA18" s="1" t="s">
        <v>30</v>
      </c>
      <c r="AB18">
        <v>62.946135361576317</v>
      </c>
      <c r="AC18" s="34">
        <v>0.30869191690770115</v>
      </c>
      <c r="AD18" t="str">
        <f t="shared" si="5"/>
        <v>Y</v>
      </c>
      <c r="AG18" s="1" t="s">
        <v>27</v>
      </c>
      <c r="AH18" s="3">
        <f t="shared" si="6"/>
        <v>3080.7263000000003</v>
      </c>
      <c r="AI18" t="s">
        <v>91</v>
      </c>
      <c r="AJ18" t="s">
        <v>106</v>
      </c>
    </row>
    <row r="19" spans="1:36" x14ac:dyDescent="0.2">
      <c r="A19" s="1" t="s">
        <v>28</v>
      </c>
      <c r="B19" s="2">
        <v>220.00000000000003</v>
      </c>
      <c r="C19" s="2">
        <v>219.35000000000002</v>
      </c>
      <c r="D19" s="2">
        <v>171.38</v>
      </c>
      <c r="E19" s="2">
        <v>224.91</v>
      </c>
      <c r="F19" s="2">
        <v>297.65999999999997</v>
      </c>
      <c r="G19" s="2">
        <v>218.54</v>
      </c>
      <c r="H19" s="2">
        <v>160</v>
      </c>
      <c r="I19" s="2">
        <v>305.2</v>
      </c>
      <c r="J19" s="2">
        <v>300.3</v>
      </c>
      <c r="K19" s="2">
        <v>232.10000000000002</v>
      </c>
      <c r="L19" s="2">
        <v>201.76</v>
      </c>
      <c r="M19" s="6">
        <v>264</v>
      </c>
      <c r="N19" s="3">
        <f t="shared" si="0"/>
        <v>234.6</v>
      </c>
      <c r="O19" s="9">
        <f>SUM($N$2:N19)/$B$43</f>
        <v>0.97126372979857178</v>
      </c>
      <c r="P19">
        <f>COUNTA($A$2:A19)</f>
        <v>18</v>
      </c>
      <c r="Q19" s="9">
        <f t="shared" si="1"/>
        <v>0.51428571428571423</v>
      </c>
      <c r="R19" t="str">
        <f t="shared" si="2"/>
        <v>C</v>
      </c>
      <c r="AA19" s="1" t="s">
        <v>39</v>
      </c>
      <c r="AB19">
        <v>0.62158156050806102</v>
      </c>
      <c r="AC19" s="34">
        <v>0.35518946314746341</v>
      </c>
      <c r="AD19" t="str">
        <f t="shared" si="5"/>
        <v>Y</v>
      </c>
      <c r="AG19" s="1" t="s">
        <v>28</v>
      </c>
      <c r="AH19" s="3">
        <f t="shared" si="6"/>
        <v>2815.2</v>
      </c>
      <c r="AI19" t="s">
        <v>91</v>
      </c>
      <c r="AJ19" t="s">
        <v>105</v>
      </c>
    </row>
    <row r="20" spans="1:36" x14ac:dyDescent="0.2">
      <c r="A20" s="1" t="s">
        <v>29</v>
      </c>
      <c r="B20" s="2">
        <v>203.79220000000001</v>
      </c>
      <c r="C20" s="2">
        <v>140.5316</v>
      </c>
      <c r="D20" s="2">
        <v>236.48869999999997</v>
      </c>
      <c r="E20" s="2">
        <v>195.16409999999999</v>
      </c>
      <c r="F20" s="2">
        <v>310.20920000000001</v>
      </c>
      <c r="G20" s="2">
        <v>96</v>
      </c>
      <c r="H20" s="2">
        <v>311.64</v>
      </c>
      <c r="I20" s="2">
        <v>216.32000000000002</v>
      </c>
      <c r="J20" s="2">
        <v>188.76000000000005</v>
      </c>
      <c r="K20" s="2">
        <v>150.54399999999998</v>
      </c>
      <c r="L20" s="2">
        <v>216</v>
      </c>
      <c r="M20" s="6">
        <v>231</v>
      </c>
      <c r="N20" s="3">
        <f t="shared" si="0"/>
        <v>208.03748333333331</v>
      </c>
      <c r="O20" s="9">
        <f>SUM($N$2:N20)/$B$43</f>
        <v>0.97488242847551654</v>
      </c>
      <c r="P20">
        <f>COUNTA($A$2:A20)</f>
        <v>19</v>
      </c>
      <c r="Q20" s="9">
        <f t="shared" si="1"/>
        <v>0.54285714285714282</v>
      </c>
      <c r="R20" t="str">
        <f t="shared" si="2"/>
        <v>C</v>
      </c>
      <c r="AA20" s="1" t="s">
        <v>20</v>
      </c>
      <c r="AB20">
        <v>3061.8052896151244</v>
      </c>
      <c r="AC20" s="34">
        <v>0.36196400892339292</v>
      </c>
      <c r="AD20" t="str">
        <f t="shared" si="5"/>
        <v>Y</v>
      </c>
      <c r="AG20" s="1" t="s">
        <v>29</v>
      </c>
      <c r="AH20" s="3">
        <f t="shared" si="6"/>
        <v>2496.4497999999999</v>
      </c>
      <c r="AI20" t="s">
        <v>91</v>
      </c>
      <c r="AJ20" t="s">
        <v>106</v>
      </c>
    </row>
    <row r="21" spans="1:36" x14ac:dyDescent="0.2">
      <c r="A21" s="1" t="s">
        <v>30</v>
      </c>
      <c r="B21" s="2">
        <v>181.50000000000003</v>
      </c>
      <c r="C21" s="2">
        <v>203.79220000000001</v>
      </c>
      <c r="D21" s="2">
        <v>140.5316</v>
      </c>
      <c r="E21" s="2">
        <v>236.48869999999997</v>
      </c>
      <c r="F21" s="2">
        <v>195.16409999999999</v>
      </c>
      <c r="G21" s="2">
        <v>310.20920000000001</v>
      </c>
      <c r="H21" s="2">
        <v>96</v>
      </c>
      <c r="I21" s="2">
        <v>311.64</v>
      </c>
      <c r="J21" s="2">
        <v>216.32000000000002</v>
      </c>
      <c r="K21" s="2">
        <v>188.76000000000005</v>
      </c>
      <c r="L21" s="2">
        <v>150.54399999999998</v>
      </c>
      <c r="M21" s="6">
        <v>216</v>
      </c>
      <c r="N21" s="3">
        <f t="shared" si="0"/>
        <v>203.91248333333331</v>
      </c>
      <c r="O21" s="9">
        <f>SUM($N$2:N21)/$B$43</f>
        <v>0.97842937502489657</v>
      </c>
      <c r="P21">
        <f>COUNTA($A$2:A21)</f>
        <v>20</v>
      </c>
      <c r="Q21" s="9">
        <f t="shared" si="1"/>
        <v>0.5714285714285714</v>
      </c>
      <c r="R21" t="str">
        <f t="shared" si="2"/>
        <v>C</v>
      </c>
      <c r="AA21" s="1" t="s">
        <v>5</v>
      </c>
      <c r="AB21">
        <v>4485.9897548769113</v>
      </c>
      <c r="AC21" s="34">
        <v>0.47412257405780289</v>
      </c>
      <c r="AD21" t="str">
        <f t="shared" si="5"/>
        <v>Y</v>
      </c>
      <c r="AG21" s="1" t="s">
        <v>30</v>
      </c>
      <c r="AH21" s="3">
        <f t="shared" si="6"/>
        <v>2446.9497999999999</v>
      </c>
      <c r="AI21" t="s">
        <v>91</v>
      </c>
      <c r="AJ21" t="s">
        <v>106</v>
      </c>
    </row>
    <row r="22" spans="1:36" x14ac:dyDescent="0.2">
      <c r="A22" s="1" t="s">
        <v>31</v>
      </c>
      <c r="B22" s="2">
        <v>190.46</v>
      </c>
      <c r="C22" s="2">
        <v>171.38</v>
      </c>
      <c r="D22" s="2">
        <v>198.73</v>
      </c>
      <c r="E22" s="2">
        <v>158.66999999999999</v>
      </c>
      <c r="F22" s="2">
        <v>316.54000000000002</v>
      </c>
      <c r="G22" s="2">
        <v>120</v>
      </c>
      <c r="H22" s="2">
        <v>222.6</v>
      </c>
      <c r="I22" s="2">
        <v>166.4</v>
      </c>
      <c r="J22" s="2">
        <v>171.60000000000002</v>
      </c>
      <c r="K22" s="2">
        <v>155.19999999999999</v>
      </c>
      <c r="L22" s="2">
        <v>180</v>
      </c>
      <c r="M22" s="6">
        <v>180</v>
      </c>
      <c r="N22" s="3">
        <f t="shared" si="0"/>
        <v>185.965</v>
      </c>
      <c r="O22" s="9">
        <f>SUM($N$2:N22)/$B$43</f>
        <v>0.9816641348800702</v>
      </c>
      <c r="P22">
        <f>COUNTA($A$2:A22)</f>
        <v>21</v>
      </c>
      <c r="Q22" s="9">
        <f t="shared" si="1"/>
        <v>0.6</v>
      </c>
      <c r="R22" t="str">
        <f t="shared" si="2"/>
        <v>C</v>
      </c>
      <c r="AA22" s="1" t="s">
        <v>8</v>
      </c>
      <c r="AB22">
        <v>2599.4991607432416</v>
      </c>
      <c r="AC22" s="34">
        <v>0.48602428004640957</v>
      </c>
      <c r="AD22" t="str">
        <f t="shared" si="5"/>
        <v>Y</v>
      </c>
      <c r="AG22" s="1" t="s">
        <v>31</v>
      </c>
      <c r="AH22" s="3">
        <f t="shared" si="6"/>
        <v>2231.58</v>
      </c>
      <c r="AI22" t="s">
        <v>91</v>
      </c>
      <c r="AJ22" t="s">
        <v>106</v>
      </c>
    </row>
    <row r="23" spans="1:36" x14ac:dyDescent="0.2">
      <c r="A23" s="1" t="s">
        <v>32</v>
      </c>
      <c r="B23" s="2">
        <v>165</v>
      </c>
      <c r="C23" s="2">
        <v>190.46</v>
      </c>
      <c r="D23" s="2">
        <v>171.38</v>
      </c>
      <c r="E23" s="2">
        <v>198.73</v>
      </c>
      <c r="F23" s="2">
        <v>158.66999999999999</v>
      </c>
      <c r="G23" s="2">
        <v>316.54000000000002</v>
      </c>
      <c r="H23" s="2">
        <v>120</v>
      </c>
      <c r="I23" s="2">
        <v>222.6</v>
      </c>
      <c r="J23" s="2">
        <v>166.4</v>
      </c>
      <c r="K23" s="2">
        <v>171.60000000000002</v>
      </c>
      <c r="L23" s="2">
        <v>155.19999999999999</v>
      </c>
      <c r="M23" s="6">
        <v>180</v>
      </c>
      <c r="N23" s="3">
        <f t="shared" si="0"/>
        <v>184.715</v>
      </c>
      <c r="O23" s="9">
        <f>SUM($N$2:N23)/$B$43</f>
        <v>0.98487715166628487</v>
      </c>
      <c r="P23">
        <f>COUNTA($A$2:A23)</f>
        <v>22</v>
      </c>
      <c r="Q23" s="9">
        <f t="shared" si="1"/>
        <v>0.62857142857142856</v>
      </c>
      <c r="R23" t="str">
        <f t="shared" si="2"/>
        <v>C</v>
      </c>
      <c r="AA23" s="1" t="s">
        <v>6</v>
      </c>
      <c r="AB23">
        <v>3437.2487487328167</v>
      </c>
      <c r="AC23" s="34">
        <v>0.54104030512712808</v>
      </c>
      <c r="AD23" t="str">
        <f t="shared" si="5"/>
        <v>Y</v>
      </c>
      <c r="AG23" s="1" t="s">
        <v>32</v>
      </c>
      <c r="AH23" s="3">
        <f t="shared" si="6"/>
        <v>2216.58</v>
      </c>
      <c r="AI23" t="s">
        <v>91</v>
      </c>
      <c r="AJ23" t="s">
        <v>106</v>
      </c>
    </row>
    <row r="24" spans="1:36" x14ac:dyDescent="0.2">
      <c r="A24" s="1" t="s">
        <v>13</v>
      </c>
      <c r="B24" s="2">
        <v>52.824728000000015</v>
      </c>
      <c r="C24" s="2">
        <v>82.359934900320013</v>
      </c>
      <c r="D24" s="2">
        <v>35.23511469772798</v>
      </c>
      <c r="E24" s="2">
        <v>149.42055179842555</v>
      </c>
      <c r="F24" s="2">
        <v>167.06600724971514</v>
      </c>
      <c r="G24" s="2">
        <v>90.908605849599994</v>
      </c>
      <c r="H24" s="2">
        <v>44.983910400000013</v>
      </c>
      <c r="I24" s="2">
        <v>428.39064575999987</v>
      </c>
      <c r="J24" s="2">
        <v>337.02455255039996</v>
      </c>
      <c r="K24" s="2">
        <v>107.01240000000001</v>
      </c>
      <c r="L24" s="2">
        <v>182.00781624250362</v>
      </c>
      <c r="M24" s="6">
        <v>152.82432</v>
      </c>
      <c r="N24" s="3">
        <f t="shared" si="0"/>
        <v>152.50488228739101</v>
      </c>
      <c r="O24" s="9">
        <f>SUM($N$2:N24)/$B$43</f>
        <v>0.98752989100401645</v>
      </c>
      <c r="P24">
        <f>COUNTA($A$2:A24)</f>
        <v>23</v>
      </c>
      <c r="Q24" s="9">
        <f t="shared" si="1"/>
        <v>0.65714285714285714</v>
      </c>
      <c r="R24" t="str">
        <f t="shared" si="2"/>
        <v>C</v>
      </c>
      <c r="AA24" s="1" t="s">
        <v>17</v>
      </c>
      <c r="AB24">
        <v>55.395607451312429</v>
      </c>
      <c r="AC24" s="34">
        <v>0.56974546741928922</v>
      </c>
      <c r="AD24" t="str">
        <f t="shared" si="5"/>
        <v>Z</v>
      </c>
      <c r="AG24" s="1" t="s">
        <v>13</v>
      </c>
      <c r="AH24" s="3">
        <f t="shared" si="6"/>
        <v>1830.0585874486922</v>
      </c>
      <c r="AI24" t="s">
        <v>91</v>
      </c>
      <c r="AJ24" t="s">
        <v>104</v>
      </c>
    </row>
    <row r="25" spans="1:36" x14ac:dyDescent="0.2">
      <c r="A25" s="1" t="s">
        <v>14</v>
      </c>
      <c r="B25" s="2">
        <v>51.384053600000009</v>
      </c>
      <c r="C25" s="2">
        <v>63.116959456319996</v>
      </c>
      <c r="D25" s="2">
        <v>51.133885963775974</v>
      </c>
      <c r="E25" s="2">
        <v>154.44309135467515</v>
      </c>
      <c r="F25" s="2">
        <v>133.10950171115516</v>
      </c>
      <c r="G25" s="2">
        <v>74.211106815999997</v>
      </c>
      <c r="H25" s="2">
        <v>78.721843200000009</v>
      </c>
      <c r="I25" s="2">
        <v>397.79131391999994</v>
      </c>
      <c r="J25" s="2">
        <v>285.17462138880001</v>
      </c>
      <c r="K25" s="2">
        <v>94.365480000000005</v>
      </c>
      <c r="L25" s="2">
        <v>225.16430875361272</v>
      </c>
      <c r="M25" s="6">
        <v>60</v>
      </c>
      <c r="N25" s="3">
        <f t="shared" si="0"/>
        <v>139.05134718036157</v>
      </c>
      <c r="O25" s="9">
        <f>SUM($N$2:N25)/$B$43</f>
        <v>0.98994861342848806</v>
      </c>
      <c r="P25">
        <f>COUNTA($A$2:A25)</f>
        <v>24</v>
      </c>
      <c r="Q25" s="9">
        <f t="shared" si="1"/>
        <v>0.68571428571428572</v>
      </c>
      <c r="R25" t="str">
        <f t="shared" si="2"/>
        <v>C</v>
      </c>
      <c r="AA25" s="1" t="s">
        <v>7</v>
      </c>
      <c r="AB25">
        <v>3642.903716744996</v>
      </c>
      <c r="AC25" s="34">
        <v>0.58743809348608478</v>
      </c>
      <c r="AD25" t="str">
        <f t="shared" si="5"/>
        <v>Z</v>
      </c>
      <c r="AG25" s="1" t="s">
        <v>14</v>
      </c>
      <c r="AH25" s="3">
        <f t="shared" si="6"/>
        <v>1668.6161661643389</v>
      </c>
      <c r="AI25" t="s">
        <v>91</v>
      </c>
      <c r="AJ25" t="s">
        <v>104</v>
      </c>
    </row>
    <row r="26" spans="1:36" x14ac:dyDescent="0.2">
      <c r="A26" s="1" t="s">
        <v>15</v>
      </c>
      <c r="B26" s="2">
        <v>48.022480000000009</v>
      </c>
      <c r="C26" s="2">
        <v>76.97190177600001</v>
      </c>
      <c r="D26" s="2">
        <v>42.969652070399981</v>
      </c>
      <c r="E26" s="2">
        <v>125.56348890623997</v>
      </c>
      <c r="F26" s="2">
        <v>135.82602215423995</v>
      </c>
      <c r="G26" s="2">
        <v>92.763883519999993</v>
      </c>
      <c r="H26" s="2">
        <v>56.22988800000001</v>
      </c>
      <c r="I26" s="2">
        <v>305.99331839999991</v>
      </c>
      <c r="J26" s="2">
        <v>259.24965580799994</v>
      </c>
      <c r="K26" s="2">
        <v>97.284000000000006</v>
      </c>
      <c r="L26" s="2">
        <v>187.63692396134394</v>
      </c>
      <c r="M26" s="6">
        <v>127.3536</v>
      </c>
      <c r="N26" s="3">
        <f t="shared" si="0"/>
        <v>129.65540121635198</v>
      </c>
      <c r="O26" s="9">
        <f>SUM($N$2:N26)/$B$43</f>
        <v>0.99220389849213508</v>
      </c>
      <c r="P26">
        <f>COUNTA($A$2:A26)</f>
        <v>25</v>
      </c>
      <c r="Q26" s="9">
        <f t="shared" si="1"/>
        <v>0.7142857142857143</v>
      </c>
      <c r="R26" t="str">
        <f t="shared" si="2"/>
        <v>C</v>
      </c>
      <c r="AA26" s="1" t="s">
        <v>18</v>
      </c>
      <c r="AB26">
        <v>56.67604035418119</v>
      </c>
      <c r="AC26" s="34">
        <v>0.5965981029659102</v>
      </c>
      <c r="AD26" t="str">
        <f t="shared" si="5"/>
        <v>Z</v>
      </c>
      <c r="AG26" s="1" t="s">
        <v>15</v>
      </c>
      <c r="AH26" s="3">
        <f t="shared" si="6"/>
        <v>1555.8648145962236</v>
      </c>
      <c r="AI26" t="s">
        <v>91</v>
      </c>
      <c r="AJ26" t="s">
        <v>104</v>
      </c>
    </row>
    <row r="27" spans="1:36" x14ac:dyDescent="0.2">
      <c r="A27" s="1" t="s">
        <v>16</v>
      </c>
      <c r="B27" s="2">
        <v>58.564000000000014</v>
      </c>
      <c r="C27" s="2">
        <v>64.682270400000007</v>
      </c>
      <c r="D27" s="2">
        <v>34.934676479999986</v>
      </c>
      <c r="E27" s="2">
        <v>128.12600908799996</v>
      </c>
      <c r="F27" s="2">
        <v>169.78252769279996</v>
      </c>
      <c r="G27" s="2">
        <v>66.259916799999999</v>
      </c>
      <c r="H27" s="2">
        <v>43.253760000000007</v>
      </c>
      <c r="I27" s="2">
        <v>278.17574399999995</v>
      </c>
      <c r="J27" s="2">
        <v>267.26768639999995</v>
      </c>
      <c r="K27" s="2">
        <v>81.070000000000007</v>
      </c>
      <c r="L27" s="2">
        <v>52.690399999999997</v>
      </c>
      <c r="M27" s="6">
        <v>100.8</v>
      </c>
      <c r="N27" s="3">
        <f t="shared" si="0"/>
        <v>112.13391590506666</v>
      </c>
      <c r="O27" s="9">
        <f>SUM($N$2:N27)/$B$43</f>
        <v>0.99415440686507162</v>
      </c>
      <c r="P27">
        <f>COUNTA($A$2:A27)</f>
        <v>26</v>
      </c>
      <c r="Q27" s="9">
        <f t="shared" si="1"/>
        <v>0.74285714285714288</v>
      </c>
      <c r="R27" t="str">
        <f t="shared" si="2"/>
        <v>C</v>
      </c>
      <c r="AA27" s="1" t="s">
        <v>15</v>
      </c>
      <c r="AB27">
        <v>83.156921303771938</v>
      </c>
      <c r="AC27" s="34">
        <v>0.64136873993402366</v>
      </c>
      <c r="AD27" t="str">
        <f t="shared" si="5"/>
        <v>Z</v>
      </c>
      <c r="AG27" s="1" t="s">
        <v>16</v>
      </c>
      <c r="AH27" s="3">
        <f t="shared" si="6"/>
        <v>1345.6069908607999</v>
      </c>
      <c r="AI27" t="s">
        <v>91</v>
      </c>
      <c r="AJ27" t="s">
        <v>104</v>
      </c>
    </row>
    <row r="28" spans="1:36" x14ac:dyDescent="0.2">
      <c r="A28" s="1" t="s">
        <v>17</v>
      </c>
      <c r="B28" s="2">
        <v>60.450720000000004</v>
      </c>
      <c r="C28" s="2">
        <v>42.603263999999989</v>
      </c>
      <c r="D28" s="2">
        <v>107.66891519999997</v>
      </c>
      <c r="E28" s="2">
        <v>138.03457535999996</v>
      </c>
      <c r="F28" s="2">
        <v>67.612160000000003</v>
      </c>
      <c r="G28" s="2">
        <v>54.067200000000007</v>
      </c>
      <c r="H28" s="2">
        <v>198.69695999999996</v>
      </c>
      <c r="I28" s="2">
        <v>205.59052799999995</v>
      </c>
      <c r="J28" s="2">
        <v>73.7</v>
      </c>
      <c r="K28" s="2">
        <v>54.32</v>
      </c>
      <c r="L28" s="2">
        <v>84</v>
      </c>
      <c r="M28" s="6">
        <v>80</v>
      </c>
      <c r="N28" s="3">
        <f t="shared" si="0"/>
        <v>97.228693546666662</v>
      </c>
      <c r="O28" s="9">
        <f>SUM($N$2:N28)/$B$43</f>
        <v>0.99584564701593736</v>
      </c>
      <c r="P28">
        <f>COUNTA($A$2:A28)</f>
        <v>27</v>
      </c>
      <c r="Q28" s="9">
        <f t="shared" si="1"/>
        <v>0.77142857142857146</v>
      </c>
      <c r="R28" t="str">
        <f t="shared" si="2"/>
        <v>C</v>
      </c>
      <c r="AA28" s="1" t="s">
        <v>12</v>
      </c>
      <c r="AB28">
        <v>195.12890952735151</v>
      </c>
      <c r="AC28" s="34">
        <v>0.66543148149055309</v>
      </c>
      <c r="AD28" t="str">
        <f t="shared" si="5"/>
        <v>Z</v>
      </c>
      <c r="AG28" s="1" t="s">
        <v>17</v>
      </c>
      <c r="AH28" s="3">
        <f t="shared" si="6"/>
        <v>1166.74432256</v>
      </c>
      <c r="AI28" t="s">
        <v>91</v>
      </c>
      <c r="AJ28" t="s">
        <v>104</v>
      </c>
    </row>
    <row r="29" spans="1:36" x14ac:dyDescent="0.2">
      <c r="A29" s="1" t="s">
        <v>18</v>
      </c>
      <c r="B29" s="2">
        <v>53.240000000000009</v>
      </c>
      <c r="C29" s="2">
        <v>60.450720000000004</v>
      </c>
      <c r="D29" s="2">
        <v>42.603263999999989</v>
      </c>
      <c r="E29" s="2">
        <v>107.66891519999997</v>
      </c>
      <c r="F29" s="2">
        <v>138.03457535999996</v>
      </c>
      <c r="G29" s="2">
        <v>67.612160000000003</v>
      </c>
      <c r="H29" s="2">
        <v>54.067200000000007</v>
      </c>
      <c r="I29" s="2">
        <v>198.69695999999996</v>
      </c>
      <c r="J29" s="2">
        <v>205.59052799999995</v>
      </c>
      <c r="K29" s="2">
        <v>73.7</v>
      </c>
      <c r="L29" s="2">
        <v>54.32</v>
      </c>
      <c r="M29" s="6">
        <v>84</v>
      </c>
      <c r="N29" s="3">
        <f t="shared" si="0"/>
        <v>94.998693546666672</v>
      </c>
      <c r="O29" s="9">
        <f>SUM($N$2:N29)/$B$43</f>
        <v>0.9974980975317802</v>
      </c>
      <c r="P29">
        <f>COUNTA($A$2:A29)</f>
        <v>28</v>
      </c>
      <c r="Q29" s="9">
        <f t="shared" si="1"/>
        <v>0.8</v>
      </c>
      <c r="R29" t="str">
        <f t="shared" si="2"/>
        <v>C</v>
      </c>
      <c r="AA29" s="1" t="s">
        <v>10</v>
      </c>
      <c r="AB29">
        <v>520.96602111031689</v>
      </c>
      <c r="AC29" s="34">
        <v>0.68825879132065815</v>
      </c>
      <c r="AD29" t="str">
        <f t="shared" si="5"/>
        <v>Z</v>
      </c>
      <c r="AG29" s="1" t="s">
        <v>18</v>
      </c>
      <c r="AH29" s="3">
        <f t="shared" si="6"/>
        <v>1139.98432256</v>
      </c>
      <c r="AI29" t="s">
        <v>91</v>
      </c>
      <c r="AJ29" t="s">
        <v>104</v>
      </c>
    </row>
    <row r="30" spans="1:36" x14ac:dyDescent="0.2">
      <c r="A30" s="1" t="s">
        <v>33</v>
      </c>
      <c r="B30" s="4">
        <v>40</v>
      </c>
      <c r="C30" s="4">
        <v>42</v>
      </c>
      <c r="D30" s="4">
        <v>43</v>
      </c>
      <c r="E30" s="4">
        <v>41</v>
      </c>
      <c r="F30" s="4">
        <v>44</v>
      </c>
      <c r="G30" s="4">
        <v>44</v>
      </c>
      <c r="H30" s="4">
        <v>45</v>
      </c>
      <c r="I30" s="4">
        <v>47</v>
      </c>
      <c r="J30" s="4">
        <v>41</v>
      </c>
      <c r="K30" s="4">
        <v>49</v>
      </c>
      <c r="L30" s="4">
        <v>39</v>
      </c>
      <c r="M30" s="5">
        <v>40</v>
      </c>
      <c r="N30" s="3">
        <f t="shared" si="0"/>
        <v>42.916666666666664</v>
      </c>
      <c r="O30" s="9">
        <f>SUM($N$2:N30)/$B$43</f>
        <v>0.99824460956604044</v>
      </c>
      <c r="P30">
        <f>COUNTA($A$2:A30)</f>
        <v>29</v>
      </c>
      <c r="Q30" s="9">
        <f t="shared" si="1"/>
        <v>0.82857142857142863</v>
      </c>
      <c r="R30" t="str">
        <f t="shared" si="2"/>
        <v>C</v>
      </c>
      <c r="AA30" s="1" t="s">
        <v>11</v>
      </c>
      <c r="AB30">
        <v>242.91682063450085</v>
      </c>
      <c r="AC30" s="34">
        <v>0.73914389685189064</v>
      </c>
      <c r="AD30" t="str">
        <f t="shared" si="5"/>
        <v>Z</v>
      </c>
      <c r="AG30" s="1" t="s">
        <v>33</v>
      </c>
      <c r="AH30" s="3">
        <f t="shared" si="6"/>
        <v>515</v>
      </c>
      <c r="AI30" t="s">
        <v>91</v>
      </c>
      <c r="AJ30" t="s">
        <v>105</v>
      </c>
    </row>
    <row r="31" spans="1:36" x14ac:dyDescent="0.2">
      <c r="A31" s="1" t="s">
        <v>34</v>
      </c>
      <c r="B31" s="4">
        <v>40</v>
      </c>
      <c r="C31" s="4">
        <v>34</v>
      </c>
      <c r="D31" s="4">
        <v>56</v>
      </c>
      <c r="E31" s="4">
        <v>41</v>
      </c>
      <c r="F31" s="4">
        <v>29</v>
      </c>
      <c r="G31" s="4">
        <v>41</v>
      </c>
      <c r="H31" s="4">
        <v>38</v>
      </c>
      <c r="I31" s="4">
        <v>50</v>
      </c>
      <c r="J31" s="4">
        <v>11</v>
      </c>
      <c r="K31" s="4">
        <v>41</v>
      </c>
      <c r="L31" s="4">
        <v>40</v>
      </c>
      <c r="M31" s="5">
        <v>40</v>
      </c>
      <c r="N31" s="3">
        <f t="shared" si="0"/>
        <v>38.416666666666664</v>
      </c>
      <c r="O31" s="9">
        <f>SUM($N$2:N31)/$B$43</f>
        <v>0.99891284655204804</v>
      </c>
      <c r="P31">
        <f>COUNTA($A$2:A31)</f>
        <v>30</v>
      </c>
      <c r="Q31" s="9">
        <f t="shared" si="1"/>
        <v>0.8571428571428571</v>
      </c>
      <c r="R31" t="str">
        <f t="shared" si="2"/>
        <v>C</v>
      </c>
      <c r="AA31" s="1" t="s">
        <v>16</v>
      </c>
      <c r="AB31">
        <v>84.08462069150859</v>
      </c>
      <c r="AC31" s="34">
        <v>0.74985895224327315</v>
      </c>
      <c r="AD31" t="str">
        <f t="shared" si="5"/>
        <v>Z</v>
      </c>
      <c r="AG31" s="1" t="s">
        <v>34</v>
      </c>
      <c r="AH31" s="3">
        <f t="shared" si="6"/>
        <v>461</v>
      </c>
      <c r="AI31" t="s">
        <v>91</v>
      </c>
      <c r="AJ31" t="s">
        <v>106</v>
      </c>
    </row>
    <row r="32" spans="1:36" x14ac:dyDescent="0.2">
      <c r="A32" s="1" t="s">
        <v>35</v>
      </c>
      <c r="B32" s="4">
        <v>32</v>
      </c>
      <c r="C32" s="4">
        <v>34</v>
      </c>
      <c r="D32" s="4">
        <v>40</v>
      </c>
      <c r="E32" s="4">
        <v>37</v>
      </c>
      <c r="F32" s="4">
        <v>34</v>
      </c>
      <c r="G32" s="4">
        <v>34</v>
      </c>
      <c r="H32" s="4">
        <v>34</v>
      </c>
      <c r="I32" s="4">
        <v>35</v>
      </c>
      <c r="J32" s="4">
        <v>36</v>
      </c>
      <c r="K32" s="4">
        <v>37</v>
      </c>
      <c r="L32" s="4">
        <v>38</v>
      </c>
      <c r="M32" s="5">
        <v>39</v>
      </c>
      <c r="N32" s="3">
        <f t="shared" si="0"/>
        <v>35.833333333333336</v>
      </c>
      <c r="O32" s="9">
        <f>SUM($N$2:N32)/$B$43</f>
        <v>0.99953614786220712</v>
      </c>
      <c r="P32">
        <f>COUNTA($A$2:A32)</f>
        <v>31</v>
      </c>
      <c r="Q32" s="9">
        <f t="shared" si="1"/>
        <v>0.88571428571428568</v>
      </c>
      <c r="R32" t="str">
        <f t="shared" si="2"/>
        <v>C</v>
      </c>
      <c r="AA32" s="1" t="s">
        <v>9</v>
      </c>
      <c r="AB32">
        <v>658.58284195595911</v>
      </c>
      <c r="AC32" s="34">
        <v>0.76536089107244643</v>
      </c>
      <c r="AD32" t="str">
        <f t="shared" si="5"/>
        <v>Z</v>
      </c>
      <c r="AG32" s="1" t="s">
        <v>35</v>
      </c>
      <c r="AH32" s="3">
        <f t="shared" si="6"/>
        <v>430</v>
      </c>
      <c r="AI32" t="s">
        <v>91</v>
      </c>
      <c r="AJ32" t="s">
        <v>105</v>
      </c>
    </row>
    <row r="33" spans="1:36" x14ac:dyDescent="0.2">
      <c r="A33" s="1" t="s">
        <v>36</v>
      </c>
      <c r="B33" s="4">
        <v>11</v>
      </c>
      <c r="C33" s="4">
        <v>11</v>
      </c>
      <c r="D33" s="4">
        <v>9</v>
      </c>
      <c r="E33" s="4">
        <v>11</v>
      </c>
      <c r="F33" s="4">
        <v>11</v>
      </c>
      <c r="G33" s="4">
        <v>11</v>
      </c>
      <c r="H33" s="4">
        <v>12</v>
      </c>
      <c r="I33" s="4">
        <v>11</v>
      </c>
      <c r="J33" s="4">
        <v>11</v>
      </c>
      <c r="K33" s="4">
        <v>11</v>
      </c>
      <c r="L33" s="4">
        <v>13</v>
      </c>
      <c r="M33" s="5">
        <v>11</v>
      </c>
      <c r="N33" s="3">
        <f t="shared" si="0"/>
        <v>11.083333333333334</v>
      </c>
      <c r="O33" s="9">
        <f>SUM($N$2:N33)/$B$43</f>
        <v>0.99972893640697735</v>
      </c>
      <c r="P33">
        <f>COUNTA($A$2:A33)</f>
        <v>32</v>
      </c>
      <c r="Q33" s="9">
        <f t="shared" si="1"/>
        <v>0.91428571428571426</v>
      </c>
      <c r="R33" t="str">
        <f t="shared" si="2"/>
        <v>C</v>
      </c>
      <c r="AA33" s="1" t="s">
        <v>13</v>
      </c>
      <c r="AB33">
        <v>119.57713357436792</v>
      </c>
      <c r="AC33" s="34">
        <v>0.7840872487546221</v>
      </c>
      <c r="AD33" t="str">
        <f t="shared" si="5"/>
        <v>Z</v>
      </c>
      <c r="AG33" s="1" t="s">
        <v>36</v>
      </c>
      <c r="AH33" s="3">
        <f t="shared" si="6"/>
        <v>133</v>
      </c>
      <c r="AI33" t="s">
        <v>91</v>
      </c>
      <c r="AJ33" t="s">
        <v>105</v>
      </c>
    </row>
    <row r="34" spans="1:36" x14ac:dyDescent="0.2">
      <c r="A34" s="1" t="s">
        <v>37</v>
      </c>
      <c r="B34" s="4">
        <v>8</v>
      </c>
      <c r="C34" s="4">
        <v>6</v>
      </c>
      <c r="D34" s="4">
        <v>7</v>
      </c>
      <c r="E34" s="4">
        <v>7</v>
      </c>
      <c r="F34" s="4">
        <v>9</v>
      </c>
      <c r="G34" s="4">
        <v>8</v>
      </c>
      <c r="H34" s="4">
        <v>8</v>
      </c>
      <c r="I34" s="4">
        <v>7</v>
      </c>
      <c r="J34" s="4">
        <v>7</v>
      </c>
      <c r="K34" s="4">
        <v>8</v>
      </c>
      <c r="L34" s="4">
        <v>8</v>
      </c>
      <c r="M34" s="5">
        <v>8</v>
      </c>
      <c r="N34" s="3">
        <f t="shared" si="0"/>
        <v>7.583333333333333</v>
      </c>
      <c r="O34" s="9">
        <f>SUM($N$2:N34)/$B$43</f>
        <v>0.99986084435866218</v>
      </c>
      <c r="P34">
        <f>COUNTA($A$2:A34)</f>
        <v>33</v>
      </c>
      <c r="Q34" s="9">
        <f t="shared" si="1"/>
        <v>0.94285714285714284</v>
      </c>
      <c r="R34" t="str">
        <f t="shared" si="2"/>
        <v>C</v>
      </c>
      <c r="AA34" s="1" t="s">
        <v>14</v>
      </c>
      <c r="AB34">
        <v>110.06483574704471</v>
      </c>
      <c r="AC34" s="34">
        <v>0.79154095216554166</v>
      </c>
      <c r="AD34" t="str">
        <f t="shared" si="5"/>
        <v>Z</v>
      </c>
      <c r="AG34" s="1" t="s">
        <v>37</v>
      </c>
      <c r="AH34" s="3">
        <f t="shared" si="6"/>
        <v>91</v>
      </c>
      <c r="AI34" t="s">
        <v>91</v>
      </c>
      <c r="AJ34" t="s">
        <v>105</v>
      </c>
    </row>
    <row r="35" spans="1:36" x14ac:dyDescent="0.2">
      <c r="A35" s="1" t="s">
        <v>38</v>
      </c>
      <c r="B35" s="4">
        <v>6</v>
      </c>
      <c r="C35" s="5">
        <v>4</v>
      </c>
      <c r="D35" s="3">
        <v>6</v>
      </c>
      <c r="E35" s="3">
        <v>7</v>
      </c>
      <c r="F35" s="3">
        <v>5</v>
      </c>
      <c r="G35" s="3">
        <v>6</v>
      </c>
      <c r="H35" s="3">
        <v>7</v>
      </c>
      <c r="I35" s="3">
        <v>6</v>
      </c>
      <c r="J35" s="3">
        <v>7</v>
      </c>
      <c r="K35" s="3">
        <v>7</v>
      </c>
      <c r="L35" s="3">
        <v>7</v>
      </c>
      <c r="M35" s="3">
        <v>7</v>
      </c>
      <c r="N35" s="3">
        <f t="shared" si="0"/>
        <v>6.25</v>
      </c>
      <c r="O35" s="9">
        <f>SUM($N$2:N35)/$B$43</f>
        <v>0.99996955970345736</v>
      </c>
      <c r="P35">
        <f>COUNTA($A$2:A35)</f>
        <v>34</v>
      </c>
      <c r="Q35" s="9">
        <f t="shared" si="1"/>
        <v>0.97142857142857142</v>
      </c>
      <c r="R35" t="str">
        <f t="shared" si="2"/>
        <v>C</v>
      </c>
      <c r="AA35" s="1" t="s">
        <v>25</v>
      </c>
      <c r="AB35">
        <v>1427.2738477123571</v>
      </c>
      <c r="AC35" s="34">
        <v>1.8147156359979111</v>
      </c>
      <c r="AD35" t="str">
        <f t="shared" si="5"/>
        <v>Z</v>
      </c>
      <c r="AG35" s="1" t="s">
        <v>38</v>
      </c>
      <c r="AH35" s="3">
        <f t="shared" si="6"/>
        <v>75</v>
      </c>
      <c r="AI35" t="s">
        <v>91</v>
      </c>
      <c r="AJ35" t="s">
        <v>105</v>
      </c>
    </row>
    <row r="36" spans="1:36" x14ac:dyDescent="0.2">
      <c r="A36" s="1" t="s">
        <v>39</v>
      </c>
      <c r="B36" s="4">
        <v>2</v>
      </c>
      <c r="C36" s="4">
        <v>2</v>
      </c>
      <c r="D36" s="4">
        <v>1</v>
      </c>
      <c r="E36" s="4">
        <v>2</v>
      </c>
      <c r="F36" s="4">
        <v>2</v>
      </c>
      <c r="G36" s="4">
        <v>0</v>
      </c>
      <c r="H36" s="4">
        <v>2</v>
      </c>
      <c r="I36" s="4">
        <v>2</v>
      </c>
      <c r="J36" s="4">
        <v>2</v>
      </c>
      <c r="K36" s="4">
        <v>2</v>
      </c>
      <c r="L36" s="4">
        <v>2</v>
      </c>
      <c r="M36" s="5">
        <v>2</v>
      </c>
      <c r="N36" s="3">
        <f t="shared" si="0"/>
        <v>1.75</v>
      </c>
      <c r="O36" s="9">
        <f>SUM($N$2:N36)/$B$43</f>
        <v>1</v>
      </c>
      <c r="P36">
        <f>COUNTA($A$2:A36)</f>
        <v>35</v>
      </c>
      <c r="Q36" s="9">
        <f t="shared" si="1"/>
        <v>1</v>
      </c>
      <c r="R36" t="str">
        <f t="shared" si="2"/>
        <v>C</v>
      </c>
      <c r="AA36" s="1" t="s">
        <v>23</v>
      </c>
      <c r="AB36">
        <v>2874.9176536296682</v>
      </c>
      <c r="AC36" s="34">
        <v>1.8157374654503169</v>
      </c>
      <c r="AD36" t="str">
        <f t="shared" si="5"/>
        <v>Z</v>
      </c>
      <c r="AG36" s="1" t="s">
        <v>39</v>
      </c>
      <c r="AH36" s="3">
        <f t="shared" si="6"/>
        <v>21</v>
      </c>
      <c r="AI36" t="s">
        <v>91</v>
      </c>
      <c r="AJ36" t="s">
        <v>106</v>
      </c>
    </row>
    <row r="37" spans="1:36" x14ac:dyDescent="0.2">
      <c r="D37" s="1"/>
    </row>
    <row r="38" spans="1:36" x14ac:dyDescent="0.2">
      <c r="D38" s="1"/>
    </row>
    <row r="39" spans="1:36" x14ac:dyDescent="0.2">
      <c r="D39" s="1"/>
    </row>
    <row r="43" spans="1:36" x14ac:dyDescent="0.2">
      <c r="A43" s="8" t="s">
        <v>82</v>
      </c>
      <c r="B43" s="3">
        <f>SUM(N2:N36)</f>
        <v>57489.584490349167</v>
      </c>
    </row>
    <row r="44" spans="1:36" x14ac:dyDescent="0.2">
      <c r="A44" s="8" t="s">
        <v>84</v>
      </c>
      <c r="B44">
        <f>COUNTA(A2:A36)</f>
        <v>35</v>
      </c>
    </row>
  </sheetData>
  <sortState xmlns:xlrd2="http://schemas.microsoft.com/office/spreadsheetml/2017/richdata2" ref="AA2:AC36">
    <sortCondition ref="AC2:AC36"/>
  </sortState>
  <mergeCells count="5">
    <mergeCell ref="AN11:AO11"/>
    <mergeCell ref="AP11:AQ11"/>
    <mergeCell ref="AR11:AS11"/>
    <mergeCell ref="AT11:AT12"/>
    <mergeCell ref="AU11:AU12"/>
  </mergeCell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Variant 1</vt:lpstr>
      <vt:lpstr>Variant 2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2025-04-06T21:46:06Z</dcterms:modified>
</cp:coreProperties>
</file>