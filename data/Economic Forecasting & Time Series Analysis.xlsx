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nikita.kuznetsov/Downloads/"/>
    </mc:Choice>
  </mc:AlternateContent>
  <xr:revisionPtr revIDLastSave="0" documentId="8_{BD01EAB1-B9B5-434B-B090-488E7CA98B1A}" xr6:coauthVersionLast="47" xr6:coauthVersionMax="47" xr10:uidLastSave="{00000000-0000-0000-0000-000000000000}"/>
  <bookViews>
    <workbookView xWindow="0" yWindow="0" windowWidth="28800" windowHeight="18000" activeTab="2" xr2:uid="{11241D41-8269-44C5-9111-26A5D3E56196}"/>
  </bookViews>
  <sheets>
    <sheet name="Завдання 1" sheetId="1" r:id="rId1"/>
    <sheet name="Завдання 2" sheetId="2" r:id="rId2"/>
    <sheet name="Завдання 3" sheetId="4" r:id="rId3"/>
  </sheets>
  <definedNames>
    <definedName name="Alpha">'Завдання 1'!$K$3</definedName>
    <definedName name="Beta">'Завдання 1'!$L$3</definedName>
    <definedName name="exp">'Завдання 1'!$G$3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4" l="1"/>
  <c r="B26" i="4"/>
  <c r="K45" i="4"/>
  <c r="K44" i="4"/>
  <c r="J45" i="4" s="1"/>
  <c r="J44" i="4"/>
  <c r="I44" i="4"/>
  <c r="I45" i="4" s="1"/>
  <c r="I46" i="4" s="1"/>
  <c r="I47" i="4" s="1"/>
  <c r="I48" i="4" s="1"/>
  <c r="I49" i="4" s="1"/>
  <c r="I50" i="4" s="1"/>
  <c r="I51" i="4" s="1"/>
  <c r="I43" i="4"/>
  <c r="K32" i="4"/>
  <c r="K31" i="4"/>
  <c r="J32" i="4" s="1"/>
  <c r="J31" i="4"/>
  <c r="I31" i="4"/>
  <c r="I32" i="4" s="1"/>
  <c r="I33" i="4" s="1"/>
  <c r="I34" i="4" s="1"/>
  <c r="I35" i="4" s="1"/>
  <c r="I36" i="4" s="1"/>
  <c r="I37" i="4" s="1"/>
  <c r="I38" i="4" s="1"/>
  <c r="I30" i="4"/>
  <c r="K19" i="4"/>
  <c r="K18" i="4"/>
  <c r="J19" i="4" s="1"/>
  <c r="J18" i="4"/>
  <c r="I18" i="4"/>
  <c r="I19" i="4" s="1"/>
  <c r="I20" i="4" s="1"/>
  <c r="I21" i="4" s="1"/>
  <c r="I22" i="4" s="1"/>
  <c r="I23" i="4" s="1"/>
  <c r="I24" i="4" s="1"/>
  <c r="I25" i="4" s="1"/>
  <c r="I17" i="4"/>
  <c r="I16" i="4"/>
  <c r="K6" i="4"/>
  <c r="J6" i="4"/>
  <c r="K5" i="4"/>
  <c r="J5" i="4"/>
  <c r="I5" i="4"/>
  <c r="I6" i="4" s="1"/>
  <c r="I7" i="4" s="1"/>
  <c r="I8" i="4" s="1"/>
  <c r="I9" i="4" s="1"/>
  <c r="I10" i="4" s="1"/>
  <c r="I11" i="4" s="1"/>
  <c r="I12" i="4" s="1"/>
  <c r="I4" i="4"/>
  <c r="H51" i="4"/>
  <c r="H52" i="4" s="1"/>
  <c r="H50" i="4"/>
  <c r="H49" i="4"/>
  <c r="H48" i="4"/>
  <c r="H47" i="4"/>
  <c r="H46" i="4"/>
  <c r="H45" i="4"/>
  <c r="H44" i="4"/>
  <c r="K43" i="4"/>
  <c r="I42" i="4"/>
  <c r="J30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J43" i="4" s="1"/>
  <c r="D17" i="4"/>
  <c r="H32" i="4" s="1"/>
  <c r="C17" i="4"/>
  <c r="H19" i="4" s="1"/>
  <c r="B17" i="4"/>
  <c r="E16" i="4"/>
  <c r="D16" i="4"/>
  <c r="K30" i="4" s="1"/>
  <c r="C16" i="4"/>
  <c r="B16" i="4"/>
  <c r="H12" i="4"/>
  <c r="H11" i="4"/>
  <c r="H10" i="4"/>
  <c r="H9" i="4"/>
  <c r="H8" i="4"/>
  <c r="H7" i="4"/>
  <c r="H6" i="4"/>
  <c r="H5" i="4"/>
  <c r="I3" i="4"/>
  <c r="L4" i="2"/>
  <c r="I26" i="4" l="1"/>
  <c r="H18" i="4"/>
  <c r="H23" i="4"/>
  <c r="H20" i="4"/>
  <c r="H24" i="4"/>
  <c r="H21" i="4"/>
  <c r="H25" i="4"/>
  <c r="H26" i="4" s="1"/>
  <c r="K4" i="4"/>
  <c r="I13" i="4"/>
  <c r="J4" i="4"/>
  <c r="H22" i="4"/>
  <c r="K17" i="4"/>
  <c r="I29" i="4"/>
  <c r="I39" i="4" s="1"/>
  <c r="H31" i="4"/>
  <c r="H33" i="4"/>
  <c r="H34" i="4"/>
  <c r="H35" i="4"/>
  <c r="H36" i="4"/>
  <c r="H37" i="4"/>
  <c r="H38" i="4"/>
  <c r="I52" i="4"/>
  <c r="J17" i="4"/>
  <c r="J46" i="4" l="1"/>
  <c r="K46" i="4" s="1"/>
  <c r="H39" i="4"/>
  <c r="J47" i="4" l="1"/>
  <c r="K47" i="4" s="1"/>
  <c r="J7" i="4"/>
  <c r="K7" i="4" s="1"/>
  <c r="J33" i="4"/>
  <c r="K33" i="4" s="1"/>
  <c r="J20" i="4"/>
  <c r="K20" i="4" s="1"/>
  <c r="J21" i="4" l="1"/>
  <c r="K21" i="4" s="1"/>
  <c r="J34" i="4"/>
  <c r="K34" i="4" s="1"/>
  <c r="J8" i="4"/>
  <c r="K8" i="4" s="1"/>
  <c r="J48" i="4"/>
  <c r="K48" i="4" s="1"/>
  <c r="J22" i="4" l="1"/>
  <c r="K22" i="4" s="1"/>
  <c r="J9" i="4"/>
  <c r="K9" i="4" s="1"/>
  <c r="J49" i="4"/>
  <c r="K49" i="4" s="1"/>
  <c r="J35" i="4"/>
  <c r="K35" i="4" s="1"/>
  <c r="J23" i="4" l="1"/>
  <c r="K23" i="4" s="1"/>
  <c r="J36" i="4"/>
  <c r="K36" i="4" s="1"/>
  <c r="J10" i="4"/>
  <c r="K10" i="4" s="1"/>
  <c r="J50" i="4"/>
  <c r="K50" i="4" s="1"/>
  <c r="J11" i="4" l="1"/>
  <c r="K11" i="4" s="1"/>
  <c r="J24" i="4"/>
  <c r="K24" i="4" s="1"/>
  <c r="J37" i="4"/>
  <c r="K37" i="4" s="1"/>
  <c r="J51" i="4"/>
  <c r="K51" i="4" s="1"/>
  <c r="J12" i="4" l="1"/>
  <c r="K12" i="4" s="1"/>
  <c r="J38" i="4"/>
  <c r="K38" i="4" s="1"/>
  <c r="J25" i="4"/>
  <c r="K25" i="4" s="1"/>
  <c r="J52" i="4"/>
  <c r="E26" i="4" s="1"/>
  <c r="J13" i="4" l="1"/>
  <c r="J26" i="4"/>
  <c r="C26" i="4" s="1"/>
  <c r="J39" i="4"/>
  <c r="D26" i="4" s="1"/>
  <c r="BR548" i="2" l="1"/>
  <c r="BR606" i="2" s="1"/>
  <c r="BQ548" i="2"/>
  <c r="BQ550" i="2" s="1"/>
  <c r="BP548" i="2"/>
  <c r="BO548" i="2"/>
  <c r="BO550" i="2" s="1"/>
  <c r="BN548" i="2"/>
  <c r="BN608" i="2" s="1"/>
  <c r="BM548" i="2"/>
  <c r="BM550" i="2" s="1"/>
  <c r="BR547" i="2"/>
  <c r="BQ547" i="2"/>
  <c r="BP547" i="2"/>
  <c r="BO547" i="2"/>
  <c r="BN547" i="2"/>
  <c r="BM547" i="2"/>
  <c r="BR546" i="2"/>
  <c r="BQ546" i="2"/>
  <c r="BP546" i="2"/>
  <c r="BO546" i="2"/>
  <c r="BN546" i="2"/>
  <c r="BM546" i="2"/>
  <c r="BR545" i="2"/>
  <c r="BQ545" i="2"/>
  <c r="BP545" i="2"/>
  <c r="BO545" i="2"/>
  <c r="BN545" i="2"/>
  <c r="BM545" i="2"/>
  <c r="BR544" i="2"/>
  <c r="BQ544" i="2"/>
  <c r="BP544" i="2"/>
  <c r="BO544" i="2"/>
  <c r="BN544" i="2"/>
  <c r="BM544" i="2"/>
  <c r="BR543" i="2"/>
  <c r="BQ543" i="2"/>
  <c r="BP543" i="2"/>
  <c r="BO543" i="2"/>
  <c r="BN543" i="2"/>
  <c r="BM543" i="2"/>
  <c r="BR542" i="2"/>
  <c r="BQ542" i="2"/>
  <c r="BP542" i="2"/>
  <c r="BO542" i="2"/>
  <c r="BN542" i="2"/>
  <c r="BM542" i="2"/>
  <c r="BR541" i="2"/>
  <c r="BQ541" i="2"/>
  <c r="BP541" i="2"/>
  <c r="BO541" i="2"/>
  <c r="BN541" i="2"/>
  <c r="BM541" i="2"/>
  <c r="BR540" i="2"/>
  <c r="BQ540" i="2"/>
  <c r="BP540" i="2"/>
  <c r="BO540" i="2"/>
  <c r="BN540" i="2"/>
  <c r="BM540" i="2"/>
  <c r="BR539" i="2"/>
  <c r="BQ539" i="2"/>
  <c r="BP539" i="2"/>
  <c r="BO539" i="2"/>
  <c r="BN539" i="2"/>
  <c r="BM539" i="2"/>
  <c r="BR538" i="2"/>
  <c r="BQ538" i="2"/>
  <c r="BP538" i="2"/>
  <c r="BO538" i="2"/>
  <c r="BN538" i="2"/>
  <c r="BM538" i="2"/>
  <c r="BR537" i="2"/>
  <c r="BQ537" i="2"/>
  <c r="BP537" i="2"/>
  <c r="BO537" i="2"/>
  <c r="BN537" i="2"/>
  <c r="BM537" i="2"/>
  <c r="BR536" i="2"/>
  <c r="BQ536" i="2"/>
  <c r="BP536" i="2"/>
  <c r="BO536" i="2"/>
  <c r="BN536" i="2"/>
  <c r="BM536" i="2"/>
  <c r="BR535" i="2"/>
  <c r="BQ535" i="2"/>
  <c r="BP535" i="2"/>
  <c r="BO535" i="2"/>
  <c r="BN535" i="2"/>
  <c r="BM535" i="2"/>
  <c r="BR534" i="2"/>
  <c r="BQ534" i="2"/>
  <c r="BP534" i="2"/>
  <c r="BO534" i="2"/>
  <c r="BN534" i="2"/>
  <c r="BM534" i="2"/>
  <c r="BR533" i="2"/>
  <c r="BQ533" i="2"/>
  <c r="BP533" i="2"/>
  <c r="BO533" i="2"/>
  <c r="BN533" i="2"/>
  <c r="BM533" i="2"/>
  <c r="BR532" i="2"/>
  <c r="BQ532" i="2"/>
  <c r="BP532" i="2"/>
  <c r="BO532" i="2"/>
  <c r="BN532" i="2"/>
  <c r="BM532" i="2"/>
  <c r="BR531" i="2"/>
  <c r="BQ531" i="2"/>
  <c r="BP531" i="2"/>
  <c r="BO531" i="2"/>
  <c r="BN531" i="2"/>
  <c r="BM531" i="2"/>
  <c r="BR530" i="2"/>
  <c r="BQ530" i="2"/>
  <c r="BP530" i="2"/>
  <c r="BO530" i="2"/>
  <c r="BN530" i="2"/>
  <c r="BM530" i="2"/>
  <c r="BR529" i="2"/>
  <c r="BQ529" i="2"/>
  <c r="BP529" i="2"/>
  <c r="BO529" i="2"/>
  <c r="BN529" i="2"/>
  <c r="BM529" i="2"/>
  <c r="BR528" i="2"/>
  <c r="BQ528" i="2"/>
  <c r="BP528" i="2"/>
  <c r="BO528" i="2"/>
  <c r="BN528" i="2"/>
  <c r="BM528" i="2"/>
  <c r="BR527" i="2"/>
  <c r="BQ527" i="2"/>
  <c r="BP527" i="2"/>
  <c r="BO527" i="2"/>
  <c r="BN527" i="2"/>
  <c r="BM527" i="2"/>
  <c r="BR526" i="2"/>
  <c r="BQ526" i="2"/>
  <c r="BP526" i="2"/>
  <c r="BO526" i="2"/>
  <c r="BN526" i="2"/>
  <c r="BM526" i="2"/>
  <c r="BR525" i="2"/>
  <c r="BQ525" i="2"/>
  <c r="BP525" i="2"/>
  <c r="BO525" i="2"/>
  <c r="BN525" i="2"/>
  <c r="BM525" i="2"/>
  <c r="BR524" i="2"/>
  <c r="BQ524" i="2"/>
  <c r="BP524" i="2"/>
  <c r="BO524" i="2"/>
  <c r="BN524" i="2"/>
  <c r="BM524" i="2"/>
  <c r="BR523" i="2"/>
  <c r="BQ523" i="2"/>
  <c r="BP523" i="2"/>
  <c r="BO523" i="2"/>
  <c r="BN523" i="2"/>
  <c r="BM523" i="2"/>
  <c r="BR522" i="2"/>
  <c r="BQ522" i="2"/>
  <c r="BP522" i="2"/>
  <c r="BO522" i="2"/>
  <c r="BN522" i="2"/>
  <c r="BM522" i="2"/>
  <c r="BR521" i="2"/>
  <c r="BQ521" i="2"/>
  <c r="BP521" i="2"/>
  <c r="BO521" i="2"/>
  <c r="BN521" i="2"/>
  <c r="BM521" i="2"/>
  <c r="BR520" i="2"/>
  <c r="BQ520" i="2"/>
  <c r="BP520" i="2"/>
  <c r="BO520" i="2"/>
  <c r="BN520" i="2"/>
  <c r="BM520" i="2"/>
  <c r="BR519" i="2"/>
  <c r="BQ519" i="2"/>
  <c r="BP519" i="2"/>
  <c r="BO519" i="2"/>
  <c r="BN519" i="2"/>
  <c r="BM519" i="2"/>
  <c r="BR518" i="2"/>
  <c r="BQ518" i="2"/>
  <c r="BP518" i="2"/>
  <c r="BO518" i="2"/>
  <c r="BN518" i="2"/>
  <c r="BM518" i="2"/>
  <c r="BR517" i="2"/>
  <c r="BQ517" i="2"/>
  <c r="BP517" i="2"/>
  <c r="BO517" i="2"/>
  <c r="BN517" i="2"/>
  <c r="BM517" i="2"/>
  <c r="BR516" i="2"/>
  <c r="BQ516" i="2"/>
  <c r="BP516" i="2"/>
  <c r="BO516" i="2"/>
  <c r="BN516" i="2"/>
  <c r="BM516" i="2"/>
  <c r="BR515" i="2"/>
  <c r="BQ515" i="2"/>
  <c r="BP515" i="2"/>
  <c r="BO515" i="2"/>
  <c r="BN515" i="2"/>
  <c r="BM515" i="2"/>
  <c r="BR514" i="2"/>
  <c r="BQ514" i="2"/>
  <c r="BP514" i="2"/>
  <c r="BO514" i="2"/>
  <c r="BN514" i="2"/>
  <c r="BM514" i="2"/>
  <c r="BR513" i="2"/>
  <c r="BQ513" i="2"/>
  <c r="BP513" i="2"/>
  <c r="BO513" i="2"/>
  <c r="BN513" i="2"/>
  <c r="BM513" i="2"/>
  <c r="BR512" i="2"/>
  <c r="BQ512" i="2"/>
  <c r="BP512" i="2"/>
  <c r="BO512" i="2"/>
  <c r="BN512" i="2"/>
  <c r="BM512" i="2"/>
  <c r="BR511" i="2"/>
  <c r="BQ511" i="2"/>
  <c r="BP511" i="2"/>
  <c r="BO511" i="2"/>
  <c r="BN511" i="2"/>
  <c r="BM511" i="2"/>
  <c r="BR510" i="2"/>
  <c r="BQ510" i="2"/>
  <c r="BP510" i="2"/>
  <c r="BO510" i="2"/>
  <c r="BN510" i="2"/>
  <c r="BM510" i="2"/>
  <c r="BR509" i="2"/>
  <c r="BQ509" i="2"/>
  <c r="BP509" i="2"/>
  <c r="BO509" i="2"/>
  <c r="BN509" i="2"/>
  <c r="BM509" i="2"/>
  <c r="BR508" i="2"/>
  <c r="BQ508" i="2"/>
  <c r="BP508" i="2"/>
  <c r="BO508" i="2"/>
  <c r="BN508" i="2"/>
  <c r="BM508" i="2"/>
  <c r="BR507" i="2"/>
  <c r="BQ507" i="2"/>
  <c r="BP507" i="2"/>
  <c r="BO507" i="2"/>
  <c r="BN507" i="2"/>
  <c r="BM507" i="2"/>
  <c r="BR506" i="2"/>
  <c r="BQ506" i="2"/>
  <c r="BP506" i="2"/>
  <c r="BO506" i="2"/>
  <c r="BN506" i="2"/>
  <c r="BM506" i="2"/>
  <c r="BR505" i="2"/>
  <c r="BQ505" i="2"/>
  <c r="BP505" i="2"/>
  <c r="BO505" i="2"/>
  <c r="BN505" i="2"/>
  <c r="BM505" i="2"/>
  <c r="BR504" i="2"/>
  <c r="BQ504" i="2"/>
  <c r="BP504" i="2"/>
  <c r="BO504" i="2"/>
  <c r="BN504" i="2"/>
  <c r="BM504" i="2"/>
  <c r="BR503" i="2"/>
  <c r="BQ503" i="2"/>
  <c r="BP503" i="2"/>
  <c r="BO503" i="2"/>
  <c r="BN503" i="2"/>
  <c r="BM503" i="2"/>
  <c r="BR502" i="2"/>
  <c r="BQ502" i="2"/>
  <c r="BP502" i="2"/>
  <c r="BO502" i="2"/>
  <c r="BN502" i="2"/>
  <c r="BM502" i="2"/>
  <c r="BR501" i="2"/>
  <c r="BQ501" i="2"/>
  <c r="BP501" i="2"/>
  <c r="BO501" i="2"/>
  <c r="BN501" i="2"/>
  <c r="BM501" i="2"/>
  <c r="BR500" i="2"/>
  <c r="BQ500" i="2"/>
  <c r="BP500" i="2"/>
  <c r="BO500" i="2"/>
  <c r="BN500" i="2"/>
  <c r="BM500" i="2"/>
  <c r="BR499" i="2"/>
  <c r="BQ499" i="2"/>
  <c r="BP499" i="2"/>
  <c r="BO499" i="2"/>
  <c r="BN499" i="2"/>
  <c r="BM499" i="2"/>
  <c r="BR498" i="2"/>
  <c r="BQ498" i="2"/>
  <c r="BP498" i="2"/>
  <c r="BO498" i="2"/>
  <c r="BN498" i="2"/>
  <c r="BM498" i="2"/>
  <c r="BR497" i="2"/>
  <c r="BQ497" i="2"/>
  <c r="BP497" i="2"/>
  <c r="BO497" i="2"/>
  <c r="BN497" i="2"/>
  <c r="BM497" i="2"/>
  <c r="BR496" i="2"/>
  <c r="BQ496" i="2"/>
  <c r="BP496" i="2"/>
  <c r="BO496" i="2"/>
  <c r="BN496" i="2"/>
  <c r="BM496" i="2"/>
  <c r="BR495" i="2"/>
  <c r="BQ495" i="2"/>
  <c r="BP495" i="2"/>
  <c r="BO495" i="2"/>
  <c r="BN495" i="2"/>
  <c r="BM495" i="2"/>
  <c r="BR494" i="2"/>
  <c r="BQ494" i="2"/>
  <c r="BP494" i="2"/>
  <c r="BO494" i="2"/>
  <c r="BN494" i="2"/>
  <c r="BM494" i="2"/>
  <c r="BR493" i="2"/>
  <c r="BQ493" i="2"/>
  <c r="BP493" i="2"/>
  <c r="BO493" i="2"/>
  <c r="BN493" i="2"/>
  <c r="BM493" i="2"/>
  <c r="BR492" i="2"/>
  <c r="BQ492" i="2"/>
  <c r="BP492" i="2"/>
  <c r="BO492" i="2"/>
  <c r="BN492" i="2"/>
  <c r="BM492" i="2"/>
  <c r="BR491" i="2"/>
  <c r="BQ491" i="2"/>
  <c r="BP491" i="2"/>
  <c r="BO491" i="2"/>
  <c r="BN491" i="2"/>
  <c r="BM491" i="2"/>
  <c r="BR490" i="2"/>
  <c r="BQ490" i="2"/>
  <c r="BP490" i="2"/>
  <c r="BO490" i="2"/>
  <c r="BN490" i="2"/>
  <c r="BM490" i="2"/>
  <c r="BR489" i="2"/>
  <c r="BQ489" i="2"/>
  <c r="BP489" i="2"/>
  <c r="BO489" i="2"/>
  <c r="BN489" i="2"/>
  <c r="BM489" i="2"/>
  <c r="BR488" i="2"/>
  <c r="BQ488" i="2"/>
  <c r="BP488" i="2"/>
  <c r="BO488" i="2"/>
  <c r="BN488" i="2"/>
  <c r="BM488" i="2"/>
  <c r="BR487" i="2"/>
  <c r="BQ487" i="2"/>
  <c r="BP487" i="2"/>
  <c r="BO487" i="2"/>
  <c r="BN487" i="2"/>
  <c r="BM487" i="2"/>
  <c r="BR486" i="2"/>
  <c r="BQ486" i="2"/>
  <c r="BP486" i="2"/>
  <c r="BO486" i="2"/>
  <c r="BN486" i="2"/>
  <c r="BM486" i="2"/>
  <c r="BR485" i="2"/>
  <c r="BQ485" i="2"/>
  <c r="BP485" i="2"/>
  <c r="BO485" i="2"/>
  <c r="BN485" i="2"/>
  <c r="BM485" i="2"/>
  <c r="BR484" i="2"/>
  <c r="BQ484" i="2"/>
  <c r="BP484" i="2"/>
  <c r="BO484" i="2"/>
  <c r="BN484" i="2"/>
  <c r="BM484" i="2"/>
  <c r="BR483" i="2"/>
  <c r="BQ483" i="2"/>
  <c r="BP483" i="2"/>
  <c r="BO483" i="2"/>
  <c r="BN483" i="2"/>
  <c r="BM483" i="2"/>
  <c r="BR482" i="2"/>
  <c r="BQ482" i="2"/>
  <c r="BP482" i="2"/>
  <c r="BO482" i="2"/>
  <c r="BN482" i="2"/>
  <c r="BM482" i="2"/>
  <c r="BR481" i="2"/>
  <c r="BQ481" i="2"/>
  <c r="BP481" i="2"/>
  <c r="BO481" i="2"/>
  <c r="BN481" i="2"/>
  <c r="BM481" i="2"/>
  <c r="BR480" i="2"/>
  <c r="BQ480" i="2"/>
  <c r="BP480" i="2"/>
  <c r="BO480" i="2"/>
  <c r="BN480" i="2"/>
  <c r="BM480" i="2"/>
  <c r="BR479" i="2"/>
  <c r="BQ479" i="2"/>
  <c r="BP479" i="2"/>
  <c r="BO479" i="2"/>
  <c r="BN479" i="2"/>
  <c r="BM479" i="2"/>
  <c r="BR478" i="2"/>
  <c r="BQ478" i="2"/>
  <c r="BP478" i="2"/>
  <c r="BO478" i="2"/>
  <c r="BN478" i="2"/>
  <c r="BM478" i="2"/>
  <c r="BR477" i="2"/>
  <c r="BQ477" i="2"/>
  <c r="BP477" i="2"/>
  <c r="BO477" i="2"/>
  <c r="BN477" i="2"/>
  <c r="BM477" i="2"/>
  <c r="BR476" i="2"/>
  <c r="BQ476" i="2"/>
  <c r="BP476" i="2"/>
  <c r="BO476" i="2"/>
  <c r="BN476" i="2"/>
  <c r="BM476" i="2"/>
  <c r="BR475" i="2"/>
  <c r="BQ475" i="2"/>
  <c r="BP475" i="2"/>
  <c r="BO475" i="2"/>
  <c r="BN475" i="2"/>
  <c r="BM475" i="2"/>
  <c r="BR474" i="2"/>
  <c r="BQ474" i="2"/>
  <c r="BP474" i="2"/>
  <c r="BO474" i="2"/>
  <c r="BN474" i="2"/>
  <c r="BM474" i="2"/>
  <c r="BR473" i="2"/>
  <c r="BQ473" i="2"/>
  <c r="BP473" i="2"/>
  <c r="BO473" i="2"/>
  <c r="BN473" i="2"/>
  <c r="BM473" i="2"/>
  <c r="BR472" i="2"/>
  <c r="BQ472" i="2"/>
  <c r="BP472" i="2"/>
  <c r="BO472" i="2"/>
  <c r="BN472" i="2"/>
  <c r="BM472" i="2"/>
  <c r="BR471" i="2"/>
  <c r="BQ471" i="2"/>
  <c r="BP471" i="2"/>
  <c r="BO471" i="2"/>
  <c r="BN471" i="2"/>
  <c r="BM471" i="2"/>
  <c r="BR470" i="2"/>
  <c r="BQ470" i="2"/>
  <c r="BP470" i="2"/>
  <c r="BO470" i="2"/>
  <c r="BN470" i="2"/>
  <c r="BM470" i="2"/>
  <c r="BR469" i="2"/>
  <c r="BQ469" i="2"/>
  <c r="BP469" i="2"/>
  <c r="BO469" i="2"/>
  <c r="BN469" i="2"/>
  <c r="BM469" i="2"/>
  <c r="BR468" i="2"/>
  <c r="BQ468" i="2"/>
  <c r="BP468" i="2"/>
  <c r="BO468" i="2"/>
  <c r="BN468" i="2"/>
  <c r="BM468" i="2"/>
  <c r="BR467" i="2"/>
  <c r="BQ467" i="2"/>
  <c r="BP467" i="2"/>
  <c r="BO467" i="2"/>
  <c r="BN467" i="2"/>
  <c r="BM467" i="2"/>
  <c r="BR466" i="2"/>
  <c r="BQ466" i="2"/>
  <c r="BP466" i="2"/>
  <c r="BO466" i="2"/>
  <c r="BN466" i="2"/>
  <c r="BM466" i="2"/>
  <c r="BR465" i="2"/>
  <c r="BQ465" i="2"/>
  <c r="BP465" i="2"/>
  <c r="BO465" i="2"/>
  <c r="BN465" i="2"/>
  <c r="BM465" i="2"/>
  <c r="BR464" i="2"/>
  <c r="BQ464" i="2"/>
  <c r="BP464" i="2"/>
  <c r="BO464" i="2"/>
  <c r="BN464" i="2"/>
  <c r="BM464" i="2"/>
  <c r="BR463" i="2"/>
  <c r="BQ463" i="2"/>
  <c r="BP463" i="2"/>
  <c r="BO463" i="2"/>
  <c r="BN463" i="2"/>
  <c r="BM463" i="2"/>
  <c r="BR462" i="2"/>
  <c r="BQ462" i="2"/>
  <c r="BP462" i="2"/>
  <c r="BO462" i="2"/>
  <c r="BN462" i="2"/>
  <c r="BM462" i="2"/>
  <c r="BR461" i="2"/>
  <c r="BQ461" i="2"/>
  <c r="BP461" i="2"/>
  <c r="BO461" i="2"/>
  <c r="BN461" i="2"/>
  <c r="BM461" i="2"/>
  <c r="BR460" i="2"/>
  <c r="BQ460" i="2"/>
  <c r="BP460" i="2"/>
  <c r="BO460" i="2"/>
  <c r="BN460" i="2"/>
  <c r="BM460" i="2"/>
  <c r="BR459" i="2"/>
  <c r="BQ459" i="2"/>
  <c r="BP459" i="2"/>
  <c r="BO459" i="2"/>
  <c r="BN459" i="2"/>
  <c r="BM459" i="2"/>
  <c r="BR458" i="2"/>
  <c r="BQ458" i="2"/>
  <c r="BP458" i="2"/>
  <c r="BO458" i="2"/>
  <c r="BN458" i="2"/>
  <c r="BM458" i="2"/>
  <c r="BR457" i="2"/>
  <c r="BQ457" i="2"/>
  <c r="BP457" i="2"/>
  <c r="BO457" i="2"/>
  <c r="BN457" i="2"/>
  <c r="BM457" i="2"/>
  <c r="BR456" i="2"/>
  <c r="BQ456" i="2"/>
  <c r="BP456" i="2"/>
  <c r="BO456" i="2"/>
  <c r="BN456" i="2"/>
  <c r="BM456" i="2"/>
  <c r="BR455" i="2"/>
  <c r="BQ455" i="2"/>
  <c r="BP455" i="2"/>
  <c r="BO455" i="2"/>
  <c r="BN455" i="2"/>
  <c r="BM455" i="2"/>
  <c r="BR454" i="2"/>
  <c r="BQ454" i="2"/>
  <c r="BP454" i="2"/>
  <c r="BO454" i="2"/>
  <c r="BN454" i="2"/>
  <c r="BM454" i="2"/>
  <c r="BR453" i="2"/>
  <c r="BQ453" i="2"/>
  <c r="BP453" i="2"/>
  <c r="BO453" i="2"/>
  <c r="BN453" i="2"/>
  <c r="BM453" i="2"/>
  <c r="BR452" i="2"/>
  <c r="BQ452" i="2"/>
  <c r="BP452" i="2"/>
  <c r="BO452" i="2"/>
  <c r="BN452" i="2"/>
  <c r="BM452" i="2"/>
  <c r="BR451" i="2"/>
  <c r="BQ451" i="2"/>
  <c r="BP451" i="2"/>
  <c r="BO451" i="2"/>
  <c r="BN451" i="2"/>
  <c r="BM451" i="2"/>
  <c r="BR450" i="2"/>
  <c r="BQ450" i="2"/>
  <c r="BP450" i="2"/>
  <c r="BO450" i="2"/>
  <c r="BN450" i="2"/>
  <c r="BM450" i="2"/>
  <c r="BR449" i="2"/>
  <c r="BQ449" i="2"/>
  <c r="BP449" i="2"/>
  <c r="BO449" i="2"/>
  <c r="BN449" i="2"/>
  <c r="BM449" i="2"/>
  <c r="BR448" i="2"/>
  <c r="BQ448" i="2"/>
  <c r="BP448" i="2"/>
  <c r="BO448" i="2"/>
  <c r="BN448" i="2"/>
  <c r="BM448" i="2"/>
  <c r="BR447" i="2"/>
  <c r="BQ447" i="2"/>
  <c r="BP447" i="2"/>
  <c r="BO447" i="2"/>
  <c r="BN447" i="2"/>
  <c r="BM447" i="2"/>
  <c r="BR446" i="2"/>
  <c r="BQ446" i="2"/>
  <c r="BP446" i="2"/>
  <c r="BO446" i="2"/>
  <c r="BN446" i="2"/>
  <c r="BM446" i="2"/>
  <c r="BR445" i="2"/>
  <c r="BQ445" i="2"/>
  <c r="BP445" i="2"/>
  <c r="BO445" i="2"/>
  <c r="BN445" i="2"/>
  <c r="BM445" i="2"/>
  <c r="BR444" i="2"/>
  <c r="BQ444" i="2"/>
  <c r="BP444" i="2"/>
  <c r="BO444" i="2"/>
  <c r="BN444" i="2"/>
  <c r="BM444" i="2"/>
  <c r="BR443" i="2"/>
  <c r="BQ443" i="2"/>
  <c r="BP443" i="2"/>
  <c r="BO443" i="2"/>
  <c r="BN443" i="2"/>
  <c r="BM443" i="2"/>
  <c r="BR442" i="2"/>
  <c r="BQ442" i="2"/>
  <c r="BP442" i="2"/>
  <c r="BO442" i="2"/>
  <c r="BN442" i="2"/>
  <c r="BM442" i="2"/>
  <c r="BR441" i="2"/>
  <c r="BQ441" i="2"/>
  <c r="BP441" i="2"/>
  <c r="BO441" i="2"/>
  <c r="BN441" i="2"/>
  <c r="BM441" i="2"/>
  <c r="BR440" i="2"/>
  <c r="BQ440" i="2"/>
  <c r="BP440" i="2"/>
  <c r="BO440" i="2"/>
  <c r="BN440" i="2"/>
  <c r="BM440" i="2"/>
  <c r="BR439" i="2"/>
  <c r="BQ439" i="2"/>
  <c r="BP439" i="2"/>
  <c r="BO439" i="2"/>
  <c r="BN439" i="2"/>
  <c r="BM439" i="2"/>
  <c r="BR438" i="2"/>
  <c r="BQ438" i="2"/>
  <c r="BP438" i="2"/>
  <c r="BO438" i="2"/>
  <c r="BN438" i="2"/>
  <c r="BM438" i="2"/>
  <c r="BR437" i="2"/>
  <c r="BQ437" i="2"/>
  <c r="BP437" i="2"/>
  <c r="BO437" i="2"/>
  <c r="BN437" i="2"/>
  <c r="BM437" i="2"/>
  <c r="BR436" i="2"/>
  <c r="BQ436" i="2"/>
  <c r="BP436" i="2"/>
  <c r="BO436" i="2"/>
  <c r="BN436" i="2"/>
  <c r="BM436" i="2"/>
  <c r="BR435" i="2"/>
  <c r="BQ435" i="2"/>
  <c r="BP435" i="2"/>
  <c r="BO435" i="2"/>
  <c r="BN435" i="2"/>
  <c r="BM435" i="2"/>
  <c r="BR434" i="2"/>
  <c r="BQ434" i="2"/>
  <c r="BP434" i="2"/>
  <c r="BO434" i="2"/>
  <c r="BN434" i="2"/>
  <c r="BM434" i="2"/>
  <c r="BR433" i="2"/>
  <c r="BQ433" i="2"/>
  <c r="BP433" i="2"/>
  <c r="BO433" i="2"/>
  <c r="BN433" i="2"/>
  <c r="BM433" i="2"/>
  <c r="BR432" i="2"/>
  <c r="BQ432" i="2"/>
  <c r="BP432" i="2"/>
  <c r="BO432" i="2"/>
  <c r="BN432" i="2"/>
  <c r="BM432" i="2"/>
  <c r="BR431" i="2"/>
  <c r="BQ431" i="2"/>
  <c r="BP431" i="2"/>
  <c r="BO431" i="2"/>
  <c r="BN431" i="2"/>
  <c r="BM431" i="2"/>
  <c r="BR430" i="2"/>
  <c r="BQ430" i="2"/>
  <c r="BP430" i="2"/>
  <c r="BO430" i="2"/>
  <c r="BN430" i="2"/>
  <c r="BM430" i="2"/>
  <c r="BR429" i="2"/>
  <c r="BQ429" i="2"/>
  <c r="BP429" i="2"/>
  <c r="BO429" i="2"/>
  <c r="BN429" i="2"/>
  <c r="BM429" i="2"/>
  <c r="BR428" i="2"/>
  <c r="BQ428" i="2"/>
  <c r="BP428" i="2"/>
  <c r="BO428" i="2"/>
  <c r="BN428" i="2"/>
  <c r="BM428" i="2"/>
  <c r="BR427" i="2"/>
  <c r="BQ427" i="2"/>
  <c r="BP427" i="2"/>
  <c r="BO427" i="2"/>
  <c r="BN427" i="2"/>
  <c r="BM427" i="2"/>
  <c r="BR426" i="2"/>
  <c r="BQ426" i="2"/>
  <c r="BP426" i="2"/>
  <c r="BO426" i="2"/>
  <c r="BN426" i="2"/>
  <c r="BM426" i="2"/>
  <c r="BR425" i="2"/>
  <c r="BQ425" i="2"/>
  <c r="BP425" i="2"/>
  <c r="BO425" i="2"/>
  <c r="BN425" i="2"/>
  <c r="BM425" i="2"/>
  <c r="BR424" i="2"/>
  <c r="BQ424" i="2"/>
  <c r="BP424" i="2"/>
  <c r="BO424" i="2"/>
  <c r="BN424" i="2"/>
  <c r="BM424" i="2"/>
  <c r="BR423" i="2"/>
  <c r="BQ423" i="2"/>
  <c r="BP423" i="2"/>
  <c r="BO423" i="2"/>
  <c r="BN423" i="2"/>
  <c r="BM423" i="2"/>
  <c r="BR422" i="2"/>
  <c r="BQ422" i="2"/>
  <c r="BP422" i="2"/>
  <c r="BO422" i="2"/>
  <c r="BN422" i="2"/>
  <c r="BM422" i="2"/>
  <c r="BR421" i="2"/>
  <c r="BQ421" i="2"/>
  <c r="BP421" i="2"/>
  <c r="BO421" i="2"/>
  <c r="BN421" i="2"/>
  <c r="BM421" i="2"/>
  <c r="BR420" i="2"/>
  <c r="BQ420" i="2"/>
  <c r="BP420" i="2"/>
  <c r="BO420" i="2"/>
  <c r="BN420" i="2"/>
  <c r="BM420" i="2"/>
  <c r="BR419" i="2"/>
  <c r="BQ419" i="2"/>
  <c r="BP419" i="2"/>
  <c r="BO419" i="2"/>
  <c r="BN419" i="2"/>
  <c r="BM419" i="2"/>
  <c r="BR418" i="2"/>
  <c r="BQ418" i="2"/>
  <c r="BP418" i="2"/>
  <c r="BO418" i="2"/>
  <c r="BN418" i="2"/>
  <c r="BM418" i="2"/>
  <c r="BR417" i="2"/>
  <c r="BQ417" i="2"/>
  <c r="BP417" i="2"/>
  <c r="BO417" i="2"/>
  <c r="BN417" i="2"/>
  <c r="BM417" i="2"/>
  <c r="BR416" i="2"/>
  <c r="BQ416" i="2"/>
  <c r="BP416" i="2"/>
  <c r="BO416" i="2"/>
  <c r="BN416" i="2"/>
  <c r="BM416" i="2"/>
  <c r="BR415" i="2"/>
  <c r="BQ415" i="2"/>
  <c r="BP415" i="2"/>
  <c r="BO415" i="2"/>
  <c r="BN415" i="2"/>
  <c r="BM415" i="2"/>
  <c r="BR414" i="2"/>
  <c r="BQ414" i="2"/>
  <c r="BP414" i="2"/>
  <c r="BO414" i="2"/>
  <c r="BN414" i="2"/>
  <c r="BM414" i="2"/>
  <c r="BR413" i="2"/>
  <c r="BQ413" i="2"/>
  <c r="BP413" i="2"/>
  <c r="BO413" i="2"/>
  <c r="BN413" i="2"/>
  <c r="BM413" i="2"/>
  <c r="BR412" i="2"/>
  <c r="BQ412" i="2"/>
  <c r="BP412" i="2"/>
  <c r="BO412" i="2"/>
  <c r="BN412" i="2"/>
  <c r="BM412" i="2"/>
  <c r="BR411" i="2"/>
  <c r="BQ411" i="2"/>
  <c r="BP411" i="2"/>
  <c r="BO411" i="2"/>
  <c r="BN411" i="2"/>
  <c r="BM411" i="2"/>
  <c r="BR410" i="2"/>
  <c r="BQ410" i="2"/>
  <c r="BP410" i="2"/>
  <c r="BO410" i="2"/>
  <c r="BN410" i="2"/>
  <c r="BM410" i="2"/>
  <c r="BR409" i="2"/>
  <c r="BQ409" i="2"/>
  <c r="BP409" i="2"/>
  <c r="BO409" i="2"/>
  <c r="BN409" i="2"/>
  <c r="BM409" i="2"/>
  <c r="BR408" i="2"/>
  <c r="BQ408" i="2"/>
  <c r="BP408" i="2"/>
  <c r="BO408" i="2"/>
  <c r="BN408" i="2"/>
  <c r="BM408" i="2"/>
  <c r="BR407" i="2"/>
  <c r="BQ407" i="2"/>
  <c r="BP407" i="2"/>
  <c r="BO407" i="2"/>
  <c r="BN407" i="2"/>
  <c r="BM407" i="2"/>
  <c r="BR406" i="2"/>
  <c r="BQ406" i="2"/>
  <c r="BP406" i="2"/>
  <c r="BO406" i="2"/>
  <c r="BN406" i="2"/>
  <c r="BM406" i="2"/>
  <c r="BR405" i="2"/>
  <c r="BQ405" i="2"/>
  <c r="BP405" i="2"/>
  <c r="BO405" i="2"/>
  <c r="BN405" i="2"/>
  <c r="BM405" i="2"/>
  <c r="BR404" i="2"/>
  <c r="BQ404" i="2"/>
  <c r="BP404" i="2"/>
  <c r="BO404" i="2"/>
  <c r="BN404" i="2"/>
  <c r="BM404" i="2"/>
  <c r="BR403" i="2"/>
  <c r="BQ403" i="2"/>
  <c r="BP403" i="2"/>
  <c r="BO403" i="2"/>
  <c r="BN403" i="2"/>
  <c r="BM403" i="2"/>
  <c r="BR402" i="2"/>
  <c r="BQ402" i="2"/>
  <c r="BP402" i="2"/>
  <c r="BO402" i="2"/>
  <c r="BN402" i="2"/>
  <c r="BM402" i="2"/>
  <c r="BR401" i="2"/>
  <c r="BQ401" i="2"/>
  <c r="BP401" i="2"/>
  <c r="BO401" i="2"/>
  <c r="BN401" i="2"/>
  <c r="BM401" i="2"/>
  <c r="BR400" i="2"/>
  <c r="BQ400" i="2"/>
  <c r="BP400" i="2"/>
  <c r="BO400" i="2"/>
  <c r="BN400" i="2"/>
  <c r="BM400" i="2"/>
  <c r="BR399" i="2"/>
  <c r="BQ399" i="2"/>
  <c r="BP399" i="2"/>
  <c r="BO399" i="2"/>
  <c r="BN399" i="2"/>
  <c r="BM399" i="2"/>
  <c r="BR398" i="2"/>
  <c r="BQ398" i="2"/>
  <c r="BP398" i="2"/>
  <c r="BO398" i="2"/>
  <c r="BN398" i="2"/>
  <c r="BM398" i="2"/>
  <c r="BR397" i="2"/>
  <c r="BQ397" i="2"/>
  <c r="BP397" i="2"/>
  <c r="BO397" i="2"/>
  <c r="BN397" i="2"/>
  <c r="BM397" i="2"/>
  <c r="BR396" i="2"/>
  <c r="BQ396" i="2"/>
  <c r="BP396" i="2"/>
  <c r="BO396" i="2"/>
  <c r="BN396" i="2"/>
  <c r="BM396" i="2"/>
  <c r="BR395" i="2"/>
  <c r="BQ395" i="2"/>
  <c r="BP395" i="2"/>
  <c r="BO395" i="2"/>
  <c r="BN395" i="2"/>
  <c r="BM395" i="2"/>
  <c r="BR394" i="2"/>
  <c r="BQ394" i="2"/>
  <c r="BP394" i="2"/>
  <c r="BO394" i="2"/>
  <c r="BN394" i="2"/>
  <c r="BM394" i="2"/>
  <c r="BR393" i="2"/>
  <c r="BQ393" i="2"/>
  <c r="BP393" i="2"/>
  <c r="BO393" i="2"/>
  <c r="BN393" i="2"/>
  <c r="BM393" i="2"/>
  <c r="BR392" i="2"/>
  <c r="BQ392" i="2"/>
  <c r="BP392" i="2"/>
  <c r="BO392" i="2"/>
  <c r="BN392" i="2"/>
  <c r="BM392" i="2"/>
  <c r="BR391" i="2"/>
  <c r="BQ391" i="2"/>
  <c r="BP391" i="2"/>
  <c r="BO391" i="2"/>
  <c r="BN391" i="2"/>
  <c r="BM391" i="2"/>
  <c r="BR390" i="2"/>
  <c r="BQ390" i="2"/>
  <c r="BP390" i="2"/>
  <c r="BO390" i="2"/>
  <c r="BN390" i="2"/>
  <c r="BM390" i="2"/>
  <c r="BR389" i="2"/>
  <c r="BQ389" i="2"/>
  <c r="BP389" i="2"/>
  <c r="BO389" i="2"/>
  <c r="BN389" i="2"/>
  <c r="BM389" i="2"/>
  <c r="BR388" i="2"/>
  <c r="BQ388" i="2"/>
  <c r="BP388" i="2"/>
  <c r="BO388" i="2"/>
  <c r="BN388" i="2"/>
  <c r="BM388" i="2"/>
  <c r="BR387" i="2"/>
  <c r="BQ387" i="2"/>
  <c r="BP387" i="2"/>
  <c r="BO387" i="2"/>
  <c r="BN387" i="2"/>
  <c r="BM387" i="2"/>
  <c r="BR386" i="2"/>
  <c r="BQ386" i="2"/>
  <c r="BP386" i="2"/>
  <c r="BO386" i="2"/>
  <c r="BN386" i="2"/>
  <c r="BM386" i="2"/>
  <c r="BR385" i="2"/>
  <c r="BQ385" i="2"/>
  <c r="BP385" i="2"/>
  <c r="BO385" i="2"/>
  <c r="BN385" i="2"/>
  <c r="BM385" i="2"/>
  <c r="BR384" i="2"/>
  <c r="BQ384" i="2"/>
  <c r="BP384" i="2"/>
  <c r="BO384" i="2"/>
  <c r="BN384" i="2"/>
  <c r="BM384" i="2"/>
  <c r="BR383" i="2"/>
  <c r="BQ383" i="2"/>
  <c r="BP383" i="2"/>
  <c r="BO383" i="2"/>
  <c r="BN383" i="2"/>
  <c r="BM383" i="2"/>
  <c r="BR382" i="2"/>
  <c r="BQ382" i="2"/>
  <c r="BP382" i="2"/>
  <c r="BO382" i="2"/>
  <c r="BN382" i="2"/>
  <c r="BM382" i="2"/>
  <c r="BR381" i="2"/>
  <c r="BQ381" i="2"/>
  <c r="BP381" i="2"/>
  <c r="BO381" i="2"/>
  <c r="BN381" i="2"/>
  <c r="BM381" i="2"/>
  <c r="BR380" i="2"/>
  <c r="BQ380" i="2"/>
  <c r="BP380" i="2"/>
  <c r="BO380" i="2"/>
  <c r="BN380" i="2"/>
  <c r="BM380" i="2"/>
  <c r="BR379" i="2"/>
  <c r="BQ379" i="2"/>
  <c r="BP379" i="2"/>
  <c r="BO379" i="2"/>
  <c r="BN379" i="2"/>
  <c r="BM379" i="2"/>
  <c r="BR378" i="2"/>
  <c r="BQ378" i="2"/>
  <c r="BP378" i="2"/>
  <c r="BO378" i="2"/>
  <c r="BN378" i="2"/>
  <c r="BM378" i="2"/>
  <c r="BR377" i="2"/>
  <c r="BQ377" i="2"/>
  <c r="BP377" i="2"/>
  <c r="BO377" i="2"/>
  <c r="BN377" i="2"/>
  <c r="BM377" i="2"/>
  <c r="BR376" i="2"/>
  <c r="BQ376" i="2"/>
  <c r="BP376" i="2"/>
  <c r="BO376" i="2"/>
  <c r="BN376" i="2"/>
  <c r="BM376" i="2"/>
  <c r="BR375" i="2"/>
  <c r="BQ375" i="2"/>
  <c r="BP375" i="2"/>
  <c r="BO375" i="2"/>
  <c r="BN375" i="2"/>
  <c r="BM375" i="2"/>
  <c r="BR374" i="2"/>
  <c r="BQ374" i="2"/>
  <c r="BP374" i="2"/>
  <c r="BO374" i="2"/>
  <c r="BN374" i="2"/>
  <c r="BM374" i="2"/>
  <c r="BR373" i="2"/>
  <c r="BQ373" i="2"/>
  <c r="BP373" i="2"/>
  <c r="BO373" i="2"/>
  <c r="BN373" i="2"/>
  <c r="BM373" i="2"/>
  <c r="BR372" i="2"/>
  <c r="BQ372" i="2"/>
  <c r="BP372" i="2"/>
  <c r="BO372" i="2"/>
  <c r="BN372" i="2"/>
  <c r="BM372" i="2"/>
  <c r="BR371" i="2"/>
  <c r="BQ371" i="2"/>
  <c r="BP371" i="2"/>
  <c r="BO371" i="2"/>
  <c r="BN371" i="2"/>
  <c r="BM371" i="2"/>
  <c r="BR370" i="2"/>
  <c r="BQ370" i="2"/>
  <c r="BP370" i="2"/>
  <c r="BO370" i="2"/>
  <c r="BN370" i="2"/>
  <c r="BM370" i="2"/>
  <c r="BR369" i="2"/>
  <c r="BQ369" i="2"/>
  <c r="BP369" i="2"/>
  <c r="BO369" i="2"/>
  <c r="BN369" i="2"/>
  <c r="BM369" i="2"/>
  <c r="BR368" i="2"/>
  <c r="BQ368" i="2"/>
  <c r="BP368" i="2"/>
  <c r="BO368" i="2"/>
  <c r="BN368" i="2"/>
  <c r="BM368" i="2"/>
  <c r="BR367" i="2"/>
  <c r="BQ367" i="2"/>
  <c r="BP367" i="2"/>
  <c r="BO367" i="2"/>
  <c r="BN367" i="2"/>
  <c r="BM367" i="2"/>
  <c r="BR366" i="2"/>
  <c r="BQ366" i="2"/>
  <c r="BP366" i="2"/>
  <c r="BO366" i="2"/>
  <c r="BN366" i="2"/>
  <c r="BM366" i="2"/>
  <c r="BR365" i="2"/>
  <c r="BQ365" i="2"/>
  <c r="BP365" i="2"/>
  <c r="BO365" i="2"/>
  <c r="BN365" i="2"/>
  <c r="BM365" i="2"/>
  <c r="BR364" i="2"/>
  <c r="BQ364" i="2"/>
  <c r="BP364" i="2"/>
  <c r="BO364" i="2"/>
  <c r="BN364" i="2"/>
  <c r="BM364" i="2"/>
  <c r="BR363" i="2"/>
  <c r="BQ363" i="2"/>
  <c r="BP363" i="2"/>
  <c r="BO363" i="2"/>
  <c r="BN363" i="2"/>
  <c r="BM363" i="2"/>
  <c r="BR362" i="2"/>
  <c r="BQ362" i="2"/>
  <c r="BP362" i="2"/>
  <c r="BO362" i="2"/>
  <c r="BN362" i="2"/>
  <c r="BM362" i="2"/>
  <c r="BR361" i="2"/>
  <c r="BQ361" i="2"/>
  <c r="BP361" i="2"/>
  <c r="BO361" i="2"/>
  <c r="BN361" i="2"/>
  <c r="BM361" i="2"/>
  <c r="BR360" i="2"/>
  <c r="BQ360" i="2"/>
  <c r="BP360" i="2"/>
  <c r="BO360" i="2"/>
  <c r="BN360" i="2"/>
  <c r="BM360" i="2"/>
  <c r="BR359" i="2"/>
  <c r="BQ359" i="2"/>
  <c r="BP359" i="2"/>
  <c r="BO359" i="2"/>
  <c r="BN359" i="2"/>
  <c r="BM359" i="2"/>
  <c r="BR358" i="2"/>
  <c r="BQ358" i="2"/>
  <c r="BP358" i="2"/>
  <c r="BO358" i="2"/>
  <c r="BN358" i="2"/>
  <c r="BM358" i="2"/>
  <c r="BR357" i="2"/>
  <c r="BQ357" i="2"/>
  <c r="BP357" i="2"/>
  <c r="BO357" i="2"/>
  <c r="BN357" i="2"/>
  <c r="BM357" i="2"/>
  <c r="BR356" i="2"/>
  <c r="BQ356" i="2"/>
  <c r="BP356" i="2"/>
  <c r="BO356" i="2"/>
  <c r="BN356" i="2"/>
  <c r="BM356" i="2"/>
  <c r="BR355" i="2"/>
  <c r="BQ355" i="2"/>
  <c r="BP355" i="2"/>
  <c r="BO355" i="2"/>
  <c r="BN355" i="2"/>
  <c r="BM355" i="2"/>
  <c r="BR354" i="2"/>
  <c r="BQ354" i="2"/>
  <c r="BP354" i="2"/>
  <c r="BO354" i="2"/>
  <c r="BN354" i="2"/>
  <c r="BM354" i="2"/>
  <c r="BR353" i="2"/>
  <c r="BQ353" i="2"/>
  <c r="BP353" i="2"/>
  <c r="BO353" i="2"/>
  <c r="BN353" i="2"/>
  <c r="BM353" i="2"/>
  <c r="BR352" i="2"/>
  <c r="BQ352" i="2"/>
  <c r="BP352" i="2"/>
  <c r="BO352" i="2"/>
  <c r="BN352" i="2"/>
  <c r="BM352" i="2"/>
  <c r="BR351" i="2"/>
  <c r="BQ351" i="2"/>
  <c r="BP351" i="2"/>
  <c r="BO351" i="2"/>
  <c r="BN351" i="2"/>
  <c r="BM351" i="2"/>
  <c r="BR350" i="2"/>
  <c r="BQ350" i="2"/>
  <c r="BP350" i="2"/>
  <c r="BO350" i="2"/>
  <c r="BN350" i="2"/>
  <c r="BM350" i="2"/>
  <c r="BR349" i="2"/>
  <c r="BQ349" i="2"/>
  <c r="BP349" i="2"/>
  <c r="BO349" i="2"/>
  <c r="BN349" i="2"/>
  <c r="BM349" i="2"/>
  <c r="BR348" i="2"/>
  <c r="BQ348" i="2"/>
  <c r="BP348" i="2"/>
  <c r="BO348" i="2"/>
  <c r="BN348" i="2"/>
  <c r="BM348" i="2"/>
  <c r="BR347" i="2"/>
  <c r="BQ347" i="2"/>
  <c r="BP347" i="2"/>
  <c r="BO347" i="2"/>
  <c r="BN347" i="2"/>
  <c r="BM347" i="2"/>
  <c r="BR346" i="2"/>
  <c r="BQ346" i="2"/>
  <c r="BP346" i="2"/>
  <c r="BO346" i="2"/>
  <c r="BN346" i="2"/>
  <c r="BM346" i="2"/>
  <c r="BR345" i="2"/>
  <c r="BQ345" i="2"/>
  <c r="BP345" i="2"/>
  <c r="BO345" i="2"/>
  <c r="BN345" i="2"/>
  <c r="BM345" i="2"/>
  <c r="BR344" i="2"/>
  <c r="BQ344" i="2"/>
  <c r="BP344" i="2"/>
  <c r="BO344" i="2"/>
  <c r="BN344" i="2"/>
  <c r="BM344" i="2"/>
  <c r="BR343" i="2"/>
  <c r="BQ343" i="2"/>
  <c r="BP343" i="2"/>
  <c r="BO343" i="2"/>
  <c r="BN343" i="2"/>
  <c r="BM343" i="2"/>
  <c r="BR342" i="2"/>
  <c r="BQ342" i="2"/>
  <c r="BP342" i="2"/>
  <c r="BO342" i="2"/>
  <c r="BN342" i="2"/>
  <c r="BM342" i="2"/>
  <c r="BR341" i="2"/>
  <c r="BQ341" i="2"/>
  <c r="BP341" i="2"/>
  <c r="BO341" i="2"/>
  <c r="BN341" i="2"/>
  <c r="BM341" i="2"/>
  <c r="BR340" i="2"/>
  <c r="BQ340" i="2"/>
  <c r="BP340" i="2"/>
  <c r="BO340" i="2"/>
  <c r="BN340" i="2"/>
  <c r="BM340" i="2"/>
  <c r="BR339" i="2"/>
  <c r="BQ339" i="2"/>
  <c r="BP339" i="2"/>
  <c r="BO339" i="2"/>
  <c r="BN339" i="2"/>
  <c r="BM339" i="2"/>
  <c r="BR338" i="2"/>
  <c r="BQ338" i="2"/>
  <c r="BP338" i="2"/>
  <c r="BO338" i="2"/>
  <c r="BN338" i="2"/>
  <c r="BM338" i="2"/>
  <c r="BR337" i="2"/>
  <c r="BQ337" i="2"/>
  <c r="BP337" i="2"/>
  <c r="BO337" i="2"/>
  <c r="BN337" i="2"/>
  <c r="BM337" i="2"/>
  <c r="BR336" i="2"/>
  <c r="BQ336" i="2"/>
  <c r="BP336" i="2"/>
  <c r="BO336" i="2"/>
  <c r="BN336" i="2"/>
  <c r="BM336" i="2"/>
  <c r="BR335" i="2"/>
  <c r="BQ335" i="2"/>
  <c r="BP335" i="2"/>
  <c r="BO335" i="2"/>
  <c r="BN335" i="2"/>
  <c r="BM335" i="2"/>
  <c r="BR334" i="2"/>
  <c r="BQ334" i="2"/>
  <c r="BP334" i="2"/>
  <c r="BO334" i="2"/>
  <c r="BN334" i="2"/>
  <c r="BM334" i="2"/>
  <c r="BR333" i="2"/>
  <c r="BQ333" i="2"/>
  <c r="BP333" i="2"/>
  <c r="BO333" i="2"/>
  <c r="BN333" i="2"/>
  <c r="BM333" i="2"/>
  <c r="BR332" i="2"/>
  <c r="BQ332" i="2"/>
  <c r="BP332" i="2"/>
  <c r="BO332" i="2"/>
  <c r="BN332" i="2"/>
  <c r="BM332" i="2"/>
  <c r="BR331" i="2"/>
  <c r="BQ331" i="2"/>
  <c r="BP331" i="2"/>
  <c r="BO331" i="2"/>
  <c r="BN331" i="2"/>
  <c r="BM331" i="2"/>
  <c r="BR330" i="2"/>
  <c r="BQ330" i="2"/>
  <c r="BP330" i="2"/>
  <c r="BO330" i="2"/>
  <c r="BN330" i="2"/>
  <c r="BM330" i="2"/>
  <c r="BR329" i="2"/>
  <c r="BQ329" i="2"/>
  <c r="BP329" i="2"/>
  <c r="BO329" i="2"/>
  <c r="BN329" i="2"/>
  <c r="BM329" i="2"/>
  <c r="BR328" i="2"/>
  <c r="BQ328" i="2"/>
  <c r="BP328" i="2"/>
  <c r="BO328" i="2"/>
  <c r="BN328" i="2"/>
  <c r="BM328" i="2"/>
  <c r="BR327" i="2"/>
  <c r="BQ327" i="2"/>
  <c r="BP327" i="2"/>
  <c r="BO327" i="2"/>
  <c r="BN327" i="2"/>
  <c r="BM327" i="2"/>
  <c r="BR326" i="2"/>
  <c r="BQ326" i="2"/>
  <c r="BP326" i="2"/>
  <c r="BO326" i="2"/>
  <c r="BN326" i="2"/>
  <c r="BM326" i="2"/>
  <c r="BR325" i="2"/>
  <c r="BQ325" i="2"/>
  <c r="BP325" i="2"/>
  <c r="BO325" i="2"/>
  <c r="BN325" i="2"/>
  <c r="BM325" i="2"/>
  <c r="BR324" i="2"/>
  <c r="BQ324" i="2"/>
  <c r="BP324" i="2"/>
  <c r="BO324" i="2"/>
  <c r="BN324" i="2"/>
  <c r="BM324" i="2"/>
  <c r="BR323" i="2"/>
  <c r="BQ323" i="2"/>
  <c r="BP323" i="2"/>
  <c r="BO323" i="2"/>
  <c r="BN323" i="2"/>
  <c r="BM323" i="2"/>
  <c r="BR322" i="2"/>
  <c r="BQ322" i="2"/>
  <c r="BP322" i="2"/>
  <c r="BO322" i="2"/>
  <c r="BN322" i="2"/>
  <c r="BM322" i="2"/>
  <c r="BR321" i="2"/>
  <c r="BQ321" i="2"/>
  <c r="BP321" i="2"/>
  <c r="BO321" i="2"/>
  <c r="BN321" i="2"/>
  <c r="BM321" i="2"/>
  <c r="BR320" i="2"/>
  <c r="BQ320" i="2"/>
  <c r="BP320" i="2"/>
  <c r="BO320" i="2"/>
  <c r="BN320" i="2"/>
  <c r="BM320" i="2"/>
  <c r="BR319" i="2"/>
  <c r="BQ319" i="2"/>
  <c r="BP319" i="2"/>
  <c r="BO319" i="2"/>
  <c r="BN319" i="2"/>
  <c r="BM319" i="2"/>
  <c r="BR318" i="2"/>
  <c r="BQ318" i="2"/>
  <c r="BP318" i="2"/>
  <c r="BO318" i="2"/>
  <c r="BN318" i="2"/>
  <c r="BM318" i="2"/>
  <c r="BR317" i="2"/>
  <c r="BQ317" i="2"/>
  <c r="BP317" i="2"/>
  <c r="BO317" i="2"/>
  <c r="BN317" i="2"/>
  <c r="BM317" i="2"/>
  <c r="BR316" i="2"/>
  <c r="BQ316" i="2"/>
  <c r="BP316" i="2"/>
  <c r="BO316" i="2"/>
  <c r="BN316" i="2"/>
  <c r="BM316" i="2"/>
  <c r="BR315" i="2"/>
  <c r="BQ315" i="2"/>
  <c r="BP315" i="2"/>
  <c r="BO315" i="2"/>
  <c r="BN315" i="2"/>
  <c r="BM315" i="2"/>
  <c r="BR314" i="2"/>
  <c r="BQ314" i="2"/>
  <c r="BP314" i="2"/>
  <c r="BO314" i="2"/>
  <c r="BN314" i="2"/>
  <c r="BM314" i="2"/>
  <c r="BR313" i="2"/>
  <c r="BQ313" i="2"/>
  <c r="BP313" i="2"/>
  <c r="BO313" i="2"/>
  <c r="BN313" i="2"/>
  <c r="BM313" i="2"/>
  <c r="BR312" i="2"/>
  <c r="BQ312" i="2"/>
  <c r="BP312" i="2"/>
  <c r="BO312" i="2"/>
  <c r="BN312" i="2"/>
  <c r="BM312" i="2"/>
  <c r="BR311" i="2"/>
  <c r="BQ311" i="2"/>
  <c r="BP311" i="2"/>
  <c r="BO311" i="2"/>
  <c r="BN311" i="2"/>
  <c r="BM311" i="2"/>
  <c r="BR310" i="2"/>
  <c r="BQ310" i="2"/>
  <c r="BP310" i="2"/>
  <c r="BO310" i="2"/>
  <c r="BN310" i="2"/>
  <c r="BM310" i="2"/>
  <c r="BR309" i="2"/>
  <c r="BQ309" i="2"/>
  <c r="BP309" i="2"/>
  <c r="BO309" i="2"/>
  <c r="BN309" i="2"/>
  <c r="BM309" i="2"/>
  <c r="BR308" i="2"/>
  <c r="BQ308" i="2"/>
  <c r="BP308" i="2"/>
  <c r="BO308" i="2"/>
  <c r="BN308" i="2"/>
  <c r="BM308" i="2"/>
  <c r="BR307" i="2"/>
  <c r="BQ307" i="2"/>
  <c r="BP307" i="2"/>
  <c r="BO307" i="2"/>
  <c r="BN307" i="2"/>
  <c r="BM307" i="2"/>
  <c r="BR306" i="2"/>
  <c r="BQ306" i="2"/>
  <c r="BP306" i="2"/>
  <c r="BO306" i="2"/>
  <c r="BN306" i="2"/>
  <c r="BM306" i="2"/>
  <c r="BR305" i="2"/>
  <c r="BQ305" i="2"/>
  <c r="BP305" i="2"/>
  <c r="BO305" i="2"/>
  <c r="BN305" i="2"/>
  <c r="BM305" i="2"/>
  <c r="BR304" i="2"/>
  <c r="BQ304" i="2"/>
  <c r="BP304" i="2"/>
  <c r="BO304" i="2"/>
  <c r="BN304" i="2"/>
  <c r="BM304" i="2"/>
  <c r="BR303" i="2"/>
  <c r="BQ303" i="2"/>
  <c r="BP303" i="2"/>
  <c r="BO303" i="2"/>
  <c r="BN303" i="2"/>
  <c r="BM303" i="2"/>
  <c r="BR302" i="2"/>
  <c r="BQ302" i="2"/>
  <c r="BP302" i="2"/>
  <c r="BO302" i="2"/>
  <c r="BN302" i="2"/>
  <c r="BM302" i="2"/>
  <c r="BR301" i="2"/>
  <c r="BQ301" i="2"/>
  <c r="BP301" i="2"/>
  <c r="BO301" i="2"/>
  <c r="BN301" i="2"/>
  <c r="BM301" i="2"/>
  <c r="BR300" i="2"/>
  <c r="BQ300" i="2"/>
  <c r="BP300" i="2"/>
  <c r="BO300" i="2"/>
  <c r="BN300" i="2"/>
  <c r="BM300" i="2"/>
  <c r="BR299" i="2"/>
  <c r="BQ299" i="2"/>
  <c r="BP299" i="2"/>
  <c r="BO299" i="2"/>
  <c r="BN299" i="2"/>
  <c r="BM299" i="2"/>
  <c r="BR298" i="2"/>
  <c r="BQ298" i="2"/>
  <c r="BP298" i="2"/>
  <c r="BO298" i="2"/>
  <c r="BN298" i="2"/>
  <c r="BM298" i="2"/>
  <c r="BR297" i="2"/>
  <c r="BQ297" i="2"/>
  <c r="BP297" i="2"/>
  <c r="BO297" i="2"/>
  <c r="BN297" i="2"/>
  <c r="BM297" i="2"/>
  <c r="BR296" i="2"/>
  <c r="BQ296" i="2"/>
  <c r="BP296" i="2"/>
  <c r="BO296" i="2"/>
  <c r="BN296" i="2"/>
  <c r="BM296" i="2"/>
  <c r="BR295" i="2"/>
  <c r="BQ295" i="2"/>
  <c r="BP295" i="2"/>
  <c r="BO295" i="2"/>
  <c r="BN295" i="2"/>
  <c r="BM295" i="2"/>
  <c r="BR294" i="2"/>
  <c r="BQ294" i="2"/>
  <c r="BP294" i="2"/>
  <c r="BO294" i="2"/>
  <c r="BN294" i="2"/>
  <c r="BM294" i="2"/>
  <c r="BR293" i="2"/>
  <c r="BQ293" i="2"/>
  <c r="BP293" i="2"/>
  <c r="BO293" i="2"/>
  <c r="BN293" i="2"/>
  <c r="BM293" i="2"/>
  <c r="BR292" i="2"/>
  <c r="BQ292" i="2"/>
  <c r="BP292" i="2"/>
  <c r="BO292" i="2"/>
  <c r="BN292" i="2"/>
  <c r="BM292" i="2"/>
  <c r="BR291" i="2"/>
  <c r="BQ291" i="2"/>
  <c r="BP291" i="2"/>
  <c r="BO291" i="2"/>
  <c r="BN291" i="2"/>
  <c r="BM291" i="2"/>
  <c r="BR290" i="2"/>
  <c r="BQ290" i="2"/>
  <c r="BP290" i="2"/>
  <c r="BO290" i="2"/>
  <c r="BN290" i="2"/>
  <c r="BM290" i="2"/>
  <c r="BR289" i="2"/>
  <c r="BQ289" i="2"/>
  <c r="BP289" i="2"/>
  <c r="BO289" i="2"/>
  <c r="BN289" i="2"/>
  <c r="BM289" i="2"/>
  <c r="BR288" i="2"/>
  <c r="BQ288" i="2"/>
  <c r="BP288" i="2"/>
  <c r="BO288" i="2"/>
  <c r="BN288" i="2"/>
  <c r="BM288" i="2"/>
  <c r="BR287" i="2"/>
  <c r="BQ287" i="2"/>
  <c r="BP287" i="2"/>
  <c r="BO287" i="2"/>
  <c r="BN287" i="2"/>
  <c r="BM287" i="2"/>
  <c r="BR286" i="2"/>
  <c r="BQ286" i="2"/>
  <c r="BP286" i="2"/>
  <c r="BO286" i="2"/>
  <c r="BN286" i="2"/>
  <c r="BM286" i="2"/>
  <c r="BR285" i="2"/>
  <c r="BQ285" i="2"/>
  <c r="BP285" i="2"/>
  <c r="BO285" i="2"/>
  <c r="BN285" i="2"/>
  <c r="BM285" i="2"/>
  <c r="BR284" i="2"/>
  <c r="BQ284" i="2"/>
  <c r="BP284" i="2"/>
  <c r="BO284" i="2"/>
  <c r="BN284" i="2"/>
  <c r="BM284" i="2"/>
  <c r="BR283" i="2"/>
  <c r="BQ283" i="2"/>
  <c r="BP283" i="2"/>
  <c r="BO283" i="2"/>
  <c r="BN283" i="2"/>
  <c r="BM283" i="2"/>
  <c r="BR282" i="2"/>
  <c r="BQ282" i="2"/>
  <c r="BP282" i="2"/>
  <c r="BO282" i="2"/>
  <c r="BN282" i="2"/>
  <c r="BM282" i="2"/>
  <c r="BR281" i="2"/>
  <c r="BQ281" i="2"/>
  <c r="BP281" i="2"/>
  <c r="BO281" i="2"/>
  <c r="BN281" i="2"/>
  <c r="BM281" i="2"/>
  <c r="BR280" i="2"/>
  <c r="BQ280" i="2"/>
  <c r="BP280" i="2"/>
  <c r="BO280" i="2"/>
  <c r="BN280" i="2"/>
  <c r="BM280" i="2"/>
  <c r="BR279" i="2"/>
  <c r="BQ279" i="2"/>
  <c r="BP279" i="2"/>
  <c r="BO279" i="2"/>
  <c r="BN279" i="2"/>
  <c r="BM279" i="2"/>
  <c r="BR278" i="2"/>
  <c r="BQ278" i="2"/>
  <c r="BP278" i="2"/>
  <c r="BO278" i="2"/>
  <c r="BN278" i="2"/>
  <c r="BM278" i="2"/>
  <c r="BR277" i="2"/>
  <c r="BQ277" i="2"/>
  <c r="BP277" i="2"/>
  <c r="BO277" i="2"/>
  <c r="BN277" i="2"/>
  <c r="BM277" i="2"/>
  <c r="BR276" i="2"/>
  <c r="BQ276" i="2"/>
  <c r="BP276" i="2"/>
  <c r="BO276" i="2"/>
  <c r="BN276" i="2"/>
  <c r="BM276" i="2"/>
  <c r="BR275" i="2"/>
  <c r="BQ275" i="2"/>
  <c r="BP275" i="2"/>
  <c r="BO275" i="2"/>
  <c r="BN275" i="2"/>
  <c r="BM275" i="2"/>
  <c r="BR274" i="2"/>
  <c r="BQ274" i="2"/>
  <c r="BP274" i="2"/>
  <c r="BO274" i="2"/>
  <c r="BN274" i="2"/>
  <c r="BM274" i="2"/>
  <c r="BR273" i="2"/>
  <c r="BQ273" i="2"/>
  <c r="BP273" i="2"/>
  <c r="BO273" i="2"/>
  <c r="BN273" i="2"/>
  <c r="BM273" i="2"/>
  <c r="BR272" i="2"/>
  <c r="BQ272" i="2"/>
  <c r="BP272" i="2"/>
  <c r="BO272" i="2"/>
  <c r="BN272" i="2"/>
  <c r="BM272" i="2"/>
  <c r="BR271" i="2"/>
  <c r="BQ271" i="2"/>
  <c r="BP271" i="2"/>
  <c r="BO271" i="2"/>
  <c r="BN271" i="2"/>
  <c r="BM271" i="2"/>
  <c r="BR270" i="2"/>
  <c r="BQ270" i="2"/>
  <c r="BP270" i="2"/>
  <c r="BO270" i="2"/>
  <c r="BN270" i="2"/>
  <c r="BM270" i="2"/>
  <c r="BR269" i="2"/>
  <c r="BQ269" i="2"/>
  <c r="BP269" i="2"/>
  <c r="BO269" i="2"/>
  <c r="BN269" i="2"/>
  <c r="BM269" i="2"/>
  <c r="BR268" i="2"/>
  <c r="BQ268" i="2"/>
  <c r="BP268" i="2"/>
  <c r="BO268" i="2"/>
  <c r="BN268" i="2"/>
  <c r="BM268" i="2"/>
  <c r="BR267" i="2"/>
  <c r="BQ267" i="2"/>
  <c r="BP267" i="2"/>
  <c r="BO267" i="2"/>
  <c r="BN267" i="2"/>
  <c r="BM267" i="2"/>
  <c r="BR266" i="2"/>
  <c r="BQ266" i="2"/>
  <c r="BP266" i="2"/>
  <c r="BO266" i="2"/>
  <c r="BN266" i="2"/>
  <c r="BM266" i="2"/>
  <c r="BR265" i="2"/>
  <c r="BQ265" i="2"/>
  <c r="BP265" i="2"/>
  <c r="BO265" i="2"/>
  <c r="BN265" i="2"/>
  <c r="BM265" i="2"/>
  <c r="BR264" i="2"/>
  <c r="BQ264" i="2"/>
  <c r="BP264" i="2"/>
  <c r="BO264" i="2"/>
  <c r="BN264" i="2"/>
  <c r="BM264" i="2"/>
  <c r="BR263" i="2"/>
  <c r="BQ263" i="2"/>
  <c r="BP263" i="2"/>
  <c r="BO263" i="2"/>
  <c r="BN263" i="2"/>
  <c r="BM263" i="2"/>
  <c r="BR262" i="2"/>
  <c r="BQ262" i="2"/>
  <c r="BP262" i="2"/>
  <c r="BO262" i="2"/>
  <c r="BN262" i="2"/>
  <c r="BM262" i="2"/>
  <c r="BR261" i="2"/>
  <c r="BQ261" i="2"/>
  <c r="BP261" i="2"/>
  <c r="BO261" i="2"/>
  <c r="BN261" i="2"/>
  <c r="BM261" i="2"/>
  <c r="BR260" i="2"/>
  <c r="BQ260" i="2"/>
  <c r="BP260" i="2"/>
  <c r="BO260" i="2"/>
  <c r="BN260" i="2"/>
  <c r="BM260" i="2"/>
  <c r="BR259" i="2"/>
  <c r="BQ259" i="2"/>
  <c r="BP259" i="2"/>
  <c r="BO259" i="2"/>
  <c r="BN259" i="2"/>
  <c r="BM259" i="2"/>
  <c r="BR258" i="2"/>
  <c r="BQ258" i="2"/>
  <c r="BP258" i="2"/>
  <c r="BO258" i="2"/>
  <c r="BN258" i="2"/>
  <c r="BM258" i="2"/>
  <c r="BR257" i="2"/>
  <c r="BQ257" i="2"/>
  <c r="BP257" i="2"/>
  <c r="BO257" i="2"/>
  <c r="BN257" i="2"/>
  <c r="BM257" i="2"/>
  <c r="BR256" i="2"/>
  <c r="BQ256" i="2"/>
  <c r="BP256" i="2"/>
  <c r="BO256" i="2"/>
  <c r="BN256" i="2"/>
  <c r="BM256" i="2"/>
  <c r="BR255" i="2"/>
  <c r="BQ255" i="2"/>
  <c r="BP255" i="2"/>
  <c r="BO255" i="2"/>
  <c r="BN255" i="2"/>
  <c r="BM255" i="2"/>
  <c r="BR254" i="2"/>
  <c r="BQ254" i="2"/>
  <c r="BP254" i="2"/>
  <c r="BO254" i="2"/>
  <c r="BN254" i="2"/>
  <c r="BM254" i="2"/>
  <c r="BR253" i="2"/>
  <c r="BQ253" i="2"/>
  <c r="BP253" i="2"/>
  <c r="BO253" i="2"/>
  <c r="BN253" i="2"/>
  <c r="BM253" i="2"/>
  <c r="BR252" i="2"/>
  <c r="BQ252" i="2"/>
  <c r="BP252" i="2"/>
  <c r="BO252" i="2"/>
  <c r="BN252" i="2"/>
  <c r="BM252" i="2"/>
  <c r="BR251" i="2"/>
  <c r="BQ251" i="2"/>
  <c r="BP251" i="2"/>
  <c r="BO251" i="2"/>
  <c r="BN251" i="2"/>
  <c r="BM251" i="2"/>
  <c r="BR250" i="2"/>
  <c r="BQ250" i="2"/>
  <c r="BP250" i="2"/>
  <c r="BO250" i="2"/>
  <c r="BN250" i="2"/>
  <c r="BM250" i="2"/>
  <c r="BR249" i="2"/>
  <c r="BQ249" i="2"/>
  <c r="BP249" i="2"/>
  <c r="BO249" i="2"/>
  <c r="BN249" i="2"/>
  <c r="BM249" i="2"/>
  <c r="BR248" i="2"/>
  <c r="BQ248" i="2"/>
  <c r="BP248" i="2"/>
  <c r="BO248" i="2"/>
  <c r="BN248" i="2"/>
  <c r="BM248" i="2"/>
  <c r="BR247" i="2"/>
  <c r="BQ247" i="2"/>
  <c r="BP247" i="2"/>
  <c r="BO247" i="2"/>
  <c r="BN247" i="2"/>
  <c r="BM247" i="2"/>
  <c r="BR246" i="2"/>
  <c r="BQ246" i="2"/>
  <c r="BP246" i="2"/>
  <c r="BO246" i="2"/>
  <c r="BN246" i="2"/>
  <c r="BM246" i="2"/>
  <c r="BR245" i="2"/>
  <c r="BQ245" i="2"/>
  <c r="BP245" i="2"/>
  <c r="BO245" i="2"/>
  <c r="BN245" i="2"/>
  <c r="BM245" i="2"/>
  <c r="BR244" i="2"/>
  <c r="BQ244" i="2"/>
  <c r="BP244" i="2"/>
  <c r="BO244" i="2"/>
  <c r="BN244" i="2"/>
  <c r="BM244" i="2"/>
  <c r="BR243" i="2"/>
  <c r="BQ243" i="2"/>
  <c r="BP243" i="2"/>
  <c r="BO243" i="2"/>
  <c r="BN243" i="2"/>
  <c r="BM243" i="2"/>
  <c r="BR242" i="2"/>
  <c r="BQ242" i="2"/>
  <c r="BP242" i="2"/>
  <c r="BO242" i="2"/>
  <c r="BN242" i="2"/>
  <c r="BM242" i="2"/>
  <c r="BR241" i="2"/>
  <c r="BQ241" i="2"/>
  <c r="BP241" i="2"/>
  <c r="BO241" i="2"/>
  <c r="BN241" i="2"/>
  <c r="BM241" i="2"/>
  <c r="BR240" i="2"/>
  <c r="BQ240" i="2"/>
  <c r="BP240" i="2"/>
  <c r="BO240" i="2"/>
  <c r="BN240" i="2"/>
  <c r="BM240" i="2"/>
  <c r="BR239" i="2"/>
  <c r="BQ239" i="2"/>
  <c r="BP239" i="2"/>
  <c r="BO239" i="2"/>
  <c r="BN239" i="2"/>
  <c r="BM239" i="2"/>
  <c r="BR238" i="2"/>
  <c r="BQ238" i="2"/>
  <c r="BP238" i="2"/>
  <c r="BO238" i="2"/>
  <c r="BN238" i="2"/>
  <c r="BM238" i="2"/>
  <c r="BR237" i="2"/>
  <c r="BQ237" i="2"/>
  <c r="BP237" i="2"/>
  <c r="BO237" i="2"/>
  <c r="BN237" i="2"/>
  <c r="BM237" i="2"/>
  <c r="BR236" i="2"/>
  <c r="BQ236" i="2"/>
  <c r="BP236" i="2"/>
  <c r="BO236" i="2"/>
  <c r="BN236" i="2"/>
  <c r="BM236" i="2"/>
  <c r="BR235" i="2"/>
  <c r="BQ235" i="2"/>
  <c r="BP235" i="2"/>
  <c r="BO235" i="2"/>
  <c r="BN235" i="2"/>
  <c r="BM235" i="2"/>
  <c r="BR234" i="2"/>
  <c r="BQ234" i="2"/>
  <c r="BP234" i="2"/>
  <c r="BO234" i="2"/>
  <c r="BN234" i="2"/>
  <c r="BM234" i="2"/>
  <c r="BR233" i="2"/>
  <c r="BQ233" i="2"/>
  <c r="BP233" i="2"/>
  <c r="BO233" i="2"/>
  <c r="BN233" i="2"/>
  <c r="BM233" i="2"/>
  <c r="BR232" i="2"/>
  <c r="BQ232" i="2"/>
  <c r="BP232" i="2"/>
  <c r="BO232" i="2"/>
  <c r="BN232" i="2"/>
  <c r="BM232" i="2"/>
  <c r="BR231" i="2"/>
  <c r="BQ231" i="2"/>
  <c r="BP231" i="2"/>
  <c r="BO231" i="2"/>
  <c r="BN231" i="2"/>
  <c r="BM231" i="2"/>
  <c r="BR230" i="2"/>
  <c r="BQ230" i="2"/>
  <c r="BP230" i="2"/>
  <c r="BO230" i="2"/>
  <c r="BN230" i="2"/>
  <c r="BM230" i="2"/>
  <c r="BR229" i="2"/>
  <c r="BQ229" i="2"/>
  <c r="BP229" i="2"/>
  <c r="BO229" i="2"/>
  <c r="BN229" i="2"/>
  <c r="BM229" i="2"/>
  <c r="BR228" i="2"/>
  <c r="BQ228" i="2"/>
  <c r="BP228" i="2"/>
  <c r="BO228" i="2"/>
  <c r="BN228" i="2"/>
  <c r="BM228" i="2"/>
  <c r="BR227" i="2"/>
  <c r="BQ227" i="2"/>
  <c r="BP227" i="2"/>
  <c r="BO227" i="2"/>
  <c r="BN227" i="2"/>
  <c r="BM227" i="2"/>
  <c r="BR226" i="2"/>
  <c r="BQ226" i="2"/>
  <c r="BP226" i="2"/>
  <c r="BO226" i="2"/>
  <c r="BN226" i="2"/>
  <c r="BM226" i="2"/>
  <c r="BR225" i="2"/>
  <c r="BQ225" i="2"/>
  <c r="BP225" i="2"/>
  <c r="BO225" i="2"/>
  <c r="BN225" i="2"/>
  <c r="BM225" i="2"/>
  <c r="BR224" i="2"/>
  <c r="BQ224" i="2"/>
  <c r="BP224" i="2"/>
  <c r="BO224" i="2"/>
  <c r="BN224" i="2"/>
  <c r="BM224" i="2"/>
  <c r="BR223" i="2"/>
  <c r="BQ223" i="2"/>
  <c r="BP223" i="2"/>
  <c r="BO223" i="2"/>
  <c r="BN223" i="2"/>
  <c r="BM223" i="2"/>
  <c r="BR222" i="2"/>
  <c r="BQ222" i="2"/>
  <c r="BP222" i="2"/>
  <c r="BO222" i="2"/>
  <c r="BN222" i="2"/>
  <c r="BM222" i="2"/>
  <c r="BR221" i="2"/>
  <c r="BQ221" i="2"/>
  <c r="BP221" i="2"/>
  <c r="BO221" i="2"/>
  <c r="BN221" i="2"/>
  <c r="BM221" i="2"/>
  <c r="BR220" i="2"/>
  <c r="BQ220" i="2"/>
  <c r="BP220" i="2"/>
  <c r="BO220" i="2"/>
  <c r="BN220" i="2"/>
  <c r="BM220" i="2"/>
  <c r="BR219" i="2"/>
  <c r="BQ219" i="2"/>
  <c r="BP219" i="2"/>
  <c r="BO219" i="2"/>
  <c r="BN219" i="2"/>
  <c r="BM219" i="2"/>
  <c r="BR218" i="2"/>
  <c r="BQ218" i="2"/>
  <c r="BP218" i="2"/>
  <c r="BO218" i="2"/>
  <c r="BN218" i="2"/>
  <c r="BM218" i="2"/>
  <c r="BR217" i="2"/>
  <c r="BQ217" i="2"/>
  <c r="BP217" i="2"/>
  <c r="BO217" i="2"/>
  <c r="BN217" i="2"/>
  <c r="BM217" i="2"/>
  <c r="BR216" i="2"/>
  <c r="BQ216" i="2"/>
  <c r="BP216" i="2"/>
  <c r="BO216" i="2"/>
  <c r="BN216" i="2"/>
  <c r="BM216" i="2"/>
  <c r="BR215" i="2"/>
  <c r="BQ215" i="2"/>
  <c r="BP215" i="2"/>
  <c r="BO215" i="2"/>
  <c r="BN215" i="2"/>
  <c r="BM215" i="2"/>
  <c r="BR214" i="2"/>
  <c r="BQ214" i="2"/>
  <c r="BP214" i="2"/>
  <c r="BO214" i="2"/>
  <c r="BN214" i="2"/>
  <c r="BM214" i="2"/>
  <c r="BR213" i="2"/>
  <c r="BQ213" i="2"/>
  <c r="BP213" i="2"/>
  <c r="BO213" i="2"/>
  <c r="BN213" i="2"/>
  <c r="BM213" i="2"/>
  <c r="BR212" i="2"/>
  <c r="BQ212" i="2"/>
  <c r="BP212" i="2"/>
  <c r="BO212" i="2"/>
  <c r="BN212" i="2"/>
  <c r="BM212" i="2"/>
  <c r="BR211" i="2"/>
  <c r="BQ211" i="2"/>
  <c r="BP211" i="2"/>
  <c r="BO211" i="2"/>
  <c r="BN211" i="2"/>
  <c r="BM211" i="2"/>
  <c r="BR210" i="2"/>
  <c r="BQ210" i="2"/>
  <c r="BP210" i="2"/>
  <c r="BO210" i="2"/>
  <c r="BN210" i="2"/>
  <c r="BM210" i="2"/>
  <c r="BR209" i="2"/>
  <c r="BQ209" i="2"/>
  <c r="BP209" i="2"/>
  <c r="BO209" i="2"/>
  <c r="BN209" i="2"/>
  <c r="BM209" i="2"/>
  <c r="BR208" i="2"/>
  <c r="BQ208" i="2"/>
  <c r="BP208" i="2"/>
  <c r="BO208" i="2"/>
  <c r="BN208" i="2"/>
  <c r="BM208" i="2"/>
  <c r="BR207" i="2"/>
  <c r="BQ207" i="2"/>
  <c r="BP207" i="2"/>
  <c r="BO207" i="2"/>
  <c r="BN207" i="2"/>
  <c r="BM207" i="2"/>
  <c r="BR206" i="2"/>
  <c r="BQ206" i="2"/>
  <c r="BP206" i="2"/>
  <c r="BO206" i="2"/>
  <c r="BN206" i="2"/>
  <c r="BM206" i="2"/>
  <c r="BR205" i="2"/>
  <c r="BQ205" i="2"/>
  <c r="BP205" i="2"/>
  <c r="BO205" i="2"/>
  <c r="BN205" i="2"/>
  <c r="BM205" i="2"/>
  <c r="BR204" i="2"/>
  <c r="BQ204" i="2"/>
  <c r="BP204" i="2"/>
  <c r="BO204" i="2"/>
  <c r="BN204" i="2"/>
  <c r="BM204" i="2"/>
  <c r="BR203" i="2"/>
  <c r="BQ203" i="2"/>
  <c r="BP203" i="2"/>
  <c r="BO203" i="2"/>
  <c r="BN203" i="2"/>
  <c r="BM203" i="2"/>
  <c r="BR202" i="2"/>
  <c r="BQ202" i="2"/>
  <c r="BP202" i="2"/>
  <c r="BO202" i="2"/>
  <c r="BN202" i="2"/>
  <c r="BM202" i="2"/>
  <c r="BR201" i="2"/>
  <c r="BQ201" i="2"/>
  <c r="BP201" i="2"/>
  <c r="BO201" i="2"/>
  <c r="BN201" i="2"/>
  <c r="BM201" i="2"/>
  <c r="BR200" i="2"/>
  <c r="BQ200" i="2"/>
  <c r="BP200" i="2"/>
  <c r="BO200" i="2"/>
  <c r="BN200" i="2"/>
  <c r="BM200" i="2"/>
  <c r="BR199" i="2"/>
  <c r="BQ199" i="2"/>
  <c r="BP199" i="2"/>
  <c r="BO199" i="2"/>
  <c r="BN199" i="2"/>
  <c r="BM199" i="2"/>
  <c r="BR198" i="2"/>
  <c r="BQ198" i="2"/>
  <c r="BP198" i="2"/>
  <c r="BO198" i="2"/>
  <c r="BN198" i="2"/>
  <c r="BM198" i="2"/>
  <c r="BR197" i="2"/>
  <c r="BQ197" i="2"/>
  <c r="BP197" i="2"/>
  <c r="BO197" i="2"/>
  <c r="BN197" i="2"/>
  <c r="BM197" i="2"/>
  <c r="BR196" i="2"/>
  <c r="BQ196" i="2"/>
  <c r="BP196" i="2"/>
  <c r="BO196" i="2"/>
  <c r="BN196" i="2"/>
  <c r="BM196" i="2"/>
  <c r="BR195" i="2"/>
  <c r="BQ195" i="2"/>
  <c r="BP195" i="2"/>
  <c r="BO195" i="2"/>
  <c r="BN195" i="2"/>
  <c r="BM195" i="2"/>
  <c r="BR194" i="2"/>
  <c r="BQ194" i="2"/>
  <c r="BP194" i="2"/>
  <c r="BO194" i="2"/>
  <c r="BN194" i="2"/>
  <c r="BM194" i="2"/>
  <c r="BR193" i="2"/>
  <c r="BQ193" i="2"/>
  <c r="BP193" i="2"/>
  <c r="BO193" i="2"/>
  <c r="BN193" i="2"/>
  <c r="BM193" i="2"/>
  <c r="BR192" i="2"/>
  <c r="BQ192" i="2"/>
  <c r="BP192" i="2"/>
  <c r="BO192" i="2"/>
  <c r="BN192" i="2"/>
  <c r="BM192" i="2"/>
  <c r="BR191" i="2"/>
  <c r="BQ191" i="2"/>
  <c r="BP191" i="2"/>
  <c r="BO191" i="2"/>
  <c r="BN191" i="2"/>
  <c r="BM191" i="2"/>
  <c r="BR190" i="2"/>
  <c r="BQ190" i="2"/>
  <c r="BP190" i="2"/>
  <c r="BO190" i="2"/>
  <c r="BN190" i="2"/>
  <c r="BM190" i="2"/>
  <c r="BR189" i="2"/>
  <c r="BQ189" i="2"/>
  <c r="BP189" i="2"/>
  <c r="BO189" i="2"/>
  <c r="BN189" i="2"/>
  <c r="BM189" i="2"/>
  <c r="BR188" i="2"/>
  <c r="BQ188" i="2"/>
  <c r="BP188" i="2"/>
  <c r="BO188" i="2"/>
  <c r="BN188" i="2"/>
  <c r="BM188" i="2"/>
  <c r="BR187" i="2"/>
  <c r="BQ187" i="2"/>
  <c r="BP187" i="2"/>
  <c r="BO187" i="2"/>
  <c r="BN187" i="2"/>
  <c r="BM187" i="2"/>
  <c r="BR186" i="2"/>
  <c r="BQ186" i="2"/>
  <c r="BP186" i="2"/>
  <c r="BO186" i="2"/>
  <c r="BN186" i="2"/>
  <c r="BM186" i="2"/>
  <c r="BR185" i="2"/>
  <c r="BQ185" i="2"/>
  <c r="BP185" i="2"/>
  <c r="BO185" i="2"/>
  <c r="BN185" i="2"/>
  <c r="BM185" i="2"/>
  <c r="BR184" i="2"/>
  <c r="BQ184" i="2"/>
  <c r="BP184" i="2"/>
  <c r="BO184" i="2"/>
  <c r="BN184" i="2"/>
  <c r="BM184" i="2"/>
  <c r="BR183" i="2"/>
  <c r="BQ183" i="2"/>
  <c r="BP183" i="2"/>
  <c r="BO183" i="2"/>
  <c r="BN183" i="2"/>
  <c r="BM183" i="2"/>
  <c r="BR182" i="2"/>
  <c r="BQ182" i="2"/>
  <c r="BP182" i="2"/>
  <c r="BO182" i="2"/>
  <c r="BN182" i="2"/>
  <c r="BM182" i="2"/>
  <c r="BR181" i="2"/>
  <c r="BQ181" i="2"/>
  <c r="BP181" i="2"/>
  <c r="BO181" i="2"/>
  <c r="BN181" i="2"/>
  <c r="BM181" i="2"/>
  <c r="BR180" i="2"/>
  <c r="BQ180" i="2"/>
  <c r="BP180" i="2"/>
  <c r="BO180" i="2"/>
  <c r="BN180" i="2"/>
  <c r="BM180" i="2"/>
  <c r="BR179" i="2"/>
  <c r="BQ179" i="2"/>
  <c r="BP179" i="2"/>
  <c r="BO179" i="2"/>
  <c r="BN179" i="2"/>
  <c r="BM179" i="2"/>
  <c r="BR178" i="2"/>
  <c r="BQ178" i="2"/>
  <c r="BP178" i="2"/>
  <c r="BO178" i="2"/>
  <c r="BN178" i="2"/>
  <c r="BM178" i="2"/>
  <c r="BR177" i="2"/>
  <c r="BQ177" i="2"/>
  <c r="BP177" i="2"/>
  <c r="BO177" i="2"/>
  <c r="BN177" i="2"/>
  <c r="BM177" i="2"/>
  <c r="BR176" i="2"/>
  <c r="BQ176" i="2"/>
  <c r="BP176" i="2"/>
  <c r="BO176" i="2"/>
  <c r="BN176" i="2"/>
  <c r="BM176" i="2"/>
  <c r="BR175" i="2"/>
  <c r="BQ175" i="2"/>
  <c r="BP175" i="2"/>
  <c r="BO175" i="2"/>
  <c r="BN175" i="2"/>
  <c r="BM175" i="2"/>
  <c r="BR174" i="2"/>
  <c r="BQ174" i="2"/>
  <c r="BP174" i="2"/>
  <c r="BO174" i="2"/>
  <c r="BN174" i="2"/>
  <c r="BM174" i="2"/>
  <c r="BR173" i="2"/>
  <c r="BQ173" i="2"/>
  <c r="BP173" i="2"/>
  <c r="BO173" i="2"/>
  <c r="BN173" i="2"/>
  <c r="BM173" i="2"/>
  <c r="BR172" i="2"/>
  <c r="BQ172" i="2"/>
  <c r="BP172" i="2"/>
  <c r="BO172" i="2"/>
  <c r="BN172" i="2"/>
  <c r="BM172" i="2"/>
  <c r="BR171" i="2"/>
  <c r="BQ171" i="2"/>
  <c r="BP171" i="2"/>
  <c r="BO171" i="2"/>
  <c r="BN171" i="2"/>
  <c r="BM171" i="2"/>
  <c r="BR170" i="2"/>
  <c r="BQ170" i="2"/>
  <c r="BP170" i="2"/>
  <c r="BO170" i="2"/>
  <c r="BN170" i="2"/>
  <c r="BM170" i="2"/>
  <c r="BR169" i="2"/>
  <c r="BQ169" i="2"/>
  <c r="BP169" i="2"/>
  <c r="BO169" i="2"/>
  <c r="BN169" i="2"/>
  <c r="BM169" i="2"/>
  <c r="BR168" i="2"/>
  <c r="BQ168" i="2"/>
  <c r="BP168" i="2"/>
  <c r="BO168" i="2"/>
  <c r="BN168" i="2"/>
  <c r="BM168" i="2"/>
  <c r="BR167" i="2"/>
  <c r="BQ167" i="2"/>
  <c r="BP167" i="2"/>
  <c r="BO167" i="2"/>
  <c r="BN167" i="2"/>
  <c r="BM167" i="2"/>
  <c r="BR166" i="2"/>
  <c r="BQ166" i="2"/>
  <c r="BP166" i="2"/>
  <c r="BO166" i="2"/>
  <c r="BN166" i="2"/>
  <c r="BM166" i="2"/>
  <c r="BR165" i="2"/>
  <c r="BQ165" i="2"/>
  <c r="BP165" i="2"/>
  <c r="BO165" i="2"/>
  <c r="BN165" i="2"/>
  <c r="BM165" i="2"/>
  <c r="BR164" i="2"/>
  <c r="BQ164" i="2"/>
  <c r="BP164" i="2"/>
  <c r="BO164" i="2"/>
  <c r="BN164" i="2"/>
  <c r="BM164" i="2"/>
  <c r="BR163" i="2"/>
  <c r="BQ163" i="2"/>
  <c r="BP163" i="2"/>
  <c r="BO163" i="2"/>
  <c r="BN163" i="2"/>
  <c r="BM163" i="2"/>
  <c r="BR162" i="2"/>
  <c r="BQ162" i="2"/>
  <c r="BP162" i="2"/>
  <c r="BO162" i="2"/>
  <c r="BN162" i="2"/>
  <c r="BM162" i="2"/>
  <c r="BR161" i="2"/>
  <c r="BQ161" i="2"/>
  <c r="BP161" i="2"/>
  <c r="BO161" i="2"/>
  <c r="BN161" i="2"/>
  <c r="BM161" i="2"/>
  <c r="BR160" i="2"/>
  <c r="BQ160" i="2"/>
  <c r="BP160" i="2"/>
  <c r="BO160" i="2"/>
  <c r="BN160" i="2"/>
  <c r="BM160" i="2"/>
  <c r="BR159" i="2"/>
  <c r="BQ159" i="2"/>
  <c r="BP159" i="2"/>
  <c r="BO159" i="2"/>
  <c r="BN159" i="2"/>
  <c r="BM159" i="2"/>
  <c r="BR158" i="2"/>
  <c r="BQ158" i="2"/>
  <c r="BP158" i="2"/>
  <c r="BO158" i="2"/>
  <c r="BN158" i="2"/>
  <c r="BM158" i="2"/>
  <c r="BR157" i="2"/>
  <c r="BQ157" i="2"/>
  <c r="BP157" i="2"/>
  <c r="BO157" i="2"/>
  <c r="BN157" i="2"/>
  <c r="BM157" i="2"/>
  <c r="BR156" i="2"/>
  <c r="BQ156" i="2"/>
  <c r="BP156" i="2"/>
  <c r="BO156" i="2"/>
  <c r="BN156" i="2"/>
  <c r="BM156" i="2"/>
  <c r="BR155" i="2"/>
  <c r="BQ155" i="2"/>
  <c r="BP155" i="2"/>
  <c r="BO155" i="2"/>
  <c r="BN155" i="2"/>
  <c r="BM155" i="2"/>
  <c r="BR154" i="2"/>
  <c r="BQ154" i="2"/>
  <c r="BP154" i="2"/>
  <c r="BO154" i="2"/>
  <c r="BN154" i="2"/>
  <c r="BM154" i="2"/>
  <c r="BR153" i="2"/>
  <c r="BQ153" i="2"/>
  <c r="BP153" i="2"/>
  <c r="BO153" i="2"/>
  <c r="BN153" i="2"/>
  <c r="BM153" i="2"/>
  <c r="BR152" i="2"/>
  <c r="BQ152" i="2"/>
  <c r="BP152" i="2"/>
  <c r="BO152" i="2"/>
  <c r="BN152" i="2"/>
  <c r="BM152" i="2"/>
  <c r="BR151" i="2"/>
  <c r="BQ151" i="2"/>
  <c r="BP151" i="2"/>
  <c r="BO151" i="2"/>
  <c r="BN151" i="2"/>
  <c r="BM151" i="2"/>
  <c r="BR150" i="2"/>
  <c r="BQ150" i="2"/>
  <c r="BP150" i="2"/>
  <c r="BO150" i="2"/>
  <c r="BN150" i="2"/>
  <c r="BM150" i="2"/>
  <c r="BR149" i="2"/>
  <c r="BQ149" i="2"/>
  <c r="BP149" i="2"/>
  <c r="BO149" i="2"/>
  <c r="BN149" i="2"/>
  <c r="BM149" i="2"/>
  <c r="BR148" i="2"/>
  <c r="BQ148" i="2"/>
  <c r="BP148" i="2"/>
  <c r="BO148" i="2"/>
  <c r="BN148" i="2"/>
  <c r="BM148" i="2"/>
  <c r="BR147" i="2"/>
  <c r="BQ147" i="2"/>
  <c r="BP147" i="2"/>
  <c r="BO147" i="2"/>
  <c r="BN147" i="2"/>
  <c r="BM147" i="2"/>
  <c r="BR146" i="2"/>
  <c r="BQ146" i="2"/>
  <c r="BP146" i="2"/>
  <c r="BO146" i="2"/>
  <c r="BN146" i="2"/>
  <c r="BM146" i="2"/>
  <c r="BR145" i="2"/>
  <c r="BQ145" i="2"/>
  <c r="BP145" i="2"/>
  <c r="BO145" i="2"/>
  <c r="BN145" i="2"/>
  <c r="BM145" i="2"/>
  <c r="BR144" i="2"/>
  <c r="BQ144" i="2"/>
  <c r="BP144" i="2"/>
  <c r="BO144" i="2"/>
  <c r="BN144" i="2"/>
  <c r="BM144" i="2"/>
  <c r="BR143" i="2"/>
  <c r="BQ143" i="2"/>
  <c r="BP143" i="2"/>
  <c r="BO143" i="2"/>
  <c r="BN143" i="2"/>
  <c r="BM143" i="2"/>
  <c r="BR142" i="2"/>
  <c r="BQ142" i="2"/>
  <c r="BP142" i="2"/>
  <c r="BO142" i="2"/>
  <c r="BN142" i="2"/>
  <c r="BM142" i="2"/>
  <c r="BR141" i="2"/>
  <c r="BQ141" i="2"/>
  <c r="BP141" i="2"/>
  <c r="BO141" i="2"/>
  <c r="BN141" i="2"/>
  <c r="BM141" i="2"/>
  <c r="BR140" i="2"/>
  <c r="BQ140" i="2"/>
  <c r="BP140" i="2"/>
  <c r="BO140" i="2"/>
  <c r="BN140" i="2"/>
  <c r="BM140" i="2"/>
  <c r="BR139" i="2"/>
  <c r="BQ139" i="2"/>
  <c r="BP139" i="2"/>
  <c r="BO139" i="2"/>
  <c r="BN139" i="2"/>
  <c r="BM139" i="2"/>
  <c r="BR138" i="2"/>
  <c r="BQ138" i="2"/>
  <c r="BP138" i="2"/>
  <c r="BO138" i="2"/>
  <c r="BN138" i="2"/>
  <c r="BM138" i="2"/>
  <c r="BR137" i="2"/>
  <c r="BQ137" i="2"/>
  <c r="BP137" i="2"/>
  <c r="BO137" i="2"/>
  <c r="BN137" i="2"/>
  <c r="BM137" i="2"/>
  <c r="BR136" i="2"/>
  <c r="BQ136" i="2"/>
  <c r="BP136" i="2"/>
  <c r="BO136" i="2"/>
  <c r="BN136" i="2"/>
  <c r="BM136" i="2"/>
  <c r="BR135" i="2"/>
  <c r="BQ135" i="2"/>
  <c r="BP135" i="2"/>
  <c r="BO135" i="2"/>
  <c r="BN135" i="2"/>
  <c r="BM135" i="2"/>
  <c r="BR134" i="2"/>
  <c r="BQ134" i="2"/>
  <c r="BP134" i="2"/>
  <c r="BO134" i="2"/>
  <c r="BN134" i="2"/>
  <c r="BM134" i="2"/>
  <c r="BR133" i="2"/>
  <c r="BQ133" i="2"/>
  <c r="BP133" i="2"/>
  <c r="BO133" i="2"/>
  <c r="BN133" i="2"/>
  <c r="BM133" i="2"/>
  <c r="BR132" i="2"/>
  <c r="BQ132" i="2"/>
  <c r="BP132" i="2"/>
  <c r="BO132" i="2"/>
  <c r="BN132" i="2"/>
  <c r="BM132" i="2"/>
  <c r="BR131" i="2"/>
  <c r="BQ131" i="2"/>
  <c r="BP131" i="2"/>
  <c r="BO131" i="2"/>
  <c r="BN131" i="2"/>
  <c r="BM131" i="2"/>
  <c r="BR130" i="2"/>
  <c r="BQ130" i="2"/>
  <c r="BP130" i="2"/>
  <c r="BO130" i="2"/>
  <c r="BN130" i="2"/>
  <c r="BM130" i="2"/>
  <c r="BR129" i="2"/>
  <c r="BQ129" i="2"/>
  <c r="BP129" i="2"/>
  <c r="BO129" i="2"/>
  <c r="BN129" i="2"/>
  <c r="BM129" i="2"/>
  <c r="BR128" i="2"/>
  <c r="BQ128" i="2"/>
  <c r="BP128" i="2"/>
  <c r="BO128" i="2"/>
  <c r="BN128" i="2"/>
  <c r="BM128" i="2"/>
  <c r="BR127" i="2"/>
  <c r="BQ127" i="2"/>
  <c r="BP127" i="2"/>
  <c r="BO127" i="2"/>
  <c r="BN127" i="2"/>
  <c r="BM127" i="2"/>
  <c r="BR126" i="2"/>
  <c r="BQ126" i="2"/>
  <c r="BP126" i="2"/>
  <c r="BO126" i="2"/>
  <c r="BN126" i="2"/>
  <c r="BM126" i="2"/>
  <c r="BR125" i="2"/>
  <c r="BQ125" i="2"/>
  <c r="BP125" i="2"/>
  <c r="BO125" i="2"/>
  <c r="BN125" i="2"/>
  <c r="BM125" i="2"/>
  <c r="BR124" i="2"/>
  <c r="BQ124" i="2"/>
  <c r="BP124" i="2"/>
  <c r="BO124" i="2"/>
  <c r="BN124" i="2"/>
  <c r="BM124" i="2"/>
  <c r="BR123" i="2"/>
  <c r="BQ123" i="2"/>
  <c r="BP123" i="2"/>
  <c r="BO123" i="2"/>
  <c r="BN123" i="2"/>
  <c r="BM123" i="2"/>
  <c r="BR122" i="2"/>
  <c r="BQ122" i="2"/>
  <c r="BP122" i="2"/>
  <c r="BO122" i="2"/>
  <c r="BN122" i="2"/>
  <c r="BM122" i="2"/>
  <c r="BR121" i="2"/>
  <c r="BQ121" i="2"/>
  <c r="BP121" i="2"/>
  <c r="BO121" i="2"/>
  <c r="BN121" i="2"/>
  <c r="BM121" i="2"/>
  <c r="BR120" i="2"/>
  <c r="BQ120" i="2"/>
  <c r="BP120" i="2"/>
  <c r="BO120" i="2"/>
  <c r="BN120" i="2"/>
  <c r="BM120" i="2"/>
  <c r="BR119" i="2"/>
  <c r="BQ119" i="2"/>
  <c r="BP119" i="2"/>
  <c r="BO119" i="2"/>
  <c r="BN119" i="2"/>
  <c r="BM119" i="2"/>
  <c r="BR118" i="2"/>
  <c r="BQ118" i="2"/>
  <c r="BP118" i="2"/>
  <c r="BO118" i="2"/>
  <c r="BN118" i="2"/>
  <c r="BM118" i="2"/>
  <c r="BR117" i="2"/>
  <c r="BQ117" i="2"/>
  <c r="BP117" i="2"/>
  <c r="BO117" i="2"/>
  <c r="BN117" i="2"/>
  <c r="BM117" i="2"/>
  <c r="BR116" i="2"/>
  <c r="BQ116" i="2"/>
  <c r="BP116" i="2"/>
  <c r="BO116" i="2"/>
  <c r="BN116" i="2"/>
  <c r="BM116" i="2"/>
  <c r="BR115" i="2"/>
  <c r="BQ115" i="2"/>
  <c r="BP115" i="2"/>
  <c r="BO115" i="2"/>
  <c r="BN115" i="2"/>
  <c r="BM115" i="2"/>
  <c r="BR114" i="2"/>
  <c r="BQ114" i="2"/>
  <c r="BP114" i="2"/>
  <c r="BO114" i="2"/>
  <c r="BN114" i="2"/>
  <c r="BM114" i="2"/>
  <c r="BR113" i="2"/>
  <c r="BQ113" i="2"/>
  <c r="BP113" i="2"/>
  <c r="BO113" i="2"/>
  <c r="BN113" i="2"/>
  <c r="BM113" i="2"/>
  <c r="BR112" i="2"/>
  <c r="BQ112" i="2"/>
  <c r="BP112" i="2"/>
  <c r="BO112" i="2"/>
  <c r="BN112" i="2"/>
  <c r="BM112" i="2"/>
  <c r="BR111" i="2"/>
  <c r="BQ111" i="2"/>
  <c r="BP111" i="2"/>
  <c r="BO111" i="2"/>
  <c r="BN111" i="2"/>
  <c r="BM111" i="2"/>
  <c r="BR110" i="2"/>
  <c r="BQ110" i="2"/>
  <c r="BP110" i="2"/>
  <c r="BO110" i="2"/>
  <c r="BN110" i="2"/>
  <c r="BM110" i="2"/>
  <c r="BR109" i="2"/>
  <c r="BQ109" i="2"/>
  <c r="BP109" i="2"/>
  <c r="BO109" i="2"/>
  <c r="BN109" i="2"/>
  <c r="BM109" i="2"/>
  <c r="BR108" i="2"/>
  <c r="BQ108" i="2"/>
  <c r="BP108" i="2"/>
  <c r="BO108" i="2"/>
  <c r="BN108" i="2"/>
  <c r="BM108" i="2"/>
  <c r="BR107" i="2"/>
  <c r="BQ107" i="2"/>
  <c r="BP107" i="2"/>
  <c r="BO107" i="2"/>
  <c r="BN107" i="2"/>
  <c r="BM107" i="2"/>
  <c r="BR106" i="2"/>
  <c r="BQ106" i="2"/>
  <c r="BP106" i="2"/>
  <c r="BO106" i="2"/>
  <c r="BN106" i="2"/>
  <c r="BM106" i="2"/>
  <c r="BR105" i="2"/>
  <c r="BQ105" i="2"/>
  <c r="BP105" i="2"/>
  <c r="BO105" i="2"/>
  <c r="BN105" i="2"/>
  <c r="BM105" i="2"/>
  <c r="BR104" i="2"/>
  <c r="BQ104" i="2"/>
  <c r="BP104" i="2"/>
  <c r="BO104" i="2"/>
  <c r="BN104" i="2"/>
  <c r="BM104" i="2"/>
  <c r="BR103" i="2"/>
  <c r="BQ103" i="2"/>
  <c r="BP103" i="2"/>
  <c r="BO103" i="2"/>
  <c r="BN103" i="2"/>
  <c r="BM103" i="2"/>
  <c r="BR102" i="2"/>
  <c r="BQ102" i="2"/>
  <c r="BP102" i="2"/>
  <c r="BO102" i="2"/>
  <c r="BN102" i="2"/>
  <c r="BM102" i="2"/>
  <c r="BR101" i="2"/>
  <c r="BQ101" i="2"/>
  <c r="BP101" i="2"/>
  <c r="BO101" i="2"/>
  <c r="BN101" i="2"/>
  <c r="BM101" i="2"/>
  <c r="BR100" i="2"/>
  <c r="BQ100" i="2"/>
  <c r="BP100" i="2"/>
  <c r="BO100" i="2"/>
  <c r="BN100" i="2"/>
  <c r="BM100" i="2"/>
  <c r="BR99" i="2"/>
  <c r="BQ99" i="2"/>
  <c r="BP99" i="2"/>
  <c r="BO99" i="2"/>
  <c r="BN99" i="2"/>
  <c r="BM99" i="2"/>
  <c r="BR98" i="2"/>
  <c r="BQ98" i="2"/>
  <c r="BP98" i="2"/>
  <c r="BO98" i="2"/>
  <c r="BN98" i="2"/>
  <c r="BM98" i="2"/>
  <c r="BR97" i="2"/>
  <c r="BQ97" i="2"/>
  <c r="BP97" i="2"/>
  <c r="BO97" i="2"/>
  <c r="BN97" i="2"/>
  <c r="BM97" i="2"/>
  <c r="BR96" i="2"/>
  <c r="BQ96" i="2"/>
  <c r="BP96" i="2"/>
  <c r="BO96" i="2"/>
  <c r="BN96" i="2"/>
  <c r="BM96" i="2"/>
  <c r="BR95" i="2"/>
  <c r="BQ95" i="2"/>
  <c r="BP95" i="2"/>
  <c r="BO95" i="2"/>
  <c r="BN95" i="2"/>
  <c r="BM95" i="2"/>
  <c r="BR94" i="2"/>
  <c r="BQ94" i="2"/>
  <c r="BP94" i="2"/>
  <c r="BO94" i="2"/>
  <c r="BN94" i="2"/>
  <c r="BM94" i="2"/>
  <c r="BR93" i="2"/>
  <c r="BQ93" i="2"/>
  <c r="BP93" i="2"/>
  <c r="BO93" i="2"/>
  <c r="BN93" i="2"/>
  <c r="BM93" i="2"/>
  <c r="BR92" i="2"/>
  <c r="BQ92" i="2"/>
  <c r="BP92" i="2"/>
  <c r="BO92" i="2"/>
  <c r="BN92" i="2"/>
  <c r="BM92" i="2"/>
  <c r="BR91" i="2"/>
  <c r="BQ91" i="2"/>
  <c r="BP91" i="2"/>
  <c r="BO91" i="2"/>
  <c r="BN91" i="2"/>
  <c r="BM91" i="2"/>
  <c r="BR90" i="2"/>
  <c r="BQ90" i="2"/>
  <c r="BP90" i="2"/>
  <c r="BO90" i="2"/>
  <c r="BN90" i="2"/>
  <c r="BM90" i="2"/>
  <c r="BR89" i="2"/>
  <c r="BQ89" i="2"/>
  <c r="BP89" i="2"/>
  <c r="BO89" i="2"/>
  <c r="BN89" i="2"/>
  <c r="BM89" i="2"/>
  <c r="BR88" i="2"/>
  <c r="BQ88" i="2"/>
  <c r="BP88" i="2"/>
  <c r="BO88" i="2"/>
  <c r="BN88" i="2"/>
  <c r="BM88" i="2"/>
  <c r="BR87" i="2"/>
  <c r="BQ87" i="2"/>
  <c r="BP87" i="2"/>
  <c r="BO87" i="2"/>
  <c r="BN87" i="2"/>
  <c r="BM87" i="2"/>
  <c r="BR86" i="2"/>
  <c r="BQ86" i="2"/>
  <c r="BP86" i="2"/>
  <c r="BO86" i="2"/>
  <c r="BN86" i="2"/>
  <c r="BM86" i="2"/>
  <c r="BR85" i="2"/>
  <c r="BQ85" i="2"/>
  <c r="BP85" i="2"/>
  <c r="BO85" i="2"/>
  <c r="BN85" i="2"/>
  <c r="BM85" i="2"/>
  <c r="BR84" i="2"/>
  <c r="BQ84" i="2"/>
  <c r="BP84" i="2"/>
  <c r="BO84" i="2"/>
  <c r="BN84" i="2"/>
  <c r="BM84" i="2"/>
  <c r="BR83" i="2"/>
  <c r="BQ83" i="2"/>
  <c r="BP83" i="2"/>
  <c r="BO83" i="2"/>
  <c r="BN83" i="2"/>
  <c r="BM83" i="2"/>
  <c r="BR82" i="2"/>
  <c r="BQ82" i="2"/>
  <c r="BP82" i="2"/>
  <c r="BO82" i="2"/>
  <c r="BN82" i="2"/>
  <c r="BM82" i="2"/>
  <c r="BR81" i="2"/>
  <c r="BQ81" i="2"/>
  <c r="BP81" i="2"/>
  <c r="BO81" i="2"/>
  <c r="BN81" i="2"/>
  <c r="BM81" i="2"/>
  <c r="BR80" i="2"/>
  <c r="BQ80" i="2"/>
  <c r="BP80" i="2"/>
  <c r="BO80" i="2"/>
  <c r="BN80" i="2"/>
  <c r="BM80" i="2"/>
  <c r="BR79" i="2"/>
  <c r="BQ79" i="2"/>
  <c r="BP79" i="2"/>
  <c r="BO79" i="2"/>
  <c r="BN79" i="2"/>
  <c r="BM79" i="2"/>
  <c r="BR78" i="2"/>
  <c r="BQ78" i="2"/>
  <c r="BP78" i="2"/>
  <c r="BO78" i="2"/>
  <c r="BN78" i="2"/>
  <c r="BM78" i="2"/>
  <c r="BR77" i="2"/>
  <c r="BQ77" i="2"/>
  <c r="BP77" i="2"/>
  <c r="BO77" i="2"/>
  <c r="BN77" i="2"/>
  <c r="BM77" i="2"/>
  <c r="BR76" i="2"/>
  <c r="BQ76" i="2"/>
  <c r="BP76" i="2"/>
  <c r="BO76" i="2"/>
  <c r="BN76" i="2"/>
  <c r="BM76" i="2"/>
  <c r="BR75" i="2"/>
  <c r="BQ75" i="2"/>
  <c r="BP75" i="2"/>
  <c r="BO75" i="2"/>
  <c r="BN75" i="2"/>
  <c r="BM75" i="2"/>
  <c r="BR74" i="2"/>
  <c r="BQ74" i="2"/>
  <c r="BP74" i="2"/>
  <c r="BO74" i="2"/>
  <c r="BN74" i="2"/>
  <c r="BM74" i="2"/>
  <c r="BR73" i="2"/>
  <c r="BQ73" i="2"/>
  <c r="BP73" i="2"/>
  <c r="BO73" i="2"/>
  <c r="BN73" i="2"/>
  <c r="BM73" i="2"/>
  <c r="BR72" i="2"/>
  <c r="BQ72" i="2"/>
  <c r="BP72" i="2"/>
  <c r="BO72" i="2"/>
  <c r="BN72" i="2"/>
  <c r="BM72" i="2"/>
  <c r="BR71" i="2"/>
  <c r="BQ71" i="2"/>
  <c r="BP71" i="2"/>
  <c r="BO71" i="2"/>
  <c r="BN71" i="2"/>
  <c r="BM71" i="2"/>
  <c r="BR70" i="2"/>
  <c r="BQ70" i="2"/>
  <c r="BP70" i="2"/>
  <c r="BO70" i="2"/>
  <c r="BN70" i="2"/>
  <c r="BM70" i="2"/>
  <c r="BR69" i="2"/>
  <c r="BQ69" i="2"/>
  <c r="BP69" i="2"/>
  <c r="BO69" i="2"/>
  <c r="BN69" i="2"/>
  <c r="BM69" i="2"/>
  <c r="BR68" i="2"/>
  <c r="BQ68" i="2"/>
  <c r="BP68" i="2"/>
  <c r="BO68" i="2"/>
  <c r="BN68" i="2"/>
  <c r="BM68" i="2"/>
  <c r="BR67" i="2"/>
  <c r="BQ67" i="2"/>
  <c r="BP67" i="2"/>
  <c r="BO67" i="2"/>
  <c r="BN67" i="2"/>
  <c r="BM67" i="2"/>
  <c r="BR66" i="2"/>
  <c r="BQ66" i="2"/>
  <c r="BP66" i="2"/>
  <c r="BO66" i="2"/>
  <c r="BN66" i="2"/>
  <c r="BM66" i="2"/>
  <c r="BR65" i="2"/>
  <c r="BQ65" i="2"/>
  <c r="BP65" i="2"/>
  <c r="BO65" i="2"/>
  <c r="BN65" i="2"/>
  <c r="BM65" i="2"/>
  <c r="BR64" i="2"/>
  <c r="BQ64" i="2"/>
  <c r="BP64" i="2"/>
  <c r="BO64" i="2"/>
  <c r="BN64" i="2"/>
  <c r="BM64" i="2"/>
  <c r="BR63" i="2"/>
  <c r="BQ63" i="2"/>
  <c r="BP63" i="2"/>
  <c r="BO63" i="2"/>
  <c r="BN63" i="2"/>
  <c r="BM63" i="2"/>
  <c r="BR62" i="2"/>
  <c r="BQ62" i="2"/>
  <c r="BP62" i="2"/>
  <c r="BO62" i="2"/>
  <c r="BN62" i="2"/>
  <c r="BM62" i="2"/>
  <c r="BR61" i="2"/>
  <c r="BQ61" i="2"/>
  <c r="BP61" i="2"/>
  <c r="BO61" i="2"/>
  <c r="BN61" i="2"/>
  <c r="BM61" i="2"/>
  <c r="BR60" i="2"/>
  <c r="BQ60" i="2"/>
  <c r="BP60" i="2"/>
  <c r="BO60" i="2"/>
  <c r="BN60" i="2"/>
  <c r="BM60" i="2"/>
  <c r="BR59" i="2"/>
  <c r="BQ59" i="2"/>
  <c r="BP59" i="2"/>
  <c r="BO59" i="2"/>
  <c r="BN59" i="2"/>
  <c r="BM59" i="2"/>
  <c r="BR58" i="2"/>
  <c r="BQ58" i="2"/>
  <c r="BP58" i="2"/>
  <c r="BO58" i="2"/>
  <c r="BN58" i="2"/>
  <c r="BM58" i="2"/>
  <c r="BR57" i="2"/>
  <c r="BQ57" i="2"/>
  <c r="BP57" i="2"/>
  <c r="BO57" i="2"/>
  <c r="BN57" i="2"/>
  <c r="BM57" i="2"/>
  <c r="BR56" i="2"/>
  <c r="BQ56" i="2"/>
  <c r="BP56" i="2"/>
  <c r="BO56" i="2"/>
  <c r="BN56" i="2"/>
  <c r="BM56" i="2"/>
  <c r="BR55" i="2"/>
  <c r="BQ55" i="2"/>
  <c r="BP55" i="2"/>
  <c r="BO55" i="2"/>
  <c r="BN55" i="2"/>
  <c r="BM55" i="2"/>
  <c r="BR54" i="2"/>
  <c r="BQ54" i="2"/>
  <c r="BP54" i="2"/>
  <c r="BO54" i="2"/>
  <c r="BN54" i="2"/>
  <c r="BM54" i="2"/>
  <c r="BR53" i="2"/>
  <c r="BQ53" i="2"/>
  <c r="BP53" i="2"/>
  <c r="BO53" i="2"/>
  <c r="BN53" i="2"/>
  <c r="BM53" i="2"/>
  <c r="BR52" i="2"/>
  <c r="BQ52" i="2"/>
  <c r="BP52" i="2"/>
  <c r="BO52" i="2"/>
  <c r="BN52" i="2"/>
  <c r="BM52" i="2"/>
  <c r="BR51" i="2"/>
  <c r="BQ51" i="2"/>
  <c r="BP51" i="2"/>
  <c r="BO51" i="2"/>
  <c r="BN51" i="2"/>
  <c r="BM51" i="2"/>
  <c r="BR50" i="2"/>
  <c r="BQ50" i="2"/>
  <c r="BP50" i="2"/>
  <c r="BO50" i="2"/>
  <c r="BN50" i="2"/>
  <c r="BM50" i="2"/>
  <c r="BR49" i="2"/>
  <c r="BQ49" i="2"/>
  <c r="BP49" i="2"/>
  <c r="BO49" i="2"/>
  <c r="BN49" i="2"/>
  <c r="BM49" i="2"/>
  <c r="BR48" i="2"/>
  <c r="BQ48" i="2"/>
  <c r="BP48" i="2"/>
  <c r="BO48" i="2"/>
  <c r="BN48" i="2"/>
  <c r="BM48" i="2"/>
  <c r="BR47" i="2"/>
  <c r="BQ47" i="2"/>
  <c r="BP47" i="2"/>
  <c r="BO47" i="2"/>
  <c r="BN47" i="2"/>
  <c r="BM47" i="2"/>
  <c r="BR46" i="2"/>
  <c r="BQ46" i="2"/>
  <c r="BP46" i="2"/>
  <c r="BO46" i="2"/>
  <c r="BN46" i="2"/>
  <c r="BM46" i="2"/>
  <c r="BR45" i="2"/>
  <c r="BQ45" i="2"/>
  <c r="BP45" i="2"/>
  <c r="BO45" i="2"/>
  <c r="BN45" i="2"/>
  <c r="BM45" i="2"/>
  <c r="BR44" i="2"/>
  <c r="BQ44" i="2"/>
  <c r="BP44" i="2"/>
  <c r="BO44" i="2"/>
  <c r="BN44" i="2"/>
  <c r="BM44" i="2"/>
  <c r="BR43" i="2"/>
  <c r="BQ43" i="2"/>
  <c r="BP43" i="2"/>
  <c r="BO43" i="2"/>
  <c r="BN43" i="2"/>
  <c r="BM43" i="2"/>
  <c r="BR42" i="2"/>
  <c r="BQ42" i="2"/>
  <c r="BP42" i="2"/>
  <c r="BO42" i="2"/>
  <c r="BN42" i="2"/>
  <c r="BM42" i="2"/>
  <c r="BR41" i="2"/>
  <c r="BQ41" i="2"/>
  <c r="BP41" i="2"/>
  <c r="BO41" i="2"/>
  <c r="BN41" i="2"/>
  <c r="BM41" i="2"/>
  <c r="BR40" i="2"/>
  <c r="BQ40" i="2"/>
  <c r="BP40" i="2"/>
  <c r="BO40" i="2"/>
  <c r="BN40" i="2"/>
  <c r="BM40" i="2"/>
  <c r="BR39" i="2"/>
  <c r="BQ39" i="2"/>
  <c r="BP39" i="2"/>
  <c r="BO39" i="2"/>
  <c r="BN39" i="2"/>
  <c r="BM39" i="2"/>
  <c r="BR38" i="2"/>
  <c r="BQ38" i="2"/>
  <c r="BP38" i="2"/>
  <c r="BO38" i="2"/>
  <c r="BN38" i="2"/>
  <c r="BM38" i="2"/>
  <c r="BR37" i="2"/>
  <c r="BQ37" i="2"/>
  <c r="BP37" i="2"/>
  <c r="BO37" i="2"/>
  <c r="BN37" i="2"/>
  <c r="BM37" i="2"/>
  <c r="BR36" i="2"/>
  <c r="BQ36" i="2"/>
  <c r="BP36" i="2"/>
  <c r="BO36" i="2"/>
  <c r="BN36" i="2"/>
  <c r="BM36" i="2"/>
  <c r="BR35" i="2"/>
  <c r="BP35" i="2"/>
  <c r="BO35" i="2"/>
  <c r="BN35" i="2"/>
  <c r="BM35" i="2"/>
  <c r="BR34" i="2"/>
  <c r="BP34" i="2"/>
  <c r="BO34" i="2"/>
  <c r="BN34" i="2"/>
  <c r="BM34" i="2"/>
  <c r="BR33" i="2"/>
  <c r="BP33" i="2"/>
  <c r="BO33" i="2"/>
  <c r="BN33" i="2"/>
  <c r="BM33" i="2"/>
  <c r="BR32" i="2"/>
  <c r="BP32" i="2"/>
  <c r="BO32" i="2"/>
  <c r="BN32" i="2"/>
  <c r="BM32" i="2"/>
  <c r="BR31" i="2"/>
  <c r="BP31" i="2"/>
  <c r="BO31" i="2"/>
  <c r="BN31" i="2"/>
  <c r="BM31" i="2"/>
  <c r="BR30" i="2"/>
  <c r="BP30" i="2"/>
  <c r="BO30" i="2"/>
  <c r="BN30" i="2"/>
  <c r="BM30" i="2"/>
  <c r="BR29" i="2"/>
  <c r="BP29" i="2"/>
  <c r="BO29" i="2"/>
  <c r="BN29" i="2"/>
  <c r="BM29" i="2"/>
  <c r="BR28" i="2"/>
  <c r="BP28" i="2"/>
  <c r="BO28" i="2"/>
  <c r="BN28" i="2"/>
  <c r="BM28" i="2"/>
  <c r="BR27" i="2"/>
  <c r="BP27" i="2"/>
  <c r="BO27" i="2"/>
  <c r="BN27" i="2"/>
  <c r="BM27" i="2"/>
  <c r="BR26" i="2"/>
  <c r="BP26" i="2"/>
  <c r="BO26" i="2"/>
  <c r="BN26" i="2"/>
  <c r="BM26" i="2"/>
  <c r="BR25" i="2"/>
  <c r="BP25" i="2"/>
  <c r="BO25" i="2"/>
  <c r="BN25" i="2"/>
  <c r="BM25" i="2"/>
  <c r="BR24" i="2"/>
  <c r="BP24" i="2"/>
  <c r="BO24" i="2"/>
  <c r="BN24" i="2"/>
  <c r="BM24" i="2"/>
  <c r="BR23" i="2"/>
  <c r="BP23" i="2"/>
  <c r="BO23" i="2"/>
  <c r="BN23" i="2"/>
  <c r="BM23" i="2"/>
  <c r="BR22" i="2"/>
  <c r="BP22" i="2"/>
  <c r="BO22" i="2"/>
  <c r="BN22" i="2"/>
  <c r="BM22" i="2"/>
  <c r="BR21" i="2"/>
  <c r="BP21" i="2"/>
  <c r="BO21" i="2"/>
  <c r="BN21" i="2"/>
  <c r="BM21" i="2"/>
  <c r="BR20" i="2"/>
  <c r="BP20" i="2"/>
  <c r="BO20" i="2"/>
  <c r="BN20" i="2"/>
  <c r="BM20" i="2"/>
  <c r="BR19" i="2"/>
  <c r="BP19" i="2"/>
  <c r="BO19" i="2"/>
  <c r="BN19" i="2"/>
  <c r="BM19" i="2"/>
  <c r="BR18" i="2"/>
  <c r="BP18" i="2"/>
  <c r="BO18" i="2"/>
  <c r="BN18" i="2"/>
  <c r="BM18" i="2"/>
  <c r="BR17" i="2"/>
  <c r="BP17" i="2"/>
  <c r="BO17" i="2"/>
  <c r="BN17" i="2"/>
  <c r="BM17" i="2"/>
  <c r="BR16" i="2"/>
  <c r="BP16" i="2"/>
  <c r="BO16" i="2"/>
  <c r="BN16" i="2"/>
  <c r="BM16" i="2"/>
  <c r="BR15" i="2"/>
  <c r="BO15" i="2"/>
  <c r="BN15" i="2"/>
  <c r="BM15" i="2"/>
  <c r="BR14" i="2"/>
  <c r="BO14" i="2"/>
  <c r="BN14" i="2"/>
  <c r="BM14" i="2"/>
  <c r="BR13" i="2"/>
  <c r="BO13" i="2"/>
  <c r="BN13" i="2"/>
  <c r="BM13" i="2"/>
  <c r="BR12" i="2"/>
  <c r="BO12" i="2"/>
  <c r="BN12" i="2"/>
  <c r="BM12" i="2"/>
  <c r="BR11" i="2"/>
  <c r="BO11" i="2"/>
  <c r="BN11" i="2"/>
  <c r="BM11" i="2"/>
  <c r="BR10" i="2"/>
  <c r="BO10" i="2"/>
  <c r="BN10" i="2"/>
  <c r="BM10" i="2"/>
  <c r="BR9" i="2"/>
  <c r="BN9" i="2"/>
  <c r="BM9" i="2"/>
  <c r="BR8" i="2"/>
  <c r="BN8" i="2"/>
  <c r="BM8" i="2"/>
  <c r="BM7" i="2"/>
  <c r="BM6" i="2"/>
  <c r="BT4" i="2"/>
  <c r="BT5" i="2" s="1"/>
  <c r="BT6" i="2" s="1"/>
  <c r="BT7" i="2" s="1"/>
  <c r="BT8" i="2" s="1"/>
  <c r="BT9" i="2" s="1"/>
  <c r="BT10" i="2" s="1"/>
  <c r="BT11" i="2" s="1"/>
  <c r="BT12" i="2" s="1"/>
  <c r="BT13" i="2" s="1"/>
  <c r="BT14" i="2" s="1"/>
  <c r="BT15" i="2" s="1"/>
  <c r="BT16" i="2" s="1"/>
  <c r="BT17" i="2" s="1"/>
  <c r="BT18" i="2" s="1"/>
  <c r="BT19" i="2" s="1"/>
  <c r="BT20" i="2" s="1"/>
  <c r="BT21" i="2" s="1"/>
  <c r="BT22" i="2" s="1"/>
  <c r="BT23" i="2" s="1"/>
  <c r="BT24" i="2" s="1"/>
  <c r="BT25" i="2" s="1"/>
  <c r="BT26" i="2" s="1"/>
  <c r="BT27" i="2" s="1"/>
  <c r="BT28" i="2" s="1"/>
  <c r="BT29" i="2" s="1"/>
  <c r="BT30" i="2" s="1"/>
  <c r="BT31" i="2" s="1"/>
  <c r="BT32" i="2" s="1"/>
  <c r="BT33" i="2" s="1"/>
  <c r="BT34" i="2" s="1"/>
  <c r="BT35" i="2" s="1"/>
  <c r="BT36" i="2" s="1"/>
  <c r="BT37" i="2" s="1"/>
  <c r="BT38" i="2" s="1"/>
  <c r="BT39" i="2" s="1"/>
  <c r="BT40" i="2" s="1"/>
  <c r="BT41" i="2" s="1"/>
  <c r="BT42" i="2" s="1"/>
  <c r="BT43" i="2" s="1"/>
  <c r="BT44" i="2" s="1"/>
  <c r="BT45" i="2" s="1"/>
  <c r="BT46" i="2" s="1"/>
  <c r="BT47" i="2" s="1"/>
  <c r="BT48" i="2" s="1"/>
  <c r="BT49" i="2" s="1"/>
  <c r="BT50" i="2" s="1"/>
  <c r="BT51" i="2" s="1"/>
  <c r="BT52" i="2" s="1"/>
  <c r="BT53" i="2" s="1"/>
  <c r="BT54" i="2" s="1"/>
  <c r="BT55" i="2" s="1"/>
  <c r="BT56" i="2" s="1"/>
  <c r="BT57" i="2" s="1"/>
  <c r="BT58" i="2" s="1"/>
  <c r="BT59" i="2" s="1"/>
  <c r="BT60" i="2" s="1"/>
  <c r="BT61" i="2" s="1"/>
  <c r="BT62" i="2" s="1"/>
  <c r="BT63" i="2" s="1"/>
  <c r="BT64" i="2" s="1"/>
  <c r="BT65" i="2" s="1"/>
  <c r="BT66" i="2" s="1"/>
  <c r="BT67" i="2" s="1"/>
  <c r="BT68" i="2" s="1"/>
  <c r="BT69" i="2" s="1"/>
  <c r="BT70" i="2" s="1"/>
  <c r="BT71" i="2" s="1"/>
  <c r="BT72" i="2" s="1"/>
  <c r="BT73" i="2" s="1"/>
  <c r="BT74" i="2" s="1"/>
  <c r="BT75" i="2" s="1"/>
  <c r="BT76" i="2" s="1"/>
  <c r="BT77" i="2" s="1"/>
  <c r="BT78" i="2" s="1"/>
  <c r="BT79" i="2" s="1"/>
  <c r="BT80" i="2" s="1"/>
  <c r="BT81" i="2" s="1"/>
  <c r="BT82" i="2" s="1"/>
  <c r="BT83" i="2" s="1"/>
  <c r="BT84" i="2" s="1"/>
  <c r="BT85" i="2" s="1"/>
  <c r="BT86" i="2" s="1"/>
  <c r="BT87" i="2" s="1"/>
  <c r="BT88" i="2" s="1"/>
  <c r="BT89" i="2" s="1"/>
  <c r="BT90" i="2" s="1"/>
  <c r="BT91" i="2" s="1"/>
  <c r="BT92" i="2" s="1"/>
  <c r="BT93" i="2" s="1"/>
  <c r="BT94" i="2" s="1"/>
  <c r="BT95" i="2" s="1"/>
  <c r="BT96" i="2" s="1"/>
  <c r="BT97" i="2" s="1"/>
  <c r="BT98" i="2" s="1"/>
  <c r="BT99" i="2" s="1"/>
  <c r="BT100" i="2" s="1"/>
  <c r="BT101" i="2" s="1"/>
  <c r="BT102" i="2" s="1"/>
  <c r="BT103" i="2" s="1"/>
  <c r="BT104" i="2" s="1"/>
  <c r="BT105" i="2" s="1"/>
  <c r="BT106" i="2" s="1"/>
  <c r="BT107" i="2" s="1"/>
  <c r="BT108" i="2" s="1"/>
  <c r="BT109" i="2" s="1"/>
  <c r="BT110" i="2" s="1"/>
  <c r="BT111" i="2" s="1"/>
  <c r="BT112" i="2" s="1"/>
  <c r="BT113" i="2" s="1"/>
  <c r="BT114" i="2" s="1"/>
  <c r="BT115" i="2" s="1"/>
  <c r="BT116" i="2" s="1"/>
  <c r="BT117" i="2" s="1"/>
  <c r="BT118" i="2" s="1"/>
  <c r="BT119" i="2" s="1"/>
  <c r="BT120" i="2" s="1"/>
  <c r="BT121" i="2" s="1"/>
  <c r="BT122" i="2" s="1"/>
  <c r="BT123" i="2" s="1"/>
  <c r="BT124" i="2" s="1"/>
  <c r="BT125" i="2" s="1"/>
  <c r="BT126" i="2" s="1"/>
  <c r="BT127" i="2" s="1"/>
  <c r="BT128" i="2" s="1"/>
  <c r="BT129" i="2" s="1"/>
  <c r="BT130" i="2" s="1"/>
  <c r="BT131" i="2" s="1"/>
  <c r="BT132" i="2" s="1"/>
  <c r="BT133" i="2" s="1"/>
  <c r="BT134" i="2" s="1"/>
  <c r="BT135" i="2" s="1"/>
  <c r="BT136" i="2" s="1"/>
  <c r="BT137" i="2" s="1"/>
  <c r="BT138" i="2" s="1"/>
  <c r="BT139" i="2" s="1"/>
  <c r="BT140" i="2" s="1"/>
  <c r="BT141" i="2" s="1"/>
  <c r="BT142" i="2" s="1"/>
  <c r="BT143" i="2" s="1"/>
  <c r="BT144" i="2" s="1"/>
  <c r="BT145" i="2" s="1"/>
  <c r="BT146" i="2" s="1"/>
  <c r="BT147" i="2" s="1"/>
  <c r="BT148" i="2" s="1"/>
  <c r="BT149" i="2" s="1"/>
  <c r="BT150" i="2" s="1"/>
  <c r="BT151" i="2" s="1"/>
  <c r="BT152" i="2" s="1"/>
  <c r="BT153" i="2" s="1"/>
  <c r="BT154" i="2" s="1"/>
  <c r="BT155" i="2" s="1"/>
  <c r="BT156" i="2" s="1"/>
  <c r="BT157" i="2" s="1"/>
  <c r="BT158" i="2" s="1"/>
  <c r="BT159" i="2" s="1"/>
  <c r="BT160" i="2" s="1"/>
  <c r="BT161" i="2" s="1"/>
  <c r="BT162" i="2" s="1"/>
  <c r="BT163" i="2" s="1"/>
  <c r="BT164" i="2" s="1"/>
  <c r="BT165" i="2" s="1"/>
  <c r="BT166" i="2" s="1"/>
  <c r="BT167" i="2" s="1"/>
  <c r="BT168" i="2" s="1"/>
  <c r="BT169" i="2" s="1"/>
  <c r="BT170" i="2" s="1"/>
  <c r="BT171" i="2" s="1"/>
  <c r="BT172" i="2" s="1"/>
  <c r="BT173" i="2" s="1"/>
  <c r="BT174" i="2" s="1"/>
  <c r="BT175" i="2" s="1"/>
  <c r="BT176" i="2" s="1"/>
  <c r="BT177" i="2" s="1"/>
  <c r="BT178" i="2" s="1"/>
  <c r="BT179" i="2" s="1"/>
  <c r="BT180" i="2" s="1"/>
  <c r="BT181" i="2" s="1"/>
  <c r="BT182" i="2" s="1"/>
  <c r="BT183" i="2" s="1"/>
  <c r="BT184" i="2" s="1"/>
  <c r="BT185" i="2" s="1"/>
  <c r="BT186" i="2" s="1"/>
  <c r="BT187" i="2" s="1"/>
  <c r="BT188" i="2" s="1"/>
  <c r="BT189" i="2" s="1"/>
  <c r="BT190" i="2" s="1"/>
  <c r="BT191" i="2" s="1"/>
  <c r="BT192" i="2" s="1"/>
  <c r="BT193" i="2" s="1"/>
  <c r="BT194" i="2" s="1"/>
  <c r="BT195" i="2" s="1"/>
  <c r="BT196" i="2" s="1"/>
  <c r="BT197" i="2" s="1"/>
  <c r="BT198" i="2" s="1"/>
  <c r="BT199" i="2" s="1"/>
  <c r="BT200" i="2" s="1"/>
  <c r="BT201" i="2" s="1"/>
  <c r="BT202" i="2" s="1"/>
  <c r="BT203" i="2" s="1"/>
  <c r="BT204" i="2" s="1"/>
  <c r="BT205" i="2" s="1"/>
  <c r="BT206" i="2" s="1"/>
  <c r="BT207" i="2" s="1"/>
  <c r="BT208" i="2" s="1"/>
  <c r="BT209" i="2" s="1"/>
  <c r="BT210" i="2" s="1"/>
  <c r="BT211" i="2" s="1"/>
  <c r="BT212" i="2" s="1"/>
  <c r="BT213" i="2" s="1"/>
  <c r="BT214" i="2" s="1"/>
  <c r="BT215" i="2" s="1"/>
  <c r="BT216" i="2" s="1"/>
  <c r="BT217" i="2" s="1"/>
  <c r="BT218" i="2" s="1"/>
  <c r="BT219" i="2" s="1"/>
  <c r="BT220" i="2" s="1"/>
  <c r="BT221" i="2" s="1"/>
  <c r="BT222" i="2" s="1"/>
  <c r="BT223" i="2" s="1"/>
  <c r="BT224" i="2" s="1"/>
  <c r="BT225" i="2" s="1"/>
  <c r="BT226" i="2" s="1"/>
  <c r="BT227" i="2" s="1"/>
  <c r="BT228" i="2" s="1"/>
  <c r="BT229" i="2" s="1"/>
  <c r="BT230" i="2" s="1"/>
  <c r="BT231" i="2" s="1"/>
  <c r="BT232" i="2" s="1"/>
  <c r="BT233" i="2" s="1"/>
  <c r="BT234" i="2" s="1"/>
  <c r="BT235" i="2" s="1"/>
  <c r="BT236" i="2" s="1"/>
  <c r="BT237" i="2" s="1"/>
  <c r="BT238" i="2" s="1"/>
  <c r="BT239" i="2" s="1"/>
  <c r="BT240" i="2" s="1"/>
  <c r="BT241" i="2" s="1"/>
  <c r="BT242" i="2" s="1"/>
  <c r="BT243" i="2" s="1"/>
  <c r="BT244" i="2" s="1"/>
  <c r="BT245" i="2" s="1"/>
  <c r="BT246" i="2" s="1"/>
  <c r="BT247" i="2" s="1"/>
  <c r="BT248" i="2" s="1"/>
  <c r="BT249" i="2" s="1"/>
  <c r="BT250" i="2" s="1"/>
  <c r="BT251" i="2" s="1"/>
  <c r="BT252" i="2" s="1"/>
  <c r="BT253" i="2" s="1"/>
  <c r="BT254" i="2" s="1"/>
  <c r="BT255" i="2" s="1"/>
  <c r="BT256" i="2" s="1"/>
  <c r="BT257" i="2" s="1"/>
  <c r="BT258" i="2" s="1"/>
  <c r="BT259" i="2" s="1"/>
  <c r="BT260" i="2" s="1"/>
  <c r="BT261" i="2" s="1"/>
  <c r="BT262" i="2" s="1"/>
  <c r="BT263" i="2" s="1"/>
  <c r="BT264" i="2" s="1"/>
  <c r="BT265" i="2" s="1"/>
  <c r="BT266" i="2" s="1"/>
  <c r="BT267" i="2" s="1"/>
  <c r="BT268" i="2" s="1"/>
  <c r="BT269" i="2" s="1"/>
  <c r="BT270" i="2" s="1"/>
  <c r="BT271" i="2" s="1"/>
  <c r="BT272" i="2" s="1"/>
  <c r="BT273" i="2" s="1"/>
  <c r="BT274" i="2" s="1"/>
  <c r="BT275" i="2" s="1"/>
  <c r="BT276" i="2" s="1"/>
  <c r="BT277" i="2" s="1"/>
  <c r="BT278" i="2" s="1"/>
  <c r="BT279" i="2" s="1"/>
  <c r="BT280" i="2" s="1"/>
  <c r="BT281" i="2" s="1"/>
  <c r="BT282" i="2" s="1"/>
  <c r="BT283" i="2" s="1"/>
  <c r="BT284" i="2" s="1"/>
  <c r="BT285" i="2" s="1"/>
  <c r="BT286" i="2" s="1"/>
  <c r="BT287" i="2" s="1"/>
  <c r="BT288" i="2" s="1"/>
  <c r="BT289" i="2" s="1"/>
  <c r="BT290" i="2" s="1"/>
  <c r="BT291" i="2" s="1"/>
  <c r="BT292" i="2" s="1"/>
  <c r="BT293" i="2" s="1"/>
  <c r="BT294" i="2" s="1"/>
  <c r="BT295" i="2" s="1"/>
  <c r="BT296" i="2" s="1"/>
  <c r="BT297" i="2" s="1"/>
  <c r="BT298" i="2" s="1"/>
  <c r="BT299" i="2" s="1"/>
  <c r="BT300" i="2" s="1"/>
  <c r="BT301" i="2" s="1"/>
  <c r="BT302" i="2" s="1"/>
  <c r="BT303" i="2" s="1"/>
  <c r="BT304" i="2" s="1"/>
  <c r="BT305" i="2" s="1"/>
  <c r="BT306" i="2" s="1"/>
  <c r="BT307" i="2" s="1"/>
  <c r="BT308" i="2" s="1"/>
  <c r="BT309" i="2" s="1"/>
  <c r="BT310" i="2" s="1"/>
  <c r="BT311" i="2" s="1"/>
  <c r="BT312" i="2" s="1"/>
  <c r="BT313" i="2" s="1"/>
  <c r="BT314" i="2" s="1"/>
  <c r="BT315" i="2" s="1"/>
  <c r="BT316" i="2" s="1"/>
  <c r="BT317" i="2" s="1"/>
  <c r="BT318" i="2" s="1"/>
  <c r="BT319" i="2" s="1"/>
  <c r="BT320" i="2" s="1"/>
  <c r="BT321" i="2" s="1"/>
  <c r="BT322" i="2" s="1"/>
  <c r="BT323" i="2" s="1"/>
  <c r="BT324" i="2" s="1"/>
  <c r="BT325" i="2" s="1"/>
  <c r="BT326" i="2" s="1"/>
  <c r="BT327" i="2" s="1"/>
  <c r="BT328" i="2" s="1"/>
  <c r="BT329" i="2" s="1"/>
  <c r="BT330" i="2" s="1"/>
  <c r="BT331" i="2" s="1"/>
  <c r="BT332" i="2" s="1"/>
  <c r="BT333" i="2" s="1"/>
  <c r="BT334" i="2" s="1"/>
  <c r="BT335" i="2" s="1"/>
  <c r="BT336" i="2" s="1"/>
  <c r="BT337" i="2" s="1"/>
  <c r="BT338" i="2" s="1"/>
  <c r="BT339" i="2" s="1"/>
  <c r="BT340" i="2" s="1"/>
  <c r="BT341" i="2" s="1"/>
  <c r="BT342" i="2" s="1"/>
  <c r="BT343" i="2" s="1"/>
  <c r="BT344" i="2" s="1"/>
  <c r="BT345" i="2" s="1"/>
  <c r="BT346" i="2" s="1"/>
  <c r="BT347" i="2" s="1"/>
  <c r="BT348" i="2" s="1"/>
  <c r="BT349" i="2" s="1"/>
  <c r="BT350" i="2" s="1"/>
  <c r="BT351" i="2" s="1"/>
  <c r="BT352" i="2" s="1"/>
  <c r="BT353" i="2" s="1"/>
  <c r="BT354" i="2" s="1"/>
  <c r="BT355" i="2" s="1"/>
  <c r="BT356" i="2" s="1"/>
  <c r="BT357" i="2" s="1"/>
  <c r="BT358" i="2" s="1"/>
  <c r="BT359" i="2" s="1"/>
  <c r="BT360" i="2" s="1"/>
  <c r="BT361" i="2" s="1"/>
  <c r="BT362" i="2" s="1"/>
  <c r="BT363" i="2" s="1"/>
  <c r="BT364" i="2" s="1"/>
  <c r="BT365" i="2" s="1"/>
  <c r="BT366" i="2" s="1"/>
  <c r="BT367" i="2" s="1"/>
  <c r="BT368" i="2" s="1"/>
  <c r="BT369" i="2" s="1"/>
  <c r="BT370" i="2" s="1"/>
  <c r="BT371" i="2" s="1"/>
  <c r="BT372" i="2" s="1"/>
  <c r="BT373" i="2" s="1"/>
  <c r="BT374" i="2" s="1"/>
  <c r="BT375" i="2" s="1"/>
  <c r="BT376" i="2" s="1"/>
  <c r="BT377" i="2" s="1"/>
  <c r="BT378" i="2" s="1"/>
  <c r="BT379" i="2" s="1"/>
  <c r="BT380" i="2" s="1"/>
  <c r="BT381" i="2" s="1"/>
  <c r="BT382" i="2" s="1"/>
  <c r="BT383" i="2" s="1"/>
  <c r="BT384" i="2" s="1"/>
  <c r="BT385" i="2" s="1"/>
  <c r="BT386" i="2" s="1"/>
  <c r="BT387" i="2" s="1"/>
  <c r="BT388" i="2" s="1"/>
  <c r="BT389" i="2" s="1"/>
  <c r="BT390" i="2" s="1"/>
  <c r="BT391" i="2" s="1"/>
  <c r="BT392" i="2" s="1"/>
  <c r="BT393" i="2" s="1"/>
  <c r="BT394" i="2" s="1"/>
  <c r="BT395" i="2" s="1"/>
  <c r="BT396" i="2" s="1"/>
  <c r="BT397" i="2" s="1"/>
  <c r="BT398" i="2" s="1"/>
  <c r="BT399" i="2" s="1"/>
  <c r="BT400" i="2" s="1"/>
  <c r="BT401" i="2" s="1"/>
  <c r="BT402" i="2" s="1"/>
  <c r="BT403" i="2" s="1"/>
  <c r="BT404" i="2" s="1"/>
  <c r="BT405" i="2" s="1"/>
  <c r="BT406" i="2" s="1"/>
  <c r="BT407" i="2" s="1"/>
  <c r="BT408" i="2" s="1"/>
  <c r="BT409" i="2" s="1"/>
  <c r="BT410" i="2" s="1"/>
  <c r="BT411" i="2" s="1"/>
  <c r="BT412" i="2" s="1"/>
  <c r="BT413" i="2" s="1"/>
  <c r="BT414" i="2" s="1"/>
  <c r="BT415" i="2" s="1"/>
  <c r="BT416" i="2" s="1"/>
  <c r="BT417" i="2" s="1"/>
  <c r="BT418" i="2" s="1"/>
  <c r="BT419" i="2" s="1"/>
  <c r="BT420" i="2" s="1"/>
  <c r="BT421" i="2" s="1"/>
  <c r="BT422" i="2" s="1"/>
  <c r="BT423" i="2" s="1"/>
  <c r="BT424" i="2" s="1"/>
  <c r="BT425" i="2" s="1"/>
  <c r="BT426" i="2" s="1"/>
  <c r="BT427" i="2" s="1"/>
  <c r="BT428" i="2" s="1"/>
  <c r="BT429" i="2" s="1"/>
  <c r="BT430" i="2" s="1"/>
  <c r="BT431" i="2" s="1"/>
  <c r="BT432" i="2" s="1"/>
  <c r="BT433" i="2" s="1"/>
  <c r="BT434" i="2" s="1"/>
  <c r="BT435" i="2" s="1"/>
  <c r="BT436" i="2" s="1"/>
  <c r="BT437" i="2" s="1"/>
  <c r="BT438" i="2" s="1"/>
  <c r="BT439" i="2" s="1"/>
  <c r="BT440" i="2" s="1"/>
  <c r="BT441" i="2" s="1"/>
  <c r="BT442" i="2" s="1"/>
  <c r="BT443" i="2" s="1"/>
  <c r="BT444" i="2" s="1"/>
  <c r="BT445" i="2" s="1"/>
  <c r="BT446" i="2" s="1"/>
  <c r="BT447" i="2" s="1"/>
  <c r="BT448" i="2" s="1"/>
  <c r="BT449" i="2" s="1"/>
  <c r="BT450" i="2" s="1"/>
  <c r="BT451" i="2" s="1"/>
  <c r="BT452" i="2" s="1"/>
  <c r="BT453" i="2" s="1"/>
  <c r="BT454" i="2" s="1"/>
  <c r="BT455" i="2" s="1"/>
  <c r="BT456" i="2" s="1"/>
  <c r="BT457" i="2" s="1"/>
  <c r="BT458" i="2" s="1"/>
  <c r="BT459" i="2" s="1"/>
  <c r="BT460" i="2" s="1"/>
  <c r="BT461" i="2" s="1"/>
  <c r="BT462" i="2" s="1"/>
  <c r="BT463" i="2" s="1"/>
  <c r="BT464" i="2" s="1"/>
  <c r="BT465" i="2" s="1"/>
  <c r="BT466" i="2" s="1"/>
  <c r="BT467" i="2" s="1"/>
  <c r="BT468" i="2" s="1"/>
  <c r="BT469" i="2" s="1"/>
  <c r="BT470" i="2" s="1"/>
  <c r="BT471" i="2" s="1"/>
  <c r="BT472" i="2" s="1"/>
  <c r="BT473" i="2" s="1"/>
  <c r="BT474" i="2" s="1"/>
  <c r="BT475" i="2" s="1"/>
  <c r="BT476" i="2" s="1"/>
  <c r="BT477" i="2" s="1"/>
  <c r="BT478" i="2" s="1"/>
  <c r="BT479" i="2" s="1"/>
  <c r="BT480" i="2" s="1"/>
  <c r="BT481" i="2" s="1"/>
  <c r="BT482" i="2" s="1"/>
  <c r="BT483" i="2" s="1"/>
  <c r="BT484" i="2" s="1"/>
  <c r="BT485" i="2" s="1"/>
  <c r="BT486" i="2" s="1"/>
  <c r="BT487" i="2" s="1"/>
  <c r="BT488" i="2" s="1"/>
  <c r="BT489" i="2" s="1"/>
  <c r="BT490" i="2" s="1"/>
  <c r="BT491" i="2" s="1"/>
  <c r="BT492" i="2" s="1"/>
  <c r="BT493" i="2" s="1"/>
  <c r="BT494" i="2" s="1"/>
  <c r="BT495" i="2" s="1"/>
  <c r="BT496" i="2" s="1"/>
  <c r="BT497" i="2" s="1"/>
  <c r="BT498" i="2" s="1"/>
  <c r="BT499" i="2" s="1"/>
  <c r="BT500" i="2" s="1"/>
  <c r="BT501" i="2" s="1"/>
  <c r="BT502" i="2" s="1"/>
  <c r="BT503" i="2" s="1"/>
  <c r="BT504" i="2" s="1"/>
  <c r="BT505" i="2" s="1"/>
  <c r="BT506" i="2" s="1"/>
  <c r="BT507" i="2" s="1"/>
  <c r="BT508" i="2" s="1"/>
  <c r="BT509" i="2" s="1"/>
  <c r="BT510" i="2" s="1"/>
  <c r="BT511" i="2" s="1"/>
  <c r="BT512" i="2" s="1"/>
  <c r="BT513" i="2" s="1"/>
  <c r="BT514" i="2" s="1"/>
  <c r="BT515" i="2" s="1"/>
  <c r="BT516" i="2" s="1"/>
  <c r="BT517" i="2" s="1"/>
  <c r="BT518" i="2" s="1"/>
  <c r="BT519" i="2" s="1"/>
  <c r="BT520" i="2" s="1"/>
  <c r="BT521" i="2" s="1"/>
  <c r="BT522" i="2" s="1"/>
  <c r="BT523" i="2" s="1"/>
  <c r="BT524" i="2" s="1"/>
  <c r="BT525" i="2" s="1"/>
  <c r="BT526" i="2" s="1"/>
  <c r="BT527" i="2" s="1"/>
  <c r="BT528" i="2" s="1"/>
  <c r="BT529" i="2" s="1"/>
  <c r="BT530" i="2" s="1"/>
  <c r="BT531" i="2" s="1"/>
  <c r="BT532" i="2" s="1"/>
  <c r="BT533" i="2" s="1"/>
  <c r="BT534" i="2" s="1"/>
  <c r="BT535" i="2" s="1"/>
  <c r="BT536" i="2" s="1"/>
  <c r="BT537" i="2" s="1"/>
  <c r="BT538" i="2" s="1"/>
  <c r="BT539" i="2" s="1"/>
  <c r="BT540" i="2" s="1"/>
  <c r="BT541" i="2" s="1"/>
  <c r="BT542" i="2" s="1"/>
  <c r="BT543" i="2" s="1"/>
  <c r="BT544" i="2" s="1"/>
  <c r="BT545" i="2" s="1"/>
  <c r="BT546" i="2" s="1"/>
  <c r="BT547" i="2" s="1"/>
  <c r="BT548" i="2" s="1"/>
  <c r="BT549" i="2" s="1"/>
  <c r="BT550" i="2" s="1"/>
  <c r="BT551" i="2" s="1"/>
  <c r="BT552" i="2" s="1"/>
  <c r="BT553" i="2" s="1"/>
  <c r="BT554" i="2" s="1"/>
  <c r="BT555" i="2" s="1"/>
  <c r="BT556" i="2" s="1"/>
  <c r="BT557" i="2" s="1"/>
  <c r="BT558" i="2" s="1"/>
  <c r="BT559" i="2" s="1"/>
  <c r="BT560" i="2" s="1"/>
  <c r="BT561" i="2" s="1"/>
  <c r="BT562" i="2" s="1"/>
  <c r="BT563" i="2" s="1"/>
  <c r="BT564" i="2" s="1"/>
  <c r="BT565" i="2" s="1"/>
  <c r="BT566" i="2" s="1"/>
  <c r="BT567" i="2" s="1"/>
  <c r="BT568" i="2" s="1"/>
  <c r="BT569" i="2" s="1"/>
  <c r="BT570" i="2" s="1"/>
  <c r="BT571" i="2" s="1"/>
  <c r="BT572" i="2" s="1"/>
  <c r="BT573" i="2" s="1"/>
  <c r="BT574" i="2" s="1"/>
  <c r="BT575" i="2" s="1"/>
  <c r="BT576" i="2" s="1"/>
  <c r="BT577" i="2" s="1"/>
  <c r="BT578" i="2" s="1"/>
  <c r="BT579" i="2" s="1"/>
  <c r="BT580" i="2" s="1"/>
  <c r="BT581" i="2" s="1"/>
  <c r="BT582" i="2" s="1"/>
  <c r="BT583" i="2" s="1"/>
  <c r="BT584" i="2" s="1"/>
  <c r="BT585" i="2" s="1"/>
  <c r="BT586" i="2" s="1"/>
  <c r="BT587" i="2" s="1"/>
  <c r="BT588" i="2" s="1"/>
  <c r="BT589" i="2" s="1"/>
  <c r="BT590" i="2" s="1"/>
  <c r="BT591" i="2" s="1"/>
  <c r="BT592" i="2" s="1"/>
  <c r="BT593" i="2" s="1"/>
  <c r="BT594" i="2" s="1"/>
  <c r="BT595" i="2" s="1"/>
  <c r="BT596" i="2" s="1"/>
  <c r="BT597" i="2" s="1"/>
  <c r="BT598" i="2" s="1"/>
  <c r="BT599" i="2" s="1"/>
  <c r="BT600" i="2" s="1"/>
  <c r="BT601" i="2" s="1"/>
  <c r="BT602" i="2" s="1"/>
  <c r="BT603" i="2" s="1"/>
  <c r="BT604" i="2" s="1"/>
  <c r="BT605" i="2" s="1"/>
  <c r="BT606" i="2" s="1"/>
  <c r="BT607" i="2" s="1"/>
  <c r="BT608" i="2" s="1"/>
  <c r="BT609" i="2" s="1"/>
  <c r="BT610" i="2" s="1"/>
  <c r="BS4" i="2"/>
  <c r="BS5" i="2" s="1"/>
  <c r="BS6" i="2" s="1"/>
  <c r="BS7" i="2" s="1"/>
  <c r="BS8" i="2" s="1"/>
  <c r="BS9" i="2" s="1"/>
  <c r="BS10" i="2" s="1"/>
  <c r="BS11" i="2" s="1"/>
  <c r="BS12" i="2" s="1"/>
  <c r="BS13" i="2" s="1"/>
  <c r="BS14" i="2" s="1"/>
  <c r="BS15" i="2" s="1"/>
  <c r="BS16" i="2" s="1"/>
  <c r="BS17" i="2" s="1"/>
  <c r="BS18" i="2" s="1"/>
  <c r="BS19" i="2" s="1"/>
  <c r="BS20" i="2" s="1"/>
  <c r="BS21" i="2" s="1"/>
  <c r="BS22" i="2" s="1"/>
  <c r="BS23" i="2" s="1"/>
  <c r="BS24" i="2" s="1"/>
  <c r="BS25" i="2" s="1"/>
  <c r="BS26" i="2" s="1"/>
  <c r="BS27" i="2" s="1"/>
  <c r="BS28" i="2" s="1"/>
  <c r="BS29" i="2" s="1"/>
  <c r="BS30" i="2" s="1"/>
  <c r="BS31" i="2" s="1"/>
  <c r="BS32" i="2" s="1"/>
  <c r="BS33" i="2" s="1"/>
  <c r="BS34" i="2" s="1"/>
  <c r="BS35" i="2" s="1"/>
  <c r="BS36" i="2" s="1"/>
  <c r="BS37" i="2" s="1"/>
  <c r="BS38" i="2" s="1"/>
  <c r="BS39" i="2" s="1"/>
  <c r="BS40" i="2" s="1"/>
  <c r="BS41" i="2" s="1"/>
  <c r="BS42" i="2" s="1"/>
  <c r="BS43" i="2" s="1"/>
  <c r="BS44" i="2" s="1"/>
  <c r="BS45" i="2" s="1"/>
  <c r="BS46" i="2" s="1"/>
  <c r="BS47" i="2" s="1"/>
  <c r="BS48" i="2" s="1"/>
  <c r="BS49" i="2" s="1"/>
  <c r="BS50" i="2" s="1"/>
  <c r="BS51" i="2" s="1"/>
  <c r="BS52" i="2" s="1"/>
  <c r="BS53" i="2" s="1"/>
  <c r="BS54" i="2" s="1"/>
  <c r="BS55" i="2" s="1"/>
  <c r="BS56" i="2" s="1"/>
  <c r="BS57" i="2" s="1"/>
  <c r="BS58" i="2" s="1"/>
  <c r="BS59" i="2" s="1"/>
  <c r="BS60" i="2" s="1"/>
  <c r="BS61" i="2" s="1"/>
  <c r="BS62" i="2" s="1"/>
  <c r="BS63" i="2" s="1"/>
  <c r="BS64" i="2" s="1"/>
  <c r="BS65" i="2" s="1"/>
  <c r="BS66" i="2" s="1"/>
  <c r="BS67" i="2" s="1"/>
  <c r="BS68" i="2" s="1"/>
  <c r="BS69" i="2" s="1"/>
  <c r="BS70" i="2" s="1"/>
  <c r="BS71" i="2" s="1"/>
  <c r="BS72" i="2" s="1"/>
  <c r="BS73" i="2" s="1"/>
  <c r="BS74" i="2" s="1"/>
  <c r="BS75" i="2" s="1"/>
  <c r="BS76" i="2" s="1"/>
  <c r="BS77" i="2" s="1"/>
  <c r="BS78" i="2" s="1"/>
  <c r="BS79" i="2" s="1"/>
  <c r="BS80" i="2" s="1"/>
  <c r="BS81" i="2" s="1"/>
  <c r="BS82" i="2" s="1"/>
  <c r="BS83" i="2" s="1"/>
  <c r="BS84" i="2" s="1"/>
  <c r="BS85" i="2" s="1"/>
  <c r="BS86" i="2" s="1"/>
  <c r="BS87" i="2" s="1"/>
  <c r="BS88" i="2" s="1"/>
  <c r="BS89" i="2" s="1"/>
  <c r="BS90" i="2" s="1"/>
  <c r="BS91" i="2" s="1"/>
  <c r="BS92" i="2" s="1"/>
  <c r="BS93" i="2" s="1"/>
  <c r="BS94" i="2" s="1"/>
  <c r="BS95" i="2" s="1"/>
  <c r="BS96" i="2" s="1"/>
  <c r="BS97" i="2" s="1"/>
  <c r="BS98" i="2" s="1"/>
  <c r="BS99" i="2" s="1"/>
  <c r="BS100" i="2" s="1"/>
  <c r="BS101" i="2" s="1"/>
  <c r="BS102" i="2" s="1"/>
  <c r="BS103" i="2" s="1"/>
  <c r="BS104" i="2" s="1"/>
  <c r="BS105" i="2" s="1"/>
  <c r="BS106" i="2" s="1"/>
  <c r="BS107" i="2" s="1"/>
  <c r="BS108" i="2" s="1"/>
  <c r="BS109" i="2" s="1"/>
  <c r="BS110" i="2" s="1"/>
  <c r="BS111" i="2" s="1"/>
  <c r="BS112" i="2" s="1"/>
  <c r="BS113" i="2" s="1"/>
  <c r="BS114" i="2" s="1"/>
  <c r="BS115" i="2" s="1"/>
  <c r="BS116" i="2" s="1"/>
  <c r="BS117" i="2" s="1"/>
  <c r="BS118" i="2" s="1"/>
  <c r="BS119" i="2" s="1"/>
  <c r="BS120" i="2" s="1"/>
  <c r="BS121" i="2" s="1"/>
  <c r="BS122" i="2" s="1"/>
  <c r="BS123" i="2" s="1"/>
  <c r="BS124" i="2" s="1"/>
  <c r="BS125" i="2" s="1"/>
  <c r="BS126" i="2" s="1"/>
  <c r="BS127" i="2" s="1"/>
  <c r="BS128" i="2" s="1"/>
  <c r="BS129" i="2" s="1"/>
  <c r="BS130" i="2" s="1"/>
  <c r="BS131" i="2" s="1"/>
  <c r="BS132" i="2" s="1"/>
  <c r="BS133" i="2" s="1"/>
  <c r="BS134" i="2" s="1"/>
  <c r="BS135" i="2" s="1"/>
  <c r="BS136" i="2" s="1"/>
  <c r="BS137" i="2" s="1"/>
  <c r="BS138" i="2" s="1"/>
  <c r="BS139" i="2" s="1"/>
  <c r="BS140" i="2" s="1"/>
  <c r="BS141" i="2" s="1"/>
  <c r="BS142" i="2" s="1"/>
  <c r="BS143" i="2" s="1"/>
  <c r="BS144" i="2" s="1"/>
  <c r="BS145" i="2" s="1"/>
  <c r="BS146" i="2" s="1"/>
  <c r="BS147" i="2" s="1"/>
  <c r="BS148" i="2" s="1"/>
  <c r="BS149" i="2" s="1"/>
  <c r="BS150" i="2" s="1"/>
  <c r="BS151" i="2" s="1"/>
  <c r="BS152" i="2" s="1"/>
  <c r="BS153" i="2" s="1"/>
  <c r="BS154" i="2" s="1"/>
  <c r="BS155" i="2" s="1"/>
  <c r="BS156" i="2" s="1"/>
  <c r="BS157" i="2" s="1"/>
  <c r="BS158" i="2" s="1"/>
  <c r="BS159" i="2" s="1"/>
  <c r="BS160" i="2" s="1"/>
  <c r="BS161" i="2" s="1"/>
  <c r="BS162" i="2" s="1"/>
  <c r="BS163" i="2" s="1"/>
  <c r="BS164" i="2" s="1"/>
  <c r="BS165" i="2" s="1"/>
  <c r="BS166" i="2" s="1"/>
  <c r="BS167" i="2" s="1"/>
  <c r="BS168" i="2" s="1"/>
  <c r="BS169" i="2" s="1"/>
  <c r="BS170" i="2" s="1"/>
  <c r="BS171" i="2" s="1"/>
  <c r="BS172" i="2" s="1"/>
  <c r="BS173" i="2" s="1"/>
  <c r="BS174" i="2" s="1"/>
  <c r="BS175" i="2" s="1"/>
  <c r="BS176" i="2" s="1"/>
  <c r="BS177" i="2" s="1"/>
  <c r="BS178" i="2" s="1"/>
  <c r="BS179" i="2" s="1"/>
  <c r="BS180" i="2" s="1"/>
  <c r="BS181" i="2" s="1"/>
  <c r="BS182" i="2" s="1"/>
  <c r="BS183" i="2" s="1"/>
  <c r="BS184" i="2" s="1"/>
  <c r="BS185" i="2" s="1"/>
  <c r="BS186" i="2" s="1"/>
  <c r="BS187" i="2" s="1"/>
  <c r="BS188" i="2" s="1"/>
  <c r="BS189" i="2" s="1"/>
  <c r="BS190" i="2" s="1"/>
  <c r="BS191" i="2" s="1"/>
  <c r="BS192" i="2" s="1"/>
  <c r="BS193" i="2" s="1"/>
  <c r="BS194" i="2" s="1"/>
  <c r="BS195" i="2" s="1"/>
  <c r="BS196" i="2" s="1"/>
  <c r="BS197" i="2" s="1"/>
  <c r="BS198" i="2" s="1"/>
  <c r="BS199" i="2" s="1"/>
  <c r="BS200" i="2" s="1"/>
  <c r="BS201" i="2" s="1"/>
  <c r="BS202" i="2" s="1"/>
  <c r="BS203" i="2" s="1"/>
  <c r="BS204" i="2" s="1"/>
  <c r="BS205" i="2" s="1"/>
  <c r="BS206" i="2" s="1"/>
  <c r="BS207" i="2" s="1"/>
  <c r="BS208" i="2" s="1"/>
  <c r="BS209" i="2" s="1"/>
  <c r="BS210" i="2" s="1"/>
  <c r="BS211" i="2" s="1"/>
  <c r="BS212" i="2" s="1"/>
  <c r="BS213" i="2" s="1"/>
  <c r="BS214" i="2" s="1"/>
  <c r="BS215" i="2" s="1"/>
  <c r="BS216" i="2" s="1"/>
  <c r="BS217" i="2" s="1"/>
  <c r="BS218" i="2" s="1"/>
  <c r="BS219" i="2" s="1"/>
  <c r="BS220" i="2" s="1"/>
  <c r="BS221" i="2" s="1"/>
  <c r="BS222" i="2" s="1"/>
  <c r="BS223" i="2" s="1"/>
  <c r="BS224" i="2" s="1"/>
  <c r="BS225" i="2" s="1"/>
  <c r="BS226" i="2" s="1"/>
  <c r="BS227" i="2" s="1"/>
  <c r="BS228" i="2" s="1"/>
  <c r="BS229" i="2" s="1"/>
  <c r="BS230" i="2" s="1"/>
  <c r="BS231" i="2" s="1"/>
  <c r="BS232" i="2" s="1"/>
  <c r="BS233" i="2" s="1"/>
  <c r="BS234" i="2" s="1"/>
  <c r="BS235" i="2" s="1"/>
  <c r="BS236" i="2" s="1"/>
  <c r="BS237" i="2" s="1"/>
  <c r="BS238" i="2" s="1"/>
  <c r="BS239" i="2" s="1"/>
  <c r="BS240" i="2" s="1"/>
  <c r="BS241" i="2" s="1"/>
  <c r="BS242" i="2" s="1"/>
  <c r="BS243" i="2" s="1"/>
  <c r="BS244" i="2" s="1"/>
  <c r="BS245" i="2" s="1"/>
  <c r="BS246" i="2" s="1"/>
  <c r="BS247" i="2" s="1"/>
  <c r="BS248" i="2" s="1"/>
  <c r="BS249" i="2" s="1"/>
  <c r="BS250" i="2" s="1"/>
  <c r="BS251" i="2" s="1"/>
  <c r="BS252" i="2" s="1"/>
  <c r="BS253" i="2" s="1"/>
  <c r="BS254" i="2" s="1"/>
  <c r="BS255" i="2" s="1"/>
  <c r="BS256" i="2" s="1"/>
  <c r="BS257" i="2" s="1"/>
  <c r="BS258" i="2" s="1"/>
  <c r="BS259" i="2" s="1"/>
  <c r="BS260" i="2" s="1"/>
  <c r="BS261" i="2" s="1"/>
  <c r="BS262" i="2" s="1"/>
  <c r="BS263" i="2" s="1"/>
  <c r="BS264" i="2" s="1"/>
  <c r="BS265" i="2" s="1"/>
  <c r="BS266" i="2" s="1"/>
  <c r="BS267" i="2" s="1"/>
  <c r="BS268" i="2" s="1"/>
  <c r="BS269" i="2" s="1"/>
  <c r="BS270" i="2" s="1"/>
  <c r="BS271" i="2" s="1"/>
  <c r="BS272" i="2" s="1"/>
  <c r="BS273" i="2" s="1"/>
  <c r="BS274" i="2" s="1"/>
  <c r="BS275" i="2" s="1"/>
  <c r="BS276" i="2" s="1"/>
  <c r="BS277" i="2" s="1"/>
  <c r="BS278" i="2" s="1"/>
  <c r="BS279" i="2" s="1"/>
  <c r="BS280" i="2" s="1"/>
  <c r="BS281" i="2" s="1"/>
  <c r="BS282" i="2" s="1"/>
  <c r="BS283" i="2" s="1"/>
  <c r="BS284" i="2" s="1"/>
  <c r="BS285" i="2" s="1"/>
  <c r="BS286" i="2" s="1"/>
  <c r="BS287" i="2" s="1"/>
  <c r="BS288" i="2" s="1"/>
  <c r="BS289" i="2" s="1"/>
  <c r="BS290" i="2" s="1"/>
  <c r="BS291" i="2" s="1"/>
  <c r="BS292" i="2" s="1"/>
  <c r="BS293" i="2" s="1"/>
  <c r="BS294" i="2" s="1"/>
  <c r="BS295" i="2" s="1"/>
  <c r="BS296" i="2" s="1"/>
  <c r="BS297" i="2" s="1"/>
  <c r="BS298" i="2" s="1"/>
  <c r="BS299" i="2" s="1"/>
  <c r="BS300" i="2" s="1"/>
  <c r="BS301" i="2" s="1"/>
  <c r="BS302" i="2" s="1"/>
  <c r="BS303" i="2" s="1"/>
  <c r="BS304" i="2" s="1"/>
  <c r="BS305" i="2" s="1"/>
  <c r="BS306" i="2" s="1"/>
  <c r="BS307" i="2" s="1"/>
  <c r="BS308" i="2" s="1"/>
  <c r="BS309" i="2" s="1"/>
  <c r="BS310" i="2" s="1"/>
  <c r="BS311" i="2" s="1"/>
  <c r="BS312" i="2" s="1"/>
  <c r="BS313" i="2" s="1"/>
  <c r="BS314" i="2" s="1"/>
  <c r="BS315" i="2" s="1"/>
  <c r="BS316" i="2" s="1"/>
  <c r="BS317" i="2" s="1"/>
  <c r="BS318" i="2" s="1"/>
  <c r="BS319" i="2" s="1"/>
  <c r="BS320" i="2" s="1"/>
  <c r="BS321" i="2" s="1"/>
  <c r="BS322" i="2" s="1"/>
  <c r="BS323" i="2" s="1"/>
  <c r="BS324" i="2" s="1"/>
  <c r="BS325" i="2" s="1"/>
  <c r="BS326" i="2" s="1"/>
  <c r="BS327" i="2" s="1"/>
  <c r="BS328" i="2" s="1"/>
  <c r="BS329" i="2" s="1"/>
  <c r="BS330" i="2" s="1"/>
  <c r="BS331" i="2" s="1"/>
  <c r="BS332" i="2" s="1"/>
  <c r="BS333" i="2" s="1"/>
  <c r="BS334" i="2" s="1"/>
  <c r="BS335" i="2" s="1"/>
  <c r="BS336" i="2" s="1"/>
  <c r="BS337" i="2" s="1"/>
  <c r="BS338" i="2" s="1"/>
  <c r="BS339" i="2" s="1"/>
  <c r="BS340" i="2" s="1"/>
  <c r="BS341" i="2" s="1"/>
  <c r="BS342" i="2" s="1"/>
  <c r="BS343" i="2" s="1"/>
  <c r="BS344" i="2" s="1"/>
  <c r="BS345" i="2" s="1"/>
  <c r="BS346" i="2" s="1"/>
  <c r="BS347" i="2" s="1"/>
  <c r="BS348" i="2" s="1"/>
  <c r="BS349" i="2" s="1"/>
  <c r="BS350" i="2" s="1"/>
  <c r="BS351" i="2" s="1"/>
  <c r="BS352" i="2" s="1"/>
  <c r="BS353" i="2" s="1"/>
  <c r="BS354" i="2" s="1"/>
  <c r="BS355" i="2" s="1"/>
  <c r="BS356" i="2" s="1"/>
  <c r="BS357" i="2" s="1"/>
  <c r="BS358" i="2" s="1"/>
  <c r="BS359" i="2" s="1"/>
  <c r="BS360" i="2" s="1"/>
  <c r="BS361" i="2" s="1"/>
  <c r="BS362" i="2" s="1"/>
  <c r="BS363" i="2" s="1"/>
  <c r="BS364" i="2" s="1"/>
  <c r="BS365" i="2" s="1"/>
  <c r="BS366" i="2" s="1"/>
  <c r="BS367" i="2" s="1"/>
  <c r="BS368" i="2" s="1"/>
  <c r="BS369" i="2" s="1"/>
  <c r="BS370" i="2" s="1"/>
  <c r="BS371" i="2" s="1"/>
  <c r="BS372" i="2" s="1"/>
  <c r="BS373" i="2" s="1"/>
  <c r="BS374" i="2" s="1"/>
  <c r="BS375" i="2" s="1"/>
  <c r="BS376" i="2" s="1"/>
  <c r="BS377" i="2" s="1"/>
  <c r="BS378" i="2" s="1"/>
  <c r="BS379" i="2" s="1"/>
  <c r="BS380" i="2" s="1"/>
  <c r="BS381" i="2" s="1"/>
  <c r="BS382" i="2" s="1"/>
  <c r="BS383" i="2" s="1"/>
  <c r="BS384" i="2" s="1"/>
  <c r="BS385" i="2" s="1"/>
  <c r="BS386" i="2" s="1"/>
  <c r="BS387" i="2" s="1"/>
  <c r="BS388" i="2" s="1"/>
  <c r="BS389" i="2" s="1"/>
  <c r="BS390" i="2" s="1"/>
  <c r="BS391" i="2" s="1"/>
  <c r="BS392" i="2" s="1"/>
  <c r="BS393" i="2" s="1"/>
  <c r="BS394" i="2" s="1"/>
  <c r="BS395" i="2" s="1"/>
  <c r="BS396" i="2" s="1"/>
  <c r="BS397" i="2" s="1"/>
  <c r="BS398" i="2" s="1"/>
  <c r="BS399" i="2" s="1"/>
  <c r="BS400" i="2" s="1"/>
  <c r="BS401" i="2" s="1"/>
  <c r="BS402" i="2" s="1"/>
  <c r="BS403" i="2" s="1"/>
  <c r="BS404" i="2" s="1"/>
  <c r="BS405" i="2" s="1"/>
  <c r="BS406" i="2" s="1"/>
  <c r="BS407" i="2" s="1"/>
  <c r="BS408" i="2" s="1"/>
  <c r="BS409" i="2" s="1"/>
  <c r="BS410" i="2" s="1"/>
  <c r="BS411" i="2" s="1"/>
  <c r="BS412" i="2" s="1"/>
  <c r="BS413" i="2" s="1"/>
  <c r="BS414" i="2" s="1"/>
  <c r="BS415" i="2" s="1"/>
  <c r="BS416" i="2" s="1"/>
  <c r="BS417" i="2" s="1"/>
  <c r="BS418" i="2" s="1"/>
  <c r="BS419" i="2" s="1"/>
  <c r="BS420" i="2" s="1"/>
  <c r="BS421" i="2" s="1"/>
  <c r="BS422" i="2" s="1"/>
  <c r="BS423" i="2" s="1"/>
  <c r="BS424" i="2" s="1"/>
  <c r="BS425" i="2" s="1"/>
  <c r="BS426" i="2" s="1"/>
  <c r="BS427" i="2" s="1"/>
  <c r="BS428" i="2" s="1"/>
  <c r="BS429" i="2" s="1"/>
  <c r="BS430" i="2" s="1"/>
  <c r="BS431" i="2" s="1"/>
  <c r="BS432" i="2" s="1"/>
  <c r="BS433" i="2" s="1"/>
  <c r="BS434" i="2" s="1"/>
  <c r="BS435" i="2" s="1"/>
  <c r="BS436" i="2" s="1"/>
  <c r="BS437" i="2" s="1"/>
  <c r="BS438" i="2" s="1"/>
  <c r="BS439" i="2" s="1"/>
  <c r="BS440" i="2" s="1"/>
  <c r="BS441" i="2" s="1"/>
  <c r="BS442" i="2" s="1"/>
  <c r="BS443" i="2" s="1"/>
  <c r="BS444" i="2" s="1"/>
  <c r="BS445" i="2" s="1"/>
  <c r="BS446" i="2" s="1"/>
  <c r="BS447" i="2" s="1"/>
  <c r="BS448" i="2" s="1"/>
  <c r="BS449" i="2" s="1"/>
  <c r="BS450" i="2" s="1"/>
  <c r="BS451" i="2" s="1"/>
  <c r="BS452" i="2" s="1"/>
  <c r="BS453" i="2" s="1"/>
  <c r="BS454" i="2" s="1"/>
  <c r="BS455" i="2" s="1"/>
  <c r="BS456" i="2" s="1"/>
  <c r="BS457" i="2" s="1"/>
  <c r="BS458" i="2" s="1"/>
  <c r="BS459" i="2" s="1"/>
  <c r="BS460" i="2" s="1"/>
  <c r="BS461" i="2" s="1"/>
  <c r="BS462" i="2" s="1"/>
  <c r="BS463" i="2" s="1"/>
  <c r="BS464" i="2" s="1"/>
  <c r="BS465" i="2" s="1"/>
  <c r="BS466" i="2" s="1"/>
  <c r="BS467" i="2" s="1"/>
  <c r="BS468" i="2" s="1"/>
  <c r="BS469" i="2" s="1"/>
  <c r="BS470" i="2" s="1"/>
  <c r="BS471" i="2" s="1"/>
  <c r="BS472" i="2" s="1"/>
  <c r="BS473" i="2" s="1"/>
  <c r="BS474" i="2" s="1"/>
  <c r="BS475" i="2" s="1"/>
  <c r="BS476" i="2" s="1"/>
  <c r="BS477" i="2" s="1"/>
  <c r="BS478" i="2" s="1"/>
  <c r="BS479" i="2" s="1"/>
  <c r="BS480" i="2" s="1"/>
  <c r="BS481" i="2" s="1"/>
  <c r="BS482" i="2" s="1"/>
  <c r="BS483" i="2" s="1"/>
  <c r="BS484" i="2" s="1"/>
  <c r="BS485" i="2" s="1"/>
  <c r="BS486" i="2" s="1"/>
  <c r="BS487" i="2" s="1"/>
  <c r="BS488" i="2" s="1"/>
  <c r="BS489" i="2" s="1"/>
  <c r="BS490" i="2" s="1"/>
  <c r="BS491" i="2" s="1"/>
  <c r="BS492" i="2" s="1"/>
  <c r="BS493" i="2" s="1"/>
  <c r="BS494" i="2" s="1"/>
  <c r="BS495" i="2" s="1"/>
  <c r="BS496" i="2" s="1"/>
  <c r="BS497" i="2" s="1"/>
  <c r="BS498" i="2" s="1"/>
  <c r="BS499" i="2" s="1"/>
  <c r="BS500" i="2" s="1"/>
  <c r="BS501" i="2" s="1"/>
  <c r="BS502" i="2" s="1"/>
  <c r="BS503" i="2" s="1"/>
  <c r="BS504" i="2" s="1"/>
  <c r="BS505" i="2" s="1"/>
  <c r="BS506" i="2" s="1"/>
  <c r="BS507" i="2" s="1"/>
  <c r="BS508" i="2" s="1"/>
  <c r="BS509" i="2" s="1"/>
  <c r="BS510" i="2" s="1"/>
  <c r="BS511" i="2" s="1"/>
  <c r="BS512" i="2" s="1"/>
  <c r="BS513" i="2" s="1"/>
  <c r="BS514" i="2" s="1"/>
  <c r="BS515" i="2" s="1"/>
  <c r="BS516" i="2" s="1"/>
  <c r="BS517" i="2" s="1"/>
  <c r="BS518" i="2" s="1"/>
  <c r="BS519" i="2" s="1"/>
  <c r="BS520" i="2" s="1"/>
  <c r="BS521" i="2" s="1"/>
  <c r="BS522" i="2" s="1"/>
  <c r="BS523" i="2" s="1"/>
  <c r="BS524" i="2" s="1"/>
  <c r="BS525" i="2" s="1"/>
  <c r="BS526" i="2" s="1"/>
  <c r="BS527" i="2" s="1"/>
  <c r="BS528" i="2" s="1"/>
  <c r="BS529" i="2" s="1"/>
  <c r="BS530" i="2" s="1"/>
  <c r="BS531" i="2" s="1"/>
  <c r="BS532" i="2" s="1"/>
  <c r="BS533" i="2" s="1"/>
  <c r="BS534" i="2" s="1"/>
  <c r="BS535" i="2" s="1"/>
  <c r="BS536" i="2" s="1"/>
  <c r="BS537" i="2" s="1"/>
  <c r="BS538" i="2" s="1"/>
  <c r="BS539" i="2" s="1"/>
  <c r="BS540" i="2" s="1"/>
  <c r="BS541" i="2" s="1"/>
  <c r="BS542" i="2" s="1"/>
  <c r="BS543" i="2" s="1"/>
  <c r="BS544" i="2" s="1"/>
  <c r="BS545" i="2" s="1"/>
  <c r="BS546" i="2" s="1"/>
  <c r="BS547" i="2" s="1"/>
  <c r="BS548" i="2" s="1"/>
  <c r="AQ8" i="2"/>
  <c r="AQ4" i="2"/>
  <c r="AQ6" i="2" s="1"/>
  <c r="AP4" i="2"/>
  <c r="AR4" i="2" s="1"/>
  <c r="AM23" i="2"/>
  <c r="AM22" i="2"/>
  <c r="AM21" i="2"/>
  <c r="AN21" i="2" s="1"/>
  <c r="AM20" i="2"/>
  <c r="AN20" i="2" s="1"/>
  <c r="AM19" i="2"/>
  <c r="AM18" i="2"/>
  <c r="AM17" i="2"/>
  <c r="AN17" i="2" s="1"/>
  <c r="AM16" i="2"/>
  <c r="BC16" i="2" s="1"/>
  <c r="AM15" i="2"/>
  <c r="AM14" i="2"/>
  <c r="AM13" i="2"/>
  <c r="AN13" i="2" s="1"/>
  <c r="AM12" i="2"/>
  <c r="AN12" i="2" s="1"/>
  <c r="AM11" i="2"/>
  <c r="AM10" i="2"/>
  <c r="AM9" i="2"/>
  <c r="AN9" i="2" s="1"/>
  <c r="AM8" i="2"/>
  <c r="AN8" i="2" s="1"/>
  <c r="AM7" i="2"/>
  <c r="AM6" i="2"/>
  <c r="AM5" i="2"/>
  <c r="AN5" i="2" s="1"/>
  <c r="AM4" i="2"/>
  <c r="AN4" i="2" s="1"/>
  <c r="AP23" i="2"/>
  <c r="AR23" i="2" s="1"/>
  <c r="AP22" i="2"/>
  <c r="AR22" i="2" s="1"/>
  <c r="AP21" i="2"/>
  <c r="AR21" i="2" s="1"/>
  <c r="AP20" i="2"/>
  <c r="AR20" i="2" s="1"/>
  <c r="AP19" i="2"/>
  <c r="AR19" i="2" s="1"/>
  <c r="AP18" i="2"/>
  <c r="AR18" i="2" s="1"/>
  <c r="AP17" i="2"/>
  <c r="AR17" i="2" s="1"/>
  <c r="AP16" i="2"/>
  <c r="AR16" i="2" s="1"/>
  <c r="AP15" i="2"/>
  <c r="AR15" i="2" s="1"/>
  <c r="AP14" i="2"/>
  <c r="AR14" i="2" s="1"/>
  <c r="AP13" i="2"/>
  <c r="AR13" i="2" s="1"/>
  <c r="AP12" i="2"/>
  <c r="AR12" i="2" s="1"/>
  <c r="AP11" i="2"/>
  <c r="AR11" i="2" s="1"/>
  <c r="AP10" i="2"/>
  <c r="AR10" i="2" s="1"/>
  <c r="AP9" i="2"/>
  <c r="AR9" i="2" s="1"/>
  <c r="AP8" i="2"/>
  <c r="AR8" i="2" s="1"/>
  <c r="AP7" i="2"/>
  <c r="AR7" i="2" s="1"/>
  <c r="AP6" i="2"/>
  <c r="AR6" i="2" s="1"/>
  <c r="AP5" i="2"/>
  <c r="AR5" i="2" s="1"/>
  <c r="AB425" i="2"/>
  <c r="AB441" i="2"/>
  <c r="AB457" i="2"/>
  <c r="AB473" i="2"/>
  <c r="AB493" i="2"/>
  <c r="AB509" i="2"/>
  <c r="AB525" i="2"/>
  <c r="AB541" i="2"/>
  <c r="AB557" i="2"/>
  <c r="AB573" i="2"/>
  <c r="AB589" i="2"/>
  <c r="AB605" i="2"/>
  <c r="AA5" i="2"/>
  <c r="AA6" i="2"/>
  <c r="AA7" i="2"/>
  <c r="AA8" i="2"/>
  <c r="AB8" i="2" s="1"/>
  <c r="AA9" i="2"/>
  <c r="AB9" i="2" s="1"/>
  <c r="AA10" i="2"/>
  <c r="AA11" i="2"/>
  <c r="AB11" i="2" s="1"/>
  <c r="AA12" i="2"/>
  <c r="AB12" i="2" s="1"/>
  <c r="AA13" i="2"/>
  <c r="AA14" i="2"/>
  <c r="AB14" i="2" s="1"/>
  <c r="AA15" i="2"/>
  <c r="AB15" i="2" s="1"/>
  <c r="AA16" i="2"/>
  <c r="AB16" i="2" s="1"/>
  <c r="AA17" i="2"/>
  <c r="AB17" i="2" s="1"/>
  <c r="AA18" i="2"/>
  <c r="AA19" i="2"/>
  <c r="AA20" i="2"/>
  <c r="AB20" i="2" s="1"/>
  <c r="AA21" i="2"/>
  <c r="AB21" i="2" s="1"/>
  <c r="AA22" i="2"/>
  <c r="AB22" i="2" s="1"/>
  <c r="AA23" i="2"/>
  <c r="AA24" i="2"/>
  <c r="AB24" i="2" s="1"/>
  <c r="AA25" i="2"/>
  <c r="AA26" i="2"/>
  <c r="AB26" i="2" s="1"/>
  <c r="AA27" i="2"/>
  <c r="AB27" i="2" s="1"/>
  <c r="AA28" i="2"/>
  <c r="AB28" i="2" s="1"/>
  <c r="AA29" i="2"/>
  <c r="AB29" i="2" s="1"/>
  <c r="AA30" i="2"/>
  <c r="AA31" i="2"/>
  <c r="AB31" i="2" s="1"/>
  <c r="AA32" i="2"/>
  <c r="AB32" i="2" s="1"/>
  <c r="AA33" i="2"/>
  <c r="AA34" i="2"/>
  <c r="AB34" i="2" s="1"/>
  <c r="AA35" i="2"/>
  <c r="AA36" i="2"/>
  <c r="AB36" i="2" s="1"/>
  <c r="AA37" i="2"/>
  <c r="AA38" i="2"/>
  <c r="AA39" i="2"/>
  <c r="AA40" i="2"/>
  <c r="AB40" i="2" s="1"/>
  <c r="AA41" i="2"/>
  <c r="AB41" i="2" s="1"/>
  <c r="AA42" i="2"/>
  <c r="AA43" i="2"/>
  <c r="AB43" i="2" s="1"/>
  <c r="AA44" i="2"/>
  <c r="AB44" i="2" s="1"/>
  <c r="AA45" i="2"/>
  <c r="AA46" i="2"/>
  <c r="AB46" i="2" s="1"/>
  <c r="AA47" i="2"/>
  <c r="AB47" i="2" s="1"/>
  <c r="AA48" i="2"/>
  <c r="AB48" i="2" s="1"/>
  <c r="AA49" i="2"/>
  <c r="AB49" i="2" s="1"/>
  <c r="AA50" i="2"/>
  <c r="AA51" i="2"/>
  <c r="AA52" i="2"/>
  <c r="AB52" i="2" s="1"/>
  <c r="AA53" i="2"/>
  <c r="AB53" i="2" s="1"/>
  <c r="AA54" i="2"/>
  <c r="AB54" i="2" s="1"/>
  <c r="AA55" i="2"/>
  <c r="AA56" i="2"/>
  <c r="AB56" i="2" s="1"/>
  <c r="AA57" i="2"/>
  <c r="AA58" i="2"/>
  <c r="AB58" i="2" s="1"/>
  <c r="AA59" i="2"/>
  <c r="AB59" i="2" s="1"/>
  <c r="AA60" i="2"/>
  <c r="AB60" i="2" s="1"/>
  <c r="AA61" i="2"/>
  <c r="AB61" i="2" s="1"/>
  <c r="AA62" i="2"/>
  <c r="AA63" i="2"/>
  <c r="AB63" i="2" s="1"/>
  <c r="AA64" i="2"/>
  <c r="AB64" i="2" s="1"/>
  <c r="AA65" i="2"/>
  <c r="AA66" i="2"/>
  <c r="AB66" i="2" s="1"/>
  <c r="AA67" i="2"/>
  <c r="AA68" i="2"/>
  <c r="AB68" i="2" s="1"/>
  <c r="AA69" i="2"/>
  <c r="AA70" i="2"/>
  <c r="AA71" i="2"/>
  <c r="AA72" i="2"/>
  <c r="AB72" i="2" s="1"/>
  <c r="AA73" i="2"/>
  <c r="AB73" i="2" s="1"/>
  <c r="AA74" i="2"/>
  <c r="AA75" i="2"/>
  <c r="AB75" i="2" s="1"/>
  <c r="AA76" i="2"/>
  <c r="AB76" i="2" s="1"/>
  <c r="AA77" i="2"/>
  <c r="AA78" i="2"/>
  <c r="AB78" i="2" s="1"/>
  <c r="AA79" i="2"/>
  <c r="AB79" i="2" s="1"/>
  <c r="AA80" i="2"/>
  <c r="AB80" i="2" s="1"/>
  <c r="AA81" i="2"/>
  <c r="AB81" i="2" s="1"/>
  <c r="AA82" i="2"/>
  <c r="AA83" i="2"/>
  <c r="AA84" i="2"/>
  <c r="AB84" i="2" s="1"/>
  <c r="AA85" i="2"/>
  <c r="AB85" i="2" s="1"/>
  <c r="AA86" i="2"/>
  <c r="AB86" i="2" s="1"/>
  <c r="AA87" i="2"/>
  <c r="AA88" i="2"/>
  <c r="AB88" i="2" s="1"/>
  <c r="AA89" i="2"/>
  <c r="AA90" i="2"/>
  <c r="AB90" i="2" s="1"/>
  <c r="AA91" i="2"/>
  <c r="AB91" i="2" s="1"/>
  <c r="AA92" i="2"/>
  <c r="AB92" i="2" s="1"/>
  <c r="AA93" i="2"/>
  <c r="AB93" i="2" s="1"/>
  <c r="AA94" i="2"/>
  <c r="AA95" i="2"/>
  <c r="AB95" i="2" s="1"/>
  <c r="AA96" i="2"/>
  <c r="AB96" i="2" s="1"/>
  <c r="AA97" i="2"/>
  <c r="AA98" i="2"/>
  <c r="AB98" i="2" s="1"/>
  <c r="AA99" i="2"/>
  <c r="AA100" i="2"/>
  <c r="AB100" i="2" s="1"/>
  <c r="AA101" i="2"/>
  <c r="AA102" i="2"/>
  <c r="AA103" i="2"/>
  <c r="AA104" i="2"/>
  <c r="AB104" i="2" s="1"/>
  <c r="AA105" i="2"/>
  <c r="AB105" i="2" s="1"/>
  <c r="AA106" i="2"/>
  <c r="AA107" i="2"/>
  <c r="AB107" i="2" s="1"/>
  <c r="AA108" i="2"/>
  <c r="AB108" i="2" s="1"/>
  <c r="AA109" i="2"/>
  <c r="AA110" i="2"/>
  <c r="AB110" i="2" s="1"/>
  <c r="AA111" i="2"/>
  <c r="AB111" i="2" s="1"/>
  <c r="AA112" i="2"/>
  <c r="AB112" i="2" s="1"/>
  <c r="AA113" i="2"/>
  <c r="AB113" i="2" s="1"/>
  <c r="AA114" i="2"/>
  <c r="AA115" i="2"/>
  <c r="AA116" i="2"/>
  <c r="AB116" i="2" s="1"/>
  <c r="AA117" i="2"/>
  <c r="AB117" i="2" s="1"/>
  <c r="AA118" i="2"/>
  <c r="AB118" i="2" s="1"/>
  <c r="AA119" i="2"/>
  <c r="AA120" i="2"/>
  <c r="AB120" i="2" s="1"/>
  <c r="AA121" i="2"/>
  <c r="AA122" i="2"/>
  <c r="AB122" i="2" s="1"/>
  <c r="AA123" i="2"/>
  <c r="AB123" i="2" s="1"/>
  <c r="AA124" i="2"/>
  <c r="AB124" i="2" s="1"/>
  <c r="AA125" i="2"/>
  <c r="AB125" i="2" s="1"/>
  <c r="AA126" i="2"/>
  <c r="AA127" i="2"/>
  <c r="AB127" i="2" s="1"/>
  <c r="AA128" i="2"/>
  <c r="AB128" i="2" s="1"/>
  <c r="AA129" i="2"/>
  <c r="AA130" i="2"/>
  <c r="AB130" i="2" s="1"/>
  <c r="AA131" i="2"/>
  <c r="AA132" i="2"/>
  <c r="AB132" i="2" s="1"/>
  <c r="AA133" i="2"/>
  <c r="AA134" i="2"/>
  <c r="AB134" i="2" s="1"/>
  <c r="AA135" i="2"/>
  <c r="AA136" i="2"/>
  <c r="AB136" i="2" s="1"/>
  <c r="AA137" i="2"/>
  <c r="AB137" i="2" s="1"/>
  <c r="AA138" i="2"/>
  <c r="AA139" i="2"/>
  <c r="AB139" i="2" s="1"/>
  <c r="AA140" i="2"/>
  <c r="AB140" i="2" s="1"/>
  <c r="AA141" i="2"/>
  <c r="AA142" i="2"/>
  <c r="AB142" i="2" s="1"/>
  <c r="AA143" i="2"/>
  <c r="AB143" i="2" s="1"/>
  <c r="AA144" i="2"/>
  <c r="AB144" i="2" s="1"/>
  <c r="AA145" i="2"/>
  <c r="AB145" i="2" s="1"/>
  <c r="AA146" i="2"/>
  <c r="AA147" i="2"/>
  <c r="AA148" i="2"/>
  <c r="AB148" i="2" s="1"/>
  <c r="AA149" i="2"/>
  <c r="AB149" i="2" s="1"/>
  <c r="AA150" i="2"/>
  <c r="AB150" i="2" s="1"/>
  <c r="AA151" i="2"/>
  <c r="AA152" i="2"/>
  <c r="AB152" i="2" s="1"/>
  <c r="AA153" i="2"/>
  <c r="AA154" i="2"/>
  <c r="AB154" i="2" s="1"/>
  <c r="AA155" i="2"/>
  <c r="AB155" i="2" s="1"/>
  <c r="AA156" i="2"/>
  <c r="AB156" i="2" s="1"/>
  <c r="AA157" i="2"/>
  <c r="AB157" i="2" s="1"/>
  <c r="AA158" i="2"/>
  <c r="AA159" i="2"/>
  <c r="AB159" i="2" s="1"/>
  <c r="AA160" i="2"/>
  <c r="AB160" i="2" s="1"/>
  <c r="AA161" i="2"/>
  <c r="AA162" i="2"/>
  <c r="AB162" i="2" s="1"/>
  <c r="AA163" i="2"/>
  <c r="AA164" i="2"/>
  <c r="AB164" i="2" s="1"/>
  <c r="AA165" i="2"/>
  <c r="AA166" i="2"/>
  <c r="AB166" i="2" s="1"/>
  <c r="AA167" i="2"/>
  <c r="AA168" i="2"/>
  <c r="AB168" i="2" s="1"/>
  <c r="AA169" i="2"/>
  <c r="AB169" i="2" s="1"/>
  <c r="AA170" i="2"/>
  <c r="AA171" i="2"/>
  <c r="AB171" i="2" s="1"/>
  <c r="AA172" i="2"/>
  <c r="AB172" i="2" s="1"/>
  <c r="AA173" i="2"/>
  <c r="AA174" i="2"/>
  <c r="AB174" i="2" s="1"/>
  <c r="AA175" i="2"/>
  <c r="AB175" i="2" s="1"/>
  <c r="AA176" i="2"/>
  <c r="AB176" i="2" s="1"/>
  <c r="AA177" i="2"/>
  <c r="AB177" i="2" s="1"/>
  <c r="AA178" i="2"/>
  <c r="AA179" i="2"/>
  <c r="AA180" i="2"/>
  <c r="AB180" i="2" s="1"/>
  <c r="AA181" i="2"/>
  <c r="AB181" i="2" s="1"/>
  <c r="AA182" i="2"/>
  <c r="AB182" i="2" s="1"/>
  <c r="AA183" i="2"/>
  <c r="AA184" i="2"/>
  <c r="AB184" i="2" s="1"/>
  <c r="AA185" i="2"/>
  <c r="AA186" i="2"/>
  <c r="AB186" i="2" s="1"/>
  <c r="AA187" i="2"/>
  <c r="AB187" i="2" s="1"/>
  <c r="AA188" i="2"/>
  <c r="AB188" i="2" s="1"/>
  <c r="AA189" i="2"/>
  <c r="AB189" i="2" s="1"/>
  <c r="AA190" i="2"/>
  <c r="AA191" i="2"/>
  <c r="AB191" i="2" s="1"/>
  <c r="AA192" i="2"/>
  <c r="AB192" i="2" s="1"/>
  <c r="AA193" i="2"/>
  <c r="AA194" i="2"/>
  <c r="AB194" i="2" s="1"/>
  <c r="AA195" i="2"/>
  <c r="AA196" i="2"/>
  <c r="AB196" i="2" s="1"/>
  <c r="AA197" i="2"/>
  <c r="AA198" i="2"/>
  <c r="AB198" i="2" s="1"/>
  <c r="AA199" i="2"/>
  <c r="AA200" i="2"/>
  <c r="AB200" i="2" s="1"/>
  <c r="AA201" i="2"/>
  <c r="AB201" i="2" s="1"/>
  <c r="AA202" i="2"/>
  <c r="AA203" i="2"/>
  <c r="AB203" i="2" s="1"/>
  <c r="AA204" i="2"/>
  <c r="AB204" i="2" s="1"/>
  <c r="AA205" i="2"/>
  <c r="AA206" i="2"/>
  <c r="AB206" i="2" s="1"/>
  <c r="AA207" i="2"/>
  <c r="AB207" i="2" s="1"/>
  <c r="AA208" i="2"/>
  <c r="AB208" i="2" s="1"/>
  <c r="AA209" i="2"/>
  <c r="AB209" i="2" s="1"/>
  <c r="AA210" i="2"/>
  <c r="AA211" i="2"/>
  <c r="AA212" i="2"/>
  <c r="AB212" i="2" s="1"/>
  <c r="AA213" i="2"/>
  <c r="AB213" i="2" s="1"/>
  <c r="AA214" i="2"/>
  <c r="AB214" i="2" s="1"/>
  <c r="AA215" i="2"/>
  <c r="AA216" i="2"/>
  <c r="AB216" i="2" s="1"/>
  <c r="AA217" i="2"/>
  <c r="AA218" i="2"/>
  <c r="AB218" i="2" s="1"/>
  <c r="AA219" i="2"/>
  <c r="AB219" i="2" s="1"/>
  <c r="AA220" i="2"/>
  <c r="AB220" i="2" s="1"/>
  <c r="AA221" i="2"/>
  <c r="AB221" i="2" s="1"/>
  <c r="AA222" i="2"/>
  <c r="AA223" i="2"/>
  <c r="AB223" i="2" s="1"/>
  <c r="AA224" i="2"/>
  <c r="AB224" i="2" s="1"/>
  <c r="AA225" i="2"/>
  <c r="AA226" i="2"/>
  <c r="AB226" i="2" s="1"/>
  <c r="AA227" i="2"/>
  <c r="AA228" i="2"/>
  <c r="AB228" i="2" s="1"/>
  <c r="AA229" i="2"/>
  <c r="AA230" i="2"/>
  <c r="AB230" i="2" s="1"/>
  <c r="AA231" i="2"/>
  <c r="AA232" i="2"/>
  <c r="AB232" i="2" s="1"/>
  <c r="AA233" i="2"/>
  <c r="AB233" i="2" s="1"/>
  <c r="AA234" i="2"/>
  <c r="AA235" i="2"/>
  <c r="AB235" i="2" s="1"/>
  <c r="AA236" i="2"/>
  <c r="AB236" i="2" s="1"/>
  <c r="AA237" i="2"/>
  <c r="AA238" i="2"/>
  <c r="AB238" i="2" s="1"/>
  <c r="AA239" i="2"/>
  <c r="AB239" i="2" s="1"/>
  <c r="AA240" i="2"/>
  <c r="AB240" i="2" s="1"/>
  <c r="AA241" i="2"/>
  <c r="AB241" i="2" s="1"/>
  <c r="AA242" i="2"/>
  <c r="AA243" i="2"/>
  <c r="AA244" i="2"/>
  <c r="AB244" i="2" s="1"/>
  <c r="AA245" i="2"/>
  <c r="AB245" i="2" s="1"/>
  <c r="AA246" i="2"/>
  <c r="AB246" i="2" s="1"/>
  <c r="AA247" i="2"/>
  <c r="AA248" i="2"/>
  <c r="AB248" i="2" s="1"/>
  <c r="AA249" i="2"/>
  <c r="AA250" i="2"/>
  <c r="AB250" i="2" s="1"/>
  <c r="AA251" i="2"/>
  <c r="AB251" i="2" s="1"/>
  <c r="AA252" i="2"/>
  <c r="AB252" i="2" s="1"/>
  <c r="AA253" i="2"/>
  <c r="AB253" i="2" s="1"/>
  <c r="AA254" i="2"/>
  <c r="AA255" i="2"/>
  <c r="AB255" i="2" s="1"/>
  <c r="AA256" i="2"/>
  <c r="AB256" i="2" s="1"/>
  <c r="AA257" i="2"/>
  <c r="AA258" i="2"/>
  <c r="AB258" i="2" s="1"/>
  <c r="AA259" i="2"/>
  <c r="AA260" i="2"/>
  <c r="AB260" i="2" s="1"/>
  <c r="AA261" i="2"/>
  <c r="AA262" i="2"/>
  <c r="AB262" i="2" s="1"/>
  <c r="AA263" i="2"/>
  <c r="AA264" i="2"/>
  <c r="AB264" i="2" s="1"/>
  <c r="AA265" i="2"/>
  <c r="AB265" i="2" s="1"/>
  <c r="AA266" i="2"/>
  <c r="AA267" i="2"/>
  <c r="AB267" i="2" s="1"/>
  <c r="AA268" i="2"/>
  <c r="AB268" i="2" s="1"/>
  <c r="AA269" i="2"/>
  <c r="AA270" i="2"/>
  <c r="AB270" i="2" s="1"/>
  <c r="AA271" i="2"/>
  <c r="AB271" i="2" s="1"/>
  <c r="AA272" i="2"/>
  <c r="AB272" i="2" s="1"/>
  <c r="AA273" i="2"/>
  <c r="AB273" i="2" s="1"/>
  <c r="AA274" i="2"/>
  <c r="AA275" i="2"/>
  <c r="AA276" i="2"/>
  <c r="AB276" i="2" s="1"/>
  <c r="AA277" i="2"/>
  <c r="AB277" i="2" s="1"/>
  <c r="AA278" i="2"/>
  <c r="AB278" i="2" s="1"/>
  <c r="AA279" i="2"/>
  <c r="AA280" i="2"/>
  <c r="AB280" i="2" s="1"/>
  <c r="AA281" i="2"/>
  <c r="AA282" i="2"/>
  <c r="AB282" i="2" s="1"/>
  <c r="AA283" i="2"/>
  <c r="AB283" i="2" s="1"/>
  <c r="AA284" i="2"/>
  <c r="AB284" i="2" s="1"/>
  <c r="AA285" i="2"/>
  <c r="AB285" i="2" s="1"/>
  <c r="AA286" i="2"/>
  <c r="AA287" i="2"/>
  <c r="AB287" i="2" s="1"/>
  <c r="AA288" i="2"/>
  <c r="AB288" i="2" s="1"/>
  <c r="AA289" i="2"/>
  <c r="AA290" i="2"/>
  <c r="AB290" i="2" s="1"/>
  <c r="AA291" i="2"/>
  <c r="AA292" i="2"/>
  <c r="AB292" i="2" s="1"/>
  <c r="AA293" i="2"/>
  <c r="AA294" i="2"/>
  <c r="AB294" i="2" s="1"/>
  <c r="AA295" i="2"/>
  <c r="AA296" i="2"/>
  <c r="AB296" i="2" s="1"/>
  <c r="AA297" i="2"/>
  <c r="AB297" i="2" s="1"/>
  <c r="AA298" i="2"/>
  <c r="AA299" i="2"/>
  <c r="AB299" i="2" s="1"/>
  <c r="AA300" i="2"/>
  <c r="AB300" i="2" s="1"/>
  <c r="AA301" i="2"/>
  <c r="AA302" i="2"/>
  <c r="AB302" i="2" s="1"/>
  <c r="AA303" i="2"/>
  <c r="AB303" i="2" s="1"/>
  <c r="AA304" i="2"/>
  <c r="AB304" i="2" s="1"/>
  <c r="AA305" i="2"/>
  <c r="AB305" i="2" s="1"/>
  <c r="AA306" i="2"/>
  <c r="AA307" i="2"/>
  <c r="AA308" i="2"/>
  <c r="AB308" i="2" s="1"/>
  <c r="AA309" i="2"/>
  <c r="AB309" i="2" s="1"/>
  <c r="AA310" i="2"/>
  <c r="AB310" i="2" s="1"/>
  <c r="AA311" i="2"/>
  <c r="AA312" i="2"/>
  <c r="AB312" i="2" s="1"/>
  <c r="AA313" i="2"/>
  <c r="AA314" i="2"/>
  <c r="AB314" i="2" s="1"/>
  <c r="AA315" i="2"/>
  <c r="AB315" i="2" s="1"/>
  <c r="AA316" i="2"/>
  <c r="AB316" i="2" s="1"/>
  <c r="AA317" i="2"/>
  <c r="AB317" i="2" s="1"/>
  <c r="AA318" i="2"/>
  <c r="AA319" i="2"/>
  <c r="AB319" i="2" s="1"/>
  <c r="AA320" i="2"/>
  <c r="AB320" i="2" s="1"/>
  <c r="AA321" i="2"/>
  <c r="AA322" i="2"/>
  <c r="AB322" i="2" s="1"/>
  <c r="AA323" i="2"/>
  <c r="AA324" i="2"/>
  <c r="AB324" i="2" s="1"/>
  <c r="AA325" i="2"/>
  <c r="AA326" i="2"/>
  <c r="AB326" i="2" s="1"/>
  <c r="AA327" i="2"/>
  <c r="AA328" i="2"/>
  <c r="AB328" i="2" s="1"/>
  <c r="AA329" i="2"/>
  <c r="AB329" i="2" s="1"/>
  <c r="AA330" i="2"/>
  <c r="AA331" i="2"/>
  <c r="AB331" i="2" s="1"/>
  <c r="AA332" i="2"/>
  <c r="AB332" i="2" s="1"/>
  <c r="AA333" i="2"/>
  <c r="AA334" i="2"/>
  <c r="AB334" i="2" s="1"/>
  <c r="AA335" i="2"/>
  <c r="AB335" i="2" s="1"/>
  <c r="AA336" i="2"/>
  <c r="AB336" i="2" s="1"/>
  <c r="AA337" i="2"/>
  <c r="AB337" i="2" s="1"/>
  <c r="AA338" i="2"/>
  <c r="AA339" i="2"/>
  <c r="AA340" i="2"/>
  <c r="AB340" i="2" s="1"/>
  <c r="AA341" i="2"/>
  <c r="AB341" i="2" s="1"/>
  <c r="AA342" i="2"/>
  <c r="AB342" i="2" s="1"/>
  <c r="AA343" i="2"/>
  <c r="AA344" i="2"/>
  <c r="AB344" i="2" s="1"/>
  <c r="AA345" i="2"/>
  <c r="AA346" i="2"/>
  <c r="AB346" i="2" s="1"/>
  <c r="AA347" i="2"/>
  <c r="AB347" i="2" s="1"/>
  <c r="AA348" i="2"/>
  <c r="AB348" i="2" s="1"/>
  <c r="AA349" i="2"/>
  <c r="AB349" i="2" s="1"/>
  <c r="AA350" i="2"/>
  <c r="AA351" i="2"/>
  <c r="AB351" i="2" s="1"/>
  <c r="AA352" i="2"/>
  <c r="AB352" i="2" s="1"/>
  <c r="AA353" i="2"/>
  <c r="AA354" i="2"/>
  <c r="AB354" i="2" s="1"/>
  <c r="AA355" i="2"/>
  <c r="AA356" i="2"/>
  <c r="AB356" i="2" s="1"/>
  <c r="AA357" i="2"/>
  <c r="AA358" i="2"/>
  <c r="AB358" i="2" s="1"/>
  <c r="AA359" i="2"/>
  <c r="AA360" i="2"/>
  <c r="AB360" i="2" s="1"/>
  <c r="AA361" i="2"/>
  <c r="AB361" i="2" s="1"/>
  <c r="AA362" i="2"/>
  <c r="AA363" i="2"/>
  <c r="AB363" i="2" s="1"/>
  <c r="AA364" i="2"/>
  <c r="AB364" i="2" s="1"/>
  <c r="AA365" i="2"/>
  <c r="AA366" i="2"/>
  <c r="AB366" i="2" s="1"/>
  <c r="AA367" i="2"/>
  <c r="AB367" i="2" s="1"/>
  <c r="AA368" i="2"/>
  <c r="AB368" i="2" s="1"/>
  <c r="AA369" i="2"/>
  <c r="AB369" i="2" s="1"/>
  <c r="AA370" i="2"/>
  <c r="AA371" i="2"/>
  <c r="AA372" i="2"/>
  <c r="AB372" i="2" s="1"/>
  <c r="AA373" i="2"/>
  <c r="AB373" i="2" s="1"/>
  <c r="AA374" i="2"/>
  <c r="AB374" i="2" s="1"/>
  <c r="AA375" i="2"/>
  <c r="AA376" i="2"/>
  <c r="AB376" i="2" s="1"/>
  <c r="AA377" i="2"/>
  <c r="AA378" i="2"/>
  <c r="AB378" i="2" s="1"/>
  <c r="AA379" i="2"/>
  <c r="AB379" i="2" s="1"/>
  <c r="AA380" i="2"/>
  <c r="AB380" i="2" s="1"/>
  <c r="AA381" i="2"/>
  <c r="AB381" i="2" s="1"/>
  <c r="AA382" i="2"/>
  <c r="AA383" i="2"/>
  <c r="AB383" i="2" s="1"/>
  <c r="AA384" i="2"/>
  <c r="AB384" i="2" s="1"/>
  <c r="AA385" i="2"/>
  <c r="AA386" i="2"/>
  <c r="AB386" i="2" s="1"/>
  <c r="AA387" i="2"/>
  <c r="AA388" i="2"/>
  <c r="AB388" i="2" s="1"/>
  <c r="AA389" i="2"/>
  <c r="AA390" i="2"/>
  <c r="AB390" i="2" s="1"/>
  <c r="AA391" i="2"/>
  <c r="AA392" i="2"/>
  <c r="AB392" i="2" s="1"/>
  <c r="AA393" i="2"/>
  <c r="AB393" i="2" s="1"/>
  <c r="AA394" i="2"/>
  <c r="AA395" i="2"/>
  <c r="AB395" i="2" s="1"/>
  <c r="AA396" i="2"/>
  <c r="AB396" i="2" s="1"/>
  <c r="AA397" i="2"/>
  <c r="AA398" i="2"/>
  <c r="AB398" i="2" s="1"/>
  <c r="AA399" i="2"/>
  <c r="AB399" i="2" s="1"/>
  <c r="AA400" i="2"/>
  <c r="AB400" i="2" s="1"/>
  <c r="AA401" i="2"/>
  <c r="AB401" i="2" s="1"/>
  <c r="AA402" i="2"/>
  <c r="AA403" i="2"/>
  <c r="AA404" i="2"/>
  <c r="AB404" i="2" s="1"/>
  <c r="AA405" i="2"/>
  <c r="AB405" i="2" s="1"/>
  <c r="AA406" i="2"/>
  <c r="AB406" i="2" s="1"/>
  <c r="AA407" i="2"/>
  <c r="AA408" i="2"/>
  <c r="AB408" i="2" s="1"/>
  <c r="AA409" i="2"/>
  <c r="AA410" i="2"/>
  <c r="AB410" i="2" s="1"/>
  <c r="AA411" i="2"/>
  <c r="AB411" i="2" s="1"/>
  <c r="AA412" i="2"/>
  <c r="AB412" i="2" s="1"/>
  <c r="AA413" i="2"/>
  <c r="AB413" i="2" s="1"/>
  <c r="AA414" i="2"/>
  <c r="AA415" i="2"/>
  <c r="AB415" i="2" s="1"/>
  <c r="AA416" i="2"/>
  <c r="AB416" i="2" s="1"/>
  <c r="AA417" i="2"/>
  <c r="AA418" i="2"/>
  <c r="AB418" i="2" s="1"/>
  <c r="AA419" i="2"/>
  <c r="AA420" i="2"/>
  <c r="AB420" i="2" s="1"/>
  <c r="AA421" i="2"/>
  <c r="AA422" i="2"/>
  <c r="AB422" i="2" s="1"/>
  <c r="AA423" i="2"/>
  <c r="AA424" i="2"/>
  <c r="AB424" i="2" s="1"/>
  <c r="AA425" i="2"/>
  <c r="AA426" i="2"/>
  <c r="AB426" i="2" s="1"/>
  <c r="AA427" i="2"/>
  <c r="AB427" i="2" s="1"/>
  <c r="AA428" i="2"/>
  <c r="AB428" i="2" s="1"/>
  <c r="AA429" i="2"/>
  <c r="AB429" i="2" s="1"/>
  <c r="AA430" i="2"/>
  <c r="AB430" i="2" s="1"/>
  <c r="AA431" i="2"/>
  <c r="AB431" i="2" s="1"/>
  <c r="AA432" i="2"/>
  <c r="AB432" i="2" s="1"/>
  <c r="AA433" i="2"/>
  <c r="AB433" i="2" s="1"/>
  <c r="AA434" i="2"/>
  <c r="AB434" i="2" s="1"/>
  <c r="AA435" i="2"/>
  <c r="AB435" i="2" s="1"/>
  <c r="AA436" i="2"/>
  <c r="AB436" i="2" s="1"/>
  <c r="AA437" i="2"/>
  <c r="AB437" i="2" s="1"/>
  <c r="AA438" i="2"/>
  <c r="AB438" i="2" s="1"/>
  <c r="AA439" i="2"/>
  <c r="AB439" i="2" s="1"/>
  <c r="AA440" i="2"/>
  <c r="AB440" i="2" s="1"/>
  <c r="AA441" i="2"/>
  <c r="AA442" i="2"/>
  <c r="AB442" i="2" s="1"/>
  <c r="AA443" i="2"/>
  <c r="AB443" i="2" s="1"/>
  <c r="AA444" i="2"/>
  <c r="AB444" i="2" s="1"/>
  <c r="AA445" i="2"/>
  <c r="AB445" i="2" s="1"/>
  <c r="AA446" i="2"/>
  <c r="AB446" i="2" s="1"/>
  <c r="AA447" i="2"/>
  <c r="AB447" i="2" s="1"/>
  <c r="AA448" i="2"/>
  <c r="AB448" i="2" s="1"/>
  <c r="AA449" i="2"/>
  <c r="AB449" i="2" s="1"/>
  <c r="AA450" i="2"/>
  <c r="AB450" i="2" s="1"/>
  <c r="AA451" i="2"/>
  <c r="AB451" i="2" s="1"/>
  <c r="AA452" i="2"/>
  <c r="AB452" i="2" s="1"/>
  <c r="AA453" i="2"/>
  <c r="AB453" i="2" s="1"/>
  <c r="AA454" i="2"/>
  <c r="AB454" i="2" s="1"/>
  <c r="AA455" i="2"/>
  <c r="AB455" i="2" s="1"/>
  <c r="AA456" i="2"/>
  <c r="AB456" i="2" s="1"/>
  <c r="AA457" i="2"/>
  <c r="AA458" i="2"/>
  <c r="AB458" i="2" s="1"/>
  <c r="AA459" i="2"/>
  <c r="AB459" i="2" s="1"/>
  <c r="AA460" i="2"/>
  <c r="AB460" i="2" s="1"/>
  <c r="AA461" i="2"/>
  <c r="AB461" i="2" s="1"/>
  <c r="AA462" i="2"/>
  <c r="AB462" i="2" s="1"/>
  <c r="AA463" i="2"/>
  <c r="AB463" i="2" s="1"/>
  <c r="AA464" i="2"/>
  <c r="AB464" i="2" s="1"/>
  <c r="AA465" i="2"/>
  <c r="AB465" i="2" s="1"/>
  <c r="AA466" i="2"/>
  <c r="AB466" i="2" s="1"/>
  <c r="AA467" i="2"/>
  <c r="AB467" i="2" s="1"/>
  <c r="AA468" i="2"/>
  <c r="AB468" i="2" s="1"/>
  <c r="AA469" i="2"/>
  <c r="AB469" i="2" s="1"/>
  <c r="AA470" i="2"/>
  <c r="AB470" i="2" s="1"/>
  <c r="AA471" i="2"/>
  <c r="AB471" i="2" s="1"/>
  <c r="AA472" i="2"/>
  <c r="AB472" i="2" s="1"/>
  <c r="AA473" i="2"/>
  <c r="AA474" i="2"/>
  <c r="AB474" i="2" s="1"/>
  <c r="AA475" i="2"/>
  <c r="AB475" i="2" s="1"/>
  <c r="AA476" i="2"/>
  <c r="AB476" i="2" s="1"/>
  <c r="AA477" i="2"/>
  <c r="AB477" i="2" s="1"/>
  <c r="AA478" i="2"/>
  <c r="AB478" i="2" s="1"/>
  <c r="AA479" i="2"/>
  <c r="AB479" i="2" s="1"/>
  <c r="AA480" i="2"/>
  <c r="AB480" i="2" s="1"/>
  <c r="AA481" i="2"/>
  <c r="AB481" i="2" s="1"/>
  <c r="AA482" i="2"/>
  <c r="AB482" i="2" s="1"/>
  <c r="AA483" i="2"/>
  <c r="AB483" i="2" s="1"/>
  <c r="AA484" i="2"/>
  <c r="AB484" i="2" s="1"/>
  <c r="AA485" i="2"/>
  <c r="AB485" i="2" s="1"/>
  <c r="AA486" i="2"/>
  <c r="AB486" i="2" s="1"/>
  <c r="AA487" i="2"/>
  <c r="AB487" i="2" s="1"/>
  <c r="AA488" i="2"/>
  <c r="AB488" i="2" s="1"/>
  <c r="AA489" i="2"/>
  <c r="AB489" i="2" s="1"/>
  <c r="AA490" i="2"/>
  <c r="AB490" i="2" s="1"/>
  <c r="AA491" i="2"/>
  <c r="AB491" i="2" s="1"/>
  <c r="AA492" i="2"/>
  <c r="AB492" i="2" s="1"/>
  <c r="AA493" i="2"/>
  <c r="AA494" i="2"/>
  <c r="AB494" i="2" s="1"/>
  <c r="AA495" i="2"/>
  <c r="AB495" i="2" s="1"/>
  <c r="AA496" i="2"/>
  <c r="AB496" i="2" s="1"/>
  <c r="AA497" i="2"/>
  <c r="AB497" i="2" s="1"/>
  <c r="AA498" i="2"/>
  <c r="AB498" i="2" s="1"/>
  <c r="AA499" i="2"/>
  <c r="AB499" i="2" s="1"/>
  <c r="AA500" i="2"/>
  <c r="AB500" i="2" s="1"/>
  <c r="AA501" i="2"/>
  <c r="AB501" i="2" s="1"/>
  <c r="AA502" i="2"/>
  <c r="AB502" i="2" s="1"/>
  <c r="AA503" i="2"/>
  <c r="AB503" i="2" s="1"/>
  <c r="AA504" i="2"/>
  <c r="AB504" i="2" s="1"/>
  <c r="AA505" i="2"/>
  <c r="AB505" i="2" s="1"/>
  <c r="AA506" i="2"/>
  <c r="AB506" i="2" s="1"/>
  <c r="AA507" i="2"/>
  <c r="AB507" i="2" s="1"/>
  <c r="AA508" i="2"/>
  <c r="AB508" i="2" s="1"/>
  <c r="AA509" i="2"/>
  <c r="AA510" i="2"/>
  <c r="AB510" i="2" s="1"/>
  <c r="AA511" i="2"/>
  <c r="AB511" i="2" s="1"/>
  <c r="AA512" i="2"/>
  <c r="AB512" i="2" s="1"/>
  <c r="AA513" i="2"/>
  <c r="AB513" i="2" s="1"/>
  <c r="AA514" i="2"/>
  <c r="AB514" i="2" s="1"/>
  <c r="AA515" i="2"/>
  <c r="AB515" i="2" s="1"/>
  <c r="AA516" i="2"/>
  <c r="AB516" i="2" s="1"/>
  <c r="AA517" i="2"/>
  <c r="AB517" i="2" s="1"/>
  <c r="AA518" i="2"/>
  <c r="AB518" i="2" s="1"/>
  <c r="AA519" i="2"/>
  <c r="AB519" i="2" s="1"/>
  <c r="AA520" i="2"/>
  <c r="AB520" i="2" s="1"/>
  <c r="AA521" i="2"/>
  <c r="AB521" i="2" s="1"/>
  <c r="AA522" i="2"/>
  <c r="AB522" i="2" s="1"/>
  <c r="AA523" i="2"/>
  <c r="AB523" i="2" s="1"/>
  <c r="AA524" i="2"/>
  <c r="AB524" i="2" s="1"/>
  <c r="AA525" i="2"/>
  <c r="AA526" i="2"/>
  <c r="AB526" i="2" s="1"/>
  <c r="AA527" i="2"/>
  <c r="AB527" i="2" s="1"/>
  <c r="AA528" i="2"/>
  <c r="AB528" i="2" s="1"/>
  <c r="AA529" i="2"/>
  <c r="AB529" i="2" s="1"/>
  <c r="AA530" i="2"/>
  <c r="AB530" i="2" s="1"/>
  <c r="AA531" i="2"/>
  <c r="AB531" i="2" s="1"/>
  <c r="AA532" i="2"/>
  <c r="AB532" i="2" s="1"/>
  <c r="AA533" i="2"/>
  <c r="AB533" i="2" s="1"/>
  <c r="AA534" i="2"/>
  <c r="AB534" i="2" s="1"/>
  <c r="AA535" i="2"/>
  <c r="AB535" i="2" s="1"/>
  <c r="AA536" i="2"/>
  <c r="AB536" i="2" s="1"/>
  <c r="AA537" i="2"/>
  <c r="AB537" i="2" s="1"/>
  <c r="AA538" i="2"/>
  <c r="AB538" i="2" s="1"/>
  <c r="AA539" i="2"/>
  <c r="AB539" i="2" s="1"/>
  <c r="AA540" i="2"/>
  <c r="AB540" i="2" s="1"/>
  <c r="AA541" i="2"/>
  <c r="AA542" i="2"/>
  <c r="AB542" i="2" s="1"/>
  <c r="AA543" i="2"/>
  <c r="AB543" i="2" s="1"/>
  <c r="AA544" i="2"/>
  <c r="AB544" i="2" s="1"/>
  <c r="AA545" i="2"/>
  <c r="AB545" i="2" s="1"/>
  <c r="AA546" i="2"/>
  <c r="AB546" i="2" s="1"/>
  <c r="AA547" i="2"/>
  <c r="AB547" i="2" s="1"/>
  <c r="AA548" i="2"/>
  <c r="AB548" i="2" s="1"/>
  <c r="AA549" i="2"/>
  <c r="AB549" i="2" s="1"/>
  <c r="AA550" i="2"/>
  <c r="AB550" i="2" s="1"/>
  <c r="AA551" i="2"/>
  <c r="AB551" i="2" s="1"/>
  <c r="AA552" i="2"/>
  <c r="AB552" i="2" s="1"/>
  <c r="AA553" i="2"/>
  <c r="AB553" i="2" s="1"/>
  <c r="AA554" i="2"/>
  <c r="AB554" i="2" s="1"/>
  <c r="AA555" i="2"/>
  <c r="AB555" i="2" s="1"/>
  <c r="AA556" i="2"/>
  <c r="AB556" i="2" s="1"/>
  <c r="AA557" i="2"/>
  <c r="AA558" i="2"/>
  <c r="AB558" i="2" s="1"/>
  <c r="AA559" i="2"/>
  <c r="AB559" i="2" s="1"/>
  <c r="AA560" i="2"/>
  <c r="AB560" i="2" s="1"/>
  <c r="AA561" i="2"/>
  <c r="AB561" i="2" s="1"/>
  <c r="AA562" i="2"/>
  <c r="AB562" i="2" s="1"/>
  <c r="AA563" i="2"/>
  <c r="AB563" i="2" s="1"/>
  <c r="AA564" i="2"/>
  <c r="AB564" i="2" s="1"/>
  <c r="AA565" i="2"/>
  <c r="AB565" i="2" s="1"/>
  <c r="AA566" i="2"/>
  <c r="AB566" i="2" s="1"/>
  <c r="AA567" i="2"/>
  <c r="AB567" i="2" s="1"/>
  <c r="AA568" i="2"/>
  <c r="AB568" i="2" s="1"/>
  <c r="AA569" i="2"/>
  <c r="AB569" i="2" s="1"/>
  <c r="AA570" i="2"/>
  <c r="AB570" i="2" s="1"/>
  <c r="AA571" i="2"/>
  <c r="AB571" i="2" s="1"/>
  <c r="AA572" i="2"/>
  <c r="AB572" i="2" s="1"/>
  <c r="AA573" i="2"/>
  <c r="AA574" i="2"/>
  <c r="AB574" i="2" s="1"/>
  <c r="AA575" i="2"/>
  <c r="AB575" i="2" s="1"/>
  <c r="AA576" i="2"/>
  <c r="AB576" i="2" s="1"/>
  <c r="AA577" i="2"/>
  <c r="AB577" i="2" s="1"/>
  <c r="AA578" i="2"/>
  <c r="AB578" i="2" s="1"/>
  <c r="AA579" i="2"/>
  <c r="AB579" i="2" s="1"/>
  <c r="AA580" i="2"/>
  <c r="AB580" i="2" s="1"/>
  <c r="AA581" i="2"/>
  <c r="AB581" i="2" s="1"/>
  <c r="AA582" i="2"/>
  <c r="AB582" i="2" s="1"/>
  <c r="AA583" i="2"/>
  <c r="AB583" i="2" s="1"/>
  <c r="AA584" i="2"/>
  <c r="AB584" i="2" s="1"/>
  <c r="AA585" i="2"/>
  <c r="AB585" i="2" s="1"/>
  <c r="AA586" i="2"/>
  <c r="AB586" i="2" s="1"/>
  <c r="AA587" i="2"/>
  <c r="AB587" i="2" s="1"/>
  <c r="AA588" i="2"/>
  <c r="AB588" i="2" s="1"/>
  <c r="AA589" i="2"/>
  <c r="AA590" i="2"/>
  <c r="AB590" i="2" s="1"/>
  <c r="AA591" i="2"/>
  <c r="AB591" i="2" s="1"/>
  <c r="AA592" i="2"/>
  <c r="AB592" i="2" s="1"/>
  <c r="AA593" i="2"/>
  <c r="AB593" i="2" s="1"/>
  <c r="AA594" i="2"/>
  <c r="AB594" i="2" s="1"/>
  <c r="AA595" i="2"/>
  <c r="AB595" i="2" s="1"/>
  <c r="AA596" i="2"/>
  <c r="AB596" i="2" s="1"/>
  <c r="AA597" i="2"/>
  <c r="AB597" i="2" s="1"/>
  <c r="AA598" i="2"/>
  <c r="AB598" i="2" s="1"/>
  <c r="AA599" i="2"/>
  <c r="AB599" i="2" s="1"/>
  <c r="AA600" i="2"/>
  <c r="AB600" i="2" s="1"/>
  <c r="AA601" i="2"/>
  <c r="AB601" i="2" s="1"/>
  <c r="AA602" i="2"/>
  <c r="AB602" i="2" s="1"/>
  <c r="AA603" i="2"/>
  <c r="AB603" i="2" s="1"/>
  <c r="AA604" i="2"/>
  <c r="AB604" i="2" s="1"/>
  <c r="AA605" i="2"/>
  <c r="AA606" i="2"/>
  <c r="AB606" i="2" s="1"/>
  <c r="AA607" i="2"/>
  <c r="AB607" i="2" s="1"/>
  <c r="AA608" i="2"/>
  <c r="AB608" i="2" s="1"/>
  <c r="AA609" i="2"/>
  <c r="AB609" i="2" s="1"/>
  <c r="AA610" i="2"/>
  <c r="AB610" i="2" s="1"/>
  <c r="AA4" i="2"/>
  <c r="AB423" i="2"/>
  <c r="AB421" i="2"/>
  <c r="AB419" i="2"/>
  <c r="AB417" i="2"/>
  <c r="AB414" i="2"/>
  <c r="AB409" i="2"/>
  <c r="AB407" i="2"/>
  <c r="AB403" i="2"/>
  <c r="AB402" i="2"/>
  <c r="AB397" i="2"/>
  <c r="AB394" i="2"/>
  <c r="AB391" i="2"/>
  <c r="AB389" i="2"/>
  <c r="AB387" i="2"/>
  <c r="AB385" i="2"/>
  <c r="AB382" i="2"/>
  <c r="AB377" i="2"/>
  <c r="AB375" i="2"/>
  <c r="AB371" i="2"/>
  <c r="AB370" i="2"/>
  <c r="AB365" i="2"/>
  <c r="AB362" i="2"/>
  <c r="AB359" i="2"/>
  <c r="AB357" i="2"/>
  <c r="AB355" i="2"/>
  <c r="AB353" i="2"/>
  <c r="AB350" i="2"/>
  <c r="AB345" i="2"/>
  <c r="AB343" i="2"/>
  <c r="AB339" i="2"/>
  <c r="AB338" i="2"/>
  <c r="AB333" i="2"/>
  <c r="AB330" i="2"/>
  <c r="AB327" i="2"/>
  <c r="AB325" i="2"/>
  <c r="AB323" i="2"/>
  <c r="AB321" i="2"/>
  <c r="AB318" i="2"/>
  <c r="AB313" i="2"/>
  <c r="AB311" i="2"/>
  <c r="AB307" i="2"/>
  <c r="AB306" i="2"/>
  <c r="AB301" i="2"/>
  <c r="AB298" i="2"/>
  <c r="AB295" i="2"/>
  <c r="AB293" i="2"/>
  <c r="AB291" i="2"/>
  <c r="AB289" i="2"/>
  <c r="AB286" i="2"/>
  <c r="AB281" i="2"/>
  <c r="AB279" i="2"/>
  <c r="AB275" i="2"/>
  <c r="AB274" i="2"/>
  <c r="AB269" i="2"/>
  <c r="AB266" i="2"/>
  <c r="AB263" i="2"/>
  <c r="AB261" i="2"/>
  <c r="AB259" i="2"/>
  <c r="AB257" i="2"/>
  <c r="AB254" i="2"/>
  <c r="AB249" i="2"/>
  <c r="AB247" i="2"/>
  <c r="AB243" i="2"/>
  <c r="AB242" i="2"/>
  <c r="AB237" i="2"/>
  <c r="AB234" i="2"/>
  <c r="AB231" i="2"/>
  <c r="AB229" i="2"/>
  <c r="AB227" i="2"/>
  <c r="AB225" i="2"/>
  <c r="AB222" i="2"/>
  <c r="AB217" i="2"/>
  <c r="AB215" i="2"/>
  <c r="AB211" i="2"/>
  <c r="AB210" i="2"/>
  <c r="AB205" i="2"/>
  <c r="AB202" i="2"/>
  <c r="AB199" i="2"/>
  <c r="AB197" i="2"/>
  <c r="AB195" i="2"/>
  <c r="AB193" i="2"/>
  <c r="AB190" i="2"/>
  <c r="AB185" i="2"/>
  <c r="AB183" i="2"/>
  <c r="AB179" i="2"/>
  <c r="AB178" i="2"/>
  <c r="AB173" i="2"/>
  <c r="AB170" i="2"/>
  <c r="AB167" i="2"/>
  <c r="AB165" i="2"/>
  <c r="AB163" i="2"/>
  <c r="AB161" i="2"/>
  <c r="AB158" i="2"/>
  <c r="AB153" i="2"/>
  <c r="AB151" i="2"/>
  <c r="AB147" i="2"/>
  <c r="AB146" i="2"/>
  <c r="AB141" i="2"/>
  <c r="AB138" i="2"/>
  <c r="AB135" i="2"/>
  <c r="AB133" i="2"/>
  <c r="AB131" i="2"/>
  <c r="AB129" i="2"/>
  <c r="AB126" i="2"/>
  <c r="AB121" i="2"/>
  <c r="AB119" i="2"/>
  <c r="AB115" i="2"/>
  <c r="AB114" i="2"/>
  <c r="AB109" i="2"/>
  <c r="AB106" i="2"/>
  <c r="AB103" i="2"/>
  <c r="AB102" i="2"/>
  <c r="AB101" i="2"/>
  <c r="AB99" i="2"/>
  <c r="AB97" i="2"/>
  <c r="AB94" i="2"/>
  <c r="AB89" i="2"/>
  <c r="AB87" i="2"/>
  <c r="AB83" i="2"/>
  <c r="AB82" i="2"/>
  <c r="AB77" i="2"/>
  <c r="AB74" i="2"/>
  <c r="AB71" i="2"/>
  <c r="AB70" i="2"/>
  <c r="AB69" i="2"/>
  <c r="AB67" i="2"/>
  <c r="AB65" i="2"/>
  <c r="AB62" i="2"/>
  <c r="AB57" i="2"/>
  <c r="AB55" i="2"/>
  <c r="AB51" i="2"/>
  <c r="AB50" i="2"/>
  <c r="AB45" i="2"/>
  <c r="AB42" i="2"/>
  <c r="AB39" i="2"/>
  <c r="AB38" i="2"/>
  <c r="AB37" i="2"/>
  <c r="AB35" i="2"/>
  <c r="AB33" i="2"/>
  <c r="AB30" i="2"/>
  <c r="AB25" i="2"/>
  <c r="AB23" i="2"/>
  <c r="AB19" i="2"/>
  <c r="AB18" i="2"/>
  <c r="AB13" i="2"/>
  <c r="AB10" i="2"/>
  <c r="AB7" i="2"/>
  <c r="AB6" i="2"/>
  <c r="AB5" i="2"/>
  <c r="AB4" i="2"/>
  <c r="W29" i="2"/>
  <c r="V15" i="2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L610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8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K4" i="2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J4" i="2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F425" i="2"/>
  <c r="G425" i="2"/>
  <c r="H425" i="2"/>
  <c r="F426" i="2"/>
  <c r="G426" i="2"/>
  <c r="H426" i="2"/>
  <c r="F427" i="2"/>
  <c r="G427" i="2"/>
  <c r="H427" i="2"/>
  <c r="F428" i="2"/>
  <c r="G428" i="2"/>
  <c r="H428" i="2"/>
  <c r="F429" i="2"/>
  <c r="G429" i="2"/>
  <c r="H429" i="2"/>
  <c r="F430" i="2"/>
  <c r="G430" i="2"/>
  <c r="H430" i="2"/>
  <c r="F431" i="2"/>
  <c r="G431" i="2"/>
  <c r="H431" i="2"/>
  <c r="F432" i="2"/>
  <c r="G432" i="2"/>
  <c r="H432" i="2"/>
  <c r="F433" i="2"/>
  <c r="G433" i="2"/>
  <c r="H433" i="2"/>
  <c r="F434" i="2"/>
  <c r="G434" i="2"/>
  <c r="H434" i="2"/>
  <c r="F435" i="2"/>
  <c r="G435" i="2"/>
  <c r="H435" i="2"/>
  <c r="F436" i="2"/>
  <c r="G436" i="2"/>
  <c r="H436" i="2"/>
  <c r="F437" i="2"/>
  <c r="G437" i="2"/>
  <c r="H437" i="2"/>
  <c r="F438" i="2"/>
  <c r="G438" i="2"/>
  <c r="H438" i="2"/>
  <c r="F439" i="2"/>
  <c r="G439" i="2"/>
  <c r="H439" i="2"/>
  <c r="F440" i="2"/>
  <c r="G440" i="2"/>
  <c r="H440" i="2"/>
  <c r="F441" i="2"/>
  <c r="G441" i="2"/>
  <c r="H441" i="2"/>
  <c r="F442" i="2"/>
  <c r="G442" i="2"/>
  <c r="H442" i="2"/>
  <c r="F443" i="2"/>
  <c r="G443" i="2"/>
  <c r="H443" i="2"/>
  <c r="F444" i="2"/>
  <c r="G444" i="2"/>
  <c r="H444" i="2"/>
  <c r="F445" i="2"/>
  <c r="G445" i="2"/>
  <c r="H445" i="2"/>
  <c r="F446" i="2"/>
  <c r="G446" i="2"/>
  <c r="H446" i="2"/>
  <c r="F447" i="2"/>
  <c r="G447" i="2"/>
  <c r="H447" i="2"/>
  <c r="F448" i="2"/>
  <c r="G448" i="2"/>
  <c r="H448" i="2"/>
  <c r="F449" i="2"/>
  <c r="G449" i="2"/>
  <c r="H449" i="2"/>
  <c r="F450" i="2"/>
  <c r="G450" i="2"/>
  <c r="H450" i="2"/>
  <c r="F451" i="2"/>
  <c r="G451" i="2"/>
  <c r="H451" i="2"/>
  <c r="F452" i="2"/>
  <c r="G452" i="2"/>
  <c r="H452" i="2"/>
  <c r="F453" i="2"/>
  <c r="G453" i="2"/>
  <c r="H453" i="2"/>
  <c r="F454" i="2"/>
  <c r="G454" i="2"/>
  <c r="H454" i="2"/>
  <c r="F455" i="2"/>
  <c r="G455" i="2"/>
  <c r="H455" i="2"/>
  <c r="F456" i="2"/>
  <c r="G456" i="2"/>
  <c r="H456" i="2"/>
  <c r="F457" i="2"/>
  <c r="G457" i="2"/>
  <c r="H457" i="2"/>
  <c r="F458" i="2"/>
  <c r="G458" i="2"/>
  <c r="H458" i="2"/>
  <c r="F459" i="2"/>
  <c r="G459" i="2"/>
  <c r="H459" i="2"/>
  <c r="F460" i="2"/>
  <c r="G460" i="2"/>
  <c r="H460" i="2"/>
  <c r="F461" i="2"/>
  <c r="G461" i="2"/>
  <c r="H461" i="2"/>
  <c r="F462" i="2"/>
  <c r="G462" i="2"/>
  <c r="H462" i="2"/>
  <c r="F463" i="2"/>
  <c r="G463" i="2"/>
  <c r="H463" i="2"/>
  <c r="F464" i="2"/>
  <c r="G464" i="2"/>
  <c r="H464" i="2"/>
  <c r="F465" i="2"/>
  <c r="G465" i="2"/>
  <c r="H465" i="2"/>
  <c r="F466" i="2"/>
  <c r="G466" i="2"/>
  <c r="H466" i="2"/>
  <c r="F467" i="2"/>
  <c r="G467" i="2"/>
  <c r="H467" i="2"/>
  <c r="F468" i="2"/>
  <c r="G468" i="2"/>
  <c r="H468" i="2"/>
  <c r="F469" i="2"/>
  <c r="G469" i="2"/>
  <c r="H469" i="2"/>
  <c r="F470" i="2"/>
  <c r="G470" i="2"/>
  <c r="H470" i="2"/>
  <c r="F471" i="2"/>
  <c r="G471" i="2"/>
  <c r="H471" i="2"/>
  <c r="F472" i="2"/>
  <c r="G472" i="2"/>
  <c r="H472" i="2"/>
  <c r="F473" i="2"/>
  <c r="G473" i="2"/>
  <c r="H473" i="2"/>
  <c r="F474" i="2"/>
  <c r="G474" i="2"/>
  <c r="H474" i="2"/>
  <c r="F475" i="2"/>
  <c r="G475" i="2"/>
  <c r="H475" i="2"/>
  <c r="F476" i="2"/>
  <c r="G476" i="2"/>
  <c r="H476" i="2"/>
  <c r="F477" i="2"/>
  <c r="G477" i="2"/>
  <c r="H477" i="2"/>
  <c r="F478" i="2"/>
  <c r="G478" i="2"/>
  <c r="H478" i="2"/>
  <c r="F479" i="2"/>
  <c r="G479" i="2"/>
  <c r="H479" i="2"/>
  <c r="F480" i="2"/>
  <c r="G480" i="2"/>
  <c r="H480" i="2"/>
  <c r="F481" i="2"/>
  <c r="G481" i="2"/>
  <c r="H481" i="2"/>
  <c r="F482" i="2"/>
  <c r="G482" i="2"/>
  <c r="H482" i="2"/>
  <c r="F483" i="2"/>
  <c r="G483" i="2"/>
  <c r="H483" i="2"/>
  <c r="F484" i="2"/>
  <c r="G484" i="2"/>
  <c r="H484" i="2"/>
  <c r="F485" i="2"/>
  <c r="G485" i="2"/>
  <c r="H485" i="2"/>
  <c r="F486" i="2"/>
  <c r="G486" i="2"/>
  <c r="H486" i="2"/>
  <c r="F487" i="2"/>
  <c r="G487" i="2"/>
  <c r="H487" i="2"/>
  <c r="F488" i="2"/>
  <c r="G488" i="2"/>
  <c r="H488" i="2"/>
  <c r="F489" i="2"/>
  <c r="G489" i="2"/>
  <c r="H489" i="2"/>
  <c r="F490" i="2"/>
  <c r="G490" i="2"/>
  <c r="H490" i="2"/>
  <c r="F491" i="2"/>
  <c r="G491" i="2"/>
  <c r="H491" i="2"/>
  <c r="F492" i="2"/>
  <c r="G492" i="2"/>
  <c r="H492" i="2"/>
  <c r="F493" i="2"/>
  <c r="G493" i="2"/>
  <c r="H493" i="2"/>
  <c r="F494" i="2"/>
  <c r="G494" i="2"/>
  <c r="H494" i="2"/>
  <c r="F495" i="2"/>
  <c r="G495" i="2"/>
  <c r="H495" i="2"/>
  <c r="F496" i="2"/>
  <c r="G496" i="2"/>
  <c r="H496" i="2"/>
  <c r="F497" i="2"/>
  <c r="G497" i="2"/>
  <c r="H497" i="2"/>
  <c r="F498" i="2"/>
  <c r="G498" i="2"/>
  <c r="H498" i="2"/>
  <c r="F499" i="2"/>
  <c r="G499" i="2"/>
  <c r="H499" i="2"/>
  <c r="F500" i="2"/>
  <c r="G500" i="2"/>
  <c r="H500" i="2"/>
  <c r="F501" i="2"/>
  <c r="G501" i="2"/>
  <c r="H501" i="2"/>
  <c r="F502" i="2"/>
  <c r="G502" i="2"/>
  <c r="H502" i="2"/>
  <c r="F503" i="2"/>
  <c r="G503" i="2"/>
  <c r="H503" i="2"/>
  <c r="F504" i="2"/>
  <c r="G504" i="2"/>
  <c r="H504" i="2"/>
  <c r="F505" i="2"/>
  <c r="G505" i="2"/>
  <c r="H505" i="2"/>
  <c r="F506" i="2"/>
  <c r="G506" i="2"/>
  <c r="H506" i="2"/>
  <c r="F507" i="2"/>
  <c r="G507" i="2"/>
  <c r="H507" i="2"/>
  <c r="F508" i="2"/>
  <c r="G508" i="2"/>
  <c r="H508" i="2"/>
  <c r="F509" i="2"/>
  <c r="G509" i="2"/>
  <c r="H509" i="2"/>
  <c r="F510" i="2"/>
  <c r="G510" i="2"/>
  <c r="H510" i="2"/>
  <c r="F511" i="2"/>
  <c r="G511" i="2"/>
  <c r="H511" i="2"/>
  <c r="F512" i="2"/>
  <c r="G512" i="2"/>
  <c r="H512" i="2"/>
  <c r="F513" i="2"/>
  <c r="G513" i="2"/>
  <c r="H513" i="2"/>
  <c r="F514" i="2"/>
  <c r="G514" i="2"/>
  <c r="H514" i="2"/>
  <c r="F515" i="2"/>
  <c r="G515" i="2"/>
  <c r="H515" i="2"/>
  <c r="F516" i="2"/>
  <c r="G516" i="2"/>
  <c r="H516" i="2"/>
  <c r="F517" i="2"/>
  <c r="G517" i="2"/>
  <c r="H517" i="2"/>
  <c r="F518" i="2"/>
  <c r="G518" i="2"/>
  <c r="H518" i="2"/>
  <c r="F519" i="2"/>
  <c r="G519" i="2"/>
  <c r="H519" i="2"/>
  <c r="F520" i="2"/>
  <c r="G520" i="2"/>
  <c r="H520" i="2"/>
  <c r="F521" i="2"/>
  <c r="G521" i="2"/>
  <c r="H521" i="2"/>
  <c r="F522" i="2"/>
  <c r="G522" i="2"/>
  <c r="H522" i="2"/>
  <c r="F523" i="2"/>
  <c r="G523" i="2"/>
  <c r="H523" i="2"/>
  <c r="F524" i="2"/>
  <c r="G524" i="2"/>
  <c r="H524" i="2"/>
  <c r="F525" i="2"/>
  <c r="G525" i="2"/>
  <c r="H525" i="2"/>
  <c r="F526" i="2"/>
  <c r="G526" i="2"/>
  <c r="H526" i="2"/>
  <c r="F527" i="2"/>
  <c r="G527" i="2"/>
  <c r="H527" i="2"/>
  <c r="F528" i="2"/>
  <c r="G528" i="2"/>
  <c r="H528" i="2"/>
  <c r="F529" i="2"/>
  <c r="G529" i="2"/>
  <c r="H529" i="2"/>
  <c r="F530" i="2"/>
  <c r="G530" i="2"/>
  <c r="H530" i="2"/>
  <c r="F531" i="2"/>
  <c r="G531" i="2"/>
  <c r="H531" i="2"/>
  <c r="F532" i="2"/>
  <c r="G532" i="2"/>
  <c r="H532" i="2"/>
  <c r="F533" i="2"/>
  <c r="G533" i="2"/>
  <c r="H533" i="2"/>
  <c r="F534" i="2"/>
  <c r="G534" i="2"/>
  <c r="H534" i="2"/>
  <c r="F535" i="2"/>
  <c r="G535" i="2"/>
  <c r="H535" i="2"/>
  <c r="F536" i="2"/>
  <c r="G536" i="2"/>
  <c r="H536" i="2"/>
  <c r="F537" i="2"/>
  <c r="G537" i="2"/>
  <c r="H537" i="2"/>
  <c r="F538" i="2"/>
  <c r="G538" i="2"/>
  <c r="H538" i="2"/>
  <c r="F539" i="2"/>
  <c r="G539" i="2"/>
  <c r="H539" i="2"/>
  <c r="F540" i="2"/>
  <c r="G540" i="2"/>
  <c r="H540" i="2"/>
  <c r="F541" i="2"/>
  <c r="G541" i="2"/>
  <c r="H541" i="2"/>
  <c r="F542" i="2"/>
  <c r="G542" i="2"/>
  <c r="H542" i="2"/>
  <c r="F543" i="2"/>
  <c r="G543" i="2"/>
  <c r="H543" i="2"/>
  <c r="F544" i="2"/>
  <c r="G544" i="2"/>
  <c r="H544" i="2"/>
  <c r="F545" i="2"/>
  <c r="G545" i="2"/>
  <c r="H545" i="2"/>
  <c r="F546" i="2"/>
  <c r="G546" i="2"/>
  <c r="H546" i="2"/>
  <c r="F547" i="2"/>
  <c r="G547" i="2"/>
  <c r="H547" i="2"/>
  <c r="F548" i="2"/>
  <c r="G548" i="2"/>
  <c r="H548" i="2"/>
  <c r="F549" i="2"/>
  <c r="G549" i="2"/>
  <c r="H549" i="2"/>
  <c r="F550" i="2"/>
  <c r="G550" i="2"/>
  <c r="H550" i="2"/>
  <c r="F551" i="2"/>
  <c r="G551" i="2"/>
  <c r="H551" i="2"/>
  <c r="F552" i="2"/>
  <c r="G552" i="2"/>
  <c r="H552" i="2"/>
  <c r="F553" i="2"/>
  <c r="G553" i="2"/>
  <c r="H553" i="2"/>
  <c r="F554" i="2"/>
  <c r="G554" i="2"/>
  <c r="H554" i="2"/>
  <c r="F555" i="2"/>
  <c r="G555" i="2"/>
  <c r="H555" i="2"/>
  <c r="F556" i="2"/>
  <c r="G556" i="2"/>
  <c r="H556" i="2"/>
  <c r="F557" i="2"/>
  <c r="G557" i="2"/>
  <c r="H557" i="2"/>
  <c r="F558" i="2"/>
  <c r="G558" i="2"/>
  <c r="H558" i="2"/>
  <c r="F559" i="2"/>
  <c r="G559" i="2"/>
  <c r="H559" i="2"/>
  <c r="F560" i="2"/>
  <c r="G560" i="2"/>
  <c r="H560" i="2"/>
  <c r="F561" i="2"/>
  <c r="G561" i="2"/>
  <c r="H561" i="2"/>
  <c r="F562" i="2"/>
  <c r="G562" i="2"/>
  <c r="H562" i="2"/>
  <c r="F563" i="2"/>
  <c r="G563" i="2"/>
  <c r="H563" i="2"/>
  <c r="F564" i="2"/>
  <c r="G564" i="2"/>
  <c r="H564" i="2"/>
  <c r="F565" i="2"/>
  <c r="G565" i="2"/>
  <c r="H565" i="2"/>
  <c r="F566" i="2"/>
  <c r="G566" i="2"/>
  <c r="H566" i="2"/>
  <c r="F567" i="2"/>
  <c r="G567" i="2"/>
  <c r="H567" i="2"/>
  <c r="F568" i="2"/>
  <c r="G568" i="2"/>
  <c r="H568" i="2"/>
  <c r="F569" i="2"/>
  <c r="G569" i="2"/>
  <c r="H569" i="2"/>
  <c r="F570" i="2"/>
  <c r="G570" i="2"/>
  <c r="H570" i="2"/>
  <c r="F571" i="2"/>
  <c r="G571" i="2"/>
  <c r="H571" i="2"/>
  <c r="F572" i="2"/>
  <c r="G572" i="2"/>
  <c r="H572" i="2"/>
  <c r="F573" i="2"/>
  <c r="G573" i="2"/>
  <c r="H573" i="2"/>
  <c r="F574" i="2"/>
  <c r="G574" i="2"/>
  <c r="H574" i="2"/>
  <c r="F575" i="2"/>
  <c r="G575" i="2"/>
  <c r="H575" i="2"/>
  <c r="F576" i="2"/>
  <c r="G576" i="2"/>
  <c r="H576" i="2"/>
  <c r="F577" i="2"/>
  <c r="G577" i="2"/>
  <c r="H577" i="2"/>
  <c r="F578" i="2"/>
  <c r="G578" i="2"/>
  <c r="H578" i="2"/>
  <c r="F579" i="2"/>
  <c r="G579" i="2"/>
  <c r="H579" i="2"/>
  <c r="F580" i="2"/>
  <c r="G580" i="2"/>
  <c r="H580" i="2"/>
  <c r="F581" i="2"/>
  <c r="G581" i="2"/>
  <c r="H581" i="2"/>
  <c r="F582" i="2"/>
  <c r="G582" i="2"/>
  <c r="H582" i="2"/>
  <c r="F583" i="2"/>
  <c r="G583" i="2"/>
  <c r="H583" i="2"/>
  <c r="F584" i="2"/>
  <c r="G584" i="2"/>
  <c r="H584" i="2"/>
  <c r="F585" i="2"/>
  <c r="G585" i="2"/>
  <c r="H585" i="2"/>
  <c r="F586" i="2"/>
  <c r="G586" i="2"/>
  <c r="H586" i="2"/>
  <c r="F587" i="2"/>
  <c r="G587" i="2"/>
  <c r="H587" i="2"/>
  <c r="F588" i="2"/>
  <c r="G588" i="2"/>
  <c r="H588" i="2"/>
  <c r="F589" i="2"/>
  <c r="G589" i="2"/>
  <c r="H589" i="2"/>
  <c r="F590" i="2"/>
  <c r="G590" i="2"/>
  <c r="H590" i="2"/>
  <c r="F591" i="2"/>
  <c r="G591" i="2"/>
  <c r="H591" i="2"/>
  <c r="F592" i="2"/>
  <c r="G592" i="2"/>
  <c r="H592" i="2"/>
  <c r="F593" i="2"/>
  <c r="G593" i="2"/>
  <c r="H593" i="2"/>
  <c r="F594" i="2"/>
  <c r="G594" i="2"/>
  <c r="H594" i="2"/>
  <c r="F595" i="2"/>
  <c r="G595" i="2"/>
  <c r="H595" i="2"/>
  <c r="F596" i="2"/>
  <c r="G596" i="2"/>
  <c r="H596" i="2"/>
  <c r="F597" i="2"/>
  <c r="G597" i="2"/>
  <c r="H597" i="2"/>
  <c r="F598" i="2"/>
  <c r="G598" i="2"/>
  <c r="H598" i="2"/>
  <c r="F599" i="2"/>
  <c r="G599" i="2"/>
  <c r="H599" i="2"/>
  <c r="F600" i="2"/>
  <c r="G600" i="2"/>
  <c r="H600" i="2"/>
  <c r="F601" i="2"/>
  <c r="G601" i="2"/>
  <c r="H601" i="2"/>
  <c r="F602" i="2"/>
  <c r="G602" i="2"/>
  <c r="H602" i="2"/>
  <c r="F603" i="2"/>
  <c r="G603" i="2"/>
  <c r="H603" i="2"/>
  <c r="F604" i="2"/>
  <c r="G604" i="2"/>
  <c r="H604" i="2"/>
  <c r="F605" i="2"/>
  <c r="G605" i="2"/>
  <c r="H605" i="2"/>
  <c r="F606" i="2"/>
  <c r="G606" i="2"/>
  <c r="H606" i="2"/>
  <c r="F607" i="2"/>
  <c r="G607" i="2"/>
  <c r="H607" i="2"/>
  <c r="F608" i="2"/>
  <c r="G608" i="2"/>
  <c r="H608" i="2"/>
  <c r="F609" i="2"/>
  <c r="G609" i="2"/>
  <c r="H609" i="2"/>
  <c r="F610" i="2"/>
  <c r="G610" i="2"/>
  <c r="H610" i="2"/>
  <c r="F424" i="2"/>
  <c r="G424" i="2"/>
  <c r="H424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" i="2"/>
  <c r="D7" i="2"/>
  <c r="D8" i="2"/>
  <c r="E8" i="2"/>
  <c r="D9" i="2"/>
  <c r="E9" i="2"/>
  <c r="D10" i="2"/>
  <c r="E10" i="2"/>
  <c r="F10" i="2"/>
  <c r="D11" i="2"/>
  <c r="E11" i="2"/>
  <c r="F11" i="2"/>
  <c r="D12" i="2"/>
  <c r="E12" i="2"/>
  <c r="F12" i="2"/>
  <c r="D13" i="2"/>
  <c r="E13" i="2"/>
  <c r="F13" i="2"/>
  <c r="D14" i="2"/>
  <c r="E14" i="2"/>
  <c r="F14" i="2"/>
  <c r="D15" i="2"/>
  <c r="E15" i="2"/>
  <c r="F15" i="2"/>
  <c r="D16" i="2"/>
  <c r="E16" i="2"/>
  <c r="F16" i="2"/>
  <c r="G16" i="2"/>
  <c r="D17" i="2"/>
  <c r="E17" i="2"/>
  <c r="F17" i="2"/>
  <c r="G17" i="2"/>
  <c r="D18" i="2"/>
  <c r="E18" i="2"/>
  <c r="F18" i="2"/>
  <c r="G18" i="2"/>
  <c r="D19" i="2"/>
  <c r="E19" i="2"/>
  <c r="F19" i="2"/>
  <c r="G19" i="2"/>
  <c r="D20" i="2"/>
  <c r="E20" i="2"/>
  <c r="F20" i="2"/>
  <c r="G20" i="2"/>
  <c r="D21" i="2"/>
  <c r="E21" i="2"/>
  <c r="F21" i="2"/>
  <c r="G21" i="2"/>
  <c r="D22" i="2"/>
  <c r="E22" i="2"/>
  <c r="F22" i="2"/>
  <c r="G22" i="2"/>
  <c r="D23" i="2"/>
  <c r="E23" i="2"/>
  <c r="F23" i="2"/>
  <c r="G23" i="2"/>
  <c r="D24" i="2"/>
  <c r="E24" i="2"/>
  <c r="F24" i="2"/>
  <c r="G24" i="2"/>
  <c r="D25" i="2"/>
  <c r="E25" i="2"/>
  <c r="F25" i="2"/>
  <c r="G25" i="2"/>
  <c r="D26" i="2"/>
  <c r="E26" i="2"/>
  <c r="F26" i="2"/>
  <c r="G26" i="2"/>
  <c r="D27" i="2"/>
  <c r="E27" i="2"/>
  <c r="F27" i="2"/>
  <c r="G27" i="2"/>
  <c r="D28" i="2"/>
  <c r="E28" i="2"/>
  <c r="F28" i="2"/>
  <c r="G28" i="2"/>
  <c r="D29" i="2"/>
  <c r="E29" i="2"/>
  <c r="F29" i="2"/>
  <c r="G29" i="2"/>
  <c r="D30" i="2"/>
  <c r="E30" i="2"/>
  <c r="F30" i="2"/>
  <c r="G30" i="2"/>
  <c r="D31" i="2"/>
  <c r="E31" i="2"/>
  <c r="F31" i="2"/>
  <c r="G31" i="2"/>
  <c r="D32" i="2"/>
  <c r="E32" i="2"/>
  <c r="F32" i="2"/>
  <c r="G32" i="2"/>
  <c r="D33" i="2"/>
  <c r="E33" i="2"/>
  <c r="F33" i="2"/>
  <c r="G33" i="2"/>
  <c r="D34" i="2"/>
  <c r="E34" i="2"/>
  <c r="F34" i="2"/>
  <c r="G34" i="2"/>
  <c r="D35" i="2"/>
  <c r="E35" i="2"/>
  <c r="F35" i="2"/>
  <c r="G35" i="2"/>
  <c r="D36" i="2"/>
  <c r="E36" i="2"/>
  <c r="F36" i="2"/>
  <c r="G36" i="2"/>
  <c r="H36" i="2"/>
  <c r="D37" i="2"/>
  <c r="E37" i="2"/>
  <c r="F37" i="2"/>
  <c r="G37" i="2"/>
  <c r="H37" i="2"/>
  <c r="D38" i="2"/>
  <c r="E38" i="2"/>
  <c r="F38" i="2"/>
  <c r="G38" i="2"/>
  <c r="H38" i="2"/>
  <c r="D39" i="2"/>
  <c r="E39" i="2"/>
  <c r="F39" i="2"/>
  <c r="G39" i="2"/>
  <c r="H39" i="2"/>
  <c r="D40" i="2"/>
  <c r="E40" i="2"/>
  <c r="F40" i="2"/>
  <c r="G40" i="2"/>
  <c r="H40" i="2"/>
  <c r="D41" i="2"/>
  <c r="E41" i="2"/>
  <c r="F41" i="2"/>
  <c r="G41" i="2"/>
  <c r="H41" i="2"/>
  <c r="D42" i="2"/>
  <c r="E42" i="2"/>
  <c r="F42" i="2"/>
  <c r="G42" i="2"/>
  <c r="H42" i="2"/>
  <c r="D43" i="2"/>
  <c r="E43" i="2"/>
  <c r="F43" i="2"/>
  <c r="G43" i="2"/>
  <c r="H43" i="2"/>
  <c r="D44" i="2"/>
  <c r="E44" i="2"/>
  <c r="F44" i="2"/>
  <c r="G44" i="2"/>
  <c r="H44" i="2"/>
  <c r="D45" i="2"/>
  <c r="E45" i="2"/>
  <c r="F45" i="2"/>
  <c r="G45" i="2"/>
  <c r="H45" i="2"/>
  <c r="D46" i="2"/>
  <c r="E46" i="2"/>
  <c r="F46" i="2"/>
  <c r="G46" i="2"/>
  <c r="H46" i="2"/>
  <c r="D47" i="2"/>
  <c r="E47" i="2"/>
  <c r="F47" i="2"/>
  <c r="G47" i="2"/>
  <c r="H47" i="2"/>
  <c r="D48" i="2"/>
  <c r="E48" i="2"/>
  <c r="F48" i="2"/>
  <c r="G48" i="2"/>
  <c r="H48" i="2"/>
  <c r="D49" i="2"/>
  <c r="E49" i="2"/>
  <c r="F49" i="2"/>
  <c r="G49" i="2"/>
  <c r="H49" i="2"/>
  <c r="D50" i="2"/>
  <c r="E50" i="2"/>
  <c r="F50" i="2"/>
  <c r="G50" i="2"/>
  <c r="H50" i="2"/>
  <c r="D51" i="2"/>
  <c r="E51" i="2"/>
  <c r="F51" i="2"/>
  <c r="G51" i="2"/>
  <c r="H51" i="2"/>
  <c r="D52" i="2"/>
  <c r="E52" i="2"/>
  <c r="F52" i="2"/>
  <c r="G52" i="2"/>
  <c r="H52" i="2"/>
  <c r="D53" i="2"/>
  <c r="E53" i="2"/>
  <c r="F53" i="2"/>
  <c r="G53" i="2"/>
  <c r="H53" i="2"/>
  <c r="D54" i="2"/>
  <c r="E54" i="2"/>
  <c r="F54" i="2"/>
  <c r="G54" i="2"/>
  <c r="H54" i="2"/>
  <c r="D55" i="2"/>
  <c r="E55" i="2"/>
  <c r="F55" i="2"/>
  <c r="G55" i="2"/>
  <c r="H55" i="2"/>
  <c r="D56" i="2"/>
  <c r="E56" i="2"/>
  <c r="F56" i="2"/>
  <c r="G56" i="2"/>
  <c r="H56" i="2"/>
  <c r="D57" i="2"/>
  <c r="E57" i="2"/>
  <c r="F57" i="2"/>
  <c r="G57" i="2"/>
  <c r="H57" i="2"/>
  <c r="D58" i="2"/>
  <c r="E58" i="2"/>
  <c r="F58" i="2"/>
  <c r="G58" i="2"/>
  <c r="H58" i="2"/>
  <c r="D59" i="2"/>
  <c r="E59" i="2"/>
  <c r="F59" i="2"/>
  <c r="G59" i="2"/>
  <c r="H59" i="2"/>
  <c r="D60" i="2"/>
  <c r="E60" i="2"/>
  <c r="F60" i="2"/>
  <c r="G60" i="2"/>
  <c r="H60" i="2"/>
  <c r="D61" i="2"/>
  <c r="E61" i="2"/>
  <c r="F61" i="2"/>
  <c r="G61" i="2"/>
  <c r="H61" i="2"/>
  <c r="D62" i="2"/>
  <c r="E62" i="2"/>
  <c r="F62" i="2"/>
  <c r="G62" i="2"/>
  <c r="H62" i="2"/>
  <c r="D63" i="2"/>
  <c r="E63" i="2"/>
  <c r="F63" i="2"/>
  <c r="G63" i="2"/>
  <c r="H63" i="2"/>
  <c r="D64" i="2"/>
  <c r="E64" i="2"/>
  <c r="F64" i="2"/>
  <c r="G64" i="2"/>
  <c r="H64" i="2"/>
  <c r="D65" i="2"/>
  <c r="E65" i="2"/>
  <c r="F65" i="2"/>
  <c r="G65" i="2"/>
  <c r="H65" i="2"/>
  <c r="D66" i="2"/>
  <c r="E66" i="2"/>
  <c r="F66" i="2"/>
  <c r="G66" i="2"/>
  <c r="H66" i="2"/>
  <c r="D67" i="2"/>
  <c r="E67" i="2"/>
  <c r="F67" i="2"/>
  <c r="G67" i="2"/>
  <c r="H67" i="2"/>
  <c r="D68" i="2"/>
  <c r="E68" i="2"/>
  <c r="F68" i="2"/>
  <c r="G68" i="2"/>
  <c r="H68" i="2"/>
  <c r="D69" i="2"/>
  <c r="E69" i="2"/>
  <c r="F69" i="2"/>
  <c r="G69" i="2"/>
  <c r="H69" i="2"/>
  <c r="D70" i="2"/>
  <c r="E70" i="2"/>
  <c r="F70" i="2"/>
  <c r="G70" i="2"/>
  <c r="H70" i="2"/>
  <c r="D71" i="2"/>
  <c r="E71" i="2"/>
  <c r="F71" i="2"/>
  <c r="G71" i="2"/>
  <c r="H71" i="2"/>
  <c r="D72" i="2"/>
  <c r="E72" i="2"/>
  <c r="F72" i="2"/>
  <c r="G72" i="2"/>
  <c r="H72" i="2"/>
  <c r="D73" i="2"/>
  <c r="E73" i="2"/>
  <c r="F73" i="2"/>
  <c r="G73" i="2"/>
  <c r="H73" i="2"/>
  <c r="D74" i="2"/>
  <c r="E74" i="2"/>
  <c r="F74" i="2"/>
  <c r="G74" i="2"/>
  <c r="H74" i="2"/>
  <c r="D75" i="2"/>
  <c r="E75" i="2"/>
  <c r="F75" i="2"/>
  <c r="G75" i="2"/>
  <c r="H75" i="2"/>
  <c r="D76" i="2"/>
  <c r="E76" i="2"/>
  <c r="F76" i="2"/>
  <c r="G76" i="2"/>
  <c r="H76" i="2"/>
  <c r="D77" i="2"/>
  <c r="E77" i="2"/>
  <c r="F77" i="2"/>
  <c r="G77" i="2"/>
  <c r="H77" i="2"/>
  <c r="D78" i="2"/>
  <c r="E78" i="2"/>
  <c r="F78" i="2"/>
  <c r="G78" i="2"/>
  <c r="H78" i="2"/>
  <c r="D79" i="2"/>
  <c r="E79" i="2"/>
  <c r="F79" i="2"/>
  <c r="G79" i="2"/>
  <c r="H79" i="2"/>
  <c r="D80" i="2"/>
  <c r="E80" i="2"/>
  <c r="F80" i="2"/>
  <c r="G80" i="2"/>
  <c r="H80" i="2"/>
  <c r="D81" i="2"/>
  <c r="E81" i="2"/>
  <c r="F81" i="2"/>
  <c r="G81" i="2"/>
  <c r="H81" i="2"/>
  <c r="D82" i="2"/>
  <c r="E82" i="2"/>
  <c r="F82" i="2"/>
  <c r="G82" i="2"/>
  <c r="H82" i="2"/>
  <c r="D83" i="2"/>
  <c r="E83" i="2"/>
  <c r="F83" i="2"/>
  <c r="G83" i="2"/>
  <c r="H83" i="2"/>
  <c r="D84" i="2"/>
  <c r="E84" i="2"/>
  <c r="F84" i="2"/>
  <c r="G84" i="2"/>
  <c r="H84" i="2"/>
  <c r="D85" i="2"/>
  <c r="E85" i="2"/>
  <c r="F85" i="2"/>
  <c r="G85" i="2"/>
  <c r="H85" i="2"/>
  <c r="D86" i="2"/>
  <c r="E86" i="2"/>
  <c r="F86" i="2"/>
  <c r="G86" i="2"/>
  <c r="H86" i="2"/>
  <c r="D87" i="2"/>
  <c r="E87" i="2"/>
  <c r="F87" i="2"/>
  <c r="G87" i="2"/>
  <c r="H87" i="2"/>
  <c r="D88" i="2"/>
  <c r="E88" i="2"/>
  <c r="F88" i="2"/>
  <c r="G88" i="2"/>
  <c r="H88" i="2"/>
  <c r="D89" i="2"/>
  <c r="E89" i="2"/>
  <c r="F89" i="2"/>
  <c r="G89" i="2"/>
  <c r="H89" i="2"/>
  <c r="D90" i="2"/>
  <c r="E90" i="2"/>
  <c r="F90" i="2"/>
  <c r="G90" i="2"/>
  <c r="H90" i="2"/>
  <c r="D91" i="2"/>
  <c r="E91" i="2"/>
  <c r="F91" i="2"/>
  <c r="G91" i="2"/>
  <c r="H91" i="2"/>
  <c r="D92" i="2"/>
  <c r="E92" i="2"/>
  <c r="F92" i="2"/>
  <c r="G92" i="2"/>
  <c r="H92" i="2"/>
  <c r="D93" i="2"/>
  <c r="E93" i="2"/>
  <c r="F93" i="2"/>
  <c r="G93" i="2"/>
  <c r="H93" i="2"/>
  <c r="D94" i="2"/>
  <c r="E94" i="2"/>
  <c r="F94" i="2"/>
  <c r="G94" i="2"/>
  <c r="H94" i="2"/>
  <c r="D95" i="2"/>
  <c r="E95" i="2"/>
  <c r="F95" i="2"/>
  <c r="G95" i="2"/>
  <c r="H95" i="2"/>
  <c r="D96" i="2"/>
  <c r="E96" i="2"/>
  <c r="F96" i="2"/>
  <c r="G96" i="2"/>
  <c r="H96" i="2"/>
  <c r="D97" i="2"/>
  <c r="E97" i="2"/>
  <c r="F97" i="2"/>
  <c r="G97" i="2"/>
  <c r="H97" i="2"/>
  <c r="D98" i="2"/>
  <c r="E98" i="2"/>
  <c r="F98" i="2"/>
  <c r="G98" i="2"/>
  <c r="H98" i="2"/>
  <c r="D99" i="2"/>
  <c r="E99" i="2"/>
  <c r="F99" i="2"/>
  <c r="G99" i="2"/>
  <c r="H99" i="2"/>
  <c r="D100" i="2"/>
  <c r="E100" i="2"/>
  <c r="F100" i="2"/>
  <c r="G100" i="2"/>
  <c r="H100" i="2"/>
  <c r="D101" i="2"/>
  <c r="E101" i="2"/>
  <c r="F101" i="2"/>
  <c r="G101" i="2"/>
  <c r="H101" i="2"/>
  <c r="D102" i="2"/>
  <c r="E102" i="2"/>
  <c r="F102" i="2"/>
  <c r="G102" i="2"/>
  <c r="H102" i="2"/>
  <c r="D103" i="2"/>
  <c r="E103" i="2"/>
  <c r="F103" i="2"/>
  <c r="G103" i="2"/>
  <c r="H103" i="2"/>
  <c r="D104" i="2"/>
  <c r="E104" i="2"/>
  <c r="F104" i="2"/>
  <c r="G104" i="2"/>
  <c r="H104" i="2"/>
  <c r="D105" i="2"/>
  <c r="E105" i="2"/>
  <c r="F105" i="2"/>
  <c r="G105" i="2"/>
  <c r="H105" i="2"/>
  <c r="D106" i="2"/>
  <c r="E106" i="2"/>
  <c r="F106" i="2"/>
  <c r="G106" i="2"/>
  <c r="H106" i="2"/>
  <c r="D107" i="2"/>
  <c r="E107" i="2"/>
  <c r="F107" i="2"/>
  <c r="G107" i="2"/>
  <c r="H107" i="2"/>
  <c r="D108" i="2"/>
  <c r="E108" i="2"/>
  <c r="F108" i="2"/>
  <c r="G108" i="2"/>
  <c r="H108" i="2"/>
  <c r="D109" i="2"/>
  <c r="E109" i="2"/>
  <c r="F109" i="2"/>
  <c r="G109" i="2"/>
  <c r="H109" i="2"/>
  <c r="D110" i="2"/>
  <c r="E110" i="2"/>
  <c r="F110" i="2"/>
  <c r="G110" i="2"/>
  <c r="H110" i="2"/>
  <c r="D111" i="2"/>
  <c r="E111" i="2"/>
  <c r="F111" i="2"/>
  <c r="G111" i="2"/>
  <c r="H111" i="2"/>
  <c r="D112" i="2"/>
  <c r="E112" i="2"/>
  <c r="F112" i="2"/>
  <c r="G112" i="2"/>
  <c r="H112" i="2"/>
  <c r="D113" i="2"/>
  <c r="E113" i="2"/>
  <c r="F113" i="2"/>
  <c r="G113" i="2"/>
  <c r="H113" i="2"/>
  <c r="D114" i="2"/>
  <c r="E114" i="2"/>
  <c r="F114" i="2"/>
  <c r="G114" i="2"/>
  <c r="H114" i="2"/>
  <c r="D115" i="2"/>
  <c r="E115" i="2"/>
  <c r="F115" i="2"/>
  <c r="G115" i="2"/>
  <c r="H115" i="2"/>
  <c r="D116" i="2"/>
  <c r="E116" i="2"/>
  <c r="F116" i="2"/>
  <c r="G116" i="2"/>
  <c r="H116" i="2"/>
  <c r="D117" i="2"/>
  <c r="E117" i="2"/>
  <c r="F117" i="2"/>
  <c r="G117" i="2"/>
  <c r="H117" i="2"/>
  <c r="D118" i="2"/>
  <c r="E118" i="2"/>
  <c r="F118" i="2"/>
  <c r="G118" i="2"/>
  <c r="H118" i="2"/>
  <c r="D119" i="2"/>
  <c r="E119" i="2"/>
  <c r="F119" i="2"/>
  <c r="G119" i="2"/>
  <c r="H119" i="2"/>
  <c r="D120" i="2"/>
  <c r="E120" i="2"/>
  <c r="F120" i="2"/>
  <c r="G120" i="2"/>
  <c r="H120" i="2"/>
  <c r="D121" i="2"/>
  <c r="E121" i="2"/>
  <c r="F121" i="2"/>
  <c r="G121" i="2"/>
  <c r="H121" i="2"/>
  <c r="D122" i="2"/>
  <c r="E122" i="2"/>
  <c r="F122" i="2"/>
  <c r="G122" i="2"/>
  <c r="H122" i="2"/>
  <c r="D123" i="2"/>
  <c r="E123" i="2"/>
  <c r="F123" i="2"/>
  <c r="G123" i="2"/>
  <c r="H123" i="2"/>
  <c r="D124" i="2"/>
  <c r="E124" i="2"/>
  <c r="F124" i="2"/>
  <c r="G124" i="2"/>
  <c r="H124" i="2"/>
  <c r="D125" i="2"/>
  <c r="E125" i="2"/>
  <c r="F125" i="2"/>
  <c r="G125" i="2"/>
  <c r="H125" i="2"/>
  <c r="D126" i="2"/>
  <c r="E126" i="2"/>
  <c r="F126" i="2"/>
  <c r="G126" i="2"/>
  <c r="H126" i="2"/>
  <c r="D127" i="2"/>
  <c r="E127" i="2"/>
  <c r="F127" i="2"/>
  <c r="G127" i="2"/>
  <c r="H127" i="2"/>
  <c r="D128" i="2"/>
  <c r="E128" i="2"/>
  <c r="F128" i="2"/>
  <c r="G128" i="2"/>
  <c r="H128" i="2"/>
  <c r="D129" i="2"/>
  <c r="E129" i="2"/>
  <c r="F129" i="2"/>
  <c r="G129" i="2"/>
  <c r="H129" i="2"/>
  <c r="D130" i="2"/>
  <c r="E130" i="2"/>
  <c r="F130" i="2"/>
  <c r="G130" i="2"/>
  <c r="H130" i="2"/>
  <c r="D131" i="2"/>
  <c r="E131" i="2"/>
  <c r="F131" i="2"/>
  <c r="G131" i="2"/>
  <c r="H131" i="2"/>
  <c r="D132" i="2"/>
  <c r="E132" i="2"/>
  <c r="F132" i="2"/>
  <c r="G132" i="2"/>
  <c r="H132" i="2"/>
  <c r="D133" i="2"/>
  <c r="E133" i="2"/>
  <c r="F133" i="2"/>
  <c r="G133" i="2"/>
  <c r="H133" i="2"/>
  <c r="D134" i="2"/>
  <c r="E134" i="2"/>
  <c r="F134" i="2"/>
  <c r="G134" i="2"/>
  <c r="H134" i="2"/>
  <c r="D135" i="2"/>
  <c r="E135" i="2"/>
  <c r="F135" i="2"/>
  <c r="G135" i="2"/>
  <c r="H135" i="2"/>
  <c r="D136" i="2"/>
  <c r="E136" i="2"/>
  <c r="F136" i="2"/>
  <c r="G136" i="2"/>
  <c r="H136" i="2"/>
  <c r="D137" i="2"/>
  <c r="E137" i="2"/>
  <c r="F137" i="2"/>
  <c r="G137" i="2"/>
  <c r="H137" i="2"/>
  <c r="D138" i="2"/>
  <c r="E138" i="2"/>
  <c r="F138" i="2"/>
  <c r="G138" i="2"/>
  <c r="H138" i="2"/>
  <c r="D139" i="2"/>
  <c r="E139" i="2"/>
  <c r="F139" i="2"/>
  <c r="G139" i="2"/>
  <c r="H139" i="2"/>
  <c r="D140" i="2"/>
  <c r="E140" i="2"/>
  <c r="F140" i="2"/>
  <c r="G140" i="2"/>
  <c r="H140" i="2"/>
  <c r="D141" i="2"/>
  <c r="E141" i="2"/>
  <c r="F141" i="2"/>
  <c r="G141" i="2"/>
  <c r="H141" i="2"/>
  <c r="D142" i="2"/>
  <c r="E142" i="2"/>
  <c r="F142" i="2"/>
  <c r="G142" i="2"/>
  <c r="H142" i="2"/>
  <c r="D143" i="2"/>
  <c r="E143" i="2"/>
  <c r="F143" i="2"/>
  <c r="G143" i="2"/>
  <c r="H143" i="2"/>
  <c r="D144" i="2"/>
  <c r="E144" i="2"/>
  <c r="F144" i="2"/>
  <c r="G144" i="2"/>
  <c r="H144" i="2"/>
  <c r="D145" i="2"/>
  <c r="E145" i="2"/>
  <c r="F145" i="2"/>
  <c r="G145" i="2"/>
  <c r="H145" i="2"/>
  <c r="D146" i="2"/>
  <c r="E146" i="2"/>
  <c r="F146" i="2"/>
  <c r="G146" i="2"/>
  <c r="H146" i="2"/>
  <c r="D147" i="2"/>
  <c r="E147" i="2"/>
  <c r="F147" i="2"/>
  <c r="G147" i="2"/>
  <c r="H147" i="2"/>
  <c r="D148" i="2"/>
  <c r="E148" i="2"/>
  <c r="F148" i="2"/>
  <c r="G148" i="2"/>
  <c r="H148" i="2"/>
  <c r="D149" i="2"/>
  <c r="E149" i="2"/>
  <c r="F149" i="2"/>
  <c r="G149" i="2"/>
  <c r="H149" i="2"/>
  <c r="D150" i="2"/>
  <c r="E150" i="2"/>
  <c r="F150" i="2"/>
  <c r="G150" i="2"/>
  <c r="H150" i="2"/>
  <c r="D151" i="2"/>
  <c r="E151" i="2"/>
  <c r="F151" i="2"/>
  <c r="G151" i="2"/>
  <c r="H151" i="2"/>
  <c r="D152" i="2"/>
  <c r="E152" i="2"/>
  <c r="F152" i="2"/>
  <c r="G152" i="2"/>
  <c r="H152" i="2"/>
  <c r="D153" i="2"/>
  <c r="E153" i="2"/>
  <c r="F153" i="2"/>
  <c r="G153" i="2"/>
  <c r="H153" i="2"/>
  <c r="D154" i="2"/>
  <c r="E154" i="2"/>
  <c r="F154" i="2"/>
  <c r="G154" i="2"/>
  <c r="H154" i="2"/>
  <c r="D155" i="2"/>
  <c r="E155" i="2"/>
  <c r="F155" i="2"/>
  <c r="G155" i="2"/>
  <c r="H155" i="2"/>
  <c r="D156" i="2"/>
  <c r="E156" i="2"/>
  <c r="F156" i="2"/>
  <c r="G156" i="2"/>
  <c r="H156" i="2"/>
  <c r="D157" i="2"/>
  <c r="E157" i="2"/>
  <c r="F157" i="2"/>
  <c r="G157" i="2"/>
  <c r="H157" i="2"/>
  <c r="D158" i="2"/>
  <c r="E158" i="2"/>
  <c r="F158" i="2"/>
  <c r="G158" i="2"/>
  <c r="H158" i="2"/>
  <c r="D159" i="2"/>
  <c r="E159" i="2"/>
  <c r="F159" i="2"/>
  <c r="G159" i="2"/>
  <c r="H159" i="2"/>
  <c r="D160" i="2"/>
  <c r="E160" i="2"/>
  <c r="F160" i="2"/>
  <c r="G160" i="2"/>
  <c r="H160" i="2"/>
  <c r="D161" i="2"/>
  <c r="E161" i="2"/>
  <c r="F161" i="2"/>
  <c r="G161" i="2"/>
  <c r="H161" i="2"/>
  <c r="D162" i="2"/>
  <c r="E162" i="2"/>
  <c r="F162" i="2"/>
  <c r="G162" i="2"/>
  <c r="H162" i="2"/>
  <c r="D163" i="2"/>
  <c r="E163" i="2"/>
  <c r="F163" i="2"/>
  <c r="G163" i="2"/>
  <c r="H163" i="2"/>
  <c r="D164" i="2"/>
  <c r="E164" i="2"/>
  <c r="F164" i="2"/>
  <c r="G164" i="2"/>
  <c r="H164" i="2"/>
  <c r="D165" i="2"/>
  <c r="E165" i="2"/>
  <c r="F165" i="2"/>
  <c r="G165" i="2"/>
  <c r="H165" i="2"/>
  <c r="D166" i="2"/>
  <c r="E166" i="2"/>
  <c r="F166" i="2"/>
  <c r="G166" i="2"/>
  <c r="H166" i="2"/>
  <c r="D167" i="2"/>
  <c r="E167" i="2"/>
  <c r="F167" i="2"/>
  <c r="G167" i="2"/>
  <c r="H167" i="2"/>
  <c r="D168" i="2"/>
  <c r="E168" i="2"/>
  <c r="F168" i="2"/>
  <c r="G168" i="2"/>
  <c r="H168" i="2"/>
  <c r="D169" i="2"/>
  <c r="E169" i="2"/>
  <c r="F169" i="2"/>
  <c r="G169" i="2"/>
  <c r="H169" i="2"/>
  <c r="D170" i="2"/>
  <c r="E170" i="2"/>
  <c r="F170" i="2"/>
  <c r="G170" i="2"/>
  <c r="H170" i="2"/>
  <c r="D171" i="2"/>
  <c r="E171" i="2"/>
  <c r="F171" i="2"/>
  <c r="G171" i="2"/>
  <c r="H171" i="2"/>
  <c r="D172" i="2"/>
  <c r="E172" i="2"/>
  <c r="F172" i="2"/>
  <c r="G172" i="2"/>
  <c r="H172" i="2"/>
  <c r="D173" i="2"/>
  <c r="E173" i="2"/>
  <c r="F173" i="2"/>
  <c r="G173" i="2"/>
  <c r="H173" i="2"/>
  <c r="D174" i="2"/>
  <c r="E174" i="2"/>
  <c r="F174" i="2"/>
  <c r="G174" i="2"/>
  <c r="H174" i="2"/>
  <c r="D175" i="2"/>
  <c r="E175" i="2"/>
  <c r="F175" i="2"/>
  <c r="G175" i="2"/>
  <c r="H175" i="2"/>
  <c r="D176" i="2"/>
  <c r="E176" i="2"/>
  <c r="F176" i="2"/>
  <c r="G176" i="2"/>
  <c r="H176" i="2"/>
  <c r="D177" i="2"/>
  <c r="E177" i="2"/>
  <c r="F177" i="2"/>
  <c r="G177" i="2"/>
  <c r="H177" i="2"/>
  <c r="D178" i="2"/>
  <c r="E178" i="2"/>
  <c r="F178" i="2"/>
  <c r="G178" i="2"/>
  <c r="H178" i="2"/>
  <c r="D179" i="2"/>
  <c r="E179" i="2"/>
  <c r="F179" i="2"/>
  <c r="G179" i="2"/>
  <c r="H179" i="2"/>
  <c r="D180" i="2"/>
  <c r="E180" i="2"/>
  <c r="F180" i="2"/>
  <c r="G180" i="2"/>
  <c r="H180" i="2"/>
  <c r="D181" i="2"/>
  <c r="E181" i="2"/>
  <c r="F181" i="2"/>
  <c r="G181" i="2"/>
  <c r="H181" i="2"/>
  <c r="D182" i="2"/>
  <c r="E182" i="2"/>
  <c r="F182" i="2"/>
  <c r="G182" i="2"/>
  <c r="H182" i="2"/>
  <c r="D183" i="2"/>
  <c r="E183" i="2"/>
  <c r="F183" i="2"/>
  <c r="G183" i="2"/>
  <c r="H183" i="2"/>
  <c r="D184" i="2"/>
  <c r="E184" i="2"/>
  <c r="F184" i="2"/>
  <c r="G184" i="2"/>
  <c r="H184" i="2"/>
  <c r="D185" i="2"/>
  <c r="E185" i="2"/>
  <c r="F185" i="2"/>
  <c r="G185" i="2"/>
  <c r="H185" i="2"/>
  <c r="D186" i="2"/>
  <c r="E186" i="2"/>
  <c r="F186" i="2"/>
  <c r="G186" i="2"/>
  <c r="H186" i="2"/>
  <c r="D187" i="2"/>
  <c r="E187" i="2"/>
  <c r="F187" i="2"/>
  <c r="G187" i="2"/>
  <c r="H187" i="2"/>
  <c r="D188" i="2"/>
  <c r="E188" i="2"/>
  <c r="F188" i="2"/>
  <c r="G188" i="2"/>
  <c r="H188" i="2"/>
  <c r="D189" i="2"/>
  <c r="E189" i="2"/>
  <c r="F189" i="2"/>
  <c r="G189" i="2"/>
  <c r="H189" i="2"/>
  <c r="D190" i="2"/>
  <c r="E190" i="2"/>
  <c r="F190" i="2"/>
  <c r="G190" i="2"/>
  <c r="H190" i="2"/>
  <c r="D191" i="2"/>
  <c r="E191" i="2"/>
  <c r="F191" i="2"/>
  <c r="G191" i="2"/>
  <c r="H191" i="2"/>
  <c r="D192" i="2"/>
  <c r="E192" i="2"/>
  <c r="F192" i="2"/>
  <c r="G192" i="2"/>
  <c r="H192" i="2"/>
  <c r="D193" i="2"/>
  <c r="E193" i="2"/>
  <c r="F193" i="2"/>
  <c r="G193" i="2"/>
  <c r="H193" i="2"/>
  <c r="D194" i="2"/>
  <c r="E194" i="2"/>
  <c r="F194" i="2"/>
  <c r="G194" i="2"/>
  <c r="H194" i="2"/>
  <c r="D195" i="2"/>
  <c r="E195" i="2"/>
  <c r="F195" i="2"/>
  <c r="G195" i="2"/>
  <c r="H195" i="2"/>
  <c r="D196" i="2"/>
  <c r="E196" i="2"/>
  <c r="F196" i="2"/>
  <c r="G196" i="2"/>
  <c r="H196" i="2"/>
  <c r="D197" i="2"/>
  <c r="E197" i="2"/>
  <c r="F197" i="2"/>
  <c r="G197" i="2"/>
  <c r="H197" i="2"/>
  <c r="D198" i="2"/>
  <c r="E198" i="2"/>
  <c r="F198" i="2"/>
  <c r="G198" i="2"/>
  <c r="H198" i="2"/>
  <c r="D199" i="2"/>
  <c r="E199" i="2"/>
  <c r="F199" i="2"/>
  <c r="G199" i="2"/>
  <c r="H199" i="2"/>
  <c r="D200" i="2"/>
  <c r="E200" i="2"/>
  <c r="F200" i="2"/>
  <c r="G200" i="2"/>
  <c r="H200" i="2"/>
  <c r="D201" i="2"/>
  <c r="E201" i="2"/>
  <c r="F201" i="2"/>
  <c r="G201" i="2"/>
  <c r="H201" i="2"/>
  <c r="D202" i="2"/>
  <c r="E202" i="2"/>
  <c r="F202" i="2"/>
  <c r="G202" i="2"/>
  <c r="H202" i="2"/>
  <c r="D203" i="2"/>
  <c r="E203" i="2"/>
  <c r="F203" i="2"/>
  <c r="G203" i="2"/>
  <c r="H203" i="2"/>
  <c r="D204" i="2"/>
  <c r="E204" i="2"/>
  <c r="F204" i="2"/>
  <c r="G204" i="2"/>
  <c r="H204" i="2"/>
  <c r="D205" i="2"/>
  <c r="E205" i="2"/>
  <c r="F205" i="2"/>
  <c r="G205" i="2"/>
  <c r="H205" i="2"/>
  <c r="D206" i="2"/>
  <c r="E206" i="2"/>
  <c r="F206" i="2"/>
  <c r="G206" i="2"/>
  <c r="H206" i="2"/>
  <c r="D207" i="2"/>
  <c r="E207" i="2"/>
  <c r="F207" i="2"/>
  <c r="G207" i="2"/>
  <c r="H207" i="2"/>
  <c r="D208" i="2"/>
  <c r="E208" i="2"/>
  <c r="F208" i="2"/>
  <c r="G208" i="2"/>
  <c r="H208" i="2"/>
  <c r="D209" i="2"/>
  <c r="E209" i="2"/>
  <c r="F209" i="2"/>
  <c r="G209" i="2"/>
  <c r="H209" i="2"/>
  <c r="D210" i="2"/>
  <c r="E210" i="2"/>
  <c r="F210" i="2"/>
  <c r="G210" i="2"/>
  <c r="H210" i="2"/>
  <c r="D211" i="2"/>
  <c r="E211" i="2"/>
  <c r="F211" i="2"/>
  <c r="G211" i="2"/>
  <c r="H211" i="2"/>
  <c r="D212" i="2"/>
  <c r="E212" i="2"/>
  <c r="F212" i="2"/>
  <c r="G212" i="2"/>
  <c r="H212" i="2"/>
  <c r="D213" i="2"/>
  <c r="E213" i="2"/>
  <c r="F213" i="2"/>
  <c r="G213" i="2"/>
  <c r="H213" i="2"/>
  <c r="D214" i="2"/>
  <c r="E214" i="2"/>
  <c r="F214" i="2"/>
  <c r="G214" i="2"/>
  <c r="H214" i="2"/>
  <c r="D215" i="2"/>
  <c r="E215" i="2"/>
  <c r="F215" i="2"/>
  <c r="G215" i="2"/>
  <c r="H215" i="2"/>
  <c r="D216" i="2"/>
  <c r="E216" i="2"/>
  <c r="F216" i="2"/>
  <c r="G216" i="2"/>
  <c r="H216" i="2"/>
  <c r="D217" i="2"/>
  <c r="E217" i="2"/>
  <c r="F217" i="2"/>
  <c r="G217" i="2"/>
  <c r="H217" i="2"/>
  <c r="D218" i="2"/>
  <c r="E218" i="2"/>
  <c r="F218" i="2"/>
  <c r="G218" i="2"/>
  <c r="H218" i="2"/>
  <c r="D219" i="2"/>
  <c r="E219" i="2"/>
  <c r="F219" i="2"/>
  <c r="G219" i="2"/>
  <c r="H219" i="2"/>
  <c r="D220" i="2"/>
  <c r="E220" i="2"/>
  <c r="F220" i="2"/>
  <c r="G220" i="2"/>
  <c r="H220" i="2"/>
  <c r="D221" i="2"/>
  <c r="E221" i="2"/>
  <c r="F221" i="2"/>
  <c r="G221" i="2"/>
  <c r="H221" i="2"/>
  <c r="D222" i="2"/>
  <c r="E222" i="2"/>
  <c r="F222" i="2"/>
  <c r="G222" i="2"/>
  <c r="H222" i="2"/>
  <c r="D223" i="2"/>
  <c r="E223" i="2"/>
  <c r="F223" i="2"/>
  <c r="G223" i="2"/>
  <c r="H223" i="2"/>
  <c r="D224" i="2"/>
  <c r="E224" i="2"/>
  <c r="F224" i="2"/>
  <c r="G224" i="2"/>
  <c r="H224" i="2"/>
  <c r="D225" i="2"/>
  <c r="E225" i="2"/>
  <c r="F225" i="2"/>
  <c r="G225" i="2"/>
  <c r="H225" i="2"/>
  <c r="D226" i="2"/>
  <c r="E226" i="2"/>
  <c r="F226" i="2"/>
  <c r="G226" i="2"/>
  <c r="H226" i="2"/>
  <c r="D227" i="2"/>
  <c r="E227" i="2"/>
  <c r="F227" i="2"/>
  <c r="G227" i="2"/>
  <c r="H227" i="2"/>
  <c r="D228" i="2"/>
  <c r="E228" i="2"/>
  <c r="F228" i="2"/>
  <c r="G228" i="2"/>
  <c r="H228" i="2"/>
  <c r="D229" i="2"/>
  <c r="E229" i="2"/>
  <c r="F229" i="2"/>
  <c r="G229" i="2"/>
  <c r="H229" i="2"/>
  <c r="D230" i="2"/>
  <c r="E230" i="2"/>
  <c r="F230" i="2"/>
  <c r="G230" i="2"/>
  <c r="H230" i="2"/>
  <c r="D231" i="2"/>
  <c r="E231" i="2"/>
  <c r="F231" i="2"/>
  <c r="G231" i="2"/>
  <c r="H231" i="2"/>
  <c r="D232" i="2"/>
  <c r="E232" i="2"/>
  <c r="F232" i="2"/>
  <c r="G232" i="2"/>
  <c r="H232" i="2"/>
  <c r="D233" i="2"/>
  <c r="E233" i="2"/>
  <c r="F233" i="2"/>
  <c r="G233" i="2"/>
  <c r="H233" i="2"/>
  <c r="D234" i="2"/>
  <c r="E234" i="2"/>
  <c r="F234" i="2"/>
  <c r="G234" i="2"/>
  <c r="H234" i="2"/>
  <c r="D235" i="2"/>
  <c r="E235" i="2"/>
  <c r="F235" i="2"/>
  <c r="G235" i="2"/>
  <c r="H235" i="2"/>
  <c r="D236" i="2"/>
  <c r="E236" i="2"/>
  <c r="F236" i="2"/>
  <c r="G236" i="2"/>
  <c r="H236" i="2"/>
  <c r="D237" i="2"/>
  <c r="E237" i="2"/>
  <c r="F237" i="2"/>
  <c r="G237" i="2"/>
  <c r="H237" i="2"/>
  <c r="D238" i="2"/>
  <c r="E238" i="2"/>
  <c r="F238" i="2"/>
  <c r="G238" i="2"/>
  <c r="H238" i="2"/>
  <c r="D239" i="2"/>
  <c r="E239" i="2"/>
  <c r="F239" i="2"/>
  <c r="G239" i="2"/>
  <c r="H239" i="2"/>
  <c r="D240" i="2"/>
  <c r="E240" i="2"/>
  <c r="F240" i="2"/>
  <c r="G240" i="2"/>
  <c r="H240" i="2"/>
  <c r="D241" i="2"/>
  <c r="E241" i="2"/>
  <c r="F241" i="2"/>
  <c r="G241" i="2"/>
  <c r="H241" i="2"/>
  <c r="D242" i="2"/>
  <c r="E242" i="2"/>
  <c r="F242" i="2"/>
  <c r="G242" i="2"/>
  <c r="H242" i="2"/>
  <c r="D243" i="2"/>
  <c r="E243" i="2"/>
  <c r="F243" i="2"/>
  <c r="G243" i="2"/>
  <c r="H243" i="2"/>
  <c r="D244" i="2"/>
  <c r="E244" i="2"/>
  <c r="F244" i="2"/>
  <c r="G244" i="2"/>
  <c r="H244" i="2"/>
  <c r="D245" i="2"/>
  <c r="E245" i="2"/>
  <c r="F245" i="2"/>
  <c r="G245" i="2"/>
  <c r="H245" i="2"/>
  <c r="D246" i="2"/>
  <c r="E246" i="2"/>
  <c r="F246" i="2"/>
  <c r="G246" i="2"/>
  <c r="H246" i="2"/>
  <c r="D247" i="2"/>
  <c r="E247" i="2"/>
  <c r="F247" i="2"/>
  <c r="G247" i="2"/>
  <c r="H247" i="2"/>
  <c r="D248" i="2"/>
  <c r="E248" i="2"/>
  <c r="F248" i="2"/>
  <c r="G248" i="2"/>
  <c r="H248" i="2"/>
  <c r="D249" i="2"/>
  <c r="E249" i="2"/>
  <c r="F249" i="2"/>
  <c r="G249" i="2"/>
  <c r="H249" i="2"/>
  <c r="D250" i="2"/>
  <c r="E250" i="2"/>
  <c r="F250" i="2"/>
  <c r="G250" i="2"/>
  <c r="H250" i="2"/>
  <c r="D251" i="2"/>
  <c r="E251" i="2"/>
  <c r="F251" i="2"/>
  <c r="G251" i="2"/>
  <c r="H251" i="2"/>
  <c r="D252" i="2"/>
  <c r="E252" i="2"/>
  <c r="F252" i="2"/>
  <c r="G252" i="2"/>
  <c r="H252" i="2"/>
  <c r="D253" i="2"/>
  <c r="E253" i="2"/>
  <c r="F253" i="2"/>
  <c r="G253" i="2"/>
  <c r="H253" i="2"/>
  <c r="D254" i="2"/>
  <c r="E254" i="2"/>
  <c r="F254" i="2"/>
  <c r="G254" i="2"/>
  <c r="H254" i="2"/>
  <c r="D255" i="2"/>
  <c r="E255" i="2"/>
  <c r="F255" i="2"/>
  <c r="G255" i="2"/>
  <c r="H255" i="2"/>
  <c r="D256" i="2"/>
  <c r="E256" i="2"/>
  <c r="F256" i="2"/>
  <c r="G256" i="2"/>
  <c r="H256" i="2"/>
  <c r="D257" i="2"/>
  <c r="E257" i="2"/>
  <c r="F257" i="2"/>
  <c r="G257" i="2"/>
  <c r="H257" i="2"/>
  <c r="D258" i="2"/>
  <c r="E258" i="2"/>
  <c r="F258" i="2"/>
  <c r="G258" i="2"/>
  <c r="H258" i="2"/>
  <c r="D259" i="2"/>
  <c r="E259" i="2"/>
  <c r="F259" i="2"/>
  <c r="G259" i="2"/>
  <c r="H259" i="2"/>
  <c r="D260" i="2"/>
  <c r="E260" i="2"/>
  <c r="F260" i="2"/>
  <c r="G260" i="2"/>
  <c r="H260" i="2"/>
  <c r="D261" i="2"/>
  <c r="E261" i="2"/>
  <c r="F261" i="2"/>
  <c r="G261" i="2"/>
  <c r="H261" i="2"/>
  <c r="D262" i="2"/>
  <c r="E262" i="2"/>
  <c r="F262" i="2"/>
  <c r="G262" i="2"/>
  <c r="H262" i="2"/>
  <c r="D263" i="2"/>
  <c r="E263" i="2"/>
  <c r="F263" i="2"/>
  <c r="G263" i="2"/>
  <c r="H263" i="2"/>
  <c r="D264" i="2"/>
  <c r="E264" i="2"/>
  <c r="F264" i="2"/>
  <c r="G264" i="2"/>
  <c r="H264" i="2"/>
  <c r="D265" i="2"/>
  <c r="E265" i="2"/>
  <c r="F265" i="2"/>
  <c r="G265" i="2"/>
  <c r="H265" i="2"/>
  <c r="D266" i="2"/>
  <c r="E266" i="2"/>
  <c r="F266" i="2"/>
  <c r="G266" i="2"/>
  <c r="H266" i="2"/>
  <c r="D267" i="2"/>
  <c r="E267" i="2"/>
  <c r="F267" i="2"/>
  <c r="G267" i="2"/>
  <c r="H267" i="2"/>
  <c r="D268" i="2"/>
  <c r="E268" i="2"/>
  <c r="F268" i="2"/>
  <c r="G268" i="2"/>
  <c r="H268" i="2"/>
  <c r="D269" i="2"/>
  <c r="E269" i="2"/>
  <c r="F269" i="2"/>
  <c r="G269" i="2"/>
  <c r="H269" i="2"/>
  <c r="D270" i="2"/>
  <c r="E270" i="2"/>
  <c r="F270" i="2"/>
  <c r="G270" i="2"/>
  <c r="H270" i="2"/>
  <c r="D271" i="2"/>
  <c r="E271" i="2"/>
  <c r="F271" i="2"/>
  <c r="G271" i="2"/>
  <c r="H271" i="2"/>
  <c r="D272" i="2"/>
  <c r="E272" i="2"/>
  <c r="F272" i="2"/>
  <c r="G272" i="2"/>
  <c r="H272" i="2"/>
  <c r="D273" i="2"/>
  <c r="E273" i="2"/>
  <c r="F273" i="2"/>
  <c r="G273" i="2"/>
  <c r="H273" i="2"/>
  <c r="D274" i="2"/>
  <c r="E274" i="2"/>
  <c r="F274" i="2"/>
  <c r="G274" i="2"/>
  <c r="H274" i="2"/>
  <c r="D275" i="2"/>
  <c r="E275" i="2"/>
  <c r="F275" i="2"/>
  <c r="G275" i="2"/>
  <c r="H275" i="2"/>
  <c r="D276" i="2"/>
  <c r="E276" i="2"/>
  <c r="F276" i="2"/>
  <c r="G276" i="2"/>
  <c r="H276" i="2"/>
  <c r="D277" i="2"/>
  <c r="E277" i="2"/>
  <c r="F277" i="2"/>
  <c r="G277" i="2"/>
  <c r="H277" i="2"/>
  <c r="D278" i="2"/>
  <c r="E278" i="2"/>
  <c r="F278" i="2"/>
  <c r="G278" i="2"/>
  <c r="H278" i="2"/>
  <c r="D279" i="2"/>
  <c r="E279" i="2"/>
  <c r="F279" i="2"/>
  <c r="G279" i="2"/>
  <c r="H279" i="2"/>
  <c r="D280" i="2"/>
  <c r="E280" i="2"/>
  <c r="F280" i="2"/>
  <c r="G280" i="2"/>
  <c r="H280" i="2"/>
  <c r="D281" i="2"/>
  <c r="E281" i="2"/>
  <c r="F281" i="2"/>
  <c r="G281" i="2"/>
  <c r="H281" i="2"/>
  <c r="D282" i="2"/>
  <c r="E282" i="2"/>
  <c r="F282" i="2"/>
  <c r="G282" i="2"/>
  <c r="H282" i="2"/>
  <c r="D283" i="2"/>
  <c r="E283" i="2"/>
  <c r="F283" i="2"/>
  <c r="G283" i="2"/>
  <c r="H283" i="2"/>
  <c r="D284" i="2"/>
  <c r="E284" i="2"/>
  <c r="F284" i="2"/>
  <c r="G284" i="2"/>
  <c r="H284" i="2"/>
  <c r="D285" i="2"/>
  <c r="E285" i="2"/>
  <c r="F285" i="2"/>
  <c r="G285" i="2"/>
  <c r="H285" i="2"/>
  <c r="D286" i="2"/>
  <c r="E286" i="2"/>
  <c r="F286" i="2"/>
  <c r="G286" i="2"/>
  <c r="H286" i="2"/>
  <c r="D287" i="2"/>
  <c r="E287" i="2"/>
  <c r="F287" i="2"/>
  <c r="G287" i="2"/>
  <c r="H287" i="2"/>
  <c r="D288" i="2"/>
  <c r="E288" i="2"/>
  <c r="F288" i="2"/>
  <c r="G288" i="2"/>
  <c r="H288" i="2"/>
  <c r="D289" i="2"/>
  <c r="E289" i="2"/>
  <c r="F289" i="2"/>
  <c r="G289" i="2"/>
  <c r="H289" i="2"/>
  <c r="D290" i="2"/>
  <c r="E290" i="2"/>
  <c r="F290" i="2"/>
  <c r="G290" i="2"/>
  <c r="H290" i="2"/>
  <c r="D291" i="2"/>
  <c r="E291" i="2"/>
  <c r="F291" i="2"/>
  <c r="G291" i="2"/>
  <c r="H291" i="2"/>
  <c r="D292" i="2"/>
  <c r="E292" i="2"/>
  <c r="F292" i="2"/>
  <c r="G292" i="2"/>
  <c r="H292" i="2"/>
  <c r="D293" i="2"/>
  <c r="E293" i="2"/>
  <c r="F293" i="2"/>
  <c r="G293" i="2"/>
  <c r="H293" i="2"/>
  <c r="D294" i="2"/>
  <c r="E294" i="2"/>
  <c r="F294" i="2"/>
  <c r="G294" i="2"/>
  <c r="H294" i="2"/>
  <c r="D295" i="2"/>
  <c r="E295" i="2"/>
  <c r="F295" i="2"/>
  <c r="G295" i="2"/>
  <c r="H295" i="2"/>
  <c r="D296" i="2"/>
  <c r="E296" i="2"/>
  <c r="F296" i="2"/>
  <c r="G296" i="2"/>
  <c r="H296" i="2"/>
  <c r="D297" i="2"/>
  <c r="E297" i="2"/>
  <c r="F297" i="2"/>
  <c r="G297" i="2"/>
  <c r="H297" i="2"/>
  <c r="D298" i="2"/>
  <c r="E298" i="2"/>
  <c r="F298" i="2"/>
  <c r="G298" i="2"/>
  <c r="H298" i="2"/>
  <c r="D299" i="2"/>
  <c r="E299" i="2"/>
  <c r="F299" i="2"/>
  <c r="G299" i="2"/>
  <c r="H299" i="2"/>
  <c r="D300" i="2"/>
  <c r="E300" i="2"/>
  <c r="F300" i="2"/>
  <c r="G300" i="2"/>
  <c r="H300" i="2"/>
  <c r="D301" i="2"/>
  <c r="E301" i="2"/>
  <c r="F301" i="2"/>
  <c r="G301" i="2"/>
  <c r="H301" i="2"/>
  <c r="D302" i="2"/>
  <c r="E302" i="2"/>
  <c r="F302" i="2"/>
  <c r="G302" i="2"/>
  <c r="H302" i="2"/>
  <c r="D303" i="2"/>
  <c r="E303" i="2"/>
  <c r="F303" i="2"/>
  <c r="G303" i="2"/>
  <c r="H303" i="2"/>
  <c r="D304" i="2"/>
  <c r="E304" i="2"/>
  <c r="F304" i="2"/>
  <c r="G304" i="2"/>
  <c r="H304" i="2"/>
  <c r="D305" i="2"/>
  <c r="E305" i="2"/>
  <c r="F305" i="2"/>
  <c r="G305" i="2"/>
  <c r="H305" i="2"/>
  <c r="D306" i="2"/>
  <c r="E306" i="2"/>
  <c r="F306" i="2"/>
  <c r="G306" i="2"/>
  <c r="H306" i="2"/>
  <c r="D307" i="2"/>
  <c r="E307" i="2"/>
  <c r="F307" i="2"/>
  <c r="G307" i="2"/>
  <c r="H307" i="2"/>
  <c r="D308" i="2"/>
  <c r="E308" i="2"/>
  <c r="F308" i="2"/>
  <c r="G308" i="2"/>
  <c r="H308" i="2"/>
  <c r="D309" i="2"/>
  <c r="E309" i="2"/>
  <c r="F309" i="2"/>
  <c r="G309" i="2"/>
  <c r="H309" i="2"/>
  <c r="D310" i="2"/>
  <c r="E310" i="2"/>
  <c r="F310" i="2"/>
  <c r="G310" i="2"/>
  <c r="H310" i="2"/>
  <c r="D311" i="2"/>
  <c r="E311" i="2"/>
  <c r="F311" i="2"/>
  <c r="G311" i="2"/>
  <c r="H311" i="2"/>
  <c r="D312" i="2"/>
  <c r="E312" i="2"/>
  <c r="F312" i="2"/>
  <c r="G312" i="2"/>
  <c r="H312" i="2"/>
  <c r="D313" i="2"/>
  <c r="E313" i="2"/>
  <c r="F313" i="2"/>
  <c r="G313" i="2"/>
  <c r="H313" i="2"/>
  <c r="D314" i="2"/>
  <c r="E314" i="2"/>
  <c r="F314" i="2"/>
  <c r="G314" i="2"/>
  <c r="H314" i="2"/>
  <c r="D315" i="2"/>
  <c r="E315" i="2"/>
  <c r="F315" i="2"/>
  <c r="G315" i="2"/>
  <c r="H315" i="2"/>
  <c r="D316" i="2"/>
  <c r="E316" i="2"/>
  <c r="F316" i="2"/>
  <c r="G316" i="2"/>
  <c r="H316" i="2"/>
  <c r="D317" i="2"/>
  <c r="E317" i="2"/>
  <c r="F317" i="2"/>
  <c r="G317" i="2"/>
  <c r="H317" i="2"/>
  <c r="D318" i="2"/>
  <c r="E318" i="2"/>
  <c r="F318" i="2"/>
  <c r="G318" i="2"/>
  <c r="H318" i="2"/>
  <c r="D319" i="2"/>
  <c r="E319" i="2"/>
  <c r="F319" i="2"/>
  <c r="G319" i="2"/>
  <c r="H319" i="2"/>
  <c r="D320" i="2"/>
  <c r="E320" i="2"/>
  <c r="F320" i="2"/>
  <c r="G320" i="2"/>
  <c r="H320" i="2"/>
  <c r="D321" i="2"/>
  <c r="E321" i="2"/>
  <c r="F321" i="2"/>
  <c r="G321" i="2"/>
  <c r="H321" i="2"/>
  <c r="D322" i="2"/>
  <c r="E322" i="2"/>
  <c r="F322" i="2"/>
  <c r="G322" i="2"/>
  <c r="H322" i="2"/>
  <c r="D323" i="2"/>
  <c r="E323" i="2"/>
  <c r="F323" i="2"/>
  <c r="G323" i="2"/>
  <c r="H323" i="2"/>
  <c r="D324" i="2"/>
  <c r="E324" i="2"/>
  <c r="F324" i="2"/>
  <c r="G324" i="2"/>
  <c r="H324" i="2"/>
  <c r="D325" i="2"/>
  <c r="E325" i="2"/>
  <c r="F325" i="2"/>
  <c r="G325" i="2"/>
  <c r="H325" i="2"/>
  <c r="D326" i="2"/>
  <c r="E326" i="2"/>
  <c r="F326" i="2"/>
  <c r="G326" i="2"/>
  <c r="H326" i="2"/>
  <c r="D327" i="2"/>
  <c r="E327" i="2"/>
  <c r="F327" i="2"/>
  <c r="G327" i="2"/>
  <c r="H327" i="2"/>
  <c r="D328" i="2"/>
  <c r="E328" i="2"/>
  <c r="F328" i="2"/>
  <c r="G328" i="2"/>
  <c r="H328" i="2"/>
  <c r="D329" i="2"/>
  <c r="E329" i="2"/>
  <c r="F329" i="2"/>
  <c r="G329" i="2"/>
  <c r="H329" i="2"/>
  <c r="D330" i="2"/>
  <c r="E330" i="2"/>
  <c r="F330" i="2"/>
  <c r="G330" i="2"/>
  <c r="H330" i="2"/>
  <c r="D331" i="2"/>
  <c r="E331" i="2"/>
  <c r="F331" i="2"/>
  <c r="G331" i="2"/>
  <c r="H331" i="2"/>
  <c r="D332" i="2"/>
  <c r="E332" i="2"/>
  <c r="F332" i="2"/>
  <c r="G332" i="2"/>
  <c r="H332" i="2"/>
  <c r="D333" i="2"/>
  <c r="E333" i="2"/>
  <c r="F333" i="2"/>
  <c r="G333" i="2"/>
  <c r="H333" i="2"/>
  <c r="D334" i="2"/>
  <c r="E334" i="2"/>
  <c r="F334" i="2"/>
  <c r="G334" i="2"/>
  <c r="H334" i="2"/>
  <c r="D335" i="2"/>
  <c r="E335" i="2"/>
  <c r="F335" i="2"/>
  <c r="G335" i="2"/>
  <c r="H335" i="2"/>
  <c r="D336" i="2"/>
  <c r="E336" i="2"/>
  <c r="F336" i="2"/>
  <c r="G336" i="2"/>
  <c r="H336" i="2"/>
  <c r="D337" i="2"/>
  <c r="E337" i="2"/>
  <c r="F337" i="2"/>
  <c r="G337" i="2"/>
  <c r="H337" i="2"/>
  <c r="D338" i="2"/>
  <c r="E338" i="2"/>
  <c r="F338" i="2"/>
  <c r="G338" i="2"/>
  <c r="H338" i="2"/>
  <c r="D339" i="2"/>
  <c r="E339" i="2"/>
  <c r="F339" i="2"/>
  <c r="G339" i="2"/>
  <c r="H339" i="2"/>
  <c r="D340" i="2"/>
  <c r="E340" i="2"/>
  <c r="F340" i="2"/>
  <c r="G340" i="2"/>
  <c r="H340" i="2"/>
  <c r="D341" i="2"/>
  <c r="E341" i="2"/>
  <c r="F341" i="2"/>
  <c r="G341" i="2"/>
  <c r="H341" i="2"/>
  <c r="D342" i="2"/>
  <c r="E342" i="2"/>
  <c r="F342" i="2"/>
  <c r="G342" i="2"/>
  <c r="H342" i="2"/>
  <c r="D343" i="2"/>
  <c r="E343" i="2"/>
  <c r="F343" i="2"/>
  <c r="G343" i="2"/>
  <c r="H343" i="2"/>
  <c r="D344" i="2"/>
  <c r="E344" i="2"/>
  <c r="F344" i="2"/>
  <c r="G344" i="2"/>
  <c r="H344" i="2"/>
  <c r="D345" i="2"/>
  <c r="E345" i="2"/>
  <c r="F345" i="2"/>
  <c r="G345" i="2"/>
  <c r="H345" i="2"/>
  <c r="D346" i="2"/>
  <c r="E346" i="2"/>
  <c r="F346" i="2"/>
  <c r="G346" i="2"/>
  <c r="H346" i="2"/>
  <c r="D347" i="2"/>
  <c r="E347" i="2"/>
  <c r="F347" i="2"/>
  <c r="G347" i="2"/>
  <c r="H347" i="2"/>
  <c r="D348" i="2"/>
  <c r="E348" i="2"/>
  <c r="F348" i="2"/>
  <c r="G348" i="2"/>
  <c r="H348" i="2"/>
  <c r="D349" i="2"/>
  <c r="E349" i="2"/>
  <c r="F349" i="2"/>
  <c r="G349" i="2"/>
  <c r="H349" i="2"/>
  <c r="D350" i="2"/>
  <c r="E350" i="2"/>
  <c r="F350" i="2"/>
  <c r="G350" i="2"/>
  <c r="H350" i="2"/>
  <c r="D351" i="2"/>
  <c r="E351" i="2"/>
  <c r="F351" i="2"/>
  <c r="G351" i="2"/>
  <c r="H351" i="2"/>
  <c r="D352" i="2"/>
  <c r="E352" i="2"/>
  <c r="F352" i="2"/>
  <c r="G352" i="2"/>
  <c r="H352" i="2"/>
  <c r="D353" i="2"/>
  <c r="E353" i="2"/>
  <c r="F353" i="2"/>
  <c r="G353" i="2"/>
  <c r="H353" i="2"/>
  <c r="D354" i="2"/>
  <c r="E354" i="2"/>
  <c r="F354" i="2"/>
  <c r="G354" i="2"/>
  <c r="H354" i="2"/>
  <c r="D355" i="2"/>
  <c r="E355" i="2"/>
  <c r="F355" i="2"/>
  <c r="G355" i="2"/>
  <c r="H355" i="2"/>
  <c r="D356" i="2"/>
  <c r="E356" i="2"/>
  <c r="F356" i="2"/>
  <c r="G356" i="2"/>
  <c r="H356" i="2"/>
  <c r="D357" i="2"/>
  <c r="E357" i="2"/>
  <c r="F357" i="2"/>
  <c r="G357" i="2"/>
  <c r="H357" i="2"/>
  <c r="D358" i="2"/>
  <c r="E358" i="2"/>
  <c r="F358" i="2"/>
  <c r="G358" i="2"/>
  <c r="H358" i="2"/>
  <c r="D359" i="2"/>
  <c r="E359" i="2"/>
  <c r="F359" i="2"/>
  <c r="G359" i="2"/>
  <c r="H359" i="2"/>
  <c r="D360" i="2"/>
  <c r="E360" i="2"/>
  <c r="F360" i="2"/>
  <c r="G360" i="2"/>
  <c r="H360" i="2"/>
  <c r="D361" i="2"/>
  <c r="E361" i="2"/>
  <c r="F361" i="2"/>
  <c r="G361" i="2"/>
  <c r="H361" i="2"/>
  <c r="D362" i="2"/>
  <c r="E362" i="2"/>
  <c r="F362" i="2"/>
  <c r="G362" i="2"/>
  <c r="H362" i="2"/>
  <c r="D363" i="2"/>
  <c r="E363" i="2"/>
  <c r="F363" i="2"/>
  <c r="G363" i="2"/>
  <c r="H363" i="2"/>
  <c r="D364" i="2"/>
  <c r="E364" i="2"/>
  <c r="F364" i="2"/>
  <c r="G364" i="2"/>
  <c r="H364" i="2"/>
  <c r="D365" i="2"/>
  <c r="E365" i="2"/>
  <c r="F365" i="2"/>
  <c r="G365" i="2"/>
  <c r="H365" i="2"/>
  <c r="D366" i="2"/>
  <c r="E366" i="2"/>
  <c r="F366" i="2"/>
  <c r="G366" i="2"/>
  <c r="H366" i="2"/>
  <c r="D367" i="2"/>
  <c r="E367" i="2"/>
  <c r="F367" i="2"/>
  <c r="G367" i="2"/>
  <c r="H367" i="2"/>
  <c r="D368" i="2"/>
  <c r="E368" i="2"/>
  <c r="F368" i="2"/>
  <c r="G368" i="2"/>
  <c r="H368" i="2"/>
  <c r="D369" i="2"/>
  <c r="E369" i="2"/>
  <c r="F369" i="2"/>
  <c r="G369" i="2"/>
  <c r="H369" i="2"/>
  <c r="D370" i="2"/>
  <c r="E370" i="2"/>
  <c r="F370" i="2"/>
  <c r="G370" i="2"/>
  <c r="H370" i="2"/>
  <c r="D371" i="2"/>
  <c r="E371" i="2"/>
  <c r="F371" i="2"/>
  <c r="G371" i="2"/>
  <c r="H371" i="2"/>
  <c r="D372" i="2"/>
  <c r="E372" i="2"/>
  <c r="F372" i="2"/>
  <c r="G372" i="2"/>
  <c r="H372" i="2"/>
  <c r="D373" i="2"/>
  <c r="E373" i="2"/>
  <c r="F373" i="2"/>
  <c r="G373" i="2"/>
  <c r="H373" i="2"/>
  <c r="D374" i="2"/>
  <c r="E374" i="2"/>
  <c r="F374" i="2"/>
  <c r="G374" i="2"/>
  <c r="H374" i="2"/>
  <c r="D375" i="2"/>
  <c r="E375" i="2"/>
  <c r="F375" i="2"/>
  <c r="G375" i="2"/>
  <c r="H375" i="2"/>
  <c r="D376" i="2"/>
  <c r="E376" i="2"/>
  <c r="F376" i="2"/>
  <c r="G376" i="2"/>
  <c r="H376" i="2"/>
  <c r="D377" i="2"/>
  <c r="E377" i="2"/>
  <c r="F377" i="2"/>
  <c r="G377" i="2"/>
  <c r="H377" i="2"/>
  <c r="D378" i="2"/>
  <c r="E378" i="2"/>
  <c r="F378" i="2"/>
  <c r="G378" i="2"/>
  <c r="H378" i="2"/>
  <c r="D379" i="2"/>
  <c r="E379" i="2"/>
  <c r="F379" i="2"/>
  <c r="G379" i="2"/>
  <c r="H379" i="2"/>
  <c r="D380" i="2"/>
  <c r="E380" i="2"/>
  <c r="F380" i="2"/>
  <c r="G380" i="2"/>
  <c r="H380" i="2"/>
  <c r="D381" i="2"/>
  <c r="E381" i="2"/>
  <c r="F381" i="2"/>
  <c r="G381" i="2"/>
  <c r="H381" i="2"/>
  <c r="D382" i="2"/>
  <c r="E382" i="2"/>
  <c r="F382" i="2"/>
  <c r="G382" i="2"/>
  <c r="H382" i="2"/>
  <c r="D383" i="2"/>
  <c r="E383" i="2"/>
  <c r="F383" i="2"/>
  <c r="G383" i="2"/>
  <c r="H383" i="2"/>
  <c r="D384" i="2"/>
  <c r="E384" i="2"/>
  <c r="F384" i="2"/>
  <c r="G384" i="2"/>
  <c r="H384" i="2"/>
  <c r="D385" i="2"/>
  <c r="E385" i="2"/>
  <c r="F385" i="2"/>
  <c r="G385" i="2"/>
  <c r="H385" i="2"/>
  <c r="D386" i="2"/>
  <c r="E386" i="2"/>
  <c r="F386" i="2"/>
  <c r="G386" i="2"/>
  <c r="H386" i="2"/>
  <c r="D387" i="2"/>
  <c r="E387" i="2"/>
  <c r="F387" i="2"/>
  <c r="G387" i="2"/>
  <c r="H387" i="2"/>
  <c r="D388" i="2"/>
  <c r="E388" i="2"/>
  <c r="F388" i="2"/>
  <c r="G388" i="2"/>
  <c r="H388" i="2"/>
  <c r="D389" i="2"/>
  <c r="E389" i="2"/>
  <c r="F389" i="2"/>
  <c r="G389" i="2"/>
  <c r="H389" i="2"/>
  <c r="D390" i="2"/>
  <c r="E390" i="2"/>
  <c r="F390" i="2"/>
  <c r="G390" i="2"/>
  <c r="H390" i="2"/>
  <c r="D391" i="2"/>
  <c r="E391" i="2"/>
  <c r="F391" i="2"/>
  <c r="G391" i="2"/>
  <c r="H391" i="2"/>
  <c r="D392" i="2"/>
  <c r="E392" i="2"/>
  <c r="F392" i="2"/>
  <c r="G392" i="2"/>
  <c r="H392" i="2"/>
  <c r="D393" i="2"/>
  <c r="E393" i="2"/>
  <c r="F393" i="2"/>
  <c r="G393" i="2"/>
  <c r="H393" i="2"/>
  <c r="D394" i="2"/>
  <c r="E394" i="2"/>
  <c r="F394" i="2"/>
  <c r="G394" i="2"/>
  <c r="H394" i="2"/>
  <c r="D395" i="2"/>
  <c r="E395" i="2"/>
  <c r="F395" i="2"/>
  <c r="G395" i="2"/>
  <c r="H395" i="2"/>
  <c r="D396" i="2"/>
  <c r="E396" i="2"/>
  <c r="F396" i="2"/>
  <c r="G396" i="2"/>
  <c r="H396" i="2"/>
  <c r="D397" i="2"/>
  <c r="E397" i="2"/>
  <c r="F397" i="2"/>
  <c r="G397" i="2"/>
  <c r="H397" i="2"/>
  <c r="D398" i="2"/>
  <c r="E398" i="2"/>
  <c r="F398" i="2"/>
  <c r="G398" i="2"/>
  <c r="H398" i="2"/>
  <c r="D399" i="2"/>
  <c r="E399" i="2"/>
  <c r="F399" i="2"/>
  <c r="G399" i="2"/>
  <c r="H399" i="2"/>
  <c r="D400" i="2"/>
  <c r="E400" i="2"/>
  <c r="F400" i="2"/>
  <c r="G400" i="2"/>
  <c r="H400" i="2"/>
  <c r="D401" i="2"/>
  <c r="E401" i="2"/>
  <c r="F401" i="2"/>
  <c r="G401" i="2"/>
  <c r="H401" i="2"/>
  <c r="D402" i="2"/>
  <c r="E402" i="2"/>
  <c r="F402" i="2"/>
  <c r="G402" i="2"/>
  <c r="H402" i="2"/>
  <c r="D403" i="2"/>
  <c r="E403" i="2"/>
  <c r="F403" i="2"/>
  <c r="G403" i="2"/>
  <c r="H403" i="2"/>
  <c r="D404" i="2"/>
  <c r="E404" i="2"/>
  <c r="F404" i="2"/>
  <c r="G404" i="2"/>
  <c r="H404" i="2"/>
  <c r="D405" i="2"/>
  <c r="E405" i="2"/>
  <c r="F405" i="2"/>
  <c r="G405" i="2"/>
  <c r="H405" i="2"/>
  <c r="D406" i="2"/>
  <c r="E406" i="2"/>
  <c r="F406" i="2"/>
  <c r="G406" i="2"/>
  <c r="H406" i="2"/>
  <c r="D407" i="2"/>
  <c r="E407" i="2"/>
  <c r="F407" i="2"/>
  <c r="G407" i="2"/>
  <c r="H407" i="2"/>
  <c r="D408" i="2"/>
  <c r="E408" i="2"/>
  <c r="F408" i="2"/>
  <c r="G408" i="2"/>
  <c r="H408" i="2"/>
  <c r="D409" i="2"/>
  <c r="E409" i="2"/>
  <c r="F409" i="2"/>
  <c r="G409" i="2"/>
  <c r="H409" i="2"/>
  <c r="D410" i="2"/>
  <c r="E410" i="2"/>
  <c r="F410" i="2"/>
  <c r="G410" i="2"/>
  <c r="H410" i="2"/>
  <c r="D411" i="2"/>
  <c r="E411" i="2"/>
  <c r="F411" i="2"/>
  <c r="G411" i="2"/>
  <c r="H411" i="2"/>
  <c r="D412" i="2"/>
  <c r="E412" i="2"/>
  <c r="F412" i="2"/>
  <c r="G412" i="2"/>
  <c r="H412" i="2"/>
  <c r="D413" i="2"/>
  <c r="E413" i="2"/>
  <c r="F413" i="2"/>
  <c r="G413" i="2"/>
  <c r="H413" i="2"/>
  <c r="D414" i="2"/>
  <c r="E414" i="2"/>
  <c r="F414" i="2"/>
  <c r="G414" i="2"/>
  <c r="H414" i="2"/>
  <c r="D415" i="2"/>
  <c r="E415" i="2"/>
  <c r="F415" i="2"/>
  <c r="G415" i="2"/>
  <c r="H415" i="2"/>
  <c r="D416" i="2"/>
  <c r="E416" i="2"/>
  <c r="F416" i="2"/>
  <c r="G416" i="2"/>
  <c r="H416" i="2"/>
  <c r="D417" i="2"/>
  <c r="E417" i="2"/>
  <c r="F417" i="2"/>
  <c r="G417" i="2"/>
  <c r="H417" i="2"/>
  <c r="D418" i="2"/>
  <c r="E418" i="2"/>
  <c r="F418" i="2"/>
  <c r="G418" i="2"/>
  <c r="H418" i="2"/>
  <c r="D419" i="2"/>
  <c r="E419" i="2"/>
  <c r="F419" i="2"/>
  <c r="G419" i="2"/>
  <c r="H419" i="2"/>
  <c r="D420" i="2"/>
  <c r="E420" i="2"/>
  <c r="F420" i="2"/>
  <c r="G420" i="2"/>
  <c r="H420" i="2"/>
  <c r="D421" i="2"/>
  <c r="E421" i="2"/>
  <c r="F421" i="2"/>
  <c r="G421" i="2"/>
  <c r="H421" i="2"/>
  <c r="D422" i="2"/>
  <c r="E422" i="2"/>
  <c r="F422" i="2"/>
  <c r="G422" i="2"/>
  <c r="H422" i="2"/>
  <c r="H423" i="2"/>
  <c r="G423" i="2"/>
  <c r="F423" i="2"/>
  <c r="E423" i="2"/>
  <c r="D423" i="2"/>
  <c r="I71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I68" i="1" s="1"/>
  <c r="J68" i="1" s="1"/>
  <c r="AD48" i="1"/>
  <c r="I69" i="1" s="1"/>
  <c r="AD49" i="1"/>
  <c r="I70" i="1" s="1"/>
  <c r="AD50" i="1"/>
  <c r="AD51" i="1"/>
  <c r="AD52" i="1"/>
  <c r="AD3" i="1"/>
  <c r="AC53" i="1"/>
  <c r="AC54" i="1" s="1"/>
  <c r="AA54" i="1"/>
  <c r="AB53" i="1"/>
  <c r="P53" i="1"/>
  <c r="P54" i="1" s="1"/>
  <c r="Q54" i="1" s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F68" i="1" s="1"/>
  <c r="G68" i="1" s="1"/>
  <c r="Q48" i="1"/>
  <c r="F69" i="1" s="1"/>
  <c r="G69" i="1" s="1"/>
  <c r="Q49" i="1"/>
  <c r="F70" i="1" s="1"/>
  <c r="G70" i="1" s="1"/>
  <c r="Q50" i="1"/>
  <c r="F71" i="1" s="1"/>
  <c r="G71" i="1" s="1"/>
  <c r="Q51" i="1"/>
  <c r="Q52" i="1"/>
  <c r="Q3" i="1"/>
  <c r="AN16" i="2" l="1"/>
  <c r="BC12" i="2"/>
  <c r="BC20" i="2"/>
  <c r="BC5" i="2"/>
  <c r="BC13" i="2"/>
  <c r="BC21" i="2"/>
  <c r="BC8" i="2"/>
  <c r="BC9" i="2"/>
  <c r="BC17" i="2"/>
  <c r="AN7" i="2"/>
  <c r="BC7" i="2"/>
  <c r="AN11" i="2"/>
  <c r="BC11" i="2"/>
  <c r="AN15" i="2"/>
  <c r="BC15" i="2"/>
  <c r="AN19" i="2"/>
  <c r="BC19" i="2"/>
  <c r="AN23" i="2"/>
  <c r="BC23" i="2"/>
  <c r="BS552" i="2"/>
  <c r="BS556" i="2"/>
  <c r="BS560" i="2"/>
  <c r="BS564" i="2"/>
  <c r="BS568" i="2"/>
  <c r="BS572" i="2"/>
  <c r="BS576" i="2"/>
  <c r="BS580" i="2"/>
  <c r="BS584" i="2"/>
  <c r="BS588" i="2"/>
  <c r="BS592" i="2"/>
  <c r="BS596" i="2"/>
  <c r="BS600" i="2"/>
  <c r="BS604" i="2"/>
  <c r="BS551" i="2"/>
  <c r="BS555" i="2"/>
  <c r="BS559" i="2"/>
  <c r="BS563" i="2"/>
  <c r="BS567" i="2"/>
  <c r="BS571" i="2"/>
  <c r="BS575" i="2"/>
  <c r="BS579" i="2"/>
  <c r="BS583" i="2"/>
  <c r="BS587" i="2"/>
  <c r="BS591" i="2"/>
  <c r="BS595" i="2"/>
  <c r="BS599" i="2"/>
  <c r="BS603" i="2"/>
  <c r="BS607" i="2"/>
  <c r="BS609" i="2"/>
  <c r="BS549" i="2"/>
  <c r="BS550" i="2"/>
  <c r="BS554" i="2"/>
  <c r="BS558" i="2"/>
  <c r="BS562" i="2"/>
  <c r="BS566" i="2"/>
  <c r="BS570" i="2"/>
  <c r="BS574" i="2"/>
  <c r="BS578" i="2"/>
  <c r="BS582" i="2"/>
  <c r="BS586" i="2"/>
  <c r="BS590" i="2"/>
  <c r="BS594" i="2"/>
  <c r="BS598" i="2"/>
  <c r="BS602" i="2"/>
  <c r="BS553" i="2"/>
  <c r="BS557" i="2"/>
  <c r="BS561" i="2"/>
  <c r="BS565" i="2"/>
  <c r="BS569" i="2"/>
  <c r="BS573" i="2"/>
  <c r="BS577" i="2"/>
  <c r="BS581" i="2"/>
  <c r="BS585" i="2"/>
  <c r="BS589" i="2"/>
  <c r="BS593" i="2"/>
  <c r="BS597" i="2"/>
  <c r="BS601" i="2"/>
  <c r="BS605" i="2"/>
  <c r="BS606" i="2"/>
  <c r="BS608" i="2"/>
  <c r="BS610" i="2"/>
  <c r="AN6" i="2"/>
  <c r="BC6" i="2"/>
  <c r="AN10" i="2"/>
  <c r="BC10" i="2"/>
  <c r="AN14" i="2"/>
  <c r="BC14" i="2"/>
  <c r="AN18" i="2"/>
  <c r="BC18" i="2"/>
  <c r="AN22" i="2"/>
  <c r="BC22" i="2"/>
  <c r="BM549" i="2"/>
  <c r="BQ549" i="2"/>
  <c r="BM609" i="2"/>
  <c r="BM605" i="2"/>
  <c r="BM601" i="2"/>
  <c r="BM597" i="2"/>
  <c r="BM593" i="2"/>
  <c r="BM589" i="2"/>
  <c r="BM585" i="2"/>
  <c r="BM581" i="2"/>
  <c r="BM577" i="2"/>
  <c r="BM573" i="2"/>
  <c r="BM569" i="2"/>
  <c r="BM565" i="2"/>
  <c r="BM561" i="2"/>
  <c r="BM557" i="2"/>
  <c r="BM553" i="2"/>
  <c r="BO610" i="2"/>
  <c r="BQ609" i="2"/>
  <c r="BO608" i="2"/>
  <c r="BQ607" i="2"/>
  <c r="BQ604" i="2"/>
  <c r="BO603" i="2"/>
  <c r="BQ600" i="2"/>
  <c r="BO599" i="2"/>
  <c r="BQ596" i="2"/>
  <c r="BO595" i="2"/>
  <c r="BQ592" i="2"/>
  <c r="BO591" i="2"/>
  <c r="BQ588" i="2"/>
  <c r="BO587" i="2"/>
  <c r="BQ584" i="2"/>
  <c r="BO583" i="2"/>
  <c r="BQ580" i="2"/>
  <c r="BO579" i="2"/>
  <c r="BQ576" i="2"/>
  <c r="BO575" i="2"/>
  <c r="BQ572" i="2"/>
  <c r="BO571" i="2"/>
  <c r="BQ568" i="2"/>
  <c r="BO567" i="2"/>
  <c r="BQ564" i="2"/>
  <c r="BO563" i="2"/>
  <c r="BQ560" i="2"/>
  <c r="BO559" i="2"/>
  <c r="BQ556" i="2"/>
  <c r="BO555" i="2"/>
  <c r="BQ552" i="2"/>
  <c r="BO551" i="2"/>
  <c r="BP550" i="2"/>
  <c r="BP552" i="2"/>
  <c r="BP554" i="2"/>
  <c r="BP556" i="2"/>
  <c r="BP558" i="2"/>
  <c r="BP560" i="2"/>
  <c r="BP562" i="2"/>
  <c r="BP564" i="2"/>
  <c r="BP566" i="2"/>
  <c r="BP568" i="2"/>
  <c r="BP570" i="2"/>
  <c r="BP572" i="2"/>
  <c r="BP574" i="2"/>
  <c r="BP576" i="2"/>
  <c r="BP578" i="2"/>
  <c r="BP580" i="2"/>
  <c r="BP582" i="2"/>
  <c r="BP584" i="2"/>
  <c r="BP586" i="2"/>
  <c r="BP588" i="2"/>
  <c r="BP590" i="2"/>
  <c r="BP592" i="2"/>
  <c r="BP594" i="2"/>
  <c r="BP596" i="2"/>
  <c r="BP598" i="2"/>
  <c r="BP600" i="2"/>
  <c r="BP602" i="2"/>
  <c r="BP604" i="2"/>
  <c r="BP606" i="2"/>
  <c r="BP551" i="2"/>
  <c r="BP553" i="2"/>
  <c r="BP555" i="2"/>
  <c r="BP557" i="2"/>
  <c r="BP559" i="2"/>
  <c r="BP561" i="2"/>
  <c r="BP563" i="2"/>
  <c r="BP565" i="2"/>
  <c r="BP567" i="2"/>
  <c r="BP569" i="2"/>
  <c r="BP571" i="2"/>
  <c r="BP573" i="2"/>
  <c r="BP575" i="2"/>
  <c r="BP577" i="2"/>
  <c r="BP579" i="2"/>
  <c r="BP581" i="2"/>
  <c r="BP583" i="2"/>
  <c r="BP585" i="2"/>
  <c r="BP587" i="2"/>
  <c r="BP589" i="2"/>
  <c r="BP591" i="2"/>
  <c r="BP593" i="2"/>
  <c r="BP595" i="2"/>
  <c r="BP597" i="2"/>
  <c r="BP599" i="2"/>
  <c r="BP601" i="2"/>
  <c r="BP603" i="2"/>
  <c r="BP605" i="2"/>
  <c r="BN549" i="2"/>
  <c r="BR549" i="2"/>
  <c r="BM608" i="2"/>
  <c r="BM604" i="2"/>
  <c r="BM600" i="2"/>
  <c r="BM596" i="2"/>
  <c r="BM592" i="2"/>
  <c r="BM588" i="2"/>
  <c r="BM584" i="2"/>
  <c r="BM580" i="2"/>
  <c r="BM576" i="2"/>
  <c r="BM572" i="2"/>
  <c r="BM568" i="2"/>
  <c r="BM564" i="2"/>
  <c r="BM560" i="2"/>
  <c r="BM556" i="2"/>
  <c r="BM552" i="2"/>
  <c r="BR610" i="2"/>
  <c r="BN610" i="2"/>
  <c r="BP609" i="2"/>
  <c r="BR608" i="2"/>
  <c r="BP607" i="2"/>
  <c r="BQ605" i="2"/>
  <c r="BO604" i="2"/>
  <c r="BQ601" i="2"/>
  <c r="BO600" i="2"/>
  <c r="BQ597" i="2"/>
  <c r="BO596" i="2"/>
  <c r="BQ593" i="2"/>
  <c r="BO592" i="2"/>
  <c r="BQ589" i="2"/>
  <c r="BO588" i="2"/>
  <c r="BQ585" i="2"/>
  <c r="BO584" i="2"/>
  <c r="BQ581" i="2"/>
  <c r="BO580" i="2"/>
  <c r="BQ577" i="2"/>
  <c r="BO576" i="2"/>
  <c r="BQ573" i="2"/>
  <c r="BO572" i="2"/>
  <c r="BQ569" i="2"/>
  <c r="BO568" i="2"/>
  <c r="BQ565" i="2"/>
  <c r="BO564" i="2"/>
  <c r="BQ561" i="2"/>
  <c r="BO560" i="2"/>
  <c r="BQ557" i="2"/>
  <c r="BO556" i="2"/>
  <c r="BQ553" i="2"/>
  <c r="BO552" i="2"/>
  <c r="BO549" i="2"/>
  <c r="BM607" i="2"/>
  <c r="BM603" i="2"/>
  <c r="BM599" i="2"/>
  <c r="BM595" i="2"/>
  <c r="BM591" i="2"/>
  <c r="BM587" i="2"/>
  <c r="BM583" i="2"/>
  <c r="BM579" i="2"/>
  <c r="BM575" i="2"/>
  <c r="BM571" i="2"/>
  <c r="BM567" i="2"/>
  <c r="BM563" i="2"/>
  <c r="BM559" i="2"/>
  <c r="BM555" i="2"/>
  <c r="BM551" i="2"/>
  <c r="BQ610" i="2"/>
  <c r="BO609" i="2"/>
  <c r="BQ608" i="2"/>
  <c r="BO607" i="2"/>
  <c r="BQ606" i="2"/>
  <c r="BO605" i="2"/>
  <c r="BQ602" i="2"/>
  <c r="BO601" i="2"/>
  <c r="BQ598" i="2"/>
  <c r="BO597" i="2"/>
  <c r="BQ594" i="2"/>
  <c r="BO593" i="2"/>
  <c r="BQ590" i="2"/>
  <c r="BO589" i="2"/>
  <c r="BQ586" i="2"/>
  <c r="BO585" i="2"/>
  <c r="BQ582" i="2"/>
  <c r="BO581" i="2"/>
  <c r="BQ578" i="2"/>
  <c r="BO577" i="2"/>
  <c r="BQ574" i="2"/>
  <c r="BO573" i="2"/>
  <c r="BQ570" i="2"/>
  <c r="BO569" i="2"/>
  <c r="BQ566" i="2"/>
  <c r="BO565" i="2"/>
  <c r="BQ562" i="2"/>
  <c r="BO561" i="2"/>
  <c r="BQ558" i="2"/>
  <c r="BO557" i="2"/>
  <c r="BQ554" i="2"/>
  <c r="BO553" i="2"/>
  <c r="BN551" i="2"/>
  <c r="BN553" i="2"/>
  <c r="BN555" i="2"/>
  <c r="BN557" i="2"/>
  <c r="BN559" i="2"/>
  <c r="BN561" i="2"/>
  <c r="BN563" i="2"/>
  <c r="BN565" i="2"/>
  <c r="BN567" i="2"/>
  <c r="BN569" i="2"/>
  <c r="BN571" i="2"/>
  <c r="BN573" i="2"/>
  <c r="BN575" i="2"/>
  <c r="BN577" i="2"/>
  <c r="BN579" i="2"/>
  <c r="BN581" i="2"/>
  <c r="BN583" i="2"/>
  <c r="BN585" i="2"/>
  <c r="BN587" i="2"/>
  <c r="BN589" i="2"/>
  <c r="BN591" i="2"/>
  <c r="BN593" i="2"/>
  <c r="BN595" i="2"/>
  <c r="BN597" i="2"/>
  <c r="BN599" i="2"/>
  <c r="BN601" i="2"/>
  <c r="BN603" i="2"/>
  <c r="BN605" i="2"/>
  <c r="BN550" i="2"/>
  <c r="BN552" i="2"/>
  <c r="BN554" i="2"/>
  <c r="BN556" i="2"/>
  <c r="BN558" i="2"/>
  <c r="BN560" i="2"/>
  <c r="BN562" i="2"/>
  <c r="BN564" i="2"/>
  <c r="BN566" i="2"/>
  <c r="BN568" i="2"/>
  <c r="BN570" i="2"/>
  <c r="BN572" i="2"/>
  <c r="BN574" i="2"/>
  <c r="BN576" i="2"/>
  <c r="BN578" i="2"/>
  <c r="BN580" i="2"/>
  <c r="BN582" i="2"/>
  <c r="BN584" i="2"/>
  <c r="BN586" i="2"/>
  <c r="BN588" i="2"/>
  <c r="BN590" i="2"/>
  <c r="BN592" i="2"/>
  <c r="BN594" i="2"/>
  <c r="BN596" i="2"/>
  <c r="BN598" i="2"/>
  <c r="BN600" i="2"/>
  <c r="BN602" i="2"/>
  <c r="BN604" i="2"/>
  <c r="BN606" i="2"/>
  <c r="BR551" i="2"/>
  <c r="BR553" i="2"/>
  <c r="BR555" i="2"/>
  <c r="BR557" i="2"/>
  <c r="BR559" i="2"/>
  <c r="BR561" i="2"/>
  <c r="BR563" i="2"/>
  <c r="BR565" i="2"/>
  <c r="BR567" i="2"/>
  <c r="BR569" i="2"/>
  <c r="BR571" i="2"/>
  <c r="BR573" i="2"/>
  <c r="BR575" i="2"/>
  <c r="BR577" i="2"/>
  <c r="BR579" i="2"/>
  <c r="BR581" i="2"/>
  <c r="BR583" i="2"/>
  <c r="BR585" i="2"/>
  <c r="BR587" i="2"/>
  <c r="BR589" i="2"/>
  <c r="BR591" i="2"/>
  <c r="BR593" i="2"/>
  <c r="BR595" i="2"/>
  <c r="BR597" i="2"/>
  <c r="BR599" i="2"/>
  <c r="BR601" i="2"/>
  <c r="BR603" i="2"/>
  <c r="BR605" i="2"/>
  <c r="BR550" i="2"/>
  <c r="BR552" i="2"/>
  <c r="BR554" i="2"/>
  <c r="BR556" i="2"/>
  <c r="BR558" i="2"/>
  <c r="BR560" i="2"/>
  <c r="BR562" i="2"/>
  <c r="BR564" i="2"/>
  <c r="BR566" i="2"/>
  <c r="BR568" i="2"/>
  <c r="BR570" i="2"/>
  <c r="BR572" i="2"/>
  <c r="BR574" i="2"/>
  <c r="BR576" i="2"/>
  <c r="BR578" i="2"/>
  <c r="BR580" i="2"/>
  <c r="BR582" i="2"/>
  <c r="BR584" i="2"/>
  <c r="BR586" i="2"/>
  <c r="BR588" i="2"/>
  <c r="BR590" i="2"/>
  <c r="BR592" i="2"/>
  <c r="BR594" i="2"/>
  <c r="BR596" i="2"/>
  <c r="BR598" i="2"/>
  <c r="BR600" i="2"/>
  <c r="BR602" i="2"/>
  <c r="BR604" i="2"/>
  <c r="BP549" i="2"/>
  <c r="BM610" i="2"/>
  <c r="BM606" i="2"/>
  <c r="BM602" i="2"/>
  <c r="BM598" i="2"/>
  <c r="BM594" i="2"/>
  <c r="BM590" i="2"/>
  <c r="BM586" i="2"/>
  <c r="BM582" i="2"/>
  <c r="BM578" i="2"/>
  <c r="BM574" i="2"/>
  <c r="BM570" i="2"/>
  <c r="BM566" i="2"/>
  <c r="BM562" i="2"/>
  <c r="BM558" i="2"/>
  <c r="BM554" i="2"/>
  <c r="BP610" i="2"/>
  <c r="BR609" i="2"/>
  <c r="BN609" i="2"/>
  <c r="BP608" i="2"/>
  <c r="BR607" i="2"/>
  <c r="BN607" i="2"/>
  <c r="BO606" i="2"/>
  <c r="BQ603" i="2"/>
  <c r="BO602" i="2"/>
  <c r="BQ599" i="2"/>
  <c r="BO598" i="2"/>
  <c r="BQ595" i="2"/>
  <c r="BO594" i="2"/>
  <c r="BQ591" i="2"/>
  <c r="BO590" i="2"/>
  <c r="BQ587" i="2"/>
  <c r="BO586" i="2"/>
  <c r="BQ583" i="2"/>
  <c r="BO582" i="2"/>
  <c r="BQ579" i="2"/>
  <c r="BO578" i="2"/>
  <c r="BQ575" i="2"/>
  <c r="BO574" i="2"/>
  <c r="BQ571" i="2"/>
  <c r="BO570" i="2"/>
  <c r="BQ567" i="2"/>
  <c r="BO566" i="2"/>
  <c r="BQ563" i="2"/>
  <c r="BO562" i="2"/>
  <c r="BQ559" i="2"/>
  <c r="BO558" i="2"/>
  <c r="BQ555" i="2"/>
  <c r="BO554" i="2"/>
  <c r="BQ551" i="2"/>
  <c r="W30" i="2"/>
  <c r="V30" i="2"/>
  <c r="X29" i="2"/>
  <c r="G72" i="1"/>
  <c r="H68" i="1" s="1"/>
  <c r="AD53" i="1"/>
  <c r="C53" i="1" s="1"/>
  <c r="O53" i="1" s="1"/>
  <c r="AB54" i="1"/>
  <c r="AD54" i="1" s="1"/>
  <c r="C54" i="1" s="1"/>
  <c r="O54" i="1" s="1"/>
  <c r="Q53" i="1"/>
  <c r="W31" i="2" l="1"/>
  <c r="V31" i="2"/>
  <c r="X30" i="2"/>
  <c r="X31" i="2" l="1"/>
  <c r="W32" i="2"/>
  <c r="V32" i="2"/>
  <c r="V33" i="2" l="1"/>
  <c r="X32" i="2"/>
  <c r="W33" i="2"/>
  <c r="W34" i="2" l="1"/>
  <c r="V34" i="2"/>
  <c r="X33" i="2"/>
  <c r="N4" i="1"/>
  <c r="M4" i="1"/>
  <c r="J3" i="1"/>
  <c r="I3" i="1"/>
  <c r="H3" i="1"/>
  <c r="H4" i="1" s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L58" i="1" s="1"/>
  <c r="M58" i="1" s="1"/>
  <c r="F48" i="1"/>
  <c r="L59" i="1" s="1"/>
  <c r="M59" i="1" s="1"/>
  <c r="J70" i="1" s="1"/>
  <c r="F49" i="1"/>
  <c r="L60" i="1" s="1"/>
  <c r="M60" i="1" s="1"/>
  <c r="J71" i="1" s="1"/>
  <c r="F50" i="1"/>
  <c r="L61" i="1" s="1"/>
  <c r="M61" i="1" s="1"/>
  <c r="F51" i="1"/>
  <c r="F52" i="1"/>
  <c r="F53" i="1"/>
  <c r="F54" i="1"/>
  <c r="F8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I58" i="1" s="1"/>
  <c r="J58" i="1" s="1"/>
  <c r="E48" i="1"/>
  <c r="I59" i="1" s="1"/>
  <c r="J59" i="1" s="1"/>
  <c r="E49" i="1"/>
  <c r="I60" i="1" s="1"/>
  <c r="J60" i="1" s="1"/>
  <c r="E50" i="1"/>
  <c r="I61" i="1" s="1"/>
  <c r="J61" i="1" s="1"/>
  <c r="E51" i="1"/>
  <c r="E52" i="1"/>
  <c r="E53" i="1"/>
  <c r="E54" i="1"/>
  <c r="E7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F58" i="1" s="1"/>
  <c r="G58" i="1" s="1"/>
  <c r="D48" i="1"/>
  <c r="F59" i="1" s="1"/>
  <c r="G59" i="1" s="1"/>
  <c r="D49" i="1"/>
  <c r="F60" i="1" s="1"/>
  <c r="G60" i="1" s="1"/>
  <c r="D50" i="1"/>
  <c r="F61" i="1" s="1"/>
  <c r="G61" i="1" s="1"/>
  <c r="D51" i="1"/>
  <c r="D52" i="1"/>
  <c r="D53" i="1"/>
  <c r="D54" i="1"/>
  <c r="D6" i="1"/>
  <c r="W35" i="2" l="1"/>
  <c r="V35" i="2"/>
  <c r="X34" i="2"/>
  <c r="G62" i="1"/>
  <c r="H58" i="1" s="1"/>
  <c r="J62" i="1"/>
  <c r="K58" i="1" s="1"/>
  <c r="M62" i="1"/>
  <c r="N58" i="1" s="1"/>
  <c r="J69" i="1"/>
  <c r="M5" i="1"/>
  <c r="N5" i="1" s="1"/>
  <c r="M6" i="1" s="1"/>
  <c r="N6" i="1" s="1"/>
  <c r="I4" i="1"/>
  <c r="J4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X35" i="2" l="1"/>
  <c r="W36" i="2"/>
  <c r="V36" i="2"/>
  <c r="J72" i="1"/>
  <c r="K68" i="1" s="1"/>
  <c r="M7" i="1"/>
  <c r="H42" i="1"/>
  <c r="I5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N7" i="1"/>
  <c r="M8" i="1" s="1"/>
  <c r="V37" i="2" l="1"/>
  <c r="X36" i="2"/>
  <c r="W37" i="2"/>
  <c r="I42" i="1"/>
  <c r="H43" i="1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N8" i="1"/>
  <c r="M9" i="1" s="1"/>
  <c r="V38" i="2" l="1"/>
  <c r="X37" i="2"/>
  <c r="Y37" i="2" s="1"/>
  <c r="W38" i="2"/>
  <c r="H44" i="1"/>
  <c r="I43" i="1"/>
  <c r="N9" i="1"/>
  <c r="M10" i="1" s="1"/>
  <c r="V39" i="2" l="1"/>
  <c r="X38" i="2"/>
  <c r="Y38" i="2" s="1"/>
  <c r="W39" i="2"/>
  <c r="I44" i="1"/>
  <c r="J43" i="1"/>
  <c r="H45" i="1"/>
  <c r="H46" i="1" s="1"/>
  <c r="H47" i="1" s="1"/>
  <c r="H48" i="1" s="1"/>
  <c r="H49" i="1" s="1"/>
  <c r="H50" i="1" s="1"/>
  <c r="H51" i="1" s="1"/>
  <c r="H52" i="1" s="1"/>
  <c r="H53" i="1" s="1"/>
  <c r="H54" i="1" s="1"/>
  <c r="N10" i="1"/>
  <c r="M11" i="1" s="1"/>
  <c r="V40" i="2" l="1"/>
  <c r="X39" i="2"/>
  <c r="Y39" i="2" s="1"/>
  <c r="W40" i="2"/>
  <c r="J44" i="1"/>
  <c r="I45" i="1"/>
  <c r="I46" i="1" s="1"/>
  <c r="I47" i="1" s="1"/>
  <c r="I48" i="1" s="1"/>
  <c r="I49" i="1" s="1"/>
  <c r="I50" i="1" s="1"/>
  <c r="I51" i="1" s="1"/>
  <c r="I52" i="1" s="1"/>
  <c r="I53" i="1" s="1"/>
  <c r="I54" i="1" s="1"/>
  <c r="N11" i="1"/>
  <c r="M12" i="1" s="1"/>
  <c r="V41" i="2" l="1"/>
  <c r="X40" i="2"/>
  <c r="Y40" i="2" s="1"/>
  <c r="W41" i="2"/>
  <c r="J45" i="1"/>
  <c r="J46" i="1" s="1"/>
  <c r="J47" i="1" s="1"/>
  <c r="J48" i="1" s="1"/>
  <c r="J49" i="1" s="1"/>
  <c r="J50" i="1" s="1"/>
  <c r="J51" i="1" s="1"/>
  <c r="J52" i="1" s="1"/>
  <c r="J53" i="1" s="1"/>
  <c r="J54" i="1" s="1"/>
  <c r="N12" i="1"/>
  <c r="M13" i="1" s="1"/>
  <c r="V42" i="2" l="1"/>
  <c r="X41" i="2"/>
  <c r="Y41" i="2" s="1"/>
  <c r="W42" i="2"/>
  <c r="N13" i="1"/>
  <c r="M14" i="1" s="1"/>
  <c r="V43" i="2" l="1"/>
  <c r="X42" i="2"/>
  <c r="Y42" i="2" s="1"/>
  <c r="W43" i="2"/>
  <c r="N14" i="1"/>
  <c r="M15" i="1" s="1"/>
  <c r="V44" i="2" l="1"/>
  <c r="X43" i="2"/>
  <c r="Y43" i="2" s="1"/>
  <c r="W44" i="2"/>
  <c r="N15" i="1"/>
  <c r="M16" i="1" s="1"/>
  <c r="V45" i="2" l="1"/>
  <c r="X44" i="2"/>
  <c r="Y44" i="2" s="1"/>
  <c r="W45" i="2"/>
  <c r="N16" i="1"/>
  <c r="M17" i="1" s="1"/>
  <c r="V46" i="2" l="1"/>
  <c r="X45" i="2"/>
  <c r="Y45" i="2" s="1"/>
  <c r="W46" i="2"/>
  <c r="N17" i="1"/>
  <c r="M18" i="1" s="1"/>
  <c r="V47" i="2" l="1"/>
  <c r="X46" i="2"/>
  <c r="Y46" i="2" s="1"/>
  <c r="W47" i="2"/>
  <c r="N18" i="1"/>
  <c r="M19" i="1" s="1"/>
  <c r="V48" i="2" l="1"/>
  <c r="X47" i="2"/>
  <c r="Y47" i="2" s="1"/>
  <c r="W48" i="2"/>
  <c r="N19" i="1"/>
  <c r="M20" i="1" s="1"/>
  <c r="V49" i="2" l="1"/>
  <c r="X48" i="2"/>
  <c r="Y48" i="2" s="1"/>
  <c r="W49" i="2"/>
  <c r="N20" i="1"/>
  <c r="M21" i="1" s="1"/>
  <c r="V50" i="2" l="1"/>
  <c r="X49" i="2"/>
  <c r="Y49" i="2" s="1"/>
  <c r="W50" i="2"/>
  <c r="N21" i="1"/>
  <c r="M22" i="1" s="1"/>
  <c r="V51" i="2" l="1"/>
  <c r="X50" i="2"/>
  <c r="Y50" i="2" s="1"/>
  <c r="W51" i="2"/>
  <c r="N22" i="1"/>
  <c r="M23" i="1" s="1"/>
  <c r="V52" i="2" l="1"/>
  <c r="X51" i="2"/>
  <c r="Y51" i="2" s="1"/>
  <c r="W52" i="2"/>
  <c r="N23" i="1"/>
  <c r="M24" i="1" s="1"/>
  <c r="V53" i="2" l="1"/>
  <c r="X52" i="2"/>
  <c r="Y52" i="2" s="1"/>
  <c r="W53" i="2"/>
  <c r="N24" i="1"/>
  <c r="M25" i="1" s="1"/>
  <c r="V54" i="2" l="1"/>
  <c r="X53" i="2"/>
  <c r="Y53" i="2" s="1"/>
  <c r="W54" i="2"/>
  <c r="N25" i="1"/>
  <c r="M26" i="1" s="1"/>
  <c r="V55" i="2" l="1"/>
  <c r="X54" i="2"/>
  <c r="Y54" i="2" s="1"/>
  <c r="W55" i="2"/>
  <c r="N26" i="1"/>
  <c r="M27" i="1" s="1"/>
  <c r="V56" i="2" l="1"/>
  <c r="X55" i="2"/>
  <c r="Y55" i="2" s="1"/>
  <c r="W56" i="2"/>
  <c r="N27" i="1"/>
  <c r="M28" i="1" s="1"/>
  <c r="V57" i="2" l="1"/>
  <c r="X56" i="2"/>
  <c r="Y56" i="2" s="1"/>
  <c r="W57" i="2"/>
  <c r="N28" i="1"/>
  <c r="M29" i="1" s="1"/>
  <c r="V58" i="2" l="1"/>
  <c r="X57" i="2"/>
  <c r="Y57" i="2" s="1"/>
  <c r="W58" i="2"/>
  <c r="N29" i="1"/>
  <c r="M30" i="1" s="1"/>
  <c r="V59" i="2" l="1"/>
  <c r="X58" i="2"/>
  <c r="Y58" i="2" s="1"/>
  <c r="W59" i="2"/>
  <c r="N30" i="1"/>
  <c r="M31" i="1" s="1"/>
  <c r="V60" i="2" l="1"/>
  <c r="X59" i="2"/>
  <c r="Y59" i="2" s="1"/>
  <c r="W60" i="2"/>
  <c r="N31" i="1"/>
  <c r="M32" i="1" s="1"/>
  <c r="V61" i="2" l="1"/>
  <c r="X60" i="2"/>
  <c r="Y60" i="2" s="1"/>
  <c r="W61" i="2"/>
  <c r="N32" i="1"/>
  <c r="M33" i="1" s="1"/>
  <c r="V62" i="2" l="1"/>
  <c r="X61" i="2"/>
  <c r="Y61" i="2" s="1"/>
  <c r="W62" i="2"/>
  <c r="N33" i="1"/>
  <c r="M34" i="1" s="1"/>
  <c r="V63" i="2" l="1"/>
  <c r="X62" i="2"/>
  <c r="Y62" i="2" s="1"/>
  <c r="W63" i="2"/>
  <c r="N34" i="1"/>
  <c r="M35" i="1" s="1"/>
  <c r="V64" i="2" l="1"/>
  <c r="X63" i="2"/>
  <c r="Y63" i="2" s="1"/>
  <c r="W64" i="2"/>
  <c r="N35" i="1"/>
  <c r="M36" i="1" s="1"/>
  <c r="V65" i="2" l="1"/>
  <c r="X64" i="2"/>
  <c r="Y64" i="2" s="1"/>
  <c r="W65" i="2"/>
  <c r="N36" i="1"/>
  <c r="M37" i="1" s="1"/>
  <c r="V66" i="2" l="1"/>
  <c r="X65" i="2"/>
  <c r="Y65" i="2" s="1"/>
  <c r="W66" i="2"/>
  <c r="N37" i="1"/>
  <c r="M38" i="1" s="1"/>
  <c r="V67" i="2" l="1"/>
  <c r="X66" i="2"/>
  <c r="Y66" i="2" s="1"/>
  <c r="W67" i="2"/>
  <c r="N38" i="1"/>
  <c r="M39" i="1" s="1"/>
  <c r="V68" i="2" l="1"/>
  <c r="X67" i="2"/>
  <c r="Y67" i="2" s="1"/>
  <c r="W68" i="2"/>
  <c r="N39" i="1"/>
  <c r="M40" i="1" s="1"/>
  <c r="V69" i="2" l="1"/>
  <c r="X68" i="2"/>
  <c r="Y68" i="2" s="1"/>
  <c r="W69" i="2"/>
  <c r="N40" i="1"/>
  <c r="M41" i="1" s="1"/>
  <c r="V70" i="2" l="1"/>
  <c r="X69" i="2"/>
  <c r="Y69" i="2" s="1"/>
  <c r="W70" i="2"/>
  <c r="N41" i="1"/>
  <c r="M42" i="1" s="1"/>
  <c r="V71" i="2" l="1"/>
  <c r="X70" i="2"/>
  <c r="Y70" i="2" s="1"/>
  <c r="W71" i="2"/>
  <c r="N42" i="1"/>
  <c r="M43" i="1" s="1"/>
  <c r="V72" i="2" l="1"/>
  <c r="X71" i="2"/>
  <c r="Y71" i="2" s="1"/>
  <c r="W72" i="2"/>
  <c r="N43" i="1"/>
  <c r="M44" i="1" s="1"/>
  <c r="V73" i="2" l="1"/>
  <c r="X72" i="2"/>
  <c r="Y72" i="2" s="1"/>
  <c r="W73" i="2"/>
  <c r="N44" i="1"/>
  <c r="M45" i="1" s="1"/>
  <c r="V74" i="2" l="1"/>
  <c r="X73" i="2"/>
  <c r="Y73" i="2" s="1"/>
  <c r="W74" i="2"/>
  <c r="N45" i="1"/>
  <c r="M46" i="1" s="1"/>
  <c r="V75" i="2" l="1"/>
  <c r="X74" i="2"/>
  <c r="Y74" i="2" s="1"/>
  <c r="W75" i="2"/>
  <c r="N46" i="1"/>
  <c r="M47" i="1" s="1"/>
  <c r="O58" i="1" s="1"/>
  <c r="P58" i="1" s="1"/>
  <c r="V76" i="2" l="1"/>
  <c r="X75" i="2"/>
  <c r="Y75" i="2" s="1"/>
  <c r="W76" i="2"/>
  <c r="N47" i="1"/>
  <c r="M48" i="1" s="1"/>
  <c r="O59" i="1" s="1"/>
  <c r="P59" i="1" s="1"/>
  <c r="V77" i="2" l="1"/>
  <c r="X76" i="2"/>
  <c r="Y76" i="2" s="1"/>
  <c r="W77" i="2"/>
  <c r="N48" i="1"/>
  <c r="M49" i="1" s="1"/>
  <c r="O60" i="1" s="1"/>
  <c r="P60" i="1" s="1"/>
  <c r="V78" i="2" l="1"/>
  <c r="X77" i="2"/>
  <c r="Y77" i="2" s="1"/>
  <c r="W78" i="2"/>
  <c r="N49" i="1"/>
  <c r="M50" i="1" s="1"/>
  <c r="O61" i="1" s="1"/>
  <c r="P61" i="1" s="1"/>
  <c r="P62" i="1" s="1"/>
  <c r="Q58" i="1" s="1"/>
  <c r="V79" i="2" l="1"/>
  <c r="X78" i="2"/>
  <c r="Y78" i="2" s="1"/>
  <c r="W79" i="2"/>
  <c r="N50" i="1"/>
  <c r="M51" i="1" s="1"/>
  <c r="V80" i="2" l="1"/>
  <c r="X79" i="2"/>
  <c r="Y79" i="2" s="1"/>
  <c r="W80" i="2"/>
  <c r="N51" i="1"/>
  <c r="M52" i="1" s="1"/>
  <c r="V81" i="2" l="1"/>
  <c r="X80" i="2"/>
  <c r="Y80" i="2" s="1"/>
  <c r="W81" i="2"/>
  <c r="N52" i="1"/>
  <c r="M53" i="1" s="1"/>
  <c r="V82" i="2" l="1"/>
  <c r="X81" i="2"/>
  <c r="Y81" i="2" s="1"/>
  <c r="W82" i="2"/>
  <c r="N53" i="1"/>
  <c r="M54" i="1" s="1"/>
  <c r="N54" i="1" s="1"/>
  <c r="V83" i="2" l="1"/>
  <c r="X82" i="2"/>
  <c r="Y82" i="2" s="1"/>
  <c r="W83" i="2"/>
  <c r="V84" i="2" l="1"/>
  <c r="X83" i="2"/>
  <c r="Y83" i="2" s="1"/>
  <c r="W84" i="2"/>
  <c r="V85" i="2" l="1"/>
  <c r="X84" i="2"/>
  <c r="Y84" i="2" s="1"/>
  <c r="W85" i="2"/>
  <c r="V86" i="2" l="1"/>
  <c r="X85" i="2"/>
  <c r="Y85" i="2" s="1"/>
  <c r="W86" i="2"/>
  <c r="V87" i="2" l="1"/>
  <c r="X86" i="2"/>
  <c r="Y86" i="2" s="1"/>
  <c r="W87" i="2"/>
  <c r="V88" i="2" l="1"/>
  <c r="X87" i="2"/>
  <c r="Y87" i="2" s="1"/>
  <c r="W88" i="2"/>
  <c r="V89" i="2" l="1"/>
  <c r="X88" i="2"/>
  <c r="Y88" i="2" s="1"/>
  <c r="W89" i="2"/>
  <c r="V90" i="2" l="1"/>
  <c r="X89" i="2"/>
  <c r="Y89" i="2" s="1"/>
  <c r="W90" i="2"/>
  <c r="V91" i="2" l="1"/>
  <c r="X90" i="2"/>
  <c r="Y90" i="2" s="1"/>
  <c r="W91" i="2"/>
  <c r="V92" i="2" l="1"/>
  <c r="X91" i="2"/>
  <c r="Y91" i="2" s="1"/>
  <c r="W92" i="2"/>
  <c r="V93" i="2" l="1"/>
  <c r="X92" i="2"/>
  <c r="Y92" i="2" s="1"/>
  <c r="W93" i="2"/>
  <c r="V94" i="2" l="1"/>
  <c r="X93" i="2"/>
  <c r="Y93" i="2" s="1"/>
  <c r="W94" i="2"/>
  <c r="V95" i="2" l="1"/>
  <c r="X94" i="2"/>
  <c r="Y94" i="2" s="1"/>
  <c r="W95" i="2"/>
  <c r="X95" i="2" l="1"/>
  <c r="Y95" i="2" s="1"/>
  <c r="W96" i="2"/>
  <c r="V96" i="2"/>
  <c r="X96" i="2" l="1"/>
  <c r="Y96" i="2" s="1"/>
  <c r="W97" i="2"/>
  <c r="V97" i="2"/>
  <c r="X97" i="2" l="1"/>
  <c r="Y97" i="2" s="1"/>
  <c r="W98" i="2"/>
  <c r="V98" i="2"/>
  <c r="X98" i="2" l="1"/>
  <c r="Y98" i="2" s="1"/>
  <c r="V99" i="2"/>
  <c r="W99" i="2"/>
  <c r="X99" i="2" l="1"/>
  <c r="Y99" i="2" s="1"/>
  <c r="W100" i="2"/>
  <c r="V100" i="2"/>
  <c r="X100" i="2" l="1"/>
  <c r="Y100" i="2" s="1"/>
  <c r="W101" i="2"/>
  <c r="V101" i="2"/>
  <c r="X101" i="2" l="1"/>
  <c r="Y101" i="2" s="1"/>
  <c r="W102" i="2"/>
  <c r="V102" i="2"/>
  <c r="X102" i="2" l="1"/>
  <c r="Y102" i="2" s="1"/>
  <c r="V103" i="2"/>
  <c r="W103" i="2"/>
  <c r="X103" i="2" l="1"/>
  <c r="Y103" i="2" s="1"/>
  <c r="W104" i="2"/>
  <c r="V104" i="2"/>
  <c r="X104" i="2" l="1"/>
  <c r="Y104" i="2" s="1"/>
  <c r="W105" i="2"/>
  <c r="V105" i="2"/>
  <c r="X105" i="2" l="1"/>
  <c r="Y105" i="2" s="1"/>
  <c r="W106" i="2"/>
  <c r="V106" i="2"/>
  <c r="X106" i="2" l="1"/>
  <c r="Y106" i="2" s="1"/>
  <c r="V107" i="2"/>
  <c r="W107" i="2"/>
  <c r="X107" i="2" l="1"/>
  <c r="Y107" i="2" s="1"/>
  <c r="W108" i="2"/>
  <c r="V108" i="2"/>
  <c r="X108" i="2" l="1"/>
  <c r="Y108" i="2" s="1"/>
  <c r="W109" i="2"/>
  <c r="V109" i="2"/>
  <c r="X109" i="2" l="1"/>
  <c r="Y109" i="2" s="1"/>
  <c r="V110" i="2"/>
  <c r="W110" i="2"/>
  <c r="X110" i="2" l="1"/>
  <c r="Y110" i="2" s="1"/>
  <c r="V111" i="2"/>
  <c r="W111" i="2"/>
  <c r="X111" i="2" l="1"/>
  <c r="Y111" i="2" s="1"/>
  <c r="V112" i="2"/>
  <c r="W112" i="2"/>
  <c r="X112" i="2" l="1"/>
  <c r="Y112" i="2" s="1"/>
  <c r="V113" i="2"/>
  <c r="W113" i="2"/>
  <c r="X113" i="2" l="1"/>
  <c r="Y113" i="2" s="1"/>
  <c r="V114" i="2"/>
  <c r="W114" i="2"/>
  <c r="X114" i="2" l="1"/>
  <c r="Y114" i="2" s="1"/>
  <c r="V115" i="2"/>
  <c r="W115" i="2"/>
  <c r="X115" i="2" l="1"/>
  <c r="Y115" i="2" s="1"/>
  <c r="V116" i="2"/>
  <c r="W116" i="2"/>
  <c r="X116" i="2" l="1"/>
  <c r="Y116" i="2" s="1"/>
  <c r="V117" i="2"/>
  <c r="W117" i="2"/>
  <c r="X117" i="2" l="1"/>
  <c r="Y117" i="2" s="1"/>
  <c r="V118" i="2"/>
  <c r="W118" i="2"/>
  <c r="X118" i="2" l="1"/>
  <c r="Y118" i="2" s="1"/>
  <c r="V119" i="2"/>
  <c r="W119" i="2"/>
  <c r="X119" i="2" l="1"/>
  <c r="Y119" i="2" s="1"/>
  <c r="V120" i="2"/>
  <c r="W120" i="2"/>
  <c r="X120" i="2" l="1"/>
  <c r="Y120" i="2" s="1"/>
  <c r="V121" i="2"/>
  <c r="W121" i="2"/>
  <c r="X121" i="2" l="1"/>
  <c r="Y121" i="2" s="1"/>
  <c r="V122" i="2"/>
  <c r="W122" i="2"/>
  <c r="X122" i="2" l="1"/>
  <c r="Y122" i="2" s="1"/>
  <c r="V123" i="2"/>
  <c r="W123" i="2"/>
  <c r="X123" i="2" l="1"/>
  <c r="Y123" i="2" s="1"/>
  <c r="V124" i="2"/>
  <c r="W124" i="2"/>
  <c r="X124" i="2" l="1"/>
  <c r="Y124" i="2" s="1"/>
  <c r="V125" i="2"/>
  <c r="W125" i="2"/>
  <c r="X125" i="2" l="1"/>
  <c r="Y125" i="2" s="1"/>
  <c r="V126" i="2"/>
  <c r="W126" i="2"/>
  <c r="X126" i="2" l="1"/>
  <c r="Y126" i="2" s="1"/>
  <c r="V127" i="2"/>
  <c r="W127" i="2"/>
  <c r="X127" i="2" l="1"/>
  <c r="Y127" i="2" s="1"/>
  <c r="V128" i="2"/>
  <c r="W128" i="2"/>
  <c r="X128" i="2" l="1"/>
  <c r="Y128" i="2" s="1"/>
  <c r="V129" i="2"/>
  <c r="W129" i="2"/>
  <c r="X129" i="2" l="1"/>
  <c r="Y129" i="2" s="1"/>
  <c r="V130" i="2"/>
  <c r="W130" i="2"/>
  <c r="X130" i="2" l="1"/>
  <c r="Y130" i="2" s="1"/>
  <c r="V131" i="2"/>
  <c r="W131" i="2"/>
  <c r="X131" i="2" l="1"/>
  <c r="Y131" i="2" s="1"/>
  <c r="V132" i="2"/>
  <c r="W132" i="2"/>
  <c r="X132" i="2" l="1"/>
  <c r="Y132" i="2" s="1"/>
  <c r="V133" i="2"/>
  <c r="W133" i="2"/>
  <c r="X133" i="2" l="1"/>
  <c r="Y133" i="2" s="1"/>
  <c r="V134" i="2"/>
  <c r="W134" i="2"/>
  <c r="X134" i="2" l="1"/>
  <c r="Y134" i="2" s="1"/>
  <c r="V135" i="2"/>
  <c r="W135" i="2"/>
  <c r="X135" i="2" l="1"/>
  <c r="Y135" i="2" s="1"/>
  <c r="V136" i="2"/>
  <c r="W136" i="2"/>
  <c r="X136" i="2" l="1"/>
  <c r="Y136" i="2" s="1"/>
  <c r="V137" i="2"/>
  <c r="W137" i="2"/>
  <c r="X137" i="2" l="1"/>
  <c r="Y137" i="2" s="1"/>
  <c r="V138" i="2"/>
  <c r="W138" i="2"/>
  <c r="X138" i="2" l="1"/>
  <c r="Y138" i="2" s="1"/>
  <c r="V139" i="2"/>
  <c r="W139" i="2"/>
  <c r="X139" i="2" l="1"/>
  <c r="Y139" i="2" s="1"/>
  <c r="V140" i="2"/>
  <c r="W140" i="2"/>
  <c r="X140" i="2" l="1"/>
  <c r="Y140" i="2" s="1"/>
  <c r="V141" i="2"/>
  <c r="W141" i="2"/>
  <c r="X141" i="2" l="1"/>
  <c r="Y141" i="2" s="1"/>
  <c r="V142" i="2"/>
  <c r="W142" i="2"/>
  <c r="X142" i="2" l="1"/>
  <c r="Y142" i="2" s="1"/>
  <c r="V143" i="2"/>
  <c r="W143" i="2"/>
  <c r="X143" i="2" l="1"/>
  <c r="Y143" i="2" s="1"/>
  <c r="V144" i="2"/>
  <c r="W144" i="2"/>
  <c r="X144" i="2" l="1"/>
  <c r="Y144" i="2" s="1"/>
  <c r="V145" i="2"/>
  <c r="W145" i="2"/>
  <c r="X145" i="2" l="1"/>
  <c r="Y145" i="2" s="1"/>
  <c r="V146" i="2"/>
  <c r="W146" i="2"/>
  <c r="X146" i="2" l="1"/>
  <c r="Y146" i="2" s="1"/>
  <c r="V147" i="2"/>
  <c r="W147" i="2"/>
  <c r="X147" i="2" l="1"/>
  <c r="Y147" i="2" s="1"/>
  <c r="V148" i="2"/>
  <c r="W148" i="2"/>
  <c r="X148" i="2" l="1"/>
  <c r="Y148" i="2" s="1"/>
  <c r="V149" i="2"/>
  <c r="W149" i="2"/>
  <c r="X149" i="2" l="1"/>
  <c r="Y149" i="2" s="1"/>
  <c r="V150" i="2"/>
  <c r="W150" i="2"/>
  <c r="X150" i="2" l="1"/>
  <c r="Y150" i="2" s="1"/>
  <c r="V151" i="2"/>
  <c r="W151" i="2"/>
  <c r="X151" i="2" l="1"/>
  <c r="Y151" i="2" s="1"/>
  <c r="V152" i="2"/>
  <c r="W152" i="2"/>
  <c r="X152" i="2" l="1"/>
  <c r="Y152" i="2" s="1"/>
  <c r="V153" i="2"/>
  <c r="W153" i="2"/>
  <c r="X153" i="2" l="1"/>
  <c r="Y153" i="2" s="1"/>
  <c r="V154" i="2"/>
  <c r="W154" i="2"/>
  <c r="X154" i="2" l="1"/>
  <c r="Y154" i="2" s="1"/>
  <c r="V155" i="2"/>
  <c r="W155" i="2"/>
  <c r="X155" i="2" l="1"/>
  <c r="Y155" i="2" s="1"/>
  <c r="V156" i="2"/>
  <c r="W156" i="2"/>
  <c r="X156" i="2" l="1"/>
  <c r="Y156" i="2" s="1"/>
  <c r="V157" i="2"/>
  <c r="W157" i="2"/>
  <c r="X157" i="2" l="1"/>
  <c r="Y157" i="2" s="1"/>
  <c r="V158" i="2"/>
  <c r="W158" i="2"/>
  <c r="X158" i="2" l="1"/>
  <c r="Y158" i="2" s="1"/>
  <c r="V159" i="2"/>
  <c r="W159" i="2"/>
  <c r="X159" i="2" l="1"/>
  <c r="Y159" i="2" s="1"/>
  <c r="V160" i="2"/>
  <c r="W160" i="2"/>
  <c r="X160" i="2" l="1"/>
  <c r="Y160" i="2" s="1"/>
  <c r="W161" i="2"/>
  <c r="V161" i="2"/>
  <c r="X161" i="2" l="1"/>
  <c r="Y161" i="2" s="1"/>
  <c r="W162" i="2"/>
  <c r="V162" i="2"/>
  <c r="X162" i="2" l="1"/>
  <c r="Y162" i="2" s="1"/>
  <c r="W163" i="2"/>
  <c r="V163" i="2"/>
  <c r="X163" i="2" l="1"/>
  <c r="Y163" i="2" s="1"/>
  <c r="W164" i="2"/>
  <c r="V164" i="2"/>
  <c r="X164" i="2" l="1"/>
  <c r="Y164" i="2" s="1"/>
  <c r="W165" i="2"/>
  <c r="V165" i="2"/>
  <c r="X165" i="2" l="1"/>
  <c r="Y165" i="2" s="1"/>
  <c r="W166" i="2"/>
  <c r="V166" i="2"/>
  <c r="X166" i="2" l="1"/>
  <c r="Y166" i="2" s="1"/>
  <c r="W167" i="2"/>
  <c r="V167" i="2"/>
  <c r="X167" i="2" l="1"/>
  <c r="Y167" i="2" s="1"/>
  <c r="W168" i="2"/>
  <c r="V168" i="2"/>
  <c r="X168" i="2" l="1"/>
  <c r="Y168" i="2" s="1"/>
  <c r="W169" i="2"/>
  <c r="V169" i="2"/>
  <c r="X169" i="2" l="1"/>
  <c r="Y169" i="2" s="1"/>
  <c r="W170" i="2"/>
  <c r="V170" i="2"/>
  <c r="X170" i="2" l="1"/>
  <c r="Y170" i="2" s="1"/>
  <c r="W171" i="2"/>
  <c r="V171" i="2"/>
  <c r="X171" i="2" l="1"/>
  <c r="Y171" i="2" s="1"/>
  <c r="W172" i="2"/>
  <c r="V172" i="2"/>
  <c r="X172" i="2" l="1"/>
  <c r="Y172" i="2" s="1"/>
  <c r="W173" i="2"/>
  <c r="V173" i="2"/>
  <c r="X173" i="2" l="1"/>
  <c r="Y173" i="2" s="1"/>
  <c r="W174" i="2"/>
  <c r="V174" i="2"/>
  <c r="X174" i="2" l="1"/>
  <c r="Y174" i="2" s="1"/>
  <c r="W175" i="2"/>
  <c r="V175" i="2"/>
  <c r="X175" i="2" l="1"/>
  <c r="Y175" i="2" s="1"/>
  <c r="W176" i="2"/>
  <c r="V176" i="2"/>
  <c r="X176" i="2" l="1"/>
  <c r="Y176" i="2" s="1"/>
  <c r="W177" i="2"/>
  <c r="V177" i="2"/>
  <c r="X177" i="2" l="1"/>
  <c r="Y177" i="2" s="1"/>
  <c r="W178" i="2"/>
  <c r="V178" i="2"/>
  <c r="X178" i="2" l="1"/>
  <c r="Y178" i="2" s="1"/>
  <c r="W179" i="2"/>
  <c r="V179" i="2"/>
  <c r="X179" i="2" l="1"/>
  <c r="Y179" i="2" s="1"/>
  <c r="W180" i="2"/>
  <c r="V180" i="2"/>
  <c r="X180" i="2" l="1"/>
  <c r="Y180" i="2" s="1"/>
  <c r="W181" i="2"/>
  <c r="V181" i="2"/>
  <c r="X181" i="2" l="1"/>
  <c r="Y181" i="2" s="1"/>
  <c r="W182" i="2"/>
  <c r="V182" i="2"/>
  <c r="X182" i="2" l="1"/>
  <c r="Y182" i="2" s="1"/>
  <c r="W183" i="2"/>
  <c r="V183" i="2"/>
  <c r="X183" i="2" l="1"/>
  <c r="Y183" i="2" s="1"/>
  <c r="W184" i="2"/>
  <c r="V184" i="2"/>
  <c r="X184" i="2" l="1"/>
  <c r="Y184" i="2" s="1"/>
  <c r="W185" i="2"/>
  <c r="V185" i="2"/>
  <c r="X185" i="2" l="1"/>
  <c r="Y185" i="2" s="1"/>
  <c r="W186" i="2"/>
  <c r="V186" i="2"/>
  <c r="X186" i="2" l="1"/>
  <c r="Y186" i="2" s="1"/>
  <c r="W187" i="2"/>
  <c r="V187" i="2"/>
  <c r="X187" i="2" l="1"/>
  <c r="Y187" i="2" s="1"/>
  <c r="W188" i="2"/>
  <c r="V188" i="2"/>
  <c r="X188" i="2" l="1"/>
  <c r="Y188" i="2" s="1"/>
  <c r="W189" i="2"/>
  <c r="V189" i="2"/>
  <c r="X189" i="2" l="1"/>
  <c r="Y189" i="2" s="1"/>
  <c r="W190" i="2"/>
  <c r="V190" i="2"/>
  <c r="X190" i="2" l="1"/>
  <c r="Y190" i="2" s="1"/>
  <c r="W191" i="2"/>
  <c r="V191" i="2"/>
  <c r="X191" i="2" l="1"/>
  <c r="Y191" i="2" s="1"/>
  <c r="W192" i="2"/>
  <c r="V192" i="2"/>
  <c r="X192" i="2" l="1"/>
  <c r="Y192" i="2" s="1"/>
  <c r="W193" i="2"/>
  <c r="V193" i="2"/>
  <c r="X193" i="2" l="1"/>
  <c r="Y193" i="2" s="1"/>
  <c r="W194" i="2"/>
  <c r="V194" i="2"/>
  <c r="X194" i="2" l="1"/>
  <c r="Y194" i="2" s="1"/>
  <c r="W195" i="2"/>
  <c r="V195" i="2"/>
  <c r="X195" i="2" l="1"/>
  <c r="Y195" i="2" s="1"/>
  <c r="W196" i="2"/>
  <c r="V196" i="2"/>
  <c r="X196" i="2" l="1"/>
  <c r="Y196" i="2" s="1"/>
  <c r="W197" i="2"/>
  <c r="V197" i="2"/>
  <c r="X197" i="2" l="1"/>
  <c r="Y197" i="2" s="1"/>
  <c r="W198" i="2"/>
  <c r="V198" i="2"/>
  <c r="X198" i="2" l="1"/>
  <c r="Y198" i="2" s="1"/>
  <c r="W199" i="2"/>
  <c r="V199" i="2"/>
  <c r="X199" i="2" l="1"/>
  <c r="Y199" i="2" s="1"/>
  <c r="W200" i="2"/>
  <c r="V200" i="2"/>
  <c r="X200" i="2" l="1"/>
  <c r="Y200" i="2" s="1"/>
  <c r="W201" i="2"/>
  <c r="V201" i="2"/>
  <c r="X201" i="2" l="1"/>
  <c r="Y201" i="2" s="1"/>
  <c r="W202" i="2"/>
  <c r="V202" i="2"/>
  <c r="X202" i="2" l="1"/>
  <c r="Y202" i="2" s="1"/>
  <c r="W203" i="2"/>
  <c r="V203" i="2"/>
  <c r="X203" i="2" l="1"/>
  <c r="Y203" i="2" s="1"/>
  <c r="W204" i="2"/>
  <c r="V204" i="2"/>
  <c r="X204" i="2" l="1"/>
  <c r="Y204" i="2" s="1"/>
  <c r="W205" i="2"/>
  <c r="V205" i="2"/>
  <c r="X205" i="2" l="1"/>
  <c r="Y205" i="2" s="1"/>
  <c r="W206" i="2"/>
  <c r="V206" i="2"/>
  <c r="X206" i="2" l="1"/>
  <c r="Y206" i="2" s="1"/>
  <c r="W207" i="2"/>
  <c r="V207" i="2"/>
  <c r="X207" i="2" l="1"/>
  <c r="Y207" i="2" s="1"/>
  <c r="V208" i="2"/>
  <c r="W208" i="2"/>
  <c r="X208" i="2" l="1"/>
  <c r="Y208" i="2" s="1"/>
  <c r="W209" i="2"/>
  <c r="V209" i="2"/>
  <c r="X209" i="2" l="1"/>
  <c r="Y209" i="2" s="1"/>
  <c r="W210" i="2"/>
  <c r="V210" i="2"/>
  <c r="X210" i="2" l="1"/>
  <c r="Y210" i="2" s="1"/>
  <c r="W211" i="2"/>
  <c r="V211" i="2"/>
  <c r="X211" i="2" l="1"/>
  <c r="Y211" i="2" s="1"/>
  <c r="V212" i="2"/>
  <c r="W212" i="2"/>
  <c r="X212" i="2" l="1"/>
  <c r="Y212" i="2" s="1"/>
  <c r="W213" i="2"/>
  <c r="V213" i="2"/>
  <c r="X213" i="2" l="1"/>
  <c r="Y213" i="2" s="1"/>
  <c r="W214" i="2"/>
  <c r="V214" i="2"/>
  <c r="X214" i="2" l="1"/>
  <c r="Y214" i="2" s="1"/>
  <c r="W215" i="2"/>
  <c r="V215" i="2"/>
  <c r="X215" i="2" l="1"/>
  <c r="Y215" i="2" s="1"/>
  <c r="V216" i="2"/>
  <c r="W216" i="2"/>
  <c r="V217" i="2" l="1"/>
  <c r="X216" i="2"/>
  <c r="Y216" i="2" s="1"/>
  <c r="W217" i="2"/>
  <c r="V218" i="2" l="1"/>
  <c r="X217" i="2"/>
  <c r="Y217" i="2" s="1"/>
  <c r="W218" i="2"/>
  <c r="V219" i="2" l="1"/>
  <c r="X218" i="2"/>
  <c r="Y218" i="2" s="1"/>
  <c r="W219" i="2"/>
  <c r="V220" i="2" l="1"/>
  <c r="X219" i="2"/>
  <c r="Y219" i="2" s="1"/>
  <c r="W220" i="2"/>
  <c r="V221" i="2" l="1"/>
  <c r="X220" i="2"/>
  <c r="Y220" i="2" s="1"/>
  <c r="W221" i="2"/>
  <c r="V222" i="2" l="1"/>
  <c r="X221" i="2"/>
  <c r="Y221" i="2" s="1"/>
  <c r="W222" i="2"/>
  <c r="V223" i="2" l="1"/>
  <c r="X222" i="2"/>
  <c r="Y222" i="2" s="1"/>
  <c r="W223" i="2"/>
  <c r="V224" i="2" l="1"/>
  <c r="X223" i="2"/>
  <c r="Y223" i="2" s="1"/>
  <c r="W224" i="2"/>
  <c r="V225" i="2" l="1"/>
  <c r="X224" i="2"/>
  <c r="Y224" i="2" s="1"/>
  <c r="W225" i="2"/>
  <c r="V226" i="2" l="1"/>
  <c r="X225" i="2"/>
  <c r="Y225" i="2" s="1"/>
  <c r="W226" i="2"/>
  <c r="V227" i="2" l="1"/>
  <c r="X226" i="2"/>
  <c r="Y226" i="2" s="1"/>
  <c r="W227" i="2"/>
  <c r="V228" i="2" l="1"/>
  <c r="X227" i="2"/>
  <c r="Y227" i="2" s="1"/>
  <c r="W228" i="2"/>
  <c r="V229" i="2" l="1"/>
  <c r="X228" i="2"/>
  <c r="Y228" i="2" s="1"/>
  <c r="W229" i="2"/>
  <c r="V230" i="2" l="1"/>
  <c r="X229" i="2"/>
  <c r="Y229" i="2" s="1"/>
  <c r="W230" i="2"/>
  <c r="V231" i="2" l="1"/>
  <c r="X230" i="2"/>
  <c r="Y230" i="2" s="1"/>
  <c r="W231" i="2"/>
  <c r="V232" i="2" l="1"/>
  <c r="X231" i="2"/>
  <c r="Y231" i="2" s="1"/>
  <c r="W232" i="2"/>
  <c r="V233" i="2" l="1"/>
  <c r="X232" i="2"/>
  <c r="Y232" i="2" s="1"/>
  <c r="W233" i="2"/>
  <c r="V234" i="2" l="1"/>
  <c r="X233" i="2"/>
  <c r="Y233" i="2" s="1"/>
  <c r="W234" i="2"/>
  <c r="V235" i="2" l="1"/>
  <c r="X234" i="2"/>
  <c r="Y234" i="2" s="1"/>
  <c r="W235" i="2"/>
  <c r="V236" i="2" l="1"/>
  <c r="X235" i="2"/>
  <c r="Y235" i="2" s="1"/>
  <c r="W236" i="2"/>
  <c r="V237" i="2" l="1"/>
  <c r="X236" i="2"/>
  <c r="Y236" i="2" s="1"/>
  <c r="W237" i="2"/>
  <c r="V238" i="2" l="1"/>
  <c r="X237" i="2"/>
  <c r="Y237" i="2" s="1"/>
  <c r="W238" i="2"/>
  <c r="V239" i="2" l="1"/>
  <c r="X238" i="2"/>
  <c r="Y238" i="2" s="1"/>
  <c r="W239" i="2"/>
  <c r="V240" i="2" l="1"/>
  <c r="X239" i="2"/>
  <c r="Y239" i="2" s="1"/>
  <c r="W240" i="2"/>
  <c r="V241" i="2" l="1"/>
  <c r="X240" i="2"/>
  <c r="Y240" i="2" s="1"/>
  <c r="W241" i="2"/>
  <c r="V242" i="2" l="1"/>
  <c r="X241" i="2"/>
  <c r="Y241" i="2" s="1"/>
  <c r="W242" i="2"/>
  <c r="V243" i="2" l="1"/>
  <c r="X242" i="2"/>
  <c r="Y242" i="2" s="1"/>
  <c r="W243" i="2"/>
  <c r="V244" i="2" l="1"/>
  <c r="X243" i="2"/>
  <c r="Y243" i="2" s="1"/>
  <c r="W244" i="2"/>
  <c r="V245" i="2" l="1"/>
  <c r="X244" i="2"/>
  <c r="Y244" i="2" s="1"/>
  <c r="W245" i="2"/>
  <c r="V246" i="2" l="1"/>
  <c r="X245" i="2"/>
  <c r="Y245" i="2" s="1"/>
  <c r="W246" i="2"/>
  <c r="V247" i="2" l="1"/>
  <c r="X246" i="2"/>
  <c r="Y246" i="2" s="1"/>
  <c r="W247" i="2"/>
  <c r="V248" i="2" l="1"/>
  <c r="X247" i="2"/>
  <c r="Y247" i="2" s="1"/>
  <c r="W248" i="2"/>
  <c r="V249" i="2" l="1"/>
  <c r="X248" i="2"/>
  <c r="Y248" i="2" s="1"/>
  <c r="W249" i="2"/>
  <c r="V250" i="2" l="1"/>
  <c r="X249" i="2"/>
  <c r="Y249" i="2" s="1"/>
  <c r="W250" i="2"/>
  <c r="V251" i="2" l="1"/>
  <c r="X250" i="2"/>
  <c r="Y250" i="2" s="1"/>
  <c r="W251" i="2"/>
  <c r="V252" i="2" l="1"/>
  <c r="X251" i="2"/>
  <c r="Y251" i="2" s="1"/>
  <c r="W252" i="2"/>
  <c r="V253" i="2" l="1"/>
  <c r="X252" i="2"/>
  <c r="Y252" i="2" s="1"/>
  <c r="W253" i="2"/>
  <c r="V254" i="2" l="1"/>
  <c r="X253" i="2"/>
  <c r="Y253" i="2" s="1"/>
  <c r="W254" i="2"/>
  <c r="V255" i="2" l="1"/>
  <c r="X254" i="2"/>
  <c r="Y254" i="2" s="1"/>
  <c r="W255" i="2"/>
  <c r="V256" i="2" l="1"/>
  <c r="X255" i="2"/>
  <c r="Y255" i="2" s="1"/>
  <c r="W256" i="2"/>
  <c r="V257" i="2" l="1"/>
  <c r="X256" i="2"/>
  <c r="Y256" i="2" s="1"/>
  <c r="W257" i="2"/>
  <c r="V258" i="2" l="1"/>
  <c r="X257" i="2"/>
  <c r="Y257" i="2" s="1"/>
  <c r="W258" i="2"/>
  <c r="V259" i="2" l="1"/>
  <c r="X258" i="2"/>
  <c r="Y258" i="2" s="1"/>
  <c r="W259" i="2"/>
  <c r="V260" i="2" l="1"/>
  <c r="X259" i="2"/>
  <c r="Y259" i="2" s="1"/>
  <c r="W260" i="2"/>
  <c r="V261" i="2" l="1"/>
  <c r="X260" i="2"/>
  <c r="Y260" i="2" s="1"/>
  <c r="W261" i="2"/>
  <c r="V262" i="2" l="1"/>
  <c r="X261" i="2"/>
  <c r="Y261" i="2" s="1"/>
  <c r="W262" i="2"/>
  <c r="V263" i="2" l="1"/>
  <c r="X262" i="2"/>
  <c r="Y262" i="2" s="1"/>
  <c r="W263" i="2"/>
  <c r="W264" i="2" l="1"/>
  <c r="V264" i="2"/>
  <c r="X263" i="2"/>
  <c r="Y263" i="2" s="1"/>
  <c r="W265" i="2" l="1"/>
  <c r="V265" i="2"/>
  <c r="X264" i="2"/>
  <c r="Y264" i="2" s="1"/>
  <c r="W266" i="2" l="1"/>
  <c r="V266" i="2"/>
  <c r="X265" i="2"/>
  <c r="Y265" i="2" s="1"/>
  <c r="W267" i="2" l="1"/>
  <c r="V267" i="2"/>
  <c r="X266" i="2"/>
  <c r="Y266" i="2" s="1"/>
  <c r="W268" i="2" l="1"/>
  <c r="V268" i="2"/>
  <c r="X267" i="2"/>
  <c r="Y267" i="2" s="1"/>
  <c r="W269" i="2" l="1"/>
  <c r="V269" i="2"/>
  <c r="X268" i="2"/>
  <c r="Y268" i="2" s="1"/>
  <c r="W270" i="2" l="1"/>
  <c r="V270" i="2"/>
  <c r="X269" i="2"/>
  <c r="Y269" i="2" s="1"/>
  <c r="W271" i="2" l="1"/>
  <c r="V271" i="2"/>
  <c r="X270" i="2"/>
  <c r="Y270" i="2" s="1"/>
  <c r="W272" i="2" l="1"/>
  <c r="V272" i="2"/>
  <c r="X271" i="2"/>
  <c r="Y271" i="2" s="1"/>
  <c r="W273" i="2" l="1"/>
  <c r="V273" i="2"/>
  <c r="X272" i="2"/>
  <c r="Y272" i="2" s="1"/>
  <c r="W274" i="2" l="1"/>
  <c r="V274" i="2"/>
  <c r="X273" i="2"/>
  <c r="Y273" i="2" s="1"/>
  <c r="W275" i="2" l="1"/>
  <c r="V275" i="2"/>
  <c r="X274" i="2"/>
  <c r="Y274" i="2" s="1"/>
  <c r="W276" i="2" l="1"/>
  <c r="V276" i="2"/>
  <c r="X275" i="2"/>
  <c r="Y275" i="2" s="1"/>
  <c r="W277" i="2" l="1"/>
  <c r="V277" i="2"/>
  <c r="X276" i="2"/>
  <c r="Y276" i="2" s="1"/>
  <c r="W278" i="2" l="1"/>
  <c r="V278" i="2"/>
  <c r="X277" i="2"/>
  <c r="Y277" i="2" s="1"/>
  <c r="W279" i="2" l="1"/>
  <c r="V279" i="2"/>
  <c r="X278" i="2"/>
  <c r="Y278" i="2" s="1"/>
  <c r="W280" i="2" l="1"/>
  <c r="V280" i="2"/>
  <c r="X279" i="2"/>
  <c r="Y279" i="2" s="1"/>
  <c r="W281" i="2" l="1"/>
  <c r="V281" i="2"/>
  <c r="X280" i="2"/>
  <c r="Y280" i="2" s="1"/>
  <c r="W282" i="2" l="1"/>
  <c r="V282" i="2"/>
  <c r="X281" i="2"/>
  <c r="Y281" i="2" s="1"/>
  <c r="W283" i="2" l="1"/>
  <c r="V283" i="2"/>
  <c r="X282" i="2"/>
  <c r="Y282" i="2" s="1"/>
  <c r="W284" i="2" l="1"/>
  <c r="V284" i="2"/>
  <c r="X283" i="2"/>
  <c r="Y283" i="2" s="1"/>
  <c r="W285" i="2" l="1"/>
  <c r="V285" i="2"/>
  <c r="X284" i="2"/>
  <c r="Y284" i="2" s="1"/>
  <c r="W286" i="2" l="1"/>
  <c r="V286" i="2"/>
  <c r="X285" i="2"/>
  <c r="Y285" i="2" s="1"/>
  <c r="X286" i="2" l="1"/>
  <c r="Y286" i="2" s="1"/>
  <c r="W287" i="2"/>
  <c r="V287" i="2"/>
  <c r="X287" i="2" l="1"/>
  <c r="Y287" i="2" s="1"/>
  <c r="W288" i="2"/>
  <c r="V288" i="2"/>
  <c r="X288" i="2" l="1"/>
  <c r="Y288" i="2" s="1"/>
  <c r="W289" i="2"/>
  <c r="V289" i="2"/>
  <c r="X289" i="2" l="1"/>
  <c r="Y289" i="2" s="1"/>
  <c r="W290" i="2"/>
  <c r="V290" i="2"/>
  <c r="X290" i="2" l="1"/>
  <c r="Y290" i="2" s="1"/>
  <c r="W291" i="2"/>
  <c r="V291" i="2"/>
  <c r="X291" i="2" l="1"/>
  <c r="Y291" i="2" s="1"/>
  <c r="W292" i="2"/>
  <c r="V292" i="2"/>
  <c r="X292" i="2" l="1"/>
  <c r="Y292" i="2" s="1"/>
  <c r="W293" i="2"/>
  <c r="V293" i="2"/>
  <c r="X293" i="2" l="1"/>
  <c r="Y293" i="2" s="1"/>
  <c r="W294" i="2"/>
  <c r="V294" i="2"/>
  <c r="X294" i="2" l="1"/>
  <c r="Y294" i="2" s="1"/>
  <c r="W295" i="2"/>
  <c r="V295" i="2"/>
  <c r="X295" i="2" l="1"/>
  <c r="Y295" i="2" s="1"/>
  <c r="W296" i="2"/>
  <c r="V296" i="2"/>
  <c r="X296" i="2" l="1"/>
  <c r="Y296" i="2" s="1"/>
  <c r="W297" i="2"/>
  <c r="V297" i="2"/>
  <c r="X297" i="2" l="1"/>
  <c r="Y297" i="2" s="1"/>
  <c r="W298" i="2"/>
  <c r="V298" i="2"/>
  <c r="V299" i="2" l="1"/>
  <c r="X298" i="2"/>
  <c r="Y298" i="2" s="1"/>
  <c r="W299" i="2"/>
  <c r="V300" i="2" l="1"/>
  <c r="X299" i="2"/>
  <c r="Y299" i="2" s="1"/>
  <c r="W300" i="2"/>
  <c r="V301" i="2" l="1"/>
  <c r="X300" i="2"/>
  <c r="Y300" i="2" s="1"/>
  <c r="W301" i="2"/>
  <c r="V302" i="2" l="1"/>
  <c r="X301" i="2"/>
  <c r="Y301" i="2" s="1"/>
  <c r="W302" i="2"/>
  <c r="V303" i="2" l="1"/>
  <c r="X302" i="2"/>
  <c r="Y302" i="2" s="1"/>
  <c r="W303" i="2"/>
  <c r="V304" i="2" l="1"/>
  <c r="X303" i="2"/>
  <c r="Y303" i="2" s="1"/>
  <c r="W304" i="2"/>
  <c r="V305" i="2" l="1"/>
  <c r="X304" i="2"/>
  <c r="Y304" i="2" s="1"/>
  <c r="W305" i="2"/>
  <c r="V306" i="2" l="1"/>
  <c r="X305" i="2"/>
  <c r="Y305" i="2" s="1"/>
  <c r="W306" i="2"/>
  <c r="V307" i="2" l="1"/>
  <c r="X306" i="2"/>
  <c r="Y306" i="2" s="1"/>
  <c r="W307" i="2"/>
  <c r="V308" i="2" l="1"/>
  <c r="X307" i="2"/>
  <c r="Y307" i="2" s="1"/>
  <c r="W308" i="2"/>
  <c r="V309" i="2" l="1"/>
  <c r="X308" i="2"/>
  <c r="Y308" i="2" s="1"/>
  <c r="W309" i="2"/>
  <c r="V310" i="2" l="1"/>
  <c r="X309" i="2"/>
  <c r="Y309" i="2" s="1"/>
  <c r="W310" i="2"/>
  <c r="V311" i="2" l="1"/>
  <c r="X310" i="2"/>
  <c r="Y310" i="2" s="1"/>
  <c r="W311" i="2"/>
  <c r="V312" i="2" l="1"/>
  <c r="X311" i="2"/>
  <c r="Y311" i="2" s="1"/>
  <c r="W312" i="2"/>
  <c r="V313" i="2" l="1"/>
  <c r="X312" i="2"/>
  <c r="Y312" i="2" s="1"/>
  <c r="W313" i="2"/>
  <c r="V314" i="2" l="1"/>
  <c r="X313" i="2"/>
  <c r="Y313" i="2" s="1"/>
  <c r="W314" i="2"/>
  <c r="V315" i="2" l="1"/>
  <c r="X314" i="2"/>
  <c r="Y314" i="2" s="1"/>
  <c r="W315" i="2"/>
  <c r="V316" i="2" l="1"/>
  <c r="X315" i="2"/>
  <c r="Y315" i="2" s="1"/>
  <c r="W316" i="2"/>
  <c r="V317" i="2" l="1"/>
  <c r="X316" i="2"/>
  <c r="Y316" i="2" s="1"/>
  <c r="W317" i="2"/>
  <c r="V318" i="2" l="1"/>
  <c r="X317" i="2"/>
  <c r="Y317" i="2" s="1"/>
  <c r="W318" i="2"/>
  <c r="V319" i="2" l="1"/>
  <c r="X318" i="2"/>
  <c r="Y318" i="2" s="1"/>
  <c r="W319" i="2"/>
  <c r="V320" i="2" l="1"/>
  <c r="X319" i="2"/>
  <c r="Y319" i="2" s="1"/>
  <c r="W320" i="2"/>
  <c r="V321" i="2" l="1"/>
  <c r="X320" i="2"/>
  <c r="Y320" i="2" s="1"/>
  <c r="W321" i="2"/>
  <c r="V322" i="2" l="1"/>
  <c r="X321" i="2"/>
  <c r="Y321" i="2" s="1"/>
  <c r="W322" i="2"/>
  <c r="V323" i="2" l="1"/>
  <c r="X322" i="2"/>
  <c r="Y322" i="2" s="1"/>
  <c r="W323" i="2"/>
  <c r="V324" i="2" l="1"/>
  <c r="X323" i="2"/>
  <c r="Y323" i="2" s="1"/>
  <c r="W324" i="2"/>
  <c r="V325" i="2" l="1"/>
  <c r="X324" i="2"/>
  <c r="Y324" i="2" s="1"/>
  <c r="W325" i="2"/>
  <c r="V326" i="2" l="1"/>
  <c r="X325" i="2"/>
  <c r="Y325" i="2" s="1"/>
  <c r="W326" i="2"/>
  <c r="V327" i="2" l="1"/>
  <c r="X326" i="2"/>
  <c r="Y326" i="2" s="1"/>
  <c r="W327" i="2"/>
  <c r="V328" i="2" l="1"/>
  <c r="X327" i="2"/>
  <c r="Y327" i="2" s="1"/>
  <c r="W328" i="2"/>
  <c r="V329" i="2" l="1"/>
  <c r="X328" i="2"/>
  <c r="Y328" i="2" s="1"/>
  <c r="W329" i="2"/>
  <c r="V330" i="2" l="1"/>
  <c r="X329" i="2"/>
  <c r="Y329" i="2" s="1"/>
  <c r="W330" i="2"/>
  <c r="V331" i="2" l="1"/>
  <c r="X330" i="2"/>
  <c r="Y330" i="2" s="1"/>
  <c r="W331" i="2"/>
  <c r="V332" i="2" l="1"/>
  <c r="X331" i="2"/>
  <c r="Y331" i="2" s="1"/>
  <c r="W332" i="2"/>
  <c r="V333" i="2" l="1"/>
  <c r="X332" i="2"/>
  <c r="Y332" i="2" s="1"/>
  <c r="W333" i="2"/>
  <c r="V334" i="2" l="1"/>
  <c r="X333" i="2"/>
  <c r="Y333" i="2" s="1"/>
  <c r="W334" i="2"/>
  <c r="V335" i="2" l="1"/>
  <c r="X334" i="2"/>
  <c r="Y334" i="2" s="1"/>
  <c r="W335" i="2"/>
  <c r="V336" i="2" l="1"/>
  <c r="X335" i="2"/>
  <c r="Y335" i="2" s="1"/>
  <c r="W336" i="2"/>
  <c r="V337" i="2" l="1"/>
  <c r="X336" i="2"/>
  <c r="Y336" i="2" s="1"/>
  <c r="W337" i="2"/>
  <c r="V338" i="2" l="1"/>
  <c r="X337" i="2"/>
  <c r="Y337" i="2" s="1"/>
  <c r="W338" i="2"/>
  <c r="V339" i="2" l="1"/>
  <c r="X338" i="2"/>
  <c r="Y338" i="2" s="1"/>
  <c r="W339" i="2"/>
  <c r="X339" i="2" l="1"/>
  <c r="Y339" i="2" s="1"/>
  <c r="W340" i="2"/>
  <c r="V340" i="2"/>
  <c r="X340" i="2" l="1"/>
  <c r="Y340" i="2" s="1"/>
  <c r="W341" i="2"/>
  <c r="V341" i="2"/>
  <c r="X341" i="2" l="1"/>
  <c r="Y341" i="2" s="1"/>
  <c r="W342" i="2"/>
  <c r="V342" i="2"/>
  <c r="X342" i="2" l="1"/>
  <c r="Y342" i="2" s="1"/>
  <c r="V343" i="2"/>
  <c r="W343" i="2"/>
  <c r="X343" i="2" l="1"/>
  <c r="Y343" i="2" s="1"/>
  <c r="W344" i="2"/>
  <c r="V344" i="2"/>
  <c r="X344" i="2" l="1"/>
  <c r="Y344" i="2" s="1"/>
  <c r="W345" i="2"/>
  <c r="V345" i="2"/>
  <c r="X345" i="2" l="1"/>
  <c r="Y345" i="2" s="1"/>
  <c r="V346" i="2"/>
  <c r="W346" i="2"/>
  <c r="X346" i="2" l="1"/>
  <c r="Y346" i="2" s="1"/>
  <c r="V347" i="2"/>
  <c r="W347" i="2"/>
  <c r="X347" i="2" l="1"/>
  <c r="Y347" i="2" s="1"/>
  <c r="V348" i="2"/>
  <c r="W348" i="2"/>
  <c r="X348" i="2" l="1"/>
  <c r="Y348" i="2" s="1"/>
  <c r="V349" i="2"/>
  <c r="W349" i="2"/>
  <c r="X349" i="2" l="1"/>
  <c r="Y349" i="2" s="1"/>
  <c r="V350" i="2"/>
  <c r="W350" i="2"/>
  <c r="X350" i="2" l="1"/>
  <c r="Y350" i="2" s="1"/>
  <c r="V351" i="2"/>
  <c r="W351" i="2"/>
  <c r="X351" i="2" l="1"/>
  <c r="Y351" i="2" s="1"/>
  <c r="V352" i="2"/>
  <c r="W352" i="2"/>
  <c r="X352" i="2" l="1"/>
  <c r="Y352" i="2" s="1"/>
  <c r="V353" i="2"/>
  <c r="W353" i="2"/>
  <c r="X353" i="2" l="1"/>
  <c r="Y353" i="2" s="1"/>
  <c r="V354" i="2"/>
  <c r="W354" i="2"/>
  <c r="X354" i="2" l="1"/>
  <c r="Y354" i="2" s="1"/>
  <c r="V355" i="2"/>
  <c r="W355" i="2"/>
  <c r="X355" i="2" l="1"/>
  <c r="Y355" i="2" s="1"/>
  <c r="V356" i="2"/>
  <c r="W356" i="2"/>
  <c r="X356" i="2" l="1"/>
  <c r="Y356" i="2" s="1"/>
  <c r="V357" i="2"/>
  <c r="W357" i="2"/>
  <c r="X357" i="2" l="1"/>
  <c r="Y357" i="2" s="1"/>
  <c r="V358" i="2"/>
  <c r="W358" i="2"/>
  <c r="X358" i="2" l="1"/>
  <c r="Y358" i="2" s="1"/>
  <c r="V359" i="2"/>
  <c r="W359" i="2"/>
  <c r="X359" i="2" l="1"/>
  <c r="Y359" i="2" s="1"/>
  <c r="V360" i="2"/>
  <c r="W360" i="2"/>
  <c r="X360" i="2" l="1"/>
  <c r="Y360" i="2" s="1"/>
  <c r="V361" i="2"/>
  <c r="W361" i="2"/>
  <c r="X361" i="2" l="1"/>
  <c r="Y361" i="2" s="1"/>
  <c r="V362" i="2"/>
  <c r="W362" i="2"/>
  <c r="X362" i="2" l="1"/>
  <c r="Y362" i="2" s="1"/>
  <c r="V363" i="2"/>
  <c r="W363" i="2"/>
  <c r="X363" i="2" l="1"/>
  <c r="Y363" i="2" s="1"/>
  <c r="V364" i="2"/>
  <c r="W364" i="2"/>
  <c r="X364" i="2" l="1"/>
  <c r="Y364" i="2" s="1"/>
  <c r="V365" i="2"/>
  <c r="W365" i="2"/>
  <c r="X365" i="2" l="1"/>
  <c r="Y365" i="2" s="1"/>
  <c r="V366" i="2"/>
  <c r="W366" i="2"/>
  <c r="X366" i="2" l="1"/>
  <c r="Y366" i="2" s="1"/>
  <c r="V367" i="2"/>
  <c r="W367" i="2"/>
  <c r="X367" i="2" l="1"/>
  <c r="Y367" i="2" s="1"/>
  <c r="V368" i="2"/>
  <c r="W368" i="2"/>
  <c r="X368" i="2" l="1"/>
  <c r="Y368" i="2" s="1"/>
  <c r="V369" i="2"/>
  <c r="W369" i="2"/>
  <c r="X369" i="2" l="1"/>
  <c r="Y369" i="2" s="1"/>
  <c r="V370" i="2"/>
  <c r="W370" i="2"/>
  <c r="X370" i="2" l="1"/>
  <c r="Y370" i="2" s="1"/>
  <c r="V371" i="2"/>
  <c r="W371" i="2"/>
  <c r="X371" i="2" l="1"/>
  <c r="Y371" i="2" s="1"/>
  <c r="V372" i="2"/>
  <c r="W372" i="2"/>
  <c r="X372" i="2" l="1"/>
  <c r="Y372" i="2" s="1"/>
  <c r="V373" i="2"/>
  <c r="W373" i="2"/>
  <c r="X373" i="2" l="1"/>
  <c r="Y373" i="2" s="1"/>
  <c r="V374" i="2"/>
  <c r="W374" i="2"/>
  <c r="X374" i="2" l="1"/>
  <c r="Y374" i="2" s="1"/>
  <c r="V375" i="2"/>
  <c r="W375" i="2"/>
  <c r="X375" i="2" l="1"/>
  <c r="Y375" i="2" s="1"/>
  <c r="V376" i="2"/>
  <c r="W376" i="2"/>
  <c r="X376" i="2" l="1"/>
  <c r="Y376" i="2" s="1"/>
  <c r="V377" i="2"/>
  <c r="W377" i="2"/>
  <c r="X377" i="2" l="1"/>
  <c r="Y377" i="2" s="1"/>
  <c r="V378" i="2"/>
  <c r="W378" i="2"/>
  <c r="X378" i="2" l="1"/>
  <c r="Y378" i="2" s="1"/>
  <c r="V379" i="2"/>
  <c r="W379" i="2"/>
  <c r="X379" i="2" l="1"/>
  <c r="Y379" i="2" s="1"/>
  <c r="V380" i="2"/>
  <c r="W380" i="2"/>
  <c r="X380" i="2" l="1"/>
  <c r="Y380" i="2" s="1"/>
  <c r="V381" i="2"/>
  <c r="W381" i="2"/>
  <c r="X381" i="2" l="1"/>
  <c r="Y381" i="2" s="1"/>
  <c r="V382" i="2"/>
  <c r="W382" i="2"/>
  <c r="X382" i="2" l="1"/>
  <c r="Y382" i="2" s="1"/>
  <c r="V383" i="2"/>
  <c r="W383" i="2"/>
  <c r="X383" i="2" l="1"/>
  <c r="Y383" i="2" s="1"/>
  <c r="V384" i="2"/>
  <c r="W384" i="2"/>
  <c r="X384" i="2" l="1"/>
  <c r="Y384" i="2" s="1"/>
  <c r="V385" i="2"/>
  <c r="W385" i="2"/>
  <c r="X385" i="2" l="1"/>
  <c r="Y385" i="2" s="1"/>
  <c r="V386" i="2"/>
  <c r="W386" i="2"/>
  <c r="X386" i="2" l="1"/>
  <c r="Y386" i="2" s="1"/>
  <c r="V387" i="2"/>
  <c r="W387" i="2"/>
  <c r="X387" i="2" l="1"/>
  <c r="Y387" i="2" s="1"/>
  <c r="V388" i="2"/>
  <c r="W388" i="2"/>
  <c r="X388" i="2" l="1"/>
  <c r="Y388" i="2" s="1"/>
  <c r="V389" i="2"/>
  <c r="W389" i="2"/>
  <c r="X389" i="2" l="1"/>
  <c r="Y389" i="2" s="1"/>
  <c r="V390" i="2"/>
  <c r="W390" i="2"/>
  <c r="X390" i="2" l="1"/>
  <c r="Y390" i="2" s="1"/>
  <c r="V391" i="2"/>
  <c r="W391" i="2"/>
  <c r="X391" i="2" l="1"/>
  <c r="Y391" i="2" s="1"/>
  <c r="V392" i="2"/>
  <c r="W392" i="2"/>
  <c r="X392" i="2" l="1"/>
  <c r="Y392" i="2" s="1"/>
  <c r="V393" i="2"/>
  <c r="W393" i="2"/>
  <c r="X393" i="2" l="1"/>
  <c r="Y393" i="2" s="1"/>
  <c r="V394" i="2"/>
  <c r="W394" i="2"/>
  <c r="X394" i="2" l="1"/>
  <c r="Y394" i="2" s="1"/>
  <c r="V395" i="2"/>
  <c r="W395" i="2"/>
  <c r="X395" i="2" l="1"/>
  <c r="Y395" i="2" s="1"/>
  <c r="V396" i="2"/>
  <c r="W396" i="2"/>
  <c r="X396" i="2" l="1"/>
  <c r="Y396" i="2" s="1"/>
  <c r="V397" i="2"/>
  <c r="W397" i="2"/>
  <c r="X397" i="2" l="1"/>
  <c r="Y397" i="2" s="1"/>
  <c r="V398" i="2"/>
  <c r="W398" i="2"/>
  <c r="X398" i="2" l="1"/>
  <c r="Y398" i="2" s="1"/>
  <c r="V399" i="2"/>
  <c r="W399" i="2"/>
  <c r="X399" i="2" l="1"/>
  <c r="Y399" i="2" s="1"/>
  <c r="V400" i="2"/>
  <c r="W400" i="2"/>
  <c r="X400" i="2" l="1"/>
  <c r="Y400" i="2" s="1"/>
  <c r="V401" i="2"/>
  <c r="W401" i="2"/>
  <c r="X401" i="2" l="1"/>
  <c r="Y401" i="2" s="1"/>
  <c r="V402" i="2"/>
  <c r="W402" i="2"/>
  <c r="X402" i="2" l="1"/>
  <c r="Y402" i="2" s="1"/>
  <c r="V403" i="2"/>
  <c r="W403" i="2"/>
  <c r="X403" i="2" l="1"/>
  <c r="Y403" i="2" s="1"/>
  <c r="V404" i="2"/>
  <c r="W404" i="2"/>
  <c r="X404" i="2" l="1"/>
  <c r="Y404" i="2" s="1"/>
  <c r="V405" i="2"/>
  <c r="W405" i="2"/>
  <c r="X405" i="2" l="1"/>
  <c r="Y405" i="2" s="1"/>
  <c r="V406" i="2"/>
  <c r="W406" i="2"/>
  <c r="X406" i="2" l="1"/>
  <c r="Y406" i="2" s="1"/>
  <c r="V407" i="2"/>
  <c r="W407" i="2"/>
  <c r="X407" i="2" l="1"/>
  <c r="Y407" i="2" s="1"/>
  <c r="V408" i="2"/>
  <c r="W408" i="2"/>
  <c r="X408" i="2" l="1"/>
  <c r="Y408" i="2" s="1"/>
  <c r="V409" i="2"/>
  <c r="W409" i="2"/>
  <c r="X409" i="2" l="1"/>
  <c r="Y409" i="2" s="1"/>
  <c r="V410" i="2"/>
  <c r="W410" i="2"/>
  <c r="X410" i="2" l="1"/>
  <c r="Y410" i="2" s="1"/>
  <c r="V411" i="2"/>
  <c r="W411" i="2"/>
  <c r="X411" i="2" l="1"/>
  <c r="Y411" i="2" s="1"/>
  <c r="V412" i="2"/>
  <c r="W412" i="2"/>
  <c r="X412" i="2" l="1"/>
  <c r="Y412" i="2" s="1"/>
  <c r="V413" i="2"/>
  <c r="W413" i="2"/>
  <c r="X413" i="2" l="1"/>
  <c r="Y413" i="2" s="1"/>
  <c r="V414" i="2"/>
  <c r="W414" i="2"/>
  <c r="X414" i="2" l="1"/>
  <c r="Y414" i="2" s="1"/>
  <c r="V415" i="2"/>
  <c r="W415" i="2"/>
  <c r="X415" i="2" l="1"/>
  <c r="Y415" i="2" s="1"/>
  <c r="V416" i="2"/>
  <c r="W416" i="2"/>
  <c r="X416" i="2" l="1"/>
  <c r="Y416" i="2" s="1"/>
  <c r="V417" i="2"/>
  <c r="W417" i="2"/>
  <c r="X417" i="2" l="1"/>
  <c r="Y417" i="2" s="1"/>
  <c r="V418" i="2"/>
  <c r="W418" i="2"/>
  <c r="X418" i="2" l="1"/>
  <c r="Y418" i="2" s="1"/>
  <c r="V419" i="2"/>
  <c r="W419" i="2"/>
  <c r="X419" i="2" l="1"/>
  <c r="Y419" i="2" s="1"/>
  <c r="V420" i="2"/>
  <c r="W420" i="2"/>
  <c r="X420" i="2" l="1"/>
  <c r="Y420" i="2" s="1"/>
  <c r="V421" i="2"/>
  <c r="W421" i="2"/>
  <c r="X421" i="2" l="1"/>
  <c r="Y421" i="2" s="1"/>
  <c r="V422" i="2"/>
  <c r="W422" i="2"/>
  <c r="X422" i="2" l="1"/>
  <c r="Y422" i="2" s="1"/>
  <c r="W423" i="2"/>
  <c r="V423" i="2"/>
  <c r="W424" i="2" l="1"/>
  <c r="V424" i="2"/>
  <c r="X423" i="2"/>
  <c r="Y423" i="2" s="1"/>
  <c r="V425" i="2" l="1"/>
  <c r="X424" i="2"/>
  <c r="Y424" i="2" s="1"/>
  <c r="W425" i="2"/>
  <c r="V426" i="2" l="1"/>
  <c r="X425" i="2"/>
  <c r="Y425" i="2" s="1"/>
  <c r="W426" i="2"/>
  <c r="V427" i="2" l="1"/>
  <c r="X426" i="2"/>
  <c r="Y426" i="2" s="1"/>
  <c r="W427" i="2"/>
  <c r="V428" i="2" l="1"/>
  <c r="W428" i="2"/>
  <c r="X427" i="2"/>
  <c r="Y427" i="2" s="1"/>
  <c r="V429" i="2" l="1"/>
  <c r="X428" i="2"/>
  <c r="Y428" i="2" s="1"/>
  <c r="W429" i="2"/>
  <c r="V430" i="2" l="1"/>
  <c r="X429" i="2"/>
  <c r="Y429" i="2" s="1"/>
  <c r="W430" i="2"/>
  <c r="V431" i="2" l="1"/>
  <c r="X430" i="2"/>
  <c r="Y430" i="2" s="1"/>
  <c r="W431" i="2"/>
  <c r="V432" i="2" l="1"/>
  <c r="X431" i="2"/>
  <c r="Y431" i="2" s="1"/>
  <c r="W432" i="2"/>
  <c r="V433" i="2" l="1"/>
  <c r="X432" i="2"/>
  <c r="Y432" i="2" s="1"/>
  <c r="W433" i="2"/>
  <c r="V434" i="2" l="1"/>
  <c r="X433" i="2"/>
  <c r="Y433" i="2" s="1"/>
  <c r="W434" i="2"/>
  <c r="V435" i="2" l="1"/>
  <c r="W435" i="2"/>
  <c r="X434" i="2"/>
  <c r="Y434" i="2" s="1"/>
  <c r="V436" i="2" l="1"/>
  <c r="W436" i="2"/>
  <c r="X435" i="2"/>
  <c r="Y435" i="2" s="1"/>
  <c r="V437" i="2" l="1"/>
  <c r="X436" i="2"/>
  <c r="Y436" i="2" s="1"/>
  <c r="W437" i="2"/>
  <c r="V438" i="2" l="1"/>
  <c r="X437" i="2"/>
  <c r="Y437" i="2" s="1"/>
  <c r="W438" i="2"/>
  <c r="V439" i="2" l="1"/>
  <c r="X438" i="2"/>
  <c r="Y438" i="2" s="1"/>
  <c r="W439" i="2"/>
  <c r="V440" i="2" l="1"/>
  <c r="X439" i="2"/>
  <c r="Y439" i="2" s="1"/>
  <c r="W440" i="2"/>
  <c r="V441" i="2" l="1"/>
  <c r="X440" i="2"/>
  <c r="Y440" i="2" s="1"/>
  <c r="W441" i="2"/>
  <c r="V442" i="2" l="1"/>
  <c r="X441" i="2"/>
  <c r="Y441" i="2" s="1"/>
  <c r="W442" i="2"/>
  <c r="V443" i="2" l="1"/>
  <c r="X442" i="2"/>
  <c r="Y442" i="2" s="1"/>
  <c r="W443" i="2"/>
  <c r="V444" i="2" l="1"/>
  <c r="W444" i="2"/>
  <c r="X443" i="2"/>
  <c r="Y443" i="2" s="1"/>
  <c r="V445" i="2" l="1"/>
  <c r="X444" i="2"/>
  <c r="Y444" i="2" s="1"/>
  <c r="W445" i="2"/>
  <c r="V446" i="2" l="1"/>
  <c r="X445" i="2"/>
  <c r="Y445" i="2" s="1"/>
  <c r="W446" i="2"/>
  <c r="V447" i="2" l="1"/>
  <c r="X446" i="2"/>
  <c r="Y446" i="2" s="1"/>
  <c r="W447" i="2"/>
  <c r="V448" i="2" l="1"/>
  <c r="X447" i="2"/>
  <c r="Y447" i="2" s="1"/>
  <c r="W448" i="2"/>
  <c r="V449" i="2" l="1"/>
  <c r="X448" i="2"/>
  <c r="Y448" i="2" s="1"/>
  <c r="W449" i="2"/>
  <c r="V450" i="2" l="1"/>
  <c r="X449" i="2"/>
  <c r="Y449" i="2" s="1"/>
  <c r="W450" i="2"/>
  <c r="V451" i="2" l="1"/>
  <c r="W451" i="2"/>
  <c r="X450" i="2"/>
  <c r="Y450" i="2" s="1"/>
  <c r="V452" i="2" l="1"/>
  <c r="W452" i="2"/>
  <c r="X451" i="2"/>
  <c r="Y451" i="2" s="1"/>
  <c r="V453" i="2" l="1"/>
  <c r="X452" i="2"/>
  <c r="W453" i="2"/>
  <c r="Y452" i="2"/>
  <c r="V454" i="2" l="1"/>
  <c r="X453" i="2"/>
  <c r="Y453" i="2" s="1"/>
  <c r="W454" i="2"/>
  <c r="V455" i="2" l="1"/>
  <c r="X454" i="2"/>
  <c r="Y454" i="2" s="1"/>
  <c r="W455" i="2"/>
  <c r="V456" i="2" l="1"/>
  <c r="X455" i="2"/>
  <c r="Y455" i="2" s="1"/>
  <c r="W456" i="2"/>
  <c r="V457" i="2" l="1"/>
  <c r="X456" i="2"/>
  <c r="Y456" i="2" s="1"/>
  <c r="W457" i="2"/>
  <c r="V458" i="2" l="1"/>
  <c r="X457" i="2"/>
  <c r="Y457" i="2" s="1"/>
  <c r="W458" i="2"/>
  <c r="V459" i="2" l="1"/>
  <c r="X458" i="2"/>
  <c r="Y458" i="2" s="1"/>
  <c r="W459" i="2"/>
  <c r="V460" i="2" l="1"/>
  <c r="W460" i="2"/>
  <c r="X459" i="2"/>
  <c r="Y459" i="2" s="1"/>
  <c r="V461" i="2" l="1"/>
  <c r="X460" i="2"/>
  <c r="Y460" i="2" s="1"/>
  <c r="W461" i="2"/>
  <c r="V462" i="2" l="1"/>
  <c r="X461" i="2"/>
  <c r="Y461" i="2" s="1"/>
  <c r="W462" i="2"/>
  <c r="V463" i="2" l="1"/>
  <c r="X462" i="2"/>
  <c r="Y462" i="2" s="1"/>
  <c r="W463" i="2"/>
  <c r="V464" i="2" l="1"/>
  <c r="X463" i="2"/>
  <c r="Y463" i="2" s="1"/>
  <c r="W464" i="2"/>
  <c r="V465" i="2" l="1"/>
  <c r="X464" i="2"/>
  <c r="W465" i="2"/>
  <c r="Y464" i="2"/>
  <c r="V466" i="2" l="1"/>
  <c r="X465" i="2"/>
  <c r="Y465" i="2" s="1"/>
  <c r="W466" i="2"/>
  <c r="V467" i="2" l="1"/>
  <c r="W467" i="2"/>
  <c r="X466" i="2"/>
  <c r="Y466" i="2" s="1"/>
  <c r="V468" i="2" l="1"/>
  <c r="W468" i="2"/>
  <c r="X467" i="2"/>
  <c r="Y467" i="2" s="1"/>
  <c r="V469" i="2" l="1"/>
  <c r="X468" i="2"/>
  <c r="Y468" i="2" s="1"/>
  <c r="W469" i="2"/>
  <c r="V470" i="2" l="1"/>
  <c r="X469" i="2"/>
  <c r="W470" i="2"/>
  <c r="Y469" i="2"/>
  <c r="V471" i="2" l="1"/>
  <c r="X470" i="2"/>
  <c r="Y470" i="2" s="1"/>
  <c r="W471" i="2"/>
  <c r="V472" i="2" l="1"/>
  <c r="X471" i="2"/>
  <c r="Y471" i="2" s="1"/>
  <c r="W472" i="2"/>
  <c r="V473" i="2" l="1"/>
  <c r="X472" i="2"/>
  <c r="Y472" i="2" s="1"/>
  <c r="W473" i="2"/>
  <c r="V474" i="2" l="1"/>
  <c r="X473" i="2"/>
  <c r="Y473" i="2" s="1"/>
  <c r="W474" i="2"/>
  <c r="V475" i="2" l="1"/>
  <c r="X474" i="2"/>
  <c r="Y474" i="2" s="1"/>
  <c r="W475" i="2"/>
  <c r="V476" i="2" l="1"/>
  <c r="W476" i="2"/>
  <c r="X475" i="2"/>
  <c r="Y475" i="2" s="1"/>
  <c r="V477" i="2" l="1"/>
  <c r="X476" i="2"/>
  <c r="Y476" i="2" s="1"/>
  <c r="W477" i="2"/>
  <c r="V478" i="2" l="1"/>
  <c r="X477" i="2"/>
  <c r="Y477" i="2" s="1"/>
  <c r="W478" i="2"/>
  <c r="V479" i="2" l="1"/>
  <c r="X478" i="2"/>
  <c r="Y478" i="2" s="1"/>
  <c r="W479" i="2"/>
  <c r="V480" i="2" l="1"/>
  <c r="X479" i="2"/>
  <c r="Y479" i="2" s="1"/>
  <c r="W480" i="2"/>
  <c r="V481" i="2" l="1"/>
  <c r="X480" i="2"/>
  <c r="Y480" i="2" s="1"/>
  <c r="W481" i="2"/>
  <c r="V482" i="2" l="1"/>
  <c r="X481" i="2"/>
  <c r="Y481" i="2" s="1"/>
  <c r="W482" i="2"/>
  <c r="V483" i="2" l="1"/>
  <c r="W483" i="2"/>
  <c r="X482" i="2"/>
  <c r="Y482" i="2" s="1"/>
  <c r="V484" i="2" l="1"/>
  <c r="W484" i="2"/>
  <c r="X483" i="2"/>
  <c r="Y483" i="2" s="1"/>
  <c r="V485" i="2" l="1"/>
  <c r="X484" i="2"/>
  <c r="Y484" i="2" s="1"/>
  <c r="W485" i="2"/>
  <c r="V486" i="2" l="1"/>
  <c r="X485" i="2"/>
  <c r="Y485" i="2" s="1"/>
  <c r="W486" i="2"/>
  <c r="V487" i="2" l="1"/>
  <c r="X486" i="2"/>
  <c r="Y486" i="2" s="1"/>
  <c r="W487" i="2"/>
  <c r="V488" i="2" l="1"/>
  <c r="X487" i="2"/>
  <c r="Y487" i="2" s="1"/>
  <c r="W488" i="2"/>
  <c r="V489" i="2" l="1"/>
  <c r="X488" i="2"/>
  <c r="Y488" i="2" s="1"/>
  <c r="W489" i="2"/>
  <c r="V490" i="2" l="1"/>
  <c r="X489" i="2"/>
  <c r="Y489" i="2" s="1"/>
  <c r="W490" i="2"/>
  <c r="V491" i="2" l="1"/>
  <c r="X490" i="2"/>
  <c r="Y490" i="2" s="1"/>
  <c r="W491" i="2"/>
  <c r="V492" i="2" l="1"/>
  <c r="W492" i="2"/>
  <c r="X491" i="2"/>
  <c r="Y491" i="2" s="1"/>
  <c r="V493" i="2" l="1"/>
  <c r="X492" i="2"/>
  <c r="Y492" i="2" s="1"/>
  <c r="W493" i="2"/>
  <c r="V494" i="2" l="1"/>
  <c r="X493" i="2"/>
  <c r="Y493" i="2" s="1"/>
  <c r="W494" i="2"/>
  <c r="V495" i="2" l="1"/>
  <c r="X494" i="2"/>
  <c r="Y494" i="2" s="1"/>
  <c r="W495" i="2"/>
  <c r="V496" i="2" l="1"/>
  <c r="X495" i="2"/>
  <c r="Y495" i="2" s="1"/>
  <c r="W496" i="2"/>
  <c r="V497" i="2" l="1"/>
  <c r="X496" i="2"/>
  <c r="Y496" i="2" s="1"/>
  <c r="W497" i="2"/>
  <c r="V498" i="2" l="1"/>
  <c r="X497" i="2"/>
  <c r="Y497" i="2" s="1"/>
  <c r="W498" i="2"/>
  <c r="V499" i="2" l="1"/>
  <c r="W499" i="2"/>
  <c r="X498" i="2"/>
  <c r="Y498" i="2" s="1"/>
  <c r="V500" i="2" l="1"/>
  <c r="W500" i="2"/>
  <c r="X499" i="2"/>
  <c r="Y499" i="2" s="1"/>
  <c r="V501" i="2" l="1"/>
  <c r="X500" i="2"/>
  <c r="Y500" i="2" s="1"/>
  <c r="W501" i="2"/>
  <c r="V502" i="2" l="1"/>
  <c r="X501" i="2"/>
  <c r="Y501" i="2" s="1"/>
  <c r="W502" i="2"/>
  <c r="V503" i="2" l="1"/>
  <c r="X502" i="2"/>
  <c r="Y502" i="2" s="1"/>
  <c r="W503" i="2"/>
  <c r="V504" i="2" l="1"/>
  <c r="X503" i="2"/>
  <c r="W504" i="2"/>
  <c r="Y503" i="2"/>
  <c r="V505" i="2" l="1"/>
  <c r="X504" i="2"/>
  <c r="Y504" i="2" s="1"/>
  <c r="W505" i="2"/>
  <c r="V506" i="2" l="1"/>
  <c r="X505" i="2"/>
  <c r="Y505" i="2" s="1"/>
  <c r="W506" i="2"/>
  <c r="V507" i="2" l="1"/>
  <c r="X506" i="2"/>
  <c r="Y506" i="2" s="1"/>
  <c r="W507" i="2"/>
  <c r="V508" i="2" l="1"/>
  <c r="W508" i="2"/>
  <c r="X507" i="2"/>
  <c r="Y507" i="2" s="1"/>
  <c r="V509" i="2" l="1"/>
  <c r="X508" i="2"/>
  <c r="Y508" i="2" s="1"/>
  <c r="W509" i="2"/>
  <c r="V510" i="2" l="1"/>
  <c r="X509" i="2"/>
  <c r="Y509" i="2" s="1"/>
  <c r="W510" i="2"/>
  <c r="V511" i="2" l="1"/>
  <c r="X510" i="2"/>
  <c r="Y510" i="2" s="1"/>
  <c r="W511" i="2"/>
  <c r="V512" i="2" l="1"/>
  <c r="X511" i="2"/>
  <c r="Y511" i="2" s="1"/>
  <c r="W512" i="2"/>
  <c r="V513" i="2" l="1"/>
  <c r="X512" i="2"/>
  <c r="Y512" i="2" s="1"/>
  <c r="W513" i="2"/>
  <c r="V514" i="2" l="1"/>
  <c r="X513" i="2"/>
  <c r="Y513" i="2" s="1"/>
  <c r="W514" i="2"/>
  <c r="V515" i="2" l="1"/>
  <c r="W515" i="2"/>
  <c r="X514" i="2"/>
  <c r="Y514" i="2" s="1"/>
  <c r="V516" i="2" l="1"/>
  <c r="W516" i="2"/>
  <c r="X515" i="2"/>
  <c r="Y515" i="2" s="1"/>
  <c r="V517" i="2" l="1"/>
  <c r="X516" i="2"/>
  <c r="Y516" i="2" s="1"/>
  <c r="W517" i="2"/>
  <c r="V518" i="2" l="1"/>
  <c r="X517" i="2"/>
  <c r="Y517" i="2" s="1"/>
  <c r="W518" i="2"/>
  <c r="V519" i="2" l="1"/>
  <c r="X518" i="2"/>
  <c r="Y518" i="2" s="1"/>
  <c r="W519" i="2"/>
  <c r="V520" i="2" l="1"/>
  <c r="X519" i="2"/>
  <c r="Y519" i="2" s="1"/>
  <c r="W520" i="2"/>
  <c r="V521" i="2" l="1"/>
  <c r="X520" i="2"/>
  <c r="Y520" i="2" s="1"/>
  <c r="W521" i="2"/>
  <c r="V522" i="2" l="1"/>
  <c r="X521" i="2"/>
  <c r="Y521" i="2" s="1"/>
  <c r="W522" i="2"/>
  <c r="V523" i="2" l="1"/>
  <c r="X522" i="2"/>
  <c r="Y522" i="2" s="1"/>
  <c r="W523" i="2"/>
  <c r="V524" i="2" l="1"/>
  <c r="W524" i="2"/>
  <c r="X523" i="2"/>
  <c r="Y523" i="2" s="1"/>
  <c r="V525" i="2" l="1"/>
  <c r="X524" i="2"/>
  <c r="Y524" i="2" s="1"/>
  <c r="W525" i="2"/>
  <c r="V526" i="2" l="1"/>
  <c r="X525" i="2"/>
  <c r="Y525" i="2" s="1"/>
  <c r="W526" i="2"/>
  <c r="V527" i="2" l="1"/>
  <c r="X526" i="2"/>
  <c r="Y526" i="2" s="1"/>
  <c r="W527" i="2"/>
  <c r="V528" i="2" l="1"/>
  <c r="X527" i="2"/>
  <c r="W528" i="2"/>
  <c r="Y527" i="2"/>
  <c r="V529" i="2" l="1"/>
  <c r="X528" i="2"/>
  <c r="Y528" i="2" s="1"/>
  <c r="W529" i="2"/>
  <c r="V530" i="2" l="1"/>
  <c r="X529" i="2"/>
  <c r="Y529" i="2" s="1"/>
  <c r="W530" i="2"/>
  <c r="V531" i="2" l="1"/>
  <c r="W531" i="2"/>
  <c r="X530" i="2"/>
  <c r="Y530" i="2" s="1"/>
  <c r="V532" i="2" l="1"/>
  <c r="W532" i="2"/>
  <c r="X531" i="2"/>
  <c r="Y531" i="2" s="1"/>
  <c r="V533" i="2" l="1"/>
  <c r="X532" i="2"/>
  <c r="Y532" i="2" s="1"/>
  <c r="W533" i="2"/>
  <c r="V534" i="2" l="1"/>
  <c r="X533" i="2"/>
  <c r="Y533" i="2" s="1"/>
  <c r="W534" i="2"/>
  <c r="V535" i="2" l="1"/>
  <c r="X534" i="2"/>
  <c r="Y534" i="2" s="1"/>
  <c r="W535" i="2"/>
  <c r="V536" i="2" l="1"/>
  <c r="X535" i="2"/>
  <c r="Y535" i="2" s="1"/>
  <c r="W536" i="2"/>
  <c r="V537" i="2" l="1"/>
  <c r="X536" i="2"/>
  <c r="Y536" i="2" s="1"/>
  <c r="W537" i="2"/>
  <c r="V538" i="2" l="1"/>
  <c r="X537" i="2"/>
  <c r="Y537" i="2" s="1"/>
  <c r="W538" i="2"/>
  <c r="V539" i="2" l="1"/>
  <c r="X538" i="2"/>
  <c r="Y538" i="2" s="1"/>
  <c r="W539" i="2"/>
  <c r="V540" i="2" l="1"/>
  <c r="W540" i="2"/>
  <c r="X539" i="2"/>
  <c r="Y539" i="2" s="1"/>
  <c r="V541" i="2" l="1"/>
  <c r="X540" i="2"/>
  <c r="Y540" i="2" s="1"/>
  <c r="W541" i="2"/>
  <c r="V542" i="2" l="1"/>
  <c r="X541" i="2"/>
  <c r="Y541" i="2" s="1"/>
  <c r="W542" i="2"/>
  <c r="V543" i="2" l="1"/>
  <c r="X542" i="2"/>
  <c r="Y542" i="2" s="1"/>
  <c r="W543" i="2"/>
  <c r="V544" i="2" l="1"/>
  <c r="W544" i="2"/>
  <c r="X543" i="2"/>
  <c r="Y543" i="2" s="1"/>
  <c r="V545" i="2" l="1"/>
  <c r="X544" i="2"/>
  <c r="Y544" i="2" s="1"/>
  <c r="W545" i="2"/>
  <c r="V546" i="2" l="1"/>
  <c r="X545" i="2"/>
  <c r="Y545" i="2" s="1"/>
  <c r="W546" i="2"/>
  <c r="V547" i="2" l="1"/>
  <c r="X546" i="2"/>
  <c r="Y546" i="2" s="1"/>
  <c r="W547" i="2"/>
  <c r="V548" i="2" l="1"/>
  <c r="W548" i="2"/>
  <c r="X547" i="2"/>
  <c r="Y547" i="2" s="1"/>
  <c r="V549" i="2" l="1"/>
  <c r="X548" i="2"/>
  <c r="Y548" i="2" s="1"/>
  <c r="W549" i="2"/>
  <c r="V550" i="2" l="1"/>
  <c r="X549" i="2"/>
  <c r="Y549" i="2" s="1"/>
  <c r="W550" i="2"/>
  <c r="V551" i="2" l="1"/>
  <c r="X550" i="2"/>
  <c r="Y550" i="2" s="1"/>
  <c r="W551" i="2"/>
  <c r="V552" i="2" l="1"/>
  <c r="W552" i="2"/>
  <c r="X551" i="2"/>
  <c r="Y551" i="2" s="1"/>
  <c r="V553" i="2" l="1"/>
  <c r="X552" i="2"/>
  <c r="Y552" i="2" s="1"/>
  <c r="W553" i="2"/>
  <c r="V554" i="2" l="1"/>
  <c r="X553" i="2"/>
  <c r="Y553" i="2" s="1"/>
  <c r="W554" i="2"/>
  <c r="V555" i="2" l="1"/>
  <c r="X554" i="2"/>
  <c r="Y554" i="2" s="1"/>
  <c r="W555" i="2"/>
  <c r="V556" i="2" l="1"/>
  <c r="W556" i="2"/>
  <c r="X555" i="2"/>
  <c r="Y555" i="2" s="1"/>
  <c r="V557" i="2" l="1"/>
  <c r="X556" i="2"/>
  <c r="Y556" i="2" s="1"/>
  <c r="W557" i="2"/>
  <c r="V558" i="2" l="1"/>
  <c r="X557" i="2"/>
  <c r="Y557" i="2" s="1"/>
  <c r="W558" i="2"/>
  <c r="V559" i="2" l="1"/>
  <c r="X558" i="2"/>
  <c r="Y558" i="2" s="1"/>
  <c r="W559" i="2"/>
  <c r="V560" i="2" l="1"/>
  <c r="W560" i="2"/>
  <c r="X559" i="2"/>
  <c r="Y559" i="2" s="1"/>
  <c r="V561" i="2" l="1"/>
  <c r="X560" i="2"/>
  <c r="Y560" i="2" s="1"/>
  <c r="W561" i="2"/>
  <c r="V562" i="2" l="1"/>
  <c r="X561" i="2"/>
  <c r="W562" i="2"/>
  <c r="Y561" i="2"/>
  <c r="V563" i="2" l="1"/>
  <c r="X562" i="2"/>
  <c r="Y562" i="2" s="1"/>
  <c r="W563" i="2"/>
  <c r="V564" i="2" l="1"/>
  <c r="W564" i="2"/>
  <c r="X563" i="2"/>
  <c r="Y563" i="2" s="1"/>
  <c r="V565" i="2" l="1"/>
  <c r="X564" i="2"/>
  <c r="Y564" i="2" s="1"/>
  <c r="W565" i="2"/>
  <c r="V566" i="2" l="1"/>
  <c r="X565" i="2"/>
  <c r="Y565" i="2" s="1"/>
  <c r="W566" i="2"/>
  <c r="V567" i="2" l="1"/>
  <c r="X566" i="2"/>
  <c r="Y566" i="2" s="1"/>
  <c r="W567" i="2"/>
  <c r="V568" i="2" l="1"/>
  <c r="W568" i="2"/>
  <c r="X567" i="2"/>
  <c r="Y567" i="2" s="1"/>
  <c r="V569" i="2" l="1"/>
  <c r="X568" i="2"/>
  <c r="Y568" i="2" s="1"/>
  <c r="W569" i="2"/>
  <c r="V570" i="2" l="1"/>
  <c r="X569" i="2"/>
  <c r="Y569" i="2" s="1"/>
  <c r="W570" i="2"/>
  <c r="V571" i="2" l="1"/>
  <c r="X570" i="2"/>
  <c r="Y570" i="2" s="1"/>
  <c r="W571" i="2"/>
  <c r="V572" i="2" l="1"/>
  <c r="W572" i="2"/>
  <c r="X571" i="2"/>
  <c r="Y571" i="2" s="1"/>
  <c r="V573" i="2" l="1"/>
  <c r="X572" i="2"/>
  <c r="Y572" i="2" s="1"/>
  <c r="W573" i="2"/>
  <c r="V574" i="2" l="1"/>
  <c r="X573" i="2"/>
  <c r="Y573" i="2" s="1"/>
  <c r="W574" i="2"/>
  <c r="V575" i="2" l="1"/>
  <c r="X574" i="2"/>
  <c r="Y574" i="2" s="1"/>
  <c r="W575" i="2"/>
  <c r="V576" i="2" l="1"/>
  <c r="W576" i="2"/>
  <c r="X575" i="2"/>
  <c r="Y575" i="2" s="1"/>
  <c r="V577" i="2" l="1"/>
  <c r="X576" i="2"/>
  <c r="Y576" i="2" s="1"/>
  <c r="W577" i="2"/>
  <c r="V578" i="2" l="1"/>
  <c r="X577" i="2"/>
  <c r="Y577" i="2" s="1"/>
  <c r="W578" i="2"/>
  <c r="V579" i="2" l="1"/>
  <c r="X578" i="2"/>
  <c r="Y578" i="2" s="1"/>
  <c r="W579" i="2"/>
  <c r="V580" i="2" l="1"/>
  <c r="W580" i="2"/>
  <c r="X579" i="2"/>
  <c r="Y579" i="2" s="1"/>
  <c r="V581" i="2" l="1"/>
  <c r="X580" i="2"/>
  <c r="Y580" i="2" s="1"/>
  <c r="W581" i="2"/>
  <c r="V582" i="2" l="1"/>
  <c r="X581" i="2"/>
  <c r="Y581" i="2" s="1"/>
  <c r="W582" i="2"/>
  <c r="V583" i="2" l="1"/>
  <c r="X582" i="2"/>
  <c r="Y582" i="2" s="1"/>
  <c r="W583" i="2"/>
  <c r="V584" i="2" l="1"/>
  <c r="W584" i="2"/>
  <c r="X583" i="2"/>
  <c r="Y583" i="2"/>
  <c r="V585" i="2" l="1"/>
  <c r="X584" i="2"/>
  <c r="Y584" i="2" s="1"/>
  <c r="W585" i="2"/>
  <c r="V586" i="2" l="1"/>
  <c r="X585" i="2"/>
  <c r="Y585" i="2" s="1"/>
  <c r="W586" i="2"/>
  <c r="V587" i="2" l="1"/>
  <c r="X586" i="2"/>
  <c r="Y586" i="2" s="1"/>
  <c r="W587" i="2"/>
  <c r="V588" i="2" l="1"/>
  <c r="W588" i="2"/>
  <c r="X587" i="2"/>
  <c r="Y587" i="2" s="1"/>
  <c r="V589" i="2" l="1"/>
  <c r="X588" i="2"/>
  <c r="Y588" i="2" s="1"/>
  <c r="W589" i="2"/>
  <c r="V590" i="2" l="1"/>
  <c r="X589" i="2"/>
  <c r="Y589" i="2" s="1"/>
  <c r="W590" i="2"/>
  <c r="V591" i="2" l="1"/>
  <c r="X590" i="2"/>
  <c r="Y590" i="2" s="1"/>
  <c r="W591" i="2"/>
  <c r="V592" i="2" l="1"/>
  <c r="W592" i="2"/>
  <c r="X591" i="2"/>
  <c r="Y591" i="2" s="1"/>
  <c r="V593" i="2" l="1"/>
  <c r="X592" i="2"/>
  <c r="Y592" i="2" s="1"/>
  <c r="W593" i="2"/>
  <c r="V594" i="2" l="1"/>
  <c r="X593" i="2"/>
  <c r="Y593" i="2" s="1"/>
  <c r="W594" i="2"/>
  <c r="V595" i="2" l="1"/>
  <c r="X594" i="2"/>
  <c r="Y594" i="2" s="1"/>
  <c r="W595" i="2"/>
  <c r="V596" i="2" l="1"/>
  <c r="W596" i="2"/>
  <c r="X595" i="2"/>
  <c r="Y595" i="2" s="1"/>
  <c r="V597" i="2" l="1"/>
  <c r="X596" i="2"/>
  <c r="Y596" i="2" s="1"/>
  <c r="W597" i="2"/>
  <c r="V598" i="2" l="1"/>
  <c r="X597" i="2"/>
  <c r="Y597" i="2" s="1"/>
  <c r="W598" i="2"/>
  <c r="V599" i="2" l="1"/>
  <c r="X598" i="2"/>
  <c r="Y598" i="2" s="1"/>
  <c r="W599" i="2"/>
  <c r="V600" i="2" l="1"/>
  <c r="W600" i="2"/>
  <c r="X599" i="2"/>
  <c r="Y599" i="2" s="1"/>
  <c r="V601" i="2" l="1"/>
  <c r="X600" i="2"/>
  <c r="Y600" i="2" s="1"/>
  <c r="W601" i="2"/>
  <c r="V602" i="2" l="1"/>
  <c r="X601" i="2"/>
  <c r="Y601" i="2" s="1"/>
  <c r="W602" i="2"/>
  <c r="V603" i="2" l="1"/>
  <c r="X602" i="2"/>
  <c r="Y602" i="2" s="1"/>
  <c r="W603" i="2"/>
  <c r="V604" i="2" l="1"/>
  <c r="W604" i="2"/>
  <c r="X603" i="2"/>
  <c r="Y603" i="2" s="1"/>
  <c r="V605" i="2" l="1"/>
  <c r="X604" i="2"/>
  <c r="Y604" i="2" s="1"/>
  <c r="W605" i="2"/>
  <c r="V606" i="2" l="1"/>
  <c r="X605" i="2"/>
  <c r="Y605" i="2" s="1"/>
  <c r="W606" i="2"/>
  <c r="V607" i="2" l="1"/>
  <c r="X606" i="2"/>
  <c r="Y606" i="2" s="1"/>
  <c r="W607" i="2"/>
  <c r="V608" i="2" l="1"/>
  <c r="W608" i="2"/>
  <c r="X607" i="2"/>
  <c r="Y607" i="2" s="1"/>
  <c r="V609" i="2" l="1"/>
  <c r="W609" i="2"/>
  <c r="X608" i="2"/>
  <c r="Y608" i="2" s="1"/>
  <c r="V610" i="2" l="1"/>
  <c r="X609" i="2"/>
  <c r="Y609" i="2" s="1"/>
  <c r="W610" i="2"/>
  <c r="X610" i="2" l="1"/>
  <c r="Y610" i="2" s="1"/>
</calcChain>
</file>

<file path=xl/sharedStrings.xml><?xml version="1.0" encoding="utf-8"?>
<sst xmlns="http://schemas.openxmlformats.org/spreadsheetml/2006/main" count="323" uniqueCount="154">
  <si>
    <t>Період</t>
  </si>
  <si>
    <t>Рік</t>
  </si>
  <si>
    <t>Квартал</t>
  </si>
  <si>
    <t>2010, 1 квартал</t>
  </si>
  <si>
    <t>2010, 2 квартал</t>
  </si>
  <si>
    <t>2010, 3 квартал</t>
  </si>
  <si>
    <t>2010, 4 квартал</t>
  </si>
  <si>
    <t>2011, 1 квартал</t>
  </si>
  <si>
    <t>2011, 2 квартал</t>
  </si>
  <si>
    <t>2011, 3 квартал</t>
  </si>
  <si>
    <t>2011, 4 квартал</t>
  </si>
  <si>
    <t>2012, 1 квартал</t>
  </si>
  <si>
    <t>2012, 2 квартал</t>
  </si>
  <si>
    <t>2012, 3 квартал</t>
  </si>
  <si>
    <t>2012, 4 квартал</t>
  </si>
  <si>
    <t>2013, 1 квартал</t>
  </si>
  <si>
    <t>2013, 2 квартал</t>
  </si>
  <si>
    <t>2013, 3 квартал</t>
  </si>
  <si>
    <t>2013, 4 квартал</t>
  </si>
  <si>
    <t>2014, 1 квартал</t>
  </si>
  <si>
    <t>2014, 2 квартал</t>
  </si>
  <si>
    <t>2014, 3 квартал</t>
  </si>
  <si>
    <t>2014, 4 квартал</t>
  </si>
  <si>
    <t>2015, 1 квартал</t>
  </si>
  <si>
    <t>2015, 2 квартал</t>
  </si>
  <si>
    <t>2015, 3 квартал</t>
  </si>
  <si>
    <t>2015, 4 квартал</t>
  </si>
  <si>
    <t>2016, 1 квартал</t>
  </si>
  <si>
    <t>2016, 2 квартал</t>
  </si>
  <si>
    <t>2016, 3 квартал</t>
  </si>
  <si>
    <t>2016, 4 квартал</t>
  </si>
  <si>
    <t>2017, 1 квартал</t>
  </si>
  <si>
    <t>2017, 2 квартал</t>
  </si>
  <si>
    <t>2017, 3 квартал</t>
  </si>
  <si>
    <t>2017, 4 квартал</t>
  </si>
  <si>
    <t>2018, 1 квартал</t>
  </si>
  <si>
    <t>2018, 2 квартал</t>
  </si>
  <si>
    <t>2018, 3 квартал</t>
  </si>
  <si>
    <t>2018, 4 квартал</t>
  </si>
  <si>
    <t>2019, 1 квартал</t>
  </si>
  <si>
    <t>2019, 2 квартал</t>
  </si>
  <si>
    <t>2019, 3 квартал</t>
  </si>
  <si>
    <t>2019, 4 квартал</t>
  </si>
  <si>
    <t>2020, 1 квартал</t>
  </si>
  <si>
    <t>2020, 2 квартал</t>
  </si>
  <si>
    <t>2020, 3 квартал</t>
  </si>
  <si>
    <t>2020, 4 квартал</t>
  </si>
  <si>
    <t>2021, 1 квартал</t>
  </si>
  <si>
    <t>2021, 2 квартал</t>
  </si>
  <si>
    <t>2021, 3 квартал</t>
  </si>
  <si>
    <t>2021, 4 квартал</t>
  </si>
  <si>
    <t>2022, 1 квартал</t>
  </si>
  <si>
    <t>2022, 2 квартал</t>
  </si>
  <si>
    <t>2022, 3 квартал</t>
  </si>
  <si>
    <t>2022, 4 квартал</t>
  </si>
  <si>
    <t>Обсяг витрат загального державного управління на колективне споживання, млн.євро</t>
  </si>
  <si>
    <t>Плинне середнє</t>
  </si>
  <si>
    <t>Крок 4</t>
  </si>
  <si>
    <t>Крок 6</t>
  </si>
  <si>
    <t>Крок 5</t>
  </si>
  <si>
    <t>Експоненціальне зглажування</t>
  </si>
  <si>
    <t>Коефіцієнт</t>
  </si>
  <si>
    <t>1 тип</t>
  </si>
  <si>
    <t>2 тип</t>
  </si>
  <si>
    <t>3 тип</t>
  </si>
  <si>
    <t>Метод Холта-Вінтерса</t>
  </si>
  <si>
    <t>Alpha</t>
  </si>
  <si>
    <t>Beta</t>
  </si>
  <si>
    <t>S1</t>
  </si>
  <si>
    <t>S2</t>
  </si>
  <si>
    <t>GDP</t>
  </si>
  <si>
    <t>Прогноз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</si>
  <si>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</si>
  <si>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</si>
  <si>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</si>
  <si>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</si>
  <si>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</si>
  <si>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</si>
  <si>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</si>
  <si>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</si>
  <si>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</si>
  <si>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</si>
  <si>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</si>
  <si>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</si>
  <si>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</si>
  <si>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</si>
  <si>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</si>
  <si>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</si>
  <si>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</si>
  <si>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</si>
  <si>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</si>
  <si>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</si>
  <si>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</si>
  <si>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</si>
  <si>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</si>
  <si>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</si>
  <si>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ВВП</t>
  </si>
  <si>
    <t>Проста лінійна регресія</t>
  </si>
  <si>
    <t>Валовий внутрішній продукт у ринкових цінах</t>
  </si>
  <si>
    <t>Індивідуальні споживчі витрати загального державного управління</t>
  </si>
  <si>
    <t>Фактичне індивідуальне споживання</t>
  </si>
  <si>
    <t>Множинна регресія</t>
  </si>
  <si>
    <t>(yt-y^t)/yt</t>
  </si>
  <si>
    <t>RMSPE</t>
  </si>
  <si>
    <t>Холт-Вінтерс</t>
  </si>
  <si>
    <t xml:space="preserve">I </t>
  </si>
  <si>
    <t xml:space="preserve">II </t>
  </si>
  <si>
    <t xml:space="preserve">III </t>
  </si>
  <si>
    <t xml:space="preserve">IV </t>
  </si>
  <si>
    <t>Cума</t>
  </si>
  <si>
    <t>Проста регресія</t>
  </si>
  <si>
    <t>Метод усереднення</t>
  </si>
  <si>
    <t>Метод зваженого ковзкого середнього</t>
  </si>
  <si>
    <t>Експоненціальне згладжування</t>
  </si>
  <si>
    <t>Індикатор MACD</t>
  </si>
  <si>
    <t>Індекс біржі</t>
  </si>
  <si>
    <t>Експоненціальний тренд</t>
  </si>
  <si>
    <t>Дохідність акцій та боргових паперів по країнах</t>
  </si>
  <si>
    <t>Коефіцієнт Alpha</t>
  </si>
  <si>
    <t>Місяць і рік</t>
  </si>
  <si>
    <t>Дата</t>
  </si>
  <si>
    <t>Крок 3</t>
  </si>
  <si>
    <t>Крок 7</t>
  </si>
  <si>
    <t>Крок 13</t>
  </si>
  <si>
    <t>Крок 33</t>
  </si>
  <si>
    <t>Лінійна регресія</t>
  </si>
  <si>
    <t>12 EMA</t>
  </si>
  <si>
    <t>26 EMA</t>
  </si>
  <si>
    <t>MACD</t>
  </si>
  <si>
    <t>Сигнальна лінія</t>
  </si>
  <si>
    <t>NASDAQ</t>
  </si>
  <si>
    <t>Регресія</t>
  </si>
  <si>
    <t>Спекуляція</t>
  </si>
  <si>
    <t>Місяць та рік</t>
  </si>
  <si>
    <t>ln(y)</t>
  </si>
  <si>
    <t>ln(a)</t>
  </si>
  <si>
    <t>Тренд</t>
  </si>
  <si>
    <t>Швейцарія</t>
  </si>
  <si>
    <t>Німеччина</t>
  </si>
  <si>
    <t>Великобританія</t>
  </si>
  <si>
    <t>Франція</t>
  </si>
  <si>
    <t>США</t>
  </si>
  <si>
    <t>a</t>
  </si>
  <si>
    <t>b</t>
  </si>
  <si>
    <t>Ціна DG</t>
  </si>
  <si>
    <t>DG</t>
  </si>
  <si>
    <t>Результати іспитів з МКМЕІ/СОЕІ за останні 10 років</t>
  </si>
  <si>
    <t>Незадовільно</t>
  </si>
  <si>
    <t>Задовільно</t>
  </si>
  <si>
    <t>Добре</t>
  </si>
  <si>
    <t>Відмінно</t>
  </si>
  <si>
    <t>Плинне середнє (крок 3)</t>
  </si>
  <si>
    <t>Експоненціальне згладжування (0,6)</t>
  </si>
  <si>
    <t>Холт-Вінтерс (Alpha=0,7; Beta=0,3)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</si>
</sst>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%"/>
  </numFmts>
  <fonts count="2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i/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81">
    <xf numFmtId="0" fontId="0" fillId="0" borderId="0" xfId="0"/>
    <xf numFmtId="0" fontId="0" fillId="0" borderId="16" xfId="0" applyBorder="1"/>
    <xf numFmtId="0" fontId="20" fillId="0" borderId="18" xfId="0" applyFont="1" applyBorder="1" applyAlignment="1">
      <alignment horizontal="center"/>
    </xf>
    <xf numFmtId="0" fontId="20" fillId="0" borderId="18" xfId="0" applyFont="1" applyBorder="1" applyAlignment="1">
      <alignment horizontal="centerContinuous"/>
    </xf>
    <xf numFmtId="0" fontId="19" fillId="24" borderId="10" xfId="34" applyFont="1" applyBorder="1" applyAlignment="1">
      <alignment horizontal="center" vertical="center"/>
    </xf>
    <xf numFmtId="0" fontId="21" fillId="0" borderId="18" xfId="0" applyFont="1" applyBorder="1" applyAlignment="1">
      <alignment horizontal="center"/>
    </xf>
    <xf numFmtId="0" fontId="19" fillId="22" borderId="10" xfId="32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24" borderId="10" xfId="34" applyFont="1" applyBorder="1" applyAlignment="1">
      <alignment horizontal="center" vertical="center" wrapText="1"/>
    </xf>
    <xf numFmtId="164" fontId="19" fillId="22" borderId="10" xfId="32" applyNumberFormat="1" applyFont="1" applyBorder="1" applyAlignment="1">
      <alignment horizontal="center" vertical="center"/>
    </xf>
    <xf numFmtId="0" fontId="19" fillId="0" borderId="16" xfId="0" applyFont="1" applyBorder="1" applyAlignment="1">
      <alignment horizontal="center"/>
    </xf>
    <xf numFmtId="165" fontId="19" fillId="31" borderId="10" xfId="41" applyNumberFormat="1" applyFont="1" applyBorder="1" applyAlignment="1">
      <alignment horizontal="center" vertical="center"/>
    </xf>
    <xf numFmtId="164" fontId="19" fillId="31" borderId="10" xfId="41" applyNumberFormat="1" applyFont="1" applyBorder="1" applyAlignment="1">
      <alignment horizontal="center" vertical="center"/>
    </xf>
    <xf numFmtId="0" fontId="19" fillId="31" borderId="10" xfId="41" applyFont="1" applyBorder="1" applyAlignment="1">
      <alignment horizontal="center" vertical="center"/>
    </xf>
    <xf numFmtId="0" fontId="19" fillId="24" borderId="20" xfId="34" applyFont="1" applyBorder="1" applyAlignment="1">
      <alignment horizontal="center" vertical="center"/>
    </xf>
    <xf numFmtId="0" fontId="19" fillId="22" borderId="19" xfId="32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0" fontId="19" fillId="22" borderId="10" xfId="32" applyNumberFormat="1" applyFont="1" applyBorder="1" applyAlignment="1">
      <alignment horizontal="center" vertical="center"/>
    </xf>
    <xf numFmtId="9" fontId="19" fillId="22" borderId="10" xfId="32" applyNumberFormat="1" applyFont="1" applyBorder="1" applyAlignment="1">
      <alignment horizontal="center" vertical="center"/>
    </xf>
    <xf numFmtId="4" fontId="19" fillId="22" borderId="10" xfId="32" applyNumberFormat="1" applyFont="1" applyBorder="1" applyAlignment="1">
      <alignment horizontal="center" vertical="center"/>
    </xf>
    <xf numFmtId="2" fontId="19" fillId="22" borderId="10" xfId="32" applyNumberFormat="1" applyFont="1" applyBorder="1" applyAlignment="1">
      <alignment horizontal="center" vertical="center"/>
    </xf>
    <xf numFmtId="2" fontId="19" fillId="31" borderId="10" xfId="41" applyNumberFormat="1" applyFont="1" applyBorder="1" applyAlignment="1">
      <alignment horizontal="center" vertical="center"/>
    </xf>
    <xf numFmtId="17" fontId="22" fillId="0" borderId="10" xfId="0" applyNumberFormat="1" applyFont="1" applyBorder="1" applyAlignment="1">
      <alignment horizontal="center" vertical="center"/>
    </xf>
    <xf numFmtId="0" fontId="19" fillId="22" borderId="11" xfId="32" applyFont="1" applyBorder="1" applyAlignment="1">
      <alignment horizontal="center" vertical="center"/>
    </xf>
    <xf numFmtId="14" fontId="19" fillId="0" borderId="10" xfId="0" applyNumberFormat="1" applyFont="1" applyBorder="1" applyAlignment="1">
      <alignment horizontal="center" vertical="center"/>
    </xf>
    <xf numFmtId="2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10" fontId="19" fillId="0" borderId="10" xfId="1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19" fillId="24" borderId="0" xfId="34" applyFont="1" applyAlignment="1">
      <alignment horizontal="center" vertical="center"/>
    </xf>
    <xf numFmtId="16" fontId="19" fillId="22" borderId="10" xfId="32" applyNumberFormat="1" applyFont="1" applyBorder="1" applyAlignment="1">
      <alignment horizontal="center" vertical="center" wrapText="1"/>
    </xf>
    <xf numFmtId="0" fontId="19" fillId="22" borderId="0" xfId="32" applyFont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14" fontId="19" fillId="33" borderId="10" xfId="0" applyNumberFormat="1" applyFont="1" applyFill="1" applyBorder="1" applyAlignment="1">
      <alignment horizontal="center" vertical="center"/>
    </xf>
    <xf numFmtId="2" fontId="19" fillId="33" borderId="10" xfId="0" applyNumberFormat="1" applyFont="1" applyFill="1" applyBorder="1" applyAlignment="1">
      <alignment horizontal="center" vertical="center"/>
    </xf>
    <xf numFmtId="14" fontId="19" fillId="35" borderId="10" xfId="0" applyNumberFormat="1" applyFont="1" applyFill="1" applyBorder="1" applyAlignment="1">
      <alignment horizontal="center" vertical="center"/>
    </xf>
    <xf numFmtId="2" fontId="19" fillId="35" borderId="10" xfId="0" applyNumberFormat="1" applyFont="1" applyFill="1" applyBorder="1" applyAlignment="1">
      <alignment horizontal="center" vertical="center"/>
    </xf>
    <xf numFmtId="4" fontId="19" fillId="33" borderId="10" xfId="0" applyNumberFormat="1" applyFont="1" applyFill="1" applyBorder="1" applyAlignment="1">
      <alignment horizontal="center" vertical="center"/>
    </xf>
    <xf numFmtId="4" fontId="19" fillId="35" borderId="1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" fontId="24" fillId="0" borderId="10" xfId="1" applyNumberFormat="1" applyFont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166" fontId="19" fillId="24" borderId="10" xfId="34" applyNumberFormat="1" applyFont="1" applyBorder="1" applyAlignment="1">
      <alignment horizontal="center" vertical="center"/>
    </xf>
    <xf numFmtId="10" fontId="19" fillId="24" borderId="10" xfId="34" applyNumberFormat="1" applyFont="1" applyBorder="1" applyAlignment="1">
      <alignment horizontal="center" vertical="center"/>
    </xf>
    <xf numFmtId="1" fontId="24" fillId="35" borderId="10" xfId="0" applyNumberFormat="1" applyFont="1" applyFill="1" applyBorder="1" applyAlignment="1">
      <alignment horizontal="center" vertical="center"/>
    </xf>
    <xf numFmtId="10" fontId="24" fillId="35" borderId="10" xfId="1" applyNumberFormat="1" applyFont="1" applyFill="1" applyBorder="1" applyAlignment="1">
      <alignment horizontal="center" vertical="center"/>
    </xf>
    <xf numFmtId="10" fontId="24" fillId="35" borderId="11" xfId="1" applyNumberFormat="1" applyFont="1" applyFill="1" applyBorder="1" applyAlignment="1">
      <alignment horizontal="center" vertical="center"/>
    </xf>
    <xf numFmtId="0" fontId="19" fillId="22" borderId="12" xfId="32" applyFont="1" applyBorder="1" applyAlignment="1">
      <alignment horizontal="center" vertical="center"/>
    </xf>
    <xf numFmtId="10" fontId="19" fillId="32" borderId="10" xfId="42" applyNumberFormat="1" applyFont="1" applyBorder="1" applyAlignment="1">
      <alignment horizontal="center" vertical="center"/>
    </xf>
    <xf numFmtId="10" fontId="24" fillId="35" borderId="10" xfId="0" applyNumberFormat="1" applyFont="1" applyFill="1" applyBorder="1" applyAlignment="1">
      <alignment horizontal="center" vertical="center"/>
    </xf>
    <xf numFmtId="0" fontId="19" fillId="32" borderId="10" xfId="42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0" fontId="19" fillId="22" borderId="10" xfId="32" applyFont="1" applyBorder="1" applyAlignment="1">
      <alignment horizontal="center" vertical="center"/>
    </xf>
    <xf numFmtId="0" fontId="19" fillId="24" borderId="10" xfId="34" applyFont="1" applyBorder="1" applyAlignment="1">
      <alignment horizontal="center" vertical="center"/>
    </xf>
    <xf numFmtId="0" fontId="19" fillId="31" borderId="10" xfId="41" applyFont="1" applyBorder="1" applyAlignment="1">
      <alignment horizontal="center" vertical="center"/>
    </xf>
    <xf numFmtId="0" fontId="19" fillId="24" borderId="12" xfId="34" applyFont="1" applyBorder="1" applyAlignment="1">
      <alignment horizontal="center" vertical="center"/>
    </xf>
    <xf numFmtId="0" fontId="19" fillId="24" borderId="17" xfId="34" applyFont="1" applyBorder="1" applyAlignment="1">
      <alignment horizontal="center" vertical="center"/>
    </xf>
    <xf numFmtId="0" fontId="19" fillId="24" borderId="19" xfId="34" applyFont="1" applyBorder="1" applyAlignment="1">
      <alignment horizontal="center" vertical="center"/>
    </xf>
    <xf numFmtId="0" fontId="19" fillId="24" borderId="10" xfId="34" applyFont="1" applyBorder="1" applyAlignment="1">
      <alignment horizontal="center" vertical="center" wrapText="1"/>
    </xf>
    <xf numFmtId="17" fontId="19" fillId="24" borderId="11" xfId="34" applyNumberFormat="1" applyFont="1" applyBorder="1" applyAlignment="1">
      <alignment horizontal="center" vertical="center"/>
    </xf>
    <xf numFmtId="17" fontId="19" fillId="24" borderId="15" xfId="34" applyNumberFormat="1" applyFont="1" applyBorder="1" applyAlignment="1">
      <alignment horizontal="center" vertical="center"/>
    </xf>
    <xf numFmtId="17" fontId="19" fillId="24" borderId="20" xfId="34" applyNumberFormat="1" applyFont="1" applyBorder="1" applyAlignment="1">
      <alignment horizontal="center" vertical="center"/>
    </xf>
    <xf numFmtId="16" fontId="19" fillId="24" borderId="10" xfId="34" applyNumberFormat="1" applyFont="1" applyBorder="1" applyAlignment="1">
      <alignment horizontal="center" vertical="center" wrapText="1"/>
    </xf>
    <xf numFmtId="16" fontId="19" fillId="24" borderId="11" xfId="34" applyNumberFormat="1" applyFont="1" applyBorder="1" applyAlignment="1">
      <alignment horizontal="center" vertical="center" wrapText="1"/>
    </xf>
    <xf numFmtId="16" fontId="19" fillId="24" borderId="20" xfId="34" applyNumberFormat="1" applyFont="1" applyBorder="1" applyAlignment="1">
      <alignment horizontal="center" vertical="center" wrapText="1"/>
    </xf>
    <xf numFmtId="0" fontId="19" fillId="24" borderId="13" xfId="34" applyFont="1" applyBorder="1" applyAlignment="1">
      <alignment horizontal="center" vertical="center" wrapText="1"/>
    </xf>
    <xf numFmtId="0" fontId="19" fillId="24" borderId="21" xfId="34" applyFont="1" applyBorder="1" applyAlignment="1">
      <alignment horizontal="center" vertical="center" wrapText="1"/>
    </xf>
    <xf numFmtId="0" fontId="19" fillId="24" borderId="22" xfId="34" applyFont="1" applyBorder="1" applyAlignment="1">
      <alignment horizontal="center" vertical="center" wrapText="1"/>
    </xf>
    <xf numFmtId="0" fontId="19" fillId="24" borderId="14" xfId="34" applyFont="1" applyBorder="1" applyAlignment="1">
      <alignment horizontal="center" vertical="center" wrapText="1"/>
    </xf>
    <xf numFmtId="0" fontId="19" fillId="24" borderId="23" xfId="34" applyFont="1" applyBorder="1" applyAlignment="1">
      <alignment horizontal="center" vertical="center" wrapText="1"/>
    </xf>
    <xf numFmtId="0" fontId="19" fillId="24" borderId="24" xfId="34" applyFont="1" applyBorder="1" applyAlignment="1">
      <alignment horizontal="center" vertical="center" wrapText="1"/>
    </xf>
    <xf numFmtId="17" fontId="19" fillId="24" borderId="22" xfId="34" applyNumberFormat="1" applyFont="1" applyBorder="1" applyAlignment="1">
      <alignment horizontal="center" vertical="center"/>
    </xf>
    <xf numFmtId="17" fontId="19" fillId="24" borderId="25" xfId="34" applyNumberFormat="1" applyFont="1" applyBorder="1" applyAlignment="1">
      <alignment horizontal="center" vertical="center"/>
    </xf>
    <xf numFmtId="17" fontId="19" fillId="24" borderId="24" xfId="34" applyNumberFormat="1" applyFont="1" applyBorder="1" applyAlignment="1">
      <alignment horizontal="center" vertical="center"/>
    </xf>
    <xf numFmtId="17" fontId="19" fillId="24" borderId="10" xfId="34" applyNumberFormat="1" applyFont="1" applyBorder="1" applyAlignment="1">
      <alignment horizontal="center" vertical="center"/>
    </xf>
    <xf numFmtId="10" fontId="19" fillId="24" borderId="10" xfId="34" applyNumberFormat="1" applyFont="1" applyBorder="1" applyAlignment="1">
      <alignment horizontal="center" vertical="center"/>
    </xf>
    <xf numFmtId="10" fontId="19" fillId="32" borderId="12" xfId="42" applyNumberFormat="1" applyFont="1" applyBorder="1" applyAlignment="1">
      <alignment horizontal="center" vertical="center"/>
    </xf>
    <xf numFmtId="10" fontId="19" fillId="32" borderId="19" xfId="42" applyNumberFormat="1" applyFont="1" applyBorder="1" applyAlignment="1">
      <alignment horizontal="center" vertical="center"/>
    </xf>
    <xf numFmtId="10" fontId="19" fillId="22" borderId="10" xfId="32" applyNumberFormat="1" applyFont="1" applyBorder="1" applyAlignment="1">
      <alignment horizontal="center" vertic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772B6FB9-7235-409B-88FF-D64F9BC44A35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69EF-BF2A-49A4-AADE-A51C3479D037}">
  <dimension ref="A1:AN72"/>
  <sheetViews>
    <sheetView topLeftCell="A50" zoomScale="68" zoomScaleNormal="68" workbookViewId="0">
      <selection activeCell="J104" sqref="J104"/>
    </sheetView>
  </sheetViews>
  <sheetFormatPr baseColWidth="10" defaultColWidth="9.1640625" defaultRowHeight="14" x14ac:dyDescent="0.15"/>
  <cols>
    <col min="1" max="1" width="4.1640625" style="7" bestFit="1" customWidth="1"/>
    <col min="2" max="2" width="11.83203125" style="7" bestFit="1" customWidth="1"/>
    <col min="3" max="3" width="16.1640625" style="7" customWidth="1"/>
    <col min="4" max="4" width="14.5" style="7" customWidth="1"/>
    <col min="5" max="6" width="9.1640625" style="7"/>
    <col min="7" max="7" width="11" style="7" bestFit="1" customWidth="1"/>
    <col min="8" max="8" width="9.1640625" style="7"/>
    <col min="9" max="10" width="12.1640625" style="7" bestFit="1" customWidth="1"/>
    <col min="11" max="11" width="9.1640625" style="7"/>
    <col min="12" max="12" width="10.33203125" style="7" bestFit="1" customWidth="1"/>
    <col min="13" max="13" width="12.1640625" style="7" bestFit="1" customWidth="1"/>
    <col min="14" max="14" width="9.1640625" style="7"/>
    <col min="15" max="15" width="31.6640625" style="7" bestFit="1" customWidth="1"/>
    <col min="16" max="16" width="9.1640625" style="7"/>
    <col min="17" max="17" width="9.1640625" style="7" customWidth="1"/>
    <col min="18" max="18" width="20.5" style="7" hidden="1" customWidth="1"/>
    <col min="19" max="19" width="9" style="7" hidden="1" customWidth="1"/>
    <col min="20" max="20" width="0" style="7" hidden="1" customWidth="1"/>
    <col min="21" max="21" width="0.5" style="7" hidden="1" customWidth="1"/>
    <col min="22" max="23" width="0" style="7" hidden="1" customWidth="1"/>
    <col min="24" max="26" width="9.1640625" style="7" hidden="1" customWidth="1"/>
    <col min="27" max="27" width="19.33203125" style="7" bestFit="1" customWidth="1"/>
    <col min="28" max="28" width="23.1640625" style="7" bestFit="1" customWidth="1"/>
    <col min="29" max="29" width="13.6640625" style="7" bestFit="1" customWidth="1"/>
    <col min="30" max="30" width="9.1640625" style="7"/>
    <col min="31" max="40" width="0" style="7" hidden="1" customWidth="1"/>
    <col min="41" max="16384" width="9.1640625" style="7"/>
  </cols>
  <sheetData>
    <row r="1" spans="1:37" ht="105" customHeight="1" x14ac:dyDescent="0.15">
      <c r="A1" s="55" t="s">
        <v>0</v>
      </c>
      <c r="B1" s="55"/>
      <c r="C1" s="60" t="s">
        <v>55</v>
      </c>
      <c r="D1" s="60" t="s">
        <v>56</v>
      </c>
      <c r="E1" s="60"/>
      <c r="F1" s="60"/>
      <c r="G1" s="60" t="s">
        <v>60</v>
      </c>
      <c r="H1" s="60"/>
      <c r="I1" s="60"/>
      <c r="J1" s="60"/>
      <c r="K1" s="55" t="s">
        <v>65</v>
      </c>
      <c r="L1" s="55"/>
      <c r="M1" s="55"/>
      <c r="N1" s="55"/>
      <c r="O1" s="55" t="s">
        <v>97</v>
      </c>
      <c r="P1" s="55"/>
      <c r="Q1" s="55"/>
      <c r="R1" s="4"/>
      <c r="S1" s="4"/>
      <c r="T1" s="4"/>
      <c r="U1" s="4"/>
      <c r="V1" s="4"/>
      <c r="W1" s="4"/>
      <c r="X1" s="4"/>
      <c r="Y1" s="4"/>
      <c r="Z1" s="4"/>
      <c r="AA1" s="57" t="s">
        <v>101</v>
      </c>
      <c r="AB1" s="58"/>
      <c r="AC1" s="58"/>
      <c r="AD1" s="59"/>
    </row>
    <row r="2" spans="1:37" ht="54.75" customHeight="1" x14ac:dyDescent="0.15">
      <c r="A2" s="4" t="s">
        <v>1</v>
      </c>
      <c r="B2" s="4" t="s">
        <v>2</v>
      </c>
      <c r="C2" s="60"/>
      <c r="D2" s="8" t="s">
        <v>57</v>
      </c>
      <c r="E2" s="4" t="s">
        <v>59</v>
      </c>
      <c r="F2" s="4" t="s">
        <v>58</v>
      </c>
      <c r="G2" s="4" t="s">
        <v>61</v>
      </c>
      <c r="H2" s="4" t="s">
        <v>62</v>
      </c>
      <c r="I2" s="4" t="s">
        <v>63</v>
      </c>
      <c r="J2" s="4" t="s">
        <v>64</v>
      </c>
      <c r="K2" s="4" t="s">
        <v>66</v>
      </c>
      <c r="L2" s="4" t="s">
        <v>67</v>
      </c>
      <c r="M2" s="4" t="s">
        <v>68</v>
      </c>
      <c r="N2" s="4" t="s">
        <v>69</v>
      </c>
      <c r="O2" s="8" t="s">
        <v>55</v>
      </c>
      <c r="P2" s="4" t="s">
        <v>70</v>
      </c>
      <c r="Q2" s="4" t="s">
        <v>71</v>
      </c>
      <c r="R2" s="4"/>
      <c r="S2" s="4"/>
      <c r="T2" s="4"/>
      <c r="U2" s="4"/>
      <c r="V2" s="4"/>
      <c r="W2" s="4"/>
      <c r="X2" s="4"/>
      <c r="Y2" s="4"/>
      <c r="Z2" s="4"/>
      <c r="AA2" s="8" t="s">
        <v>98</v>
      </c>
      <c r="AB2" s="8" t="s">
        <v>99</v>
      </c>
      <c r="AC2" s="8" t="s">
        <v>100</v>
      </c>
      <c r="AD2" s="8" t="s">
        <v>71</v>
      </c>
    </row>
    <row r="3" spans="1:37" x14ac:dyDescent="0.15">
      <c r="A3" s="54" t="s">
        <v>3</v>
      </c>
      <c r="B3" s="54"/>
      <c r="C3" s="9">
        <v>46660</v>
      </c>
      <c r="D3" s="6"/>
      <c r="E3" s="6"/>
      <c r="F3" s="6"/>
      <c r="G3" s="6">
        <v>0.54</v>
      </c>
      <c r="H3" s="9">
        <f>C3</f>
        <v>46660</v>
      </c>
      <c r="I3" s="9">
        <f>C3</f>
        <v>46660</v>
      </c>
      <c r="J3" s="9">
        <f>C3</f>
        <v>46660</v>
      </c>
      <c r="K3" s="6">
        <v>0.67</v>
      </c>
      <c r="L3" s="6">
        <v>0.33</v>
      </c>
      <c r="M3" s="6"/>
      <c r="N3" s="6"/>
      <c r="O3" s="9">
        <v>46660</v>
      </c>
      <c r="P3" s="6">
        <v>625036</v>
      </c>
      <c r="Q3" s="6">
        <f>$S$20+$S$21*P3</f>
        <v>42083.578177687188</v>
      </c>
      <c r="R3" s="6"/>
      <c r="S3" s="6"/>
      <c r="T3" s="6"/>
      <c r="U3" s="6"/>
      <c r="V3" s="6"/>
      <c r="W3" s="6"/>
      <c r="X3" s="6"/>
      <c r="Y3" s="6"/>
      <c r="Z3" s="6"/>
      <c r="AA3" s="9">
        <v>616590</v>
      </c>
      <c r="AB3" s="9">
        <v>77431</v>
      </c>
      <c r="AC3" s="9">
        <v>413556</v>
      </c>
      <c r="AD3" s="6">
        <f>$AG$19+$AG$20*AA3+$AG$21*AB3+$AG$22*AC3</f>
        <v>46758.801022174688</v>
      </c>
      <c r="AF3" s="7" t="s">
        <v>72</v>
      </c>
    </row>
    <row r="4" spans="1:37" ht="15" thickBot="1" x14ac:dyDescent="0.2">
      <c r="A4" s="54" t="s">
        <v>4</v>
      </c>
      <c r="B4" s="54"/>
      <c r="C4" s="9">
        <v>45581</v>
      </c>
      <c r="D4" s="6"/>
      <c r="E4" s="6"/>
      <c r="F4" s="6"/>
      <c r="G4" s="6"/>
      <c r="H4" s="6">
        <f t="shared" ref="H4:H35" si="0">exp*C4+(1-exp)*H3</f>
        <v>46077.34</v>
      </c>
      <c r="I4" s="6">
        <f t="shared" ref="I4:I35" si="1">exp*H4+(1-exp)*I3</f>
        <v>46345.363599999997</v>
      </c>
      <c r="J4" s="6">
        <f t="shared" ref="J4:J35" si="2">exp*I4+(1-exp)*J3</f>
        <v>46490.096343999998</v>
      </c>
      <c r="K4" s="6"/>
      <c r="L4" s="6"/>
      <c r="M4" s="9">
        <f>C4</f>
        <v>45581</v>
      </c>
      <c r="N4" s="9">
        <f>C4-C3</f>
        <v>-1079</v>
      </c>
      <c r="O4" s="9">
        <v>45581</v>
      </c>
      <c r="P4" s="6">
        <v>635648</v>
      </c>
      <c r="Q4" s="6">
        <f t="shared" ref="Q4:Q54" si="3">$S$20+$S$21*P4</f>
        <v>43115.866389790121</v>
      </c>
      <c r="R4" s="6" t="s">
        <v>72</v>
      </c>
      <c r="S4" s="6"/>
      <c r="T4" s="6"/>
      <c r="U4" s="6"/>
      <c r="V4" s="6"/>
      <c r="W4" s="6"/>
      <c r="X4" s="6"/>
      <c r="Y4" s="6"/>
      <c r="Z4" s="6"/>
      <c r="AA4" s="9">
        <v>627500</v>
      </c>
      <c r="AB4" s="9">
        <v>77628</v>
      </c>
      <c r="AC4" s="9">
        <v>427386</v>
      </c>
      <c r="AD4" s="6">
        <f t="shared" ref="AD4:AD53" si="4">$AG$19+$AG$20*AA4+$AG$21*AB4+$AG$22*AC4</f>
        <v>45903.417134941126</v>
      </c>
    </row>
    <row r="5" spans="1:37" x14ac:dyDescent="0.15">
      <c r="A5" s="54" t="s">
        <v>5</v>
      </c>
      <c r="B5" s="54"/>
      <c r="C5" s="9">
        <v>46402</v>
      </c>
      <c r="D5" s="6"/>
      <c r="E5" s="6"/>
      <c r="F5" s="6"/>
      <c r="G5" s="6"/>
      <c r="H5" s="6">
        <f t="shared" si="0"/>
        <v>46252.6564</v>
      </c>
      <c r="I5" s="6">
        <f t="shared" si="1"/>
        <v>46295.301712</v>
      </c>
      <c r="J5" s="6">
        <f t="shared" si="2"/>
        <v>46384.907242720001</v>
      </c>
      <c r="K5" s="6"/>
      <c r="L5" s="6"/>
      <c r="M5" s="6">
        <f t="shared" ref="M5:M36" si="5">Alpha*C5+(1-Alpha)*(M4+N4)</f>
        <v>45775</v>
      </c>
      <c r="N5" s="6">
        <f t="shared" ref="N5:N36" si="6">Beta*(M5-M4)+(1-Beta)*N4</f>
        <v>-658.91</v>
      </c>
      <c r="O5" s="9">
        <v>46402</v>
      </c>
      <c r="P5" s="6">
        <v>645784</v>
      </c>
      <c r="Q5" s="6">
        <f t="shared" si="3"/>
        <v>44101.851436706376</v>
      </c>
      <c r="R5" s="6"/>
      <c r="S5" s="6"/>
      <c r="T5" s="6"/>
      <c r="U5" s="6"/>
      <c r="V5" s="6"/>
      <c r="W5" s="6"/>
      <c r="X5" s="6"/>
      <c r="Y5" s="6"/>
      <c r="Z5" s="6"/>
      <c r="AA5" s="9">
        <v>651380</v>
      </c>
      <c r="AB5" s="9">
        <v>78047</v>
      </c>
      <c r="AC5" s="9">
        <v>437060</v>
      </c>
      <c r="AD5" s="6">
        <f t="shared" si="4"/>
        <v>45474.237371412819</v>
      </c>
      <c r="AF5" s="5" t="s">
        <v>73</v>
      </c>
      <c r="AG5" s="5"/>
    </row>
    <row r="6" spans="1:37" x14ac:dyDescent="0.15">
      <c r="A6" s="54" t="s">
        <v>6</v>
      </c>
      <c r="B6" s="54"/>
      <c r="C6" s="9">
        <v>46471</v>
      </c>
      <c r="D6" s="9">
        <f>AVERAGE(C3:C6)</f>
        <v>46278.5</v>
      </c>
      <c r="E6" s="6"/>
      <c r="F6" s="6"/>
      <c r="G6" s="6"/>
      <c r="H6" s="6">
        <f t="shared" si="0"/>
        <v>46370.561944000001</v>
      </c>
      <c r="I6" s="6">
        <f t="shared" si="1"/>
        <v>46335.942237280004</v>
      </c>
      <c r="J6" s="6">
        <f t="shared" si="2"/>
        <v>46358.466139782402</v>
      </c>
      <c r="K6" s="6"/>
      <c r="L6" s="6"/>
      <c r="M6" s="6">
        <f t="shared" si="5"/>
        <v>46023.879699999998</v>
      </c>
      <c r="N6" s="6">
        <f t="shared" si="6"/>
        <v>-359.3393990000007</v>
      </c>
      <c r="O6" s="9">
        <v>46471</v>
      </c>
      <c r="P6" s="6">
        <v>652397</v>
      </c>
      <c r="Q6" s="6">
        <f t="shared" si="3"/>
        <v>44745.134695906963</v>
      </c>
      <c r="R6" s="6" t="s">
        <v>73</v>
      </c>
      <c r="S6" s="6"/>
      <c r="T6" s="6"/>
      <c r="U6" s="6"/>
      <c r="V6" s="6"/>
      <c r="W6" s="6"/>
      <c r="X6" s="6"/>
      <c r="Y6" s="6"/>
      <c r="Z6" s="6"/>
      <c r="AA6" s="9">
        <v>668930</v>
      </c>
      <c r="AB6" s="9">
        <v>83458</v>
      </c>
      <c r="AC6" s="9">
        <v>451769</v>
      </c>
      <c r="AD6" s="6">
        <f t="shared" si="4"/>
        <v>48489.481316322897</v>
      </c>
      <c r="AF6" s="7" t="s">
        <v>74</v>
      </c>
      <c r="AG6" s="7">
        <v>0.96634139079184533</v>
      </c>
    </row>
    <row r="7" spans="1:37" x14ac:dyDescent="0.15">
      <c r="A7" s="54" t="s">
        <v>7</v>
      </c>
      <c r="B7" s="54"/>
      <c r="C7" s="9">
        <v>46711</v>
      </c>
      <c r="D7" s="9">
        <f t="shared" ref="D7:D54" si="7">AVERAGE(C4:C7)</f>
        <v>46291.25</v>
      </c>
      <c r="E7" s="9">
        <f>AVERAGE(C3:C7)</f>
        <v>46365</v>
      </c>
      <c r="F7" s="6"/>
      <c r="G7" s="6"/>
      <c r="H7" s="6">
        <f t="shared" si="0"/>
        <v>46554.398494239998</v>
      </c>
      <c r="I7" s="6">
        <f t="shared" si="1"/>
        <v>46453.908616038403</v>
      </c>
      <c r="J7" s="6">
        <f t="shared" si="2"/>
        <v>46410.005076960646</v>
      </c>
      <c r="K7" s="6"/>
      <c r="L7" s="6"/>
      <c r="M7" s="6">
        <f t="shared" si="5"/>
        <v>46365.668299329998</v>
      </c>
      <c r="N7" s="6">
        <f t="shared" si="6"/>
        <v>-127.96715955110024</v>
      </c>
      <c r="O7" s="9">
        <v>46711</v>
      </c>
      <c r="P7" s="6">
        <v>665270</v>
      </c>
      <c r="Q7" s="6">
        <f t="shared" si="3"/>
        <v>45997.3629426466</v>
      </c>
      <c r="R7" s="6" t="s">
        <v>74</v>
      </c>
      <c r="S7" s="6">
        <v>0.92865020900349238</v>
      </c>
      <c r="T7" s="6"/>
      <c r="U7" s="6"/>
      <c r="V7" s="6"/>
      <c r="W7" s="6"/>
      <c r="X7" s="6"/>
      <c r="Y7" s="6"/>
      <c r="Z7" s="6"/>
      <c r="AA7" s="9">
        <v>659010</v>
      </c>
      <c r="AB7" s="9">
        <v>79610</v>
      </c>
      <c r="AC7" s="9">
        <v>429538</v>
      </c>
      <c r="AD7" s="6">
        <f t="shared" si="4"/>
        <v>47168.260624281393</v>
      </c>
      <c r="AF7" s="7" t="s">
        <v>75</v>
      </c>
      <c r="AG7" s="7">
        <v>0.93381568355751798</v>
      </c>
    </row>
    <row r="8" spans="1:37" x14ac:dyDescent="0.15">
      <c r="A8" s="54" t="s">
        <v>8</v>
      </c>
      <c r="B8" s="54"/>
      <c r="C8" s="9">
        <v>47108</v>
      </c>
      <c r="D8" s="9">
        <f t="shared" si="7"/>
        <v>46673</v>
      </c>
      <c r="E8" s="9">
        <f t="shared" ref="E8:E54" si="8">AVERAGE(C4:C8)</f>
        <v>46454.6</v>
      </c>
      <c r="F8" s="9">
        <f>AVERAGE(C3:C8)</f>
        <v>46488.833333333336</v>
      </c>
      <c r="G8" s="6"/>
      <c r="H8" s="6">
        <f t="shared" si="0"/>
        <v>46853.343307350398</v>
      </c>
      <c r="I8" s="6">
        <f t="shared" si="1"/>
        <v>46669.603349346879</v>
      </c>
      <c r="J8" s="6">
        <f t="shared" si="2"/>
        <v>46550.188144049214</v>
      </c>
      <c r="K8" s="6"/>
      <c r="L8" s="6"/>
      <c r="M8" s="6">
        <f t="shared" si="5"/>
        <v>46820.801376127034</v>
      </c>
      <c r="N8" s="6">
        <f t="shared" si="6"/>
        <v>64.455918443784668</v>
      </c>
      <c r="O8" s="9">
        <v>47108</v>
      </c>
      <c r="P8" s="6">
        <v>668461</v>
      </c>
      <c r="Q8" s="6">
        <f t="shared" si="3"/>
        <v>46307.76924540013</v>
      </c>
      <c r="R8" s="6" t="s">
        <v>75</v>
      </c>
      <c r="S8" s="6">
        <v>0.86239121068223001</v>
      </c>
      <c r="T8" s="6"/>
      <c r="U8" s="6"/>
      <c r="V8" s="6"/>
      <c r="W8" s="6"/>
      <c r="X8" s="6"/>
      <c r="Y8" s="6"/>
      <c r="Z8" s="6"/>
      <c r="AA8" s="9">
        <v>660420</v>
      </c>
      <c r="AB8" s="9">
        <v>80168</v>
      </c>
      <c r="AC8" s="9">
        <v>443514</v>
      </c>
      <c r="AD8" s="6">
        <f t="shared" si="4"/>
        <v>46601.774023680046</v>
      </c>
      <c r="AF8" s="7" t="s">
        <v>76</v>
      </c>
      <c r="AG8" s="7">
        <v>0.92940339579468578</v>
      </c>
    </row>
    <row r="9" spans="1:37" x14ac:dyDescent="0.15">
      <c r="A9" s="54" t="s">
        <v>9</v>
      </c>
      <c r="B9" s="54"/>
      <c r="C9" s="9">
        <v>46984</v>
      </c>
      <c r="D9" s="9">
        <f t="shared" si="7"/>
        <v>46818.5</v>
      </c>
      <c r="E9" s="9">
        <f t="shared" si="8"/>
        <v>46735.199999999997</v>
      </c>
      <c r="F9" s="9">
        <f t="shared" ref="F9:F54" si="9">AVERAGE(C4:C9)</f>
        <v>46542.833333333336</v>
      </c>
      <c r="G9" s="6"/>
      <c r="H9" s="6">
        <f t="shared" si="0"/>
        <v>46923.897921381184</v>
      </c>
      <c r="I9" s="6">
        <f t="shared" si="1"/>
        <v>46806.922418245405</v>
      </c>
      <c r="J9" s="6">
        <f t="shared" si="2"/>
        <v>46688.82465211516</v>
      </c>
      <c r="K9" s="6"/>
      <c r="L9" s="6"/>
      <c r="M9" s="6">
        <f t="shared" si="5"/>
        <v>46951.414907208367</v>
      </c>
      <c r="N9" s="6">
        <f t="shared" si="6"/>
        <v>86.287930614175735</v>
      </c>
      <c r="O9" s="9">
        <v>46984</v>
      </c>
      <c r="P9" s="6">
        <v>676960</v>
      </c>
      <c r="Q9" s="6">
        <f t="shared" si="3"/>
        <v>47134.514205319349</v>
      </c>
      <c r="R9" s="6" t="s">
        <v>76</v>
      </c>
      <c r="S9" s="6">
        <v>0.85946336410100088</v>
      </c>
      <c r="T9" s="6"/>
      <c r="U9" s="6"/>
      <c r="V9" s="6"/>
      <c r="W9" s="6"/>
      <c r="X9" s="6"/>
      <c r="Y9" s="6"/>
      <c r="Z9" s="6"/>
      <c r="AA9" s="9">
        <v>682290</v>
      </c>
      <c r="AB9" s="9">
        <v>80066</v>
      </c>
      <c r="AC9" s="9">
        <v>452265</v>
      </c>
      <c r="AD9" s="6">
        <f t="shared" si="4"/>
        <v>45848.355248874403</v>
      </c>
      <c r="AF9" s="7" t="s">
        <v>77</v>
      </c>
      <c r="AG9" s="7">
        <v>2424.5435013971269</v>
      </c>
    </row>
    <row r="10" spans="1:37" ht="15" thickBot="1" x14ac:dyDescent="0.2">
      <c r="A10" s="54" t="s">
        <v>10</v>
      </c>
      <c r="B10" s="54"/>
      <c r="C10" s="9">
        <v>47693</v>
      </c>
      <c r="D10" s="9">
        <f t="shared" si="7"/>
        <v>47124</v>
      </c>
      <c r="E10" s="9">
        <f t="shared" si="8"/>
        <v>46993.4</v>
      </c>
      <c r="F10" s="9">
        <f t="shared" si="9"/>
        <v>46894.833333333336</v>
      </c>
      <c r="G10" s="6"/>
      <c r="H10" s="6">
        <f t="shared" si="0"/>
        <v>47339.213043835349</v>
      </c>
      <c r="I10" s="6">
        <f t="shared" si="1"/>
        <v>47094.359356063971</v>
      </c>
      <c r="J10" s="6">
        <f t="shared" si="2"/>
        <v>46907.813392247517</v>
      </c>
      <c r="K10" s="6"/>
      <c r="L10" s="6"/>
      <c r="M10" s="6">
        <f t="shared" si="5"/>
        <v>47476.751936481436</v>
      </c>
      <c r="N10" s="6">
        <f t="shared" si="6"/>
        <v>231.17413317161044</v>
      </c>
      <c r="O10" s="9">
        <v>47693</v>
      </c>
      <c r="P10" s="6">
        <v>679006</v>
      </c>
      <c r="Q10" s="6">
        <f t="shared" si="3"/>
        <v>47333.539995176361</v>
      </c>
      <c r="R10" s="6" t="s">
        <v>77</v>
      </c>
      <c r="S10" s="6">
        <v>3420.8407080919114</v>
      </c>
      <c r="T10" s="6"/>
      <c r="U10" s="6"/>
      <c r="V10" s="6"/>
      <c r="W10" s="6"/>
      <c r="X10" s="6"/>
      <c r="Y10" s="6"/>
      <c r="Z10" s="6"/>
      <c r="AA10" s="9">
        <v>691840</v>
      </c>
      <c r="AB10" s="9">
        <v>85319</v>
      </c>
      <c r="AC10" s="9">
        <v>464784</v>
      </c>
      <c r="AD10" s="6">
        <f t="shared" si="4"/>
        <v>48919.920923184909</v>
      </c>
      <c r="AF10" s="10" t="s">
        <v>78</v>
      </c>
      <c r="AG10" s="10">
        <v>49</v>
      </c>
    </row>
    <row r="11" spans="1:37" x14ac:dyDescent="0.15">
      <c r="A11" s="54" t="s">
        <v>11</v>
      </c>
      <c r="B11" s="54"/>
      <c r="C11" s="9">
        <v>48368</v>
      </c>
      <c r="D11" s="9">
        <f t="shared" si="7"/>
        <v>47538.25</v>
      </c>
      <c r="E11" s="9">
        <f t="shared" si="8"/>
        <v>47372.800000000003</v>
      </c>
      <c r="F11" s="9">
        <f t="shared" si="9"/>
        <v>47222.5</v>
      </c>
      <c r="G11" s="6"/>
      <c r="H11" s="6">
        <f t="shared" si="0"/>
        <v>47894.758000164264</v>
      </c>
      <c r="I11" s="6">
        <f t="shared" si="1"/>
        <v>47526.574623878128</v>
      </c>
      <c r="J11" s="6">
        <f t="shared" si="2"/>
        <v>47241.944457328049</v>
      </c>
      <c r="K11" s="6"/>
      <c r="L11" s="6"/>
      <c r="M11" s="6">
        <f t="shared" si="5"/>
        <v>48150.175602985502</v>
      </c>
      <c r="N11" s="6">
        <f t="shared" si="6"/>
        <v>377.11647917132086</v>
      </c>
      <c r="O11" s="9">
        <v>48368</v>
      </c>
      <c r="P11" s="6">
        <v>680812</v>
      </c>
      <c r="Q11" s="6">
        <f t="shared" si="3"/>
        <v>47509.219651325802</v>
      </c>
      <c r="R11" s="6" t="s">
        <v>78</v>
      </c>
      <c r="S11" s="6">
        <v>49</v>
      </c>
      <c r="T11" s="6"/>
      <c r="U11" s="6"/>
      <c r="V11" s="6"/>
      <c r="W11" s="6"/>
      <c r="X11" s="6"/>
      <c r="Y11" s="6"/>
      <c r="Z11" s="6"/>
      <c r="AA11" s="9">
        <v>678510</v>
      </c>
      <c r="AB11" s="9">
        <v>81526</v>
      </c>
      <c r="AC11" s="9">
        <v>446727</v>
      </c>
      <c r="AD11" s="6">
        <f t="shared" si="4"/>
        <v>47355.273322104127</v>
      </c>
    </row>
    <row r="12" spans="1:37" ht="15" thickBot="1" x14ac:dyDescent="0.2">
      <c r="A12" s="54" t="s">
        <v>12</v>
      </c>
      <c r="B12" s="54"/>
      <c r="C12" s="9">
        <v>49135</v>
      </c>
      <c r="D12" s="9">
        <f t="shared" si="7"/>
        <v>48045</v>
      </c>
      <c r="E12" s="9">
        <f t="shared" si="8"/>
        <v>47857.599999999999</v>
      </c>
      <c r="F12" s="9">
        <f t="shared" si="9"/>
        <v>47666.5</v>
      </c>
      <c r="G12" s="6"/>
      <c r="H12" s="6">
        <f t="shared" si="0"/>
        <v>48564.488680075563</v>
      </c>
      <c r="I12" s="6">
        <f t="shared" si="1"/>
        <v>48087.048214224749</v>
      </c>
      <c r="J12" s="6">
        <f t="shared" si="2"/>
        <v>47698.300486052263</v>
      </c>
      <c r="K12" s="6"/>
      <c r="L12" s="6"/>
      <c r="M12" s="6">
        <f t="shared" si="5"/>
        <v>48934.456387111757</v>
      </c>
      <c r="N12" s="6">
        <f t="shared" si="6"/>
        <v>511.48069980644902</v>
      </c>
      <c r="O12" s="9">
        <v>49135</v>
      </c>
      <c r="P12" s="6">
        <v>683925</v>
      </c>
      <c r="Q12" s="6">
        <f t="shared" si="3"/>
        <v>47812.038460624382</v>
      </c>
      <c r="R12" s="6"/>
      <c r="S12" s="6"/>
      <c r="T12" s="6"/>
      <c r="U12" s="6"/>
      <c r="V12" s="6"/>
      <c r="W12" s="6"/>
      <c r="X12" s="6"/>
      <c r="Y12" s="6"/>
      <c r="Z12" s="6"/>
      <c r="AA12" s="9">
        <v>672110</v>
      </c>
      <c r="AB12" s="9">
        <v>81858</v>
      </c>
      <c r="AC12" s="9">
        <v>454790</v>
      </c>
      <c r="AD12" s="6">
        <f t="shared" si="4"/>
        <v>47055.585483461495</v>
      </c>
      <c r="AF12" s="7" t="s">
        <v>79</v>
      </c>
    </row>
    <row r="13" spans="1:37" x14ac:dyDescent="0.15">
      <c r="A13" s="54" t="s">
        <v>13</v>
      </c>
      <c r="B13" s="54"/>
      <c r="C13" s="9">
        <v>49406</v>
      </c>
      <c r="D13" s="9">
        <f t="shared" si="7"/>
        <v>48650.5</v>
      </c>
      <c r="E13" s="9">
        <f t="shared" si="8"/>
        <v>48317.2</v>
      </c>
      <c r="F13" s="9">
        <f t="shared" si="9"/>
        <v>48115.666666666664</v>
      </c>
      <c r="G13" s="6"/>
      <c r="H13" s="6">
        <f t="shared" si="0"/>
        <v>49018.904792834757</v>
      </c>
      <c r="I13" s="6">
        <f t="shared" si="1"/>
        <v>48590.250766674159</v>
      </c>
      <c r="J13" s="6">
        <f t="shared" si="2"/>
        <v>48179.953637588085</v>
      </c>
      <c r="K13" s="6"/>
      <c r="L13" s="6"/>
      <c r="M13" s="6">
        <f t="shared" si="5"/>
        <v>49419.179238683013</v>
      </c>
      <c r="N13" s="6">
        <f t="shared" si="6"/>
        <v>502.65060988883528</v>
      </c>
      <c r="O13" s="9">
        <v>49406</v>
      </c>
      <c r="P13" s="6">
        <v>690608</v>
      </c>
      <c r="Q13" s="6">
        <f t="shared" si="3"/>
        <v>48462.131008823002</v>
      </c>
      <c r="R13" s="6" t="s">
        <v>79</v>
      </c>
      <c r="S13" s="6"/>
      <c r="T13" s="6"/>
      <c r="U13" s="6"/>
      <c r="V13" s="6"/>
      <c r="W13" s="6"/>
      <c r="X13" s="6"/>
      <c r="Y13" s="6"/>
      <c r="Z13" s="6"/>
      <c r="AA13" s="9">
        <v>692940</v>
      </c>
      <c r="AB13" s="9">
        <v>81764</v>
      </c>
      <c r="AC13" s="9">
        <v>462578</v>
      </c>
      <c r="AD13" s="6">
        <f t="shared" si="4"/>
        <v>46378.940406976501</v>
      </c>
      <c r="AF13" s="5"/>
      <c r="AG13" s="5" t="s">
        <v>84</v>
      </c>
      <c r="AH13" s="5" t="s">
        <v>85</v>
      </c>
      <c r="AI13" s="5" t="s">
        <v>86</v>
      </c>
      <c r="AJ13" s="5" t="s">
        <v>87</v>
      </c>
      <c r="AK13" s="5" t="s">
        <v>88</v>
      </c>
    </row>
    <row r="14" spans="1:37" x14ac:dyDescent="0.15">
      <c r="A14" s="54" t="s">
        <v>14</v>
      </c>
      <c r="B14" s="54"/>
      <c r="C14" s="9">
        <v>50214</v>
      </c>
      <c r="D14" s="9">
        <f t="shared" si="7"/>
        <v>49280.75</v>
      </c>
      <c r="E14" s="9">
        <f t="shared" si="8"/>
        <v>48963.199999999997</v>
      </c>
      <c r="F14" s="9">
        <f t="shared" si="9"/>
        <v>48633.333333333336</v>
      </c>
      <c r="G14" s="6"/>
      <c r="H14" s="6">
        <f t="shared" si="0"/>
        <v>49664.256204703983</v>
      </c>
      <c r="I14" s="6">
        <f t="shared" si="1"/>
        <v>49170.213703210262</v>
      </c>
      <c r="J14" s="6">
        <f t="shared" si="2"/>
        <v>48714.69407302406</v>
      </c>
      <c r="K14" s="6"/>
      <c r="L14" s="6"/>
      <c r="M14" s="6">
        <f t="shared" si="5"/>
        <v>50117.583850028714</v>
      </c>
      <c r="N14" s="6">
        <f t="shared" si="6"/>
        <v>567.24943036960087</v>
      </c>
      <c r="O14" s="9">
        <v>50214</v>
      </c>
      <c r="P14" s="6">
        <v>691215</v>
      </c>
      <c r="Q14" s="6">
        <f t="shared" si="3"/>
        <v>48521.177271991728</v>
      </c>
      <c r="R14" s="6"/>
      <c r="S14" s="6" t="s">
        <v>84</v>
      </c>
      <c r="T14" s="6" t="s">
        <v>85</v>
      </c>
      <c r="U14" s="6" t="s">
        <v>86</v>
      </c>
      <c r="V14" s="6" t="s">
        <v>87</v>
      </c>
      <c r="W14" s="6" t="s">
        <v>88</v>
      </c>
      <c r="X14" s="6"/>
      <c r="Y14" s="6"/>
      <c r="Z14" s="6"/>
      <c r="AA14" s="9">
        <v>701750</v>
      </c>
      <c r="AB14" s="9">
        <v>86939</v>
      </c>
      <c r="AC14" s="9">
        <v>475358</v>
      </c>
      <c r="AD14" s="6">
        <f t="shared" si="4"/>
        <v>49375.003065280136</v>
      </c>
      <c r="AF14" s="7" t="s">
        <v>80</v>
      </c>
      <c r="AG14" s="7">
        <v>3</v>
      </c>
      <c r="AH14" s="7">
        <v>3732317241.4220748</v>
      </c>
      <c r="AI14" s="7">
        <v>1244105747.1406915</v>
      </c>
      <c r="AJ14" s="7">
        <v>211.63979634866936</v>
      </c>
      <c r="AK14" s="7">
        <v>1.5433080359380043E-26</v>
      </c>
    </row>
    <row r="15" spans="1:37" x14ac:dyDescent="0.15">
      <c r="A15" s="54" t="s">
        <v>15</v>
      </c>
      <c r="B15" s="54"/>
      <c r="C15" s="9">
        <v>50323</v>
      </c>
      <c r="D15" s="9">
        <f t="shared" si="7"/>
        <v>49769.5</v>
      </c>
      <c r="E15" s="9">
        <f t="shared" si="8"/>
        <v>49489.2</v>
      </c>
      <c r="F15" s="9">
        <f t="shared" si="9"/>
        <v>49189.833333333336</v>
      </c>
      <c r="G15" s="6"/>
      <c r="H15" s="6">
        <f t="shared" si="0"/>
        <v>50019.977854163837</v>
      </c>
      <c r="I15" s="6">
        <f t="shared" si="1"/>
        <v>49629.08634472519</v>
      </c>
      <c r="J15" s="6">
        <f t="shared" si="2"/>
        <v>49208.465899742674</v>
      </c>
      <c r="K15" s="6"/>
      <c r="L15" s="6"/>
      <c r="M15" s="6">
        <f t="shared" si="5"/>
        <v>50442.404982531443</v>
      </c>
      <c r="N15" s="6">
        <f t="shared" si="6"/>
        <v>487.24809207353331</v>
      </c>
      <c r="O15" s="9">
        <v>50323</v>
      </c>
      <c r="P15" s="6">
        <v>692642</v>
      </c>
      <c r="Q15" s="6">
        <f t="shared" si="3"/>
        <v>48659.989491994646</v>
      </c>
      <c r="R15" s="6" t="s">
        <v>80</v>
      </c>
      <c r="S15" s="6">
        <v>1</v>
      </c>
      <c r="T15" s="6">
        <v>3446844640.92307</v>
      </c>
      <c r="U15" s="6">
        <v>3446844640.92307</v>
      </c>
      <c r="V15" s="6">
        <v>294.54795077417845</v>
      </c>
      <c r="W15" s="6">
        <v>7.1205035525466579E-22</v>
      </c>
      <c r="X15" s="6"/>
      <c r="Y15" s="6"/>
      <c r="Z15" s="6"/>
      <c r="AA15" s="9">
        <v>682360</v>
      </c>
      <c r="AB15" s="9">
        <v>85444</v>
      </c>
      <c r="AC15" s="9">
        <v>453836</v>
      </c>
      <c r="AD15" s="6">
        <f t="shared" si="4"/>
        <v>49812.201292103156</v>
      </c>
      <c r="AF15" s="7" t="s">
        <v>81</v>
      </c>
      <c r="AG15" s="7">
        <v>45</v>
      </c>
      <c r="AH15" s="7">
        <v>264528503.55751684</v>
      </c>
      <c r="AI15" s="7">
        <v>5878411.1901670406</v>
      </c>
    </row>
    <row r="16" spans="1:37" ht="15" thickBot="1" x14ac:dyDescent="0.2">
      <c r="A16" s="54" t="s">
        <v>16</v>
      </c>
      <c r="B16" s="54"/>
      <c r="C16" s="9">
        <v>49987</v>
      </c>
      <c r="D16" s="9">
        <f t="shared" si="7"/>
        <v>49982.5</v>
      </c>
      <c r="E16" s="9">
        <f t="shared" si="8"/>
        <v>49813</v>
      </c>
      <c r="F16" s="9">
        <f t="shared" si="9"/>
        <v>49572.166666666664</v>
      </c>
      <c r="G16" s="6"/>
      <c r="H16" s="6">
        <f t="shared" si="0"/>
        <v>50002.169812915366</v>
      </c>
      <c r="I16" s="6">
        <f t="shared" si="1"/>
        <v>49830.551417547889</v>
      </c>
      <c r="J16" s="6">
        <f t="shared" si="2"/>
        <v>49544.392079357494</v>
      </c>
      <c r="K16" s="6"/>
      <c r="L16" s="6"/>
      <c r="M16" s="6">
        <f t="shared" si="5"/>
        <v>50298.075514619646</v>
      </c>
      <c r="N16" s="6">
        <f t="shared" si="6"/>
        <v>278.82749727837427</v>
      </c>
      <c r="O16" s="9">
        <v>49987</v>
      </c>
      <c r="P16" s="6">
        <v>702053</v>
      </c>
      <c r="Q16" s="6">
        <f t="shared" si="3"/>
        <v>49575.449760002615</v>
      </c>
      <c r="R16" s="6" t="s">
        <v>81</v>
      </c>
      <c r="S16" s="6">
        <v>47</v>
      </c>
      <c r="T16" s="6">
        <v>550001104.05652213</v>
      </c>
      <c r="U16" s="6">
        <v>11702151.150138769</v>
      </c>
      <c r="V16" s="6"/>
      <c r="W16" s="6"/>
      <c r="X16" s="6"/>
      <c r="Y16" s="6"/>
      <c r="Z16" s="6"/>
      <c r="AA16" s="9">
        <v>692930</v>
      </c>
      <c r="AB16" s="9">
        <v>85679</v>
      </c>
      <c r="AC16" s="9">
        <v>466572</v>
      </c>
      <c r="AD16" s="6">
        <f t="shared" si="4"/>
        <v>49063.667075350124</v>
      </c>
      <c r="AF16" s="10" t="s">
        <v>82</v>
      </c>
      <c r="AG16" s="10">
        <v>48</v>
      </c>
      <c r="AH16" s="10">
        <v>3996845744.9795918</v>
      </c>
      <c r="AI16" s="10"/>
      <c r="AJ16" s="10"/>
      <c r="AK16" s="10"/>
    </row>
    <row r="17" spans="1:40" ht="15" thickBot="1" x14ac:dyDescent="0.2">
      <c r="A17" s="54" t="s">
        <v>17</v>
      </c>
      <c r="B17" s="54"/>
      <c r="C17" s="9">
        <v>50766</v>
      </c>
      <c r="D17" s="9">
        <f t="shared" si="7"/>
        <v>50322.5</v>
      </c>
      <c r="E17" s="9">
        <f t="shared" si="8"/>
        <v>50139.199999999997</v>
      </c>
      <c r="F17" s="9">
        <f t="shared" si="9"/>
        <v>49971.833333333336</v>
      </c>
      <c r="G17" s="6"/>
      <c r="H17" s="6">
        <f t="shared" si="0"/>
        <v>50414.638113941066</v>
      </c>
      <c r="I17" s="6">
        <f t="shared" si="1"/>
        <v>50145.958233600206</v>
      </c>
      <c r="J17" s="6">
        <f t="shared" si="2"/>
        <v>49869.237802648553</v>
      </c>
      <c r="K17" s="6"/>
      <c r="L17" s="6"/>
      <c r="M17" s="6">
        <f t="shared" si="5"/>
        <v>50703.597993926349</v>
      </c>
      <c r="N17" s="6">
        <f t="shared" si="6"/>
        <v>320.63684134772268</v>
      </c>
      <c r="O17" s="9">
        <v>50766</v>
      </c>
      <c r="P17" s="6">
        <v>709159</v>
      </c>
      <c r="Q17" s="6">
        <f t="shared" si="3"/>
        <v>50266.689868860842</v>
      </c>
      <c r="R17" s="6" t="s">
        <v>82</v>
      </c>
      <c r="S17" s="6">
        <v>48</v>
      </c>
      <c r="T17" s="6">
        <v>3996845744.9795923</v>
      </c>
      <c r="U17" s="6"/>
      <c r="V17" s="6"/>
      <c r="W17" s="6"/>
      <c r="X17" s="6"/>
      <c r="Y17" s="6"/>
      <c r="Z17" s="6"/>
      <c r="AA17" s="9">
        <v>714670</v>
      </c>
      <c r="AB17" s="9">
        <v>86700</v>
      </c>
      <c r="AC17" s="9">
        <v>477545</v>
      </c>
      <c r="AD17" s="6">
        <f t="shared" si="4"/>
        <v>49004.799653303795</v>
      </c>
    </row>
    <row r="18" spans="1:40" x14ac:dyDescent="0.15">
      <c r="A18" s="54" t="s">
        <v>18</v>
      </c>
      <c r="B18" s="54"/>
      <c r="C18" s="9">
        <v>51113</v>
      </c>
      <c r="D18" s="9">
        <f t="shared" si="7"/>
        <v>50547.25</v>
      </c>
      <c r="E18" s="9">
        <f t="shared" si="8"/>
        <v>50480.6</v>
      </c>
      <c r="F18" s="9">
        <f t="shared" si="9"/>
        <v>50301.5</v>
      </c>
      <c r="G18" s="6"/>
      <c r="H18" s="6">
        <f t="shared" si="0"/>
        <v>50791.753532412884</v>
      </c>
      <c r="I18" s="6">
        <f t="shared" si="1"/>
        <v>50494.687694959051</v>
      </c>
      <c r="J18" s="6">
        <f t="shared" si="2"/>
        <v>50206.980744496221</v>
      </c>
      <c r="K18" s="6"/>
      <c r="L18" s="6"/>
      <c r="M18" s="6">
        <f t="shared" si="5"/>
        <v>51083.707495640439</v>
      </c>
      <c r="N18" s="6">
        <f t="shared" si="6"/>
        <v>340.26281926862407</v>
      </c>
      <c r="O18" s="9">
        <v>51113</v>
      </c>
      <c r="P18" s="6">
        <v>712099</v>
      </c>
      <c r="Q18" s="6">
        <f t="shared" si="3"/>
        <v>50552.68000677853</v>
      </c>
      <c r="R18" s="6"/>
      <c r="S18" s="6"/>
      <c r="T18" s="6"/>
      <c r="U18" s="6"/>
      <c r="V18" s="6"/>
      <c r="W18" s="6"/>
      <c r="X18" s="6"/>
      <c r="Y18" s="6"/>
      <c r="Z18" s="6"/>
      <c r="AA18" s="9">
        <v>721390</v>
      </c>
      <c r="AB18" s="9">
        <v>91882</v>
      </c>
      <c r="AC18" s="9">
        <v>485536</v>
      </c>
      <c r="AD18" s="6">
        <f t="shared" si="4"/>
        <v>52349.490796649901</v>
      </c>
      <c r="AF18" s="5"/>
      <c r="AG18" s="5" t="s">
        <v>89</v>
      </c>
      <c r="AH18" s="5" t="s">
        <v>77</v>
      </c>
      <c r="AI18" s="5" t="s">
        <v>90</v>
      </c>
      <c r="AJ18" s="5" t="s">
        <v>91</v>
      </c>
      <c r="AK18" s="5" t="s">
        <v>92</v>
      </c>
      <c r="AL18" s="5" t="s">
        <v>93</v>
      </c>
      <c r="AM18" s="5" t="s">
        <v>94</v>
      </c>
      <c r="AN18" s="5" t="s">
        <v>95</v>
      </c>
    </row>
    <row r="19" spans="1:40" x14ac:dyDescent="0.15">
      <c r="A19" s="54" t="s">
        <v>19</v>
      </c>
      <c r="B19" s="54"/>
      <c r="C19" s="9">
        <v>51347</v>
      </c>
      <c r="D19" s="9">
        <f t="shared" si="7"/>
        <v>50803.25</v>
      </c>
      <c r="E19" s="9">
        <f t="shared" si="8"/>
        <v>50707.199999999997</v>
      </c>
      <c r="F19" s="9">
        <f t="shared" si="9"/>
        <v>50625</v>
      </c>
      <c r="G19" s="6"/>
      <c r="H19" s="6">
        <f t="shared" si="0"/>
        <v>51091.586624909927</v>
      </c>
      <c r="I19" s="6">
        <f t="shared" si="1"/>
        <v>50817.013117132527</v>
      </c>
      <c r="J19" s="6">
        <f t="shared" si="2"/>
        <v>50536.398225719822</v>
      </c>
      <c r="K19" s="6"/>
      <c r="L19" s="6"/>
      <c r="M19" s="6">
        <f t="shared" si="5"/>
        <v>51372.400203919999</v>
      </c>
      <c r="N19" s="6">
        <f t="shared" si="6"/>
        <v>323.24468264223265</v>
      </c>
      <c r="O19" s="9">
        <v>51347</v>
      </c>
      <c r="P19" s="6">
        <v>725629</v>
      </c>
      <c r="Q19" s="6">
        <f t="shared" si="3"/>
        <v>51868.818294542631</v>
      </c>
      <c r="R19" s="6"/>
      <c r="S19" s="6" t="s">
        <v>89</v>
      </c>
      <c r="T19" s="6" t="s">
        <v>77</v>
      </c>
      <c r="U19" s="6" t="s">
        <v>90</v>
      </c>
      <c r="V19" s="6" t="s">
        <v>91</v>
      </c>
      <c r="W19" s="6" t="s">
        <v>92</v>
      </c>
      <c r="X19" s="6" t="s">
        <v>93</v>
      </c>
      <c r="Y19" s="6" t="s">
        <v>94</v>
      </c>
      <c r="Z19" s="6" t="s">
        <v>95</v>
      </c>
      <c r="AA19" s="9">
        <v>716700</v>
      </c>
      <c r="AB19" s="9">
        <v>89519</v>
      </c>
      <c r="AC19" s="9">
        <v>465150</v>
      </c>
      <c r="AD19" s="6">
        <f t="shared" si="4"/>
        <v>52009.201862298389</v>
      </c>
      <c r="AF19" s="7" t="s">
        <v>83</v>
      </c>
      <c r="AG19" s="7">
        <v>18917.116664468085</v>
      </c>
      <c r="AH19" s="7">
        <v>5663.4062925832313</v>
      </c>
      <c r="AI19" s="7">
        <v>3.3402365444347244</v>
      </c>
      <c r="AJ19" s="7">
        <v>1.6899735675205696E-3</v>
      </c>
      <c r="AK19" s="7">
        <v>7510.4308579670924</v>
      </c>
      <c r="AL19" s="7">
        <v>30323.80247096908</v>
      </c>
      <c r="AM19" s="7">
        <v>7510.4308579670924</v>
      </c>
      <c r="AN19" s="7">
        <v>30323.80247096908</v>
      </c>
    </row>
    <row r="20" spans="1:40" x14ac:dyDescent="0.15">
      <c r="A20" s="54" t="s">
        <v>20</v>
      </c>
      <c r="B20" s="54"/>
      <c r="C20" s="9">
        <v>51819</v>
      </c>
      <c r="D20" s="9">
        <f t="shared" si="7"/>
        <v>51261.25</v>
      </c>
      <c r="E20" s="9">
        <f t="shared" si="8"/>
        <v>51006.400000000001</v>
      </c>
      <c r="F20" s="9">
        <f t="shared" si="9"/>
        <v>50892.5</v>
      </c>
      <c r="G20" s="6"/>
      <c r="H20" s="6">
        <f t="shared" si="0"/>
        <v>51484.389847458566</v>
      </c>
      <c r="I20" s="6">
        <f t="shared" si="1"/>
        <v>51177.396551508587</v>
      </c>
      <c r="J20" s="6">
        <f t="shared" si="2"/>
        <v>50882.537321645752</v>
      </c>
      <c r="K20" s="6"/>
      <c r="L20" s="6"/>
      <c r="M20" s="6">
        <f t="shared" si="5"/>
        <v>51778.292812565538</v>
      </c>
      <c r="N20" s="6">
        <f t="shared" si="6"/>
        <v>350.51849822332383</v>
      </c>
      <c r="O20" s="9">
        <v>51819</v>
      </c>
      <c r="P20" s="6">
        <v>729419</v>
      </c>
      <c r="Q20" s="6">
        <f t="shared" si="3"/>
        <v>52237.492656007969</v>
      </c>
      <c r="R20" s="6" t="s">
        <v>83</v>
      </c>
      <c r="S20" s="6">
        <v>-18717.146939158534</v>
      </c>
      <c r="T20" s="6">
        <v>4455.1206584296078</v>
      </c>
      <c r="U20" s="6">
        <v>-4.2012659979799896</v>
      </c>
      <c r="V20" s="6">
        <v>1.1754754522899084E-4</v>
      </c>
      <c r="W20" s="6">
        <v>-27679.693661275811</v>
      </c>
      <c r="X20" s="6">
        <v>-9754.6002170412576</v>
      </c>
      <c r="Y20" s="6">
        <v>-27679.693661275811</v>
      </c>
      <c r="Z20" s="6">
        <v>-9754.6002170412576</v>
      </c>
      <c r="AA20" s="9">
        <v>717360</v>
      </c>
      <c r="AB20" s="9">
        <v>89567</v>
      </c>
      <c r="AC20" s="9">
        <v>476272</v>
      </c>
      <c r="AD20" s="6">
        <f t="shared" si="4"/>
        <v>51259.563087872812</v>
      </c>
      <c r="AF20" s="7">
        <v>616590</v>
      </c>
      <c r="AG20" s="7">
        <v>-2.7020089405427042E-3</v>
      </c>
      <c r="AH20" s="7">
        <v>3.4799672146527169E-2</v>
      </c>
      <c r="AI20" s="7">
        <v>-7.7644666569433501E-2</v>
      </c>
      <c r="AJ20" s="7">
        <v>0.93845492933466057</v>
      </c>
      <c r="AK20" s="7">
        <v>-7.2792146542805455E-2</v>
      </c>
      <c r="AL20" s="7">
        <v>6.7388128661720045E-2</v>
      </c>
      <c r="AM20" s="7">
        <v>-7.2792146542805455E-2</v>
      </c>
      <c r="AN20" s="7">
        <v>6.7388128661720045E-2</v>
      </c>
    </row>
    <row r="21" spans="1:40" x14ac:dyDescent="0.15">
      <c r="A21" s="54" t="s">
        <v>21</v>
      </c>
      <c r="B21" s="54"/>
      <c r="C21" s="9">
        <v>51842</v>
      </c>
      <c r="D21" s="9">
        <f t="shared" si="7"/>
        <v>51530.25</v>
      </c>
      <c r="E21" s="9">
        <f t="shared" si="8"/>
        <v>51377.4</v>
      </c>
      <c r="F21" s="9">
        <f t="shared" si="9"/>
        <v>51145.666666666664</v>
      </c>
      <c r="G21" s="6"/>
      <c r="H21" s="6">
        <f t="shared" si="0"/>
        <v>51677.499329830942</v>
      </c>
      <c r="I21" s="6">
        <f t="shared" si="1"/>
        <v>51447.452051802655</v>
      </c>
      <c r="J21" s="6">
        <f t="shared" si="2"/>
        <v>51187.591275930477</v>
      </c>
      <c r="K21" s="6"/>
      <c r="L21" s="6"/>
      <c r="M21" s="6">
        <f t="shared" si="5"/>
        <v>51936.647732560319</v>
      </c>
      <c r="N21" s="6">
        <f t="shared" si="6"/>
        <v>287.10451740790472</v>
      </c>
      <c r="O21" s="9">
        <v>51842</v>
      </c>
      <c r="P21" s="6">
        <v>734908</v>
      </c>
      <c r="Q21" s="6">
        <f t="shared" si="3"/>
        <v>52771.438189011453</v>
      </c>
      <c r="R21" s="6" t="s">
        <v>96</v>
      </c>
      <c r="S21" s="6">
        <v>9.727555711486334E-2</v>
      </c>
      <c r="T21" s="6">
        <v>5.6679462610380749E-3</v>
      </c>
      <c r="U21" s="6">
        <v>17.162399330343597</v>
      </c>
      <c r="V21" s="6">
        <v>7.1205035525467087E-22</v>
      </c>
      <c r="W21" s="6">
        <v>8.5873119991889887E-2</v>
      </c>
      <c r="X21" s="6">
        <v>0.10867799423783679</v>
      </c>
      <c r="Y21" s="6">
        <v>8.5873119991889887E-2</v>
      </c>
      <c r="Z21" s="6">
        <v>0.10867799423783679</v>
      </c>
      <c r="AA21" s="9">
        <v>740720</v>
      </c>
      <c r="AB21" s="9">
        <v>90674</v>
      </c>
      <c r="AC21" s="9">
        <v>489091</v>
      </c>
      <c r="AD21" s="6">
        <f t="shared" si="4"/>
        <v>51131.315534516842</v>
      </c>
      <c r="AF21" s="7">
        <v>77431</v>
      </c>
      <c r="AG21" s="7">
        <v>0.75768093652884327</v>
      </c>
      <c r="AH21" s="7">
        <v>0.10093985024156066</v>
      </c>
      <c r="AI21" s="7">
        <v>7.5062617461352055</v>
      </c>
      <c r="AJ21" s="7">
        <v>1.8202164113841743E-9</v>
      </c>
      <c r="AK21" s="7">
        <v>0.55437764208419094</v>
      </c>
      <c r="AL21" s="7">
        <v>0.96098423097349561</v>
      </c>
      <c r="AM21" s="7">
        <v>0.55437764208419094</v>
      </c>
      <c r="AN21" s="7">
        <v>0.96098423097349561</v>
      </c>
    </row>
    <row r="22" spans="1:40" ht="15" thickBot="1" x14ac:dyDescent="0.2">
      <c r="A22" s="54" t="s">
        <v>22</v>
      </c>
      <c r="B22" s="54"/>
      <c r="C22" s="9">
        <v>52286</v>
      </c>
      <c r="D22" s="9">
        <f t="shared" si="7"/>
        <v>51823.5</v>
      </c>
      <c r="E22" s="9">
        <f t="shared" si="8"/>
        <v>51681.4</v>
      </c>
      <c r="F22" s="9">
        <f t="shared" si="9"/>
        <v>51528.833333333336</v>
      </c>
      <c r="G22" s="6"/>
      <c r="H22" s="6">
        <f t="shared" si="0"/>
        <v>52006.089691722234</v>
      </c>
      <c r="I22" s="6">
        <f t="shared" si="1"/>
        <v>51749.116377359227</v>
      </c>
      <c r="J22" s="6">
        <f t="shared" si="2"/>
        <v>51490.814830702002</v>
      </c>
      <c r="K22" s="6"/>
      <c r="L22" s="6"/>
      <c r="M22" s="6">
        <f t="shared" si="5"/>
        <v>52265.45824248952</v>
      </c>
      <c r="N22" s="6">
        <f t="shared" si="6"/>
        <v>300.86749493993239</v>
      </c>
      <c r="O22" s="9">
        <v>52286</v>
      </c>
      <c r="P22" s="6">
        <v>741994</v>
      </c>
      <c r="Q22" s="6">
        <f t="shared" si="3"/>
        <v>53460.732786727378</v>
      </c>
      <c r="R22" s="6"/>
      <c r="S22" s="6"/>
      <c r="T22" s="6"/>
      <c r="U22" s="6"/>
      <c r="V22" s="6"/>
      <c r="W22" s="6"/>
      <c r="X22" s="6"/>
      <c r="Y22" s="6"/>
      <c r="Z22" s="6"/>
      <c r="AA22" s="9">
        <v>752650</v>
      </c>
      <c r="AB22" s="9">
        <v>96401</v>
      </c>
      <c r="AC22" s="9">
        <v>499547</v>
      </c>
      <c r="AD22" s="6">
        <f t="shared" si="4"/>
        <v>54701.055531273407</v>
      </c>
      <c r="AF22" s="10">
        <v>413556</v>
      </c>
      <c r="AG22" s="10">
        <v>-7.0511071163298411E-2</v>
      </c>
      <c r="AH22" s="10">
        <v>4.5915098967545316E-2</v>
      </c>
      <c r="AI22" s="10">
        <v>-1.5356837456266519</v>
      </c>
      <c r="AJ22" s="10">
        <v>0.13161788114390013</v>
      </c>
      <c r="AK22" s="10">
        <v>-0.16298882759463085</v>
      </c>
      <c r="AL22" s="10">
        <v>2.1966685268034025E-2</v>
      </c>
      <c r="AM22" s="10">
        <v>-0.16298882759463085</v>
      </c>
      <c r="AN22" s="10">
        <v>2.1966685268034025E-2</v>
      </c>
    </row>
    <row r="23" spans="1:40" x14ac:dyDescent="0.15">
      <c r="A23" s="54" t="s">
        <v>23</v>
      </c>
      <c r="B23" s="54"/>
      <c r="C23" s="9">
        <v>52229</v>
      </c>
      <c r="D23" s="9">
        <f t="shared" si="7"/>
        <v>52044</v>
      </c>
      <c r="E23" s="9">
        <f t="shared" si="8"/>
        <v>51904.6</v>
      </c>
      <c r="F23" s="9">
        <f t="shared" si="9"/>
        <v>51772.666666666664</v>
      </c>
      <c r="G23" s="6"/>
      <c r="H23" s="6">
        <f t="shared" si="0"/>
        <v>52126.461258192227</v>
      </c>
      <c r="I23" s="6">
        <f t="shared" si="1"/>
        <v>51952.882613009046</v>
      </c>
      <c r="J23" s="6">
        <f t="shared" si="2"/>
        <v>51740.331433147803</v>
      </c>
      <c r="K23" s="6"/>
      <c r="L23" s="6"/>
      <c r="M23" s="6">
        <f t="shared" si="5"/>
        <v>52340.317493351715</v>
      </c>
      <c r="N23" s="6">
        <f t="shared" si="6"/>
        <v>226.28477439427903</v>
      </c>
      <c r="O23" s="9">
        <v>52229</v>
      </c>
      <c r="P23" s="6">
        <v>745528</v>
      </c>
      <c r="Q23" s="6">
        <f t="shared" si="3"/>
        <v>53804.504605571296</v>
      </c>
      <c r="R23" s="6"/>
      <c r="S23" s="6"/>
      <c r="T23" s="6"/>
      <c r="U23" s="6"/>
      <c r="V23" s="6"/>
      <c r="W23" s="6"/>
      <c r="X23" s="6"/>
      <c r="Y23" s="6"/>
      <c r="Z23" s="6"/>
      <c r="AA23" s="9">
        <v>737210</v>
      </c>
      <c r="AB23" s="9">
        <v>93223</v>
      </c>
      <c r="AC23" s="9">
        <v>477426</v>
      </c>
      <c r="AD23" s="6">
        <f t="shared" si="4"/>
        <v>53894.639938230044</v>
      </c>
    </row>
    <row r="24" spans="1:40" x14ac:dyDescent="0.15">
      <c r="A24" s="54" t="s">
        <v>24</v>
      </c>
      <c r="B24" s="54"/>
      <c r="C24" s="9">
        <v>52827</v>
      </c>
      <c r="D24" s="9">
        <f t="shared" si="7"/>
        <v>52296</v>
      </c>
      <c r="E24" s="9">
        <f t="shared" si="8"/>
        <v>52200.6</v>
      </c>
      <c r="F24" s="9">
        <f t="shared" si="9"/>
        <v>52058.333333333336</v>
      </c>
      <c r="G24" s="6"/>
      <c r="H24" s="6">
        <f t="shared" si="0"/>
        <v>52504.752178768424</v>
      </c>
      <c r="I24" s="6">
        <f t="shared" si="1"/>
        <v>52250.892178519105</v>
      </c>
      <c r="J24" s="6">
        <f t="shared" si="2"/>
        <v>52016.034235648309</v>
      </c>
      <c r="K24" s="6"/>
      <c r="L24" s="6"/>
      <c r="M24" s="6">
        <f t="shared" si="5"/>
        <v>52741.068748356178</v>
      </c>
      <c r="N24" s="6">
        <f t="shared" si="6"/>
        <v>283.85871299563973</v>
      </c>
      <c r="O24" s="9">
        <v>52827</v>
      </c>
      <c r="P24" s="6">
        <v>754082</v>
      </c>
      <c r="Q24" s="6">
        <f t="shared" si="3"/>
        <v>54636.599721131839</v>
      </c>
      <c r="R24" s="6"/>
      <c r="S24" s="6"/>
      <c r="T24" s="6"/>
      <c r="U24" s="6"/>
      <c r="V24" s="6"/>
      <c r="W24" s="6"/>
      <c r="X24" s="6"/>
      <c r="Y24" s="6"/>
      <c r="Z24" s="6"/>
      <c r="AA24" s="9">
        <v>741980</v>
      </c>
      <c r="AB24" s="9">
        <v>93849</v>
      </c>
      <c r="AC24" s="9">
        <v>490413</v>
      </c>
      <c r="AD24" s="6">
        <f t="shared" si="4"/>
        <v>53440.332340652967</v>
      </c>
    </row>
    <row r="25" spans="1:40" x14ac:dyDescent="0.15">
      <c r="A25" s="54" t="s">
        <v>25</v>
      </c>
      <c r="B25" s="54"/>
      <c r="C25" s="9">
        <v>53302</v>
      </c>
      <c r="D25" s="9">
        <f t="shared" si="7"/>
        <v>52661</v>
      </c>
      <c r="E25" s="9">
        <f t="shared" si="8"/>
        <v>52497.2</v>
      </c>
      <c r="F25" s="9">
        <f t="shared" si="9"/>
        <v>52384.166666666664</v>
      </c>
      <c r="G25" s="6"/>
      <c r="H25" s="6">
        <f t="shared" si="0"/>
        <v>52935.266002233475</v>
      </c>
      <c r="I25" s="6">
        <f t="shared" si="1"/>
        <v>52620.454043324862</v>
      </c>
      <c r="J25" s="6">
        <f t="shared" si="2"/>
        <v>52342.420931793647</v>
      </c>
      <c r="K25" s="6"/>
      <c r="L25" s="6"/>
      <c r="M25" s="6">
        <f t="shared" si="5"/>
        <v>53210.5660622461</v>
      </c>
      <c r="N25" s="6">
        <f t="shared" si="6"/>
        <v>345.11945129075292</v>
      </c>
      <c r="O25" s="9">
        <v>53302</v>
      </c>
      <c r="P25" s="6">
        <v>759654</v>
      </c>
      <c r="Q25" s="6">
        <f t="shared" si="3"/>
        <v>55178.619125375866</v>
      </c>
      <c r="R25" s="6"/>
      <c r="S25" s="6"/>
      <c r="T25" s="6"/>
      <c r="U25" s="6"/>
      <c r="V25" s="6"/>
      <c r="W25" s="6"/>
      <c r="X25" s="6"/>
      <c r="Y25" s="6"/>
      <c r="Z25" s="6"/>
      <c r="AA25" s="9">
        <v>765670</v>
      </c>
      <c r="AB25" s="9">
        <v>94367</v>
      </c>
      <c r="AC25" s="9">
        <v>502679</v>
      </c>
      <c r="AD25" s="6">
        <f t="shared" si="4"/>
        <v>52903.911675084426</v>
      </c>
    </row>
    <row r="26" spans="1:40" x14ac:dyDescent="0.15">
      <c r="A26" s="54" t="s">
        <v>26</v>
      </c>
      <c r="B26" s="54"/>
      <c r="C26" s="9">
        <v>54126</v>
      </c>
      <c r="D26" s="9">
        <f t="shared" si="7"/>
        <v>53121</v>
      </c>
      <c r="E26" s="9">
        <f t="shared" si="8"/>
        <v>52954</v>
      </c>
      <c r="F26" s="9">
        <f t="shared" si="9"/>
        <v>52768.666666666664</v>
      </c>
      <c r="G26" s="6"/>
      <c r="H26" s="6">
        <f t="shared" si="0"/>
        <v>53578.262361027402</v>
      </c>
      <c r="I26" s="6">
        <f t="shared" si="1"/>
        <v>53137.670534884237</v>
      </c>
      <c r="J26" s="6">
        <f t="shared" si="2"/>
        <v>52771.85571746256</v>
      </c>
      <c r="K26" s="6"/>
      <c r="L26" s="6"/>
      <c r="M26" s="6">
        <f t="shared" si="5"/>
        <v>53937.796219467164</v>
      </c>
      <c r="N26" s="6">
        <f t="shared" si="6"/>
        <v>471.21598424775539</v>
      </c>
      <c r="O26" s="9">
        <v>54126</v>
      </c>
      <c r="P26" s="6">
        <v>764137</v>
      </c>
      <c r="Q26" s="6">
        <f t="shared" si="3"/>
        <v>55614.705447921799</v>
      </c>
      <c r="R26" s="6"/>
      <c r="S26" s="6"/>
      <c r="T26" s="6"/>
      <c r="U26" s="6"/>
      <c r="V26" s="6"/>
      <c r="W26" s="6"/>
      <c r="X26" s="6"/>
      <c r="Y26" s="6"/>
      <c r="Z26" s="6"/>
      <c r="AA26" s="9">
        <v>781320</v>
      </c>
      <c r="AB26" s="9">
        <v>101984</v>
      </c>
      <c r="AC26" s="9">
        <v>515874</v>
      </c>
      <c r="AD26" s="6">
        <f t="shared" si="4"/>
        <v>57702.487344705405</v>
      </c>
    </row>
    <row r="27" spans="1:40" x14ac:dyDescent="0.15">
      <c r="A27" s="54" t="s">
        <v>27</v>
      </c>
      <c r="B27" s="54"/>
      <c r="C27" s="9">
        <v>54076</v>
      </c>
      <c r="D27" s="9">
        <f t="shared" si="7"/>
        <v>53582.75</v>
      </c>
      <c r="E27" s="9">
        <f t="shared" si="8"/>
        <v>53312</v>
      </c>
      <c r="F27" s="9">
        <f t="shared" si="9"/>
        <v>53141</v>
      </c>
      <c r="G27" s="6"/>
      <c r="H27" s="6">
        <f t="shared" si="0"/>
        <v>53847.040686072607</v>
      </c>
      <c r="I27" s="6">
        <f t="shared" si="1"/>
        <v>53520.730416525956</v>
      </c>
      <c r="J27" s="6">
        <f t="shared" si="2"/>
        <v>53176.248054956799</v>
      </c>
      <c r="K27" s="6"/>
      <c r="L27" s="6"/>
      <c r="M27" s="6">
        <f t="shared" si="5"/>
        <v>54185.894027225928</v>
      </c>
      <c r="N27" s="6">
        <f t="shared" si="6"/>
        <v>397.58698600638826</v>
      </c>
      <c r="O27" s="9">
        <v>54076</v>
      </c>
      <c r="P27" s="6">
        <v>774817</v>
      </c>
      <c r="Q27" s="6">
        <f t="shared" si="3"/>
        <v>56653.608397908531</v>
      </c>
      <c r="R27" s="6"/>
      <c r="S27" s="6"/>
      <c r="T27" s="6"/>
      <c r="U27" s="6"/>
      <c r="V27" s="6"/>
      <c r="W27" s="6"/>
      <c r="X27" s="6"/>
      <c r="Y27" s="6"/>
      <c r="Z27" s="6"/>
      <c r="AA27" s="9">
        <v>762950</v>
      </c>
      <c r="AB27" s="9">
        <v>99084</v>
      </c>
      <c r="AC27" s="9">
        <v>494973</v>
      </c>
      <c r="AD27" s="6">
        <f t="shared" si="4"/>
        <v>57028.600431393636</v>
      </c>
    </row>
    <row r="28" spans="1:40" x14ac:dyDescent="0.15">
      <c r="A28" s="54" t="s">
        <v>28</v>
      </c>
      <c r="B28" s="54"/>
      <c r="C28" s="9">
        <v>54814</v>
      </c>
      <c r="D28" s="9">
        <f t="shared" si="7"/>
        <v>54079.5</v>
      </c>
      <c r="E28" s="9">
        <f t="shared" si="8"/>
        <v>53829</v>
      </c>
      <c r="F28" s="9">
        <f t="shared" si="9"/>
        <v>53562.333333333336</v>
      </c>
      <c r="G28" s="6"/>
      <c r="H28" s="6">
        <f t="shared" si="0"/>
        <v>54369.198715593404</v>
      </c>
      <c r="I28" s="6">
        <f t="shared" si="1"/>
        <v>53978.903298022378</v>
      </c>
      <c r="J28" s="6">
        <f t="shared" si="2"/>
        <v>53609.681886212209</v>
      </c>
      <c r="K28" s="6"/>
      <c r="L28" s="6"/>
      <c r="M28" s="6">
        <f t="shared" si="5"/>
        <v>54737.928734366666</v>
      </c>
      <c r="N28" s="6">
        <f t="shared" si="6"/>
        <v>448.5547339807236</v>
      </c>
      <c r="O28" s="9">
        <v>54814</v>
      </c>
      <c r="P28" s="6">
        <v>780750</v>
      </c>
      <c r="Q28" s="6">
        <f t="shared" si="3"/>
        <v>57230.74427827102</v>
      </c>
      <c r="R28" s="6"/>
      <c r="S28" s="6"/>
      <c r="T28" s="6"/>
      <c r="U28" s="6"/>
      <c r="V28" s="6"/>
      <c r="W28" s="6"/>
      <c r="X28" s="6"/>
      <c r="Y28" s="6"/>
      <c r="Z28" s="6"/>
      <c r="AA28" s="9">
        <v>779080</v>
      </c>
      <c r="AB28" s="9">
        <v>99479</v>
      </c>
      <c r="AC28" s="9">
        <v>510730</v>
      </c>
      <c r="AD28" s="6">
        <f t="shared" si="4"/>
        <v>56173.258048791467</v>
      </c>
    </row>
    <row r="29" spans="1:40" x14ac:dyDescent="0.15">
      <c r="A29" s="54" t="s">
        <v>29</v>
      </c>
      <c r="B29" s="54"/>
      <c r="C29" s="9">
        <v>54902</v>
      </c>
      <c r="D29" s="9">
        <f t="shared" si="7"/>
        <v>54479.5</v>
      </c>
      <c r="E29" s="9">
        <f t="shared" si="8"/>
        <v>54244</v>
      </c>
      <c r="F29" s="9">
        <f t="shared" si="9"/>
        <v>54007.833333333336</v>
      </c>
      <c r="G29" s="6"/>
      <c r="H29" s="6">
        <f t="shared" si="0"/>
        <v>54656.911409172964</v>
      </c>
      <c r="I29" s="6">
        <f t="shared" si="1"/>
        <v>54345.027678043698</v>
      </c>
      <c r="J29" s="6">
        <f t="shared" si="2"/>
        <v>54006.768613801214</v>
      </c>
      <c r="K29" s="6"/>
      <c r="L29" s="6"/>
      <c r="M29" s="6">
        <f t="shared" si="5"/>
        <v>54995.879544554642</v>
      </c>
      <c r="N29" s="6">
        <f t="shared" si="6"/>
        <v>385.65543912911704</v>
      </c>
      <c r="O29" s="9">
        <v>54902</v>
      </c>
      <c r="P29" s="6">
        <v>783894</v>
      </c>
      <c r="Q29" s="6">
        <f t="shared" si="3"/>
        <v>57536.578629840144</v>
      </c>
      <c r="R29" s="6"/>
      <c r="S29" s="6"/>
      <c r="T29" s="6"/>
      <c r="U29" s="6"/>
      <c r="V29" s="6"/>
      <c r="W29" s="6"/>
      <c r="X29" s="6"/>
      <c r="Y29" s="6"/>
      <c r="Z29" s="6"/>
      <c r="AA29" s="9">
        <v>788980</v>
      </c>
      <c r="AB29" s="9">
        <v>99583</v>
      </c>
      <c r="AC29" s="9">
        <v>519480</v>
      </c>
      <c r="AD29" s="6">
        <f t="shared" si="4"/>
        <v>55608.335105000238</v>
      </c>
    </row>
    <row r="30" spans="1:40" x14ac:dyDescent="0.15">
      <c r="A30" s="54" t="s">
        <v>30</v>
      </c>
      <c r="B30" s="54"/>
      <c r="C30" s="9">
        <v>55385</v>
      </c>
      <c r="D30" s="9">
        <f t="shared" si="7"/>
        <v>54794.25</v>
      </c>
      <c r="E30" s="9">
        <f t="shared" si="8"/>
        <v>54660.6</v>
      </c>
      <c r="F30" s="9">
        <f t="shared" si="9"/>
        <v>54434.166666666664</v>
      </c>
      <c r="G30" s="6"/>
      <c r="H30" s="6">
        <f t="shared" si="0"/>
        <v>55050.079248219568</v>
      </c>
      <c r="I30" s="6">
        <f t="shared" si="1"/>
        <v>54725.755525938665</v>
      </c>
      <c r="J30" s="6">
        <f t="shared" si="2"/>
        <v>54395.021546355434</v>
      </c>
      <c r="K30" s="6"/>
      <c r="L30" s="6"/>
      <c r="M30" s="6">
        <f t="shared" si="5"/>
        <v>55383.856544615643</v>
      </c>
      <c r="N30" s="6">
        <f t="shared" si="6"/>
        <v>386.4215542366386</v>
      </c>
      <c r="O30" s="9">
        <v>55385</v>
      </c>
      <c r="P30" s="6">
        <v>789837</v>
      </c>
      <c r="Q30" s="6">
        <f t="shared" si="3"/>
        <v>58114.687265773777</v>
      </c>
      <c r="R30" s="6"/>
      <c r="S30" s="6"/>
      <c r="T30" s="6"/>
      <c r="U30" s="6"/>
      <c r="V30" s="6"/>
      <c r="W30" s="6"/>
      <c r="X30" s="6"/>
      <c r="Y30" s="6"/>
      <c r="Z30" s="6"/>
      <c r="AA30" s="9">
        <v>803730</v>
      </c>
      <c r="AB30" s="9">
        <v>106529</v>
      </c>
      <c r="AC30" s="9">
        <v>533208</v>
      </c>
      <c r="AD30" s="6">
        <f t="shared" si="4"/>
        <v>59863.356273326826</v>
      </c>
    </row>
    <row r="31" spans="1:40" x14ac:dyDescent="0.15">
      <c r="A31" s="54" t="s">
        <v>31</v>
      </c>
      <c r="B31" s="54"/>
      <c r="C31" s="9">
        <v>56230</v>
      </c>
      <c r="D31" s="9">
        <f t="shared" si="7"/>
        <v>55332.75</v>
      </c>
      <c r="E31" s="9">
        <f t="shared" si="8"/>
        <v>55081.4</v>
      </c>
      <c r="F31" s="9">
        <f t="shared" si="9"/>
        <v>54922.166666666664</v>
      </c>
      <c r="G31" s="6"/>
      <c r="H31" s="6">
        <f t="shared" si="0"/>
        <v>55687.236454181002</v>
      </c>
      <c r="I31" s="6">
        <f t="shared" si="1"/>
        <v>55244.955227189523</v>
      </c>
      <c r="J31" s="6">
        <f t="shared" si="2"/>
        <v>54853.985734005837</v>
      </c>
      <c r="K31" s="6"/>
      <c r="L31" s="6"/>
      <c r="M31" s="6">
        <f t="shared" si="5"/>
        <v>56078.291772621254</v>
      </c>
      <c r="N31" s="6">
        <f t="shared" si="6"/>
        <v>488.06606658039971</v>
      </c>
      <c r="O31" s="9">
        <v>56230</v>
      </c>
      <c r="P31" s="6">
        <v>801924</v>
      </c>
      <c r="Q31" s="6">
        <f t="shared" si="3"/>
        <v>59290.456924621139</v>
      </c>
      <c r="R31" s="6"/>
      <c r="S31" s="6"/>
      <c r="T31" s="6"/>
      <c r="U31" s="6"/>
      <c r="V31" s="6"/>
      <c r="W31" s="6"/>
      <c r="X31" s="6"/>
      <c r="Y31" s="6"/>
      <c r="Z31" s="6"/>
      <c r="AA31" s="9">
        <v>798840</v>
      </c>
      <c r="AB31" s="9">
        <v>102509</v>
      </c>
      <c r="AC31" s="9">
        <v>512728</v>
      </c>
      <c r="AD31" s="6">
        <f t="shared" si="4"/>
        <v>58274.758469624481</v>
      </c>
    </row>
    <row r="32" spans="1:40" x14ac:dyDescent="0.15">
      <c r="A32" s="54" t="s">
        <v>32</v>
      </c>
      <c r="B32" s="54"/>
      <c r="C32" s="9">
        <v>57203</v>
      </c>
      <c r="D32" s="9">
        <f t="shared" si="7"/>
        <v>55930</v>
      </c>
      <c r="E32" s="9">
        <f t="shared" si="8"/>
        <v>55706.8</v>
      </c>
      <c r="F32" s="9">
        <f t="shared" si="9"/>
        <v>55435</v>
      </c>
      <c r="G32" s="6"/>
      <c r="H32" s="6">
        <f t="shared" si="0"/>
        <v>56505.748768923266</v>
      </c>
      <c r="I32" s="6">
        <f t="shared" si="1"/>
        <v>55925.783739725746</v>
      </c>
      <c r="J32" s="6">
        <f t="shared" si="2"/>
        <v>55432.756657094593</v>
      </c>
      <c r="K32" s="6"/>
      <c r="L32" s="6"/>
      <c r="M32" s="6">
        <f t="shared" si="5"/>
        <v>56992.908086936543</v>
      </c>
      <c r="N32" s="6">
        <f t="shared" si="6"/>
        <v>628.82764833291276</v>
      </c>
      <c r="O32" s="9">
        <v>57203</v>
      </c>
      <c r="P32" s="6">
        <v>813282</v>
      </c>
      <c r="Q32" s="6">
        <f t="shared" si="3"/>
        <v>60395.312702331757</v>
      </c>
      <c r="R32" s="6"/>
      <c r="S32" s="6"/>
      <c r="T32" s="6"/>
      <c r="U32" s="6"/>
      <c r="V32" s="6"/>
      <c r="W32" s="6"/>
      <c r="X32" s="6"/>
      <c r="Y32" s="6"/>
      <c r="Z32" s="6"/>
      <c r="AA32" s="9">
        <v>801190</v>
      </c>
      <c r="AB32" s="9">
        <v>102840</v>
      </c>
      <c r="AC32" s="9">
        <v>524321</v>
      </c>
      <c r="AD32" s="6">
        <f t="shared" si="4"/>
        <v>57701.766290609135</v>
      </c>
    </row>
    <row r="33" spans="1:30" x14ac:dyDescent="0.15">
      <c r="A33" s="54" t="s">
        <v>33</v>
      </c>
      <c r="B33" s="54"/>
      <c r="C33" s="9">
        <v>57300</v>
      </c>
      <c r="D33" s="9">
        <f t="shared" si="7"/>
        <v>56529.5</v>
      </c>
      <c r="E33" s="9">
        <f t="shared" si="8"/>
        <v>56204</v>
      </c>
      <c r="F33" s="9">
        <f t="shared" si="9"/>
        <v>55972.333333333336</v>
      </c>
      <c r="G33" s="6"/>
      <c r="H33" s="6">
        <f t="shared" si="0"/>
        <v>56934.6444337047</v>
      </c>
      <c r="I33" s="6">
        <f t="shared" si="1"/>
        <v>56470.568514474377</v>
      </c>
      <c r="J33" s="6">
        <f t="shared" si="2"/>
        <v>55993.17506007968</v>
      </c>
      <c r="K33" s="6"/>
      <c r="L33" s="6"/>
      <c r="M33" s="6">
        <f t="shared" si="5"/>
        <v>57406.172792638914</v>
      </c>
      <c r="N33" s="6">
        <f t="shared" si="6"/>
        <v>557.69187726483403</v>
      </c>
      <c r="O33" s="9">
        <v>57300</v>
      </c>
      <c r="P33" s="6">
        <v>822586</v>
      </c>
      <c r="Q33" s="6">
        <f t="shared" si="3"/>
        <v>61300.364485728445</v>
      </c>
      <c r="R33" s="6"/>
      <c r="S33" s="6"/>
      <c r="T33" s="6"/>
      <c r="U33" s="6"/>
      <c r="V33" s="6"/>
      <c r="W33" s="6"/>
      <c r="X33" s="6"/>
      <c r="Y33" s="6"/>
      <c r="Z33" s="6"/>
      <c r="AA33" s="9">
        <v>823940</v>
      </c>
      <c r="AB33" s="9">
        <v>102734</v>
      </c>
      <c r="AC33" s="9">
        <v>535771</v>
      </c>
      <c r="AD33" s="6">
        <f t="shared" si="4"/>
        <v>56752.629643119973</v>
      </c>
    </row>
    <row r="34" spans="1:30" x14ac:dyDescent="0.15">
      <c r="A34" s="54" t="s">
        <v>34</v>
      </c>
      <c r="B34" s="54"/>
      <c r="C34" s="9">
        <v>58477</v>
      </c>
      <c r="D34" s="9">
        <f t="shared" si="7"/>
        <v>57302.5</v>
      </c>
      <c r="E34" s="9">
        <f t="shared" si="8"/>
        <v>56919</v>
      </c>
      <c r="F34" s="9">
        <f t="shared" si="9"/>
        <v>56582.833333333336</v>
      </c>
      <c r="G34" s="6"/>
      <c r="H34" s="6">
        <f t="shared" si="0"/>
        <v>57767.516439504165</v>
      </c>
      <c r="I34" s="6">
        <f t="shared" si="1"/>
        <v>57170.920393990462</v>
      </c>
      <c r="J34" s="6">
        <f t="shared" si="2"/>
        <v>56629.157540391505</v>
      </c>
      <c r="K34" s="6"/>
      <c r="L34" s="6"/>
      <c r="M34" s="6">
        <f t="shared" si="5"/>
        <v>58307.665341068234</v>
      </c>
      <c r="N34" s="6">
        <f t="shared" si="6"/>
        <v>671.14609874911434</v>
      </c>
      <c r="O34" s="9">
        <v>58477</v>
      </c>
      <c r="P34" s="6">
        <v>833283</v>
      </c>
      <c r="Q34" s="6">
        <f t="shared" si="3"/>
        <v>62340.92112018614</v>
      </c>
      <c r="R34" s="6"/>
      <c r="S34" s="6"/>
      <c r="T34" s="6"/>
      <c r="U34" s="6"/>
      <c r="V34" s="6"/>
      <c r="W34" s="6"/>
      <c r="X34" s="6"/>
      <c r="Y34" s="6"/>
      <c r="Z34" s="6"/>
      <c r="AA34" s="9">
        <v>843190</v>
      </c>
      <c r="AB34" s="9">
        <v>110927</v>
      </c>
      <c r="AC34" s="9">
        <v>548655</v>
      </c>
      <c r="AD34" s="6">
        <f t="shared" si="4"/>
        <v>61999.831243127388</v>
      </c>
    </row>
    <row r="35" spans="1:30" x14ac:dyDescent="0.15">
      <c r="A35" s="54" t="s">
        <v>35</v>
      </c>
      <c r="B35" s="54"/>
      <c r="C35" s="9">
        <v>58865</v>
      </c>
      <c r="D35" s="9">
        <f t="shared" si="7"/>
        <v>57961.25</v>
      </c>
      <c r="E35" s="9">
        <f t="shared" si="8"/>
        <v>57615</v>
      </c>
      <c r="F35" s="9">
        <f t="shared" si="9"/>
        <v>57243.333333333336</v>
      </c>
      <c r="G35" s="6"/>
      <c r="H35" s="6">
        <f t="shared" si="0"/>
        <v>58360.157562171917</v>
      </c>
      <c r="I35" s="6">
        <f t="shared" si="1"/>
        <v>57813.108464808451</v>
      </c>
      <c r="J35" s="6">
        <f t="shared" si="2"/>
        <v>57268.491039576649</v>
      </c>
      <c r="K35" s="6"/>
      <c r="L35" s="6"/>
      <c r="M35" s="6">
        <f t="shared" si="5"/>
        <v>58902.557775139721</v>
      </c>
      <c r="N35" s="6">
        <f t="shared" si="6"/>
        <v>645.98238940549743</v>
      </c>
      <c r="O35" s="9">
        <v>58865</v>
      </c>
      <c r="P35" s="6">
        <v>832654</v>
      </c>
      <c r="Q35" s="6">
        <f t="shared" si="3"/>
        <v>62279.734794760887</v>
      </c>
      <c r="R35" s="6"/>
      <c r="S35" s="6"/>
      <c r="T35" s="6"/>
      <c r="U35" s="6"/>
      <c r="V35" s="6"/>
      <c r="W35" s="6"/>
      <c r="X35" s="6"/>
      <c r="Y35" s="6"/>
      <c r="Z35" s="6"/>
      <c r="AA35" s="9">
        <v>823520</v>
      </c>
      <c r="AB35" s="9">
        <v>105348</v>
      </c>
      <c r="AC35" s="9">
        <v>529242</v>
      </c>
      <c r="AD35" s="6">
        <f t="shared" si="4"/>
        <v>59194.709238586562</v>
      </c>
    </row>
    <row r="36" spans="1:30" x14ac:dyDescent="0.15">
      <c r="A36" s="54" t="s">
        <v>36</v>
      </c>
      <c r="B36" s="54"/>
      <c r="C36" s="9">
        <v>60320</v>
      </c>
      <c r="D36" s="9">
        <f t="shared" si="7"/>
        <v>58740.5</v>
      </c>
      <c r="E36" s="9">
        <f t="shared" si="8"/>
        <v>58433</v>
      </c>
      <c r="F36" s="9">
        <f t="shared" si="9"/>
        <v>58065.833333333336</v>
      </c>
      <c r="G36" s="6"/>
      <c r="H36" s="6">
        <f t="shared" ref="H36:H54" si="10">exp*C36+(1-exp)*H35</f>
        <v>59418.472478599084</v>
      </c>
      <c r="I36" s="6">
        <f t="shared" ref="I36:I54" si="11">exp*H36+(1-exp)*I35</f>
        <v>58680.005032255394</v>
      </c>
      <c r="J36" s="6">
        <f t="shared" ref="J36:J54" si="12">exp*I36+(1-exp)*J35</f>
        <v>58030.708595623175</v>
      </c>
      <c r="K36" s="6"/>
      <c r="L36" s="6"/>
      <c r="M36" s="6">
        <f t="shared" si="5"/>
        <v>60065.418254299919</v>
      </c>
      <c r="N36" s="6">
        <f t="shared" si="6"/>
        <v>816.55215902454847</v>
      </c>
      <c r="O36" s="9">
        <v>60320</v>
      </c>
      <c r="P36" s="6">
        <v>843116</v>
      </c>
      <c r="Q36" s="6">
        <f t="shared" si="3"/>
        <v>63297.431673296589</v>
      </c>
      <c r="R36" s="6"/>
      <c r="S36" s="6"/>
      <c r="T36" s="6"/>
      <c r="U36" s="6"/>
      <c r="V36" s="6"/>
      <c r="W36" s="6"/>
      <c r="X36" s="6"/>
      <c r="Y36" s="6"/>
      <c r="Z36" s="6"/>
      <c r="AA36" s="9">
        <v>833550</v>
      </c>
      <c r="AB36" s="9">
        <v>105794</v>
      </c>
      <c r="AC36" s="9">
        <v>540337</v>
      </c>
      <c r="AD36" s="6">
        <f t="shared" si="4"/>
        <v>58723.213452047974</v>
      </c>
    </row>
    <row r="37" spans="1:30" x14ac:dyDescent="0.15">
      <c r="A37" s="54" t="s">
        <v>37</v>
      </c>
      <c r="B37" s="54"/>
      <c r="C37" s="9">
        <v>59234</v>
      </c>
      <c r="D37" s="9">
        <f t="shared" si="7"/>
        <v>59224</v>
      </c>
      <c r="E37" s="9">
        <f t="shared" si="8"/>
        <v>58839.199999999997</v>
      </c>
      <c r="F37" s="9">
        <f t="shared" si="9"/>
        <v>58566.5</v>
      </c>
      <c r="G37" s="6"/>
      <c r="H37" s="6">
        <f t="shared" si="10"/>
        <v>59318.857340155577</v>
      </c>
      <c r="I37" s="6">
        <f t="shared" si="11"/>
        <v>59024.98527852149</v>
      </c>
      <c r="J37" s="6">
        <f t="shared" si="12"/>
        <v>58567.618004388263</v>
      </c>
      <c r="K37" s="6"/>
      <c r="L37" s="6"/>
      <c r="M37" s="6">
        <f t="shared" ref="M37:M54" si="13">Alpha*C37+(1-Alpha)*(M36+N36)</f>
        <v>59777.830236397072</v>
      </c>
      <c r="N37" s="6">
        <f t="shared" ref="N37:N54" si="14">Beta*(M37-M36)+(1-Beta)*N36</f>
        <v>452.18590063850814</v>
      </c>
      <c r="O37" s="9">
        <v>59234</v>
      </c>
      <c r="P37" s="6">
        <v>841044</v>
      </c>
      <c r="Q37" s="6">
        <f t="shared" si="3"/>
        <v>63095.876718954583</v>
      </c>
      <c r="R37" s="6"/>
      <c r="S37" s="6"/>
      <c r="T37" s="6"/>
      <c r="U37" s="6"/>
      <c r="V37" s="6"/>
      <c r="W37" s="6"/>
      <c r="X37" s="6"/>
      <c r="Y37" s="6"/>
      <c r="Z37" s="6"/>
      <c r="AA37" s="9">
        <v>842260</v>
      </c>
      <c r="AB37" s="9">
        <v>105508</v>
      </c>
      <c r="AC37" s="9">
        <v>548344</v>
      </c>
      <c r="AD37" s="6">
        <f t="shared" si="4"/>
        <v>57918.40005952408</v>
      </c>
    </row>
    <row r="38" spans="1:30" x14ac:dyDescent="0.15">
      <c r="A38" s="54" t="s">
        <v>38</v>
      </c>
      <c r="B38" s="54"/>
      <c r="C38" s="9">
        <v>60213</v>
      </c>
      <c r="D38" s="9">
        <f t="shared" si="7"/>
        <v>59658</v>
      </c>
      <c r="E38" s="9">
        <f t="shared" si="8"/>
        <v>59421.8</v>
      </c>
      <c r="F38" s="9">
        <f t="shared" si="9"/>
        <v>59068.166666666664</v>
      </c>
      <c r="G38" s="6"/>
      <c r="H38" s="6">
        <f t="shared" si="10"/>
        <v>59801.694376471569</v>
      </c>
      <c r="I38" s="6">
        <f t="shared" si="11"/>
        <v>59444.408191414535</v>
      </c>
      <c r="J38" s="6">
        <f t="shared" si="12"/>
        <v>59041.084705382447</v>
      </c>
      <c r="K38" s="6"/>
      <c r="L38" s="6"/>
      <c r="M38" s="6">
        <f t="shared" si="13"/>
        <v>60218.615325221734</v>
      </c>
      <c r="N38" s="6">
        <f t="shared" si="14"/>
        <v>448.42363273993863</v>
      </c>
      <c r="O38" s="9">
        <v>60213</v>
      </c>
      <c r="P38" s="6">
        <v>853439</v>
      </c>
      <c r="Q38" s="6">
        <f t="shared" si="3"/>
        <v>64301.607249393324</v>
      </c>
      <c r="R38" s="6"/>
      <c r="S38" s="6"/>
      <c r="T38" s="6"/>
      <c r="U38" s="6"/>
      <c r="V38" s="6"/>
      <c r="W38" s="6"/>
      <c r="X38" s="6"/>
      <c r="Y38" s="6"/>
      <c r="Z38" s="6"/>
      <c r="AA38" s="9">
        <v>866120</v>
      </c>
      <c r="AB38" s="9">
        <v>113866</v>
      </c>
      <c r="AC38" s="9">
        <v>565983</v>
      </c>
      <c r="AD38" s="6">
        <f t="shared" si="4"/>
        <v>62942.882609461383</v>
      </c>
    </row>
    <row r="39" spans="1:30" x14ac:dyDescent="0.15">
      <c r="A39" s="54" t="s">
        <v>39</v>
      </c>
      <c r="B39" s="54"/>
      <c r="C39" s="9">
        <v>61969</v>
      </c>
      <c r="D39" s="9">
        <f t="shared" si="7"/>
        <v>60434</v>
      </c>
      <c r="E39" s="9">
        <f t="shared" si="8"/>
        <v>60120.2</v>
      </c>
      <c r="F39" s="9">
        <f t="shared" si="9"/>
        <v>59846.333333333336</v>
      </c>
      <c r="G39" s="6"/>
      <c r="H39" s="6">
        <f t="shared" si="10"/>
        <v>60972.039413176921</v>
      </c>
      <c r="I39" s="6">
        <f t="shared" si="11"/>
        <v>60269.329051166227</v>
      </c>
      <c r="J39" s="6">
        <f t="shared" si="12"/>
        <v>59704.336652105689</v>
      </c>
      <c r="K39" s="6"/>
      <c r="L39" s="6"/>
      <c r="M39" s="6">
        <f t="shared" si="13"/>
        <v>61539.352856127356</v>
      </c>
      <c r="N39" s="6">
        <f t="shared" si="14"/>
        <v>736.28721913461425</v>
      </c>
      <c r="O39" s="9">
        <v>61969</v>
      </c>
      <c r="P39" s="6">
        <v>861967</v>
      </c>
      <c r="Q39" s="6">
        <f t="shared" si="3"/>
        <v>65131.173200468875</v>
      </c>
      <c r="R39" s="6"/>
      <c r="S39" s="6"/>
      <c r="T39" s="6"/>
      <c r="U39" s="6"/>
      <c r="V39" s="6"/>
      <c r="W39" s="6"/>
      <c r="X39" s="6"/>
      <c r="Y39" s="6"/>
      <c r="Z39" s="6"/>
      <c r="AA39" s="9">
        <v>851580</v>
      </c>
      <c r="AB39" s="9">
        <v>110083</v>
      </c>
      <c r="AC39" s="9">
        <v>544878</v>
      </c>
      <c r="AD39" s="6">
        <f t="shared" si="4"/>
        <v>61603.998993469679</v>
      </c>
    </row>
    <row r="40" spans="1:30" x14ac:dyDescent="0.15">
      <c r="A40" s="54" t="s">
        <v>40</v>
      </c>
      <c r="B40" s="54"/>
      <c r="C40" s="9">
        <v>63458</v>
      </c>
      <c r="D40" s="9">
        <f t="shared" si="7"/>
        <v>61218.5</v>
      </c>
      <c r="E40" s="9">
        <f t="shared" si="8"/>
        <v>61038.8</v>
      </c>
      <c r="F40" s="9">
        <f t="shared" si="9"/>
        <v>60676.5</v>
      </c>
      <c r="G40" s="6"/>
      <c r="H40" s="6">
        <f t="shared" si="10"/>
        <v>62314.458130061379</v>
      </c>
      <c r="I40" s="6">
        <f t="shared" si="11"/>
        <v>61373.698753769611</v>
      </c>
      <c r="J40" s="6">
        <f t="shared" si="12"/>
        <v>60605.792187004205</v>
      </c>
      <c r="K40" s="6"/>
      <c r="L40" s="6"/>
      <c r="M40" s="6">
        <f t="shared" si="13"/>
        <v>63067.821224836451</v>
      </c>
      <c r="N40" s="6">
        <f t="shared" si="14"/>
        <v>997.7069984941927</v>
      </c>
      <c r="O40" s="9">
        <v>63458</v>
      </c>
      <c r="P40" s="6">
        <v>866090</v>
      </c>
      <c r="Q40" s="6">
        <f t="shared" si="3"/>
        <v>65532.240322453457</v>
      </c>
      <c r="R40" s="6"/>
      <c r="S40" s="6"/>
      <c r="T40" s="6"/>
      <c r="U40" s="6"/>
      <c r="V40" s="6"/>
      <c r="W40" s="6"/>
      <c r="X40" s="6"/>
      <c r="Y40" s="6"/>
      <c r="Z40" s="6"/>
      <c r="AA40" s="9">
        <v>852840</v>
      </c>
      <c r="AB40" s="9">
        <v>110297</v>
      </c>
      <c r="AC40" s="9">
        <v>558875</v>
      </c>
      <c r="AD40" s="6">
        <f t="shared" si="4"/>
        <v>60775.794719549071</v>
      </c>
    </row>
    <row r="41" spans="1:30" x14ac:dyDescent="0.15">
      <c r="A41" s="54" t="s">
        <v>41</v>
      </c>
      <c r="B41" s="54"/>
      <c r="C41" s="9">
        <v>63167</v>
      </c>
      <c r="D41" s="9">
        <f t="shared" si="7"/>
        <v>62201.75</v>
      </c>
      <c r="E41" s="9">
        <f t="shared" si="8"/>
        <v>61608.2</v>
      </c>
      <c r="F41" s="9">
        <f t="shared" si="9"/>
        <v>61393.5</v>
      </c>
      <c r="G41" s="6"/>
      <c r="H41" s="6">
        <f t="shared" si="10"/>
        <v>62774.830739828234</v>
      </c>
      <c r="I41" s="6">
        <f t="shared" si="11"/>
        <v>62130.310026241263</v>
      </c>
      <c r="J41" s="6">
        <f t="shared" si="12"/>
        <v>61429.03182019222</v>
      </c>
      <c r="K41" s="6"/>
      <c r="L41" s="6"/>
      <c r="M41" s="6">
        <f t="shared" si="13"/>
        <v>63463.51431369911</v>
      </c>
      <c r="N41" s="6">
        <f t="shared" si="14"/>
        <v>799.04240831578659</v>
      </c>
      <c r="O41" s="9">
        <v>63167</v>
      </c>
      <c r="P41" s="6">
        <v>872136</v>
      </c>
      <c r="Q41" s="6">
        <f t="shared" si="3"/>
        <v>66120.368340769928</v>
      </c>
      <c r="R41" s="6"/>
      <c r="S41" s="6"/>
      <c r="T41" s="6"/>
      <c r="U41" s="6"/>
      <c r="V41" s="6"/>
      <c r="W41" s="6"/>
      <c r="X41" s="6"/>
      <c r="Y41" s="6"/>
      <c r="Z41" s="6"/>
      <c r="AA41" s="9">
        <v>877650</v>
      </c>
      <c r="AB41" s="9">
        <v>111219</v>
      </c>
      <c r="AC41" s="9">
        <v>570414</v>
      </c>
      <c r="AD41" s="6">
        <f t="shared" si="4"/>
        <v>60593.712451060499</v>
      </c>
    </row>
    <row r="42" spans="1:30" x14ac:dyDescent="0.15">
      <c r="A42" s="54" t="s">
        <v>42</v>
      </c>
      <c r="B42" s="54"/>
      <c r="C42" s="9">
        <v>63662</v>
      </c>
      <c r="D42" s="9">
        <f t="shared" si="7"/>
        <v>63064</v>
      </c>
      <c r="E42" s="9">
        <f t="shared" si="8"/>
        <v>62493.8</v>
      </c>
      <c r="F42" s="9">
        <f t="shared" si="9"/>
        <v>61950.5</v>
      </c>
      <c r="G42" s="6"/>
      <c r="H42" s="6">
        <f t="shared" si="10"/>
        <v>63253.902140320992</v>
      </c>
      <c r="I42" s="6">
        <f t="shared" si="11"/>
        <v>62737.049767844321</v>
      </c>
      <c r="J42" s="6">
        <f t="shared" si="12"/>
        <v>62135.361511924348</v>
      </c>
      <c r="K42" s="6"/>
      <c r="L42" s="6"/>
      <c r="M42" s="6">
        <f t="shared" si="13"/>
        <v>63860.183718264918</v>
      </c>
      <c r="N42" s="6">
        <f t="shared" si="14"/>
        <v>666.25931707829352</v>
      </c>
      <c r="O42" s="9">
        <v>63662</v>
      </c>
      <c r="P42" s="6">
        <v>879176</v>
      </c>
      <c r="Q42" s="6">
        <f t="shared" si="3"/>
        <v>66805.188262858544</v>
      </c>
      <c r="R42" s="6"/>
      <c r="S42" s="6"/>
      <c r="T42" s="6"/>
      <c r="U42" s="6"/>
      <c r="V42" s="6"/>
      <c r="W42" s="6"/>
      <c r="X42" s="6"/>
      <c r="Y42" s="6"/>
      <c r="Z42" s="6"/>
      <c r="AA42" s="9">
        <v>891190</v>
      </c>
      <c r="AB42" s="9">
        <v>119302</v>
      </c>
      <c r="AC42" s="9">
        <v>582197</v>
      </c>
      <c r="AD42" s="6">
        <f t="shared" si="4"/>
        <v>65850.630308451044</v>
      </c>
    </row>
    <row r="43" spans="1:30" x14ac:dyDescent="0.15">
      <c r="A43" s="54" t="s">
        <v>43</v>
      </c>
      <c r="B43" s="54"/>
      <c r="C43" s="9">
        <v>65727</v>
      </c>
      <c r="D43" s="9">
        <f t="shared" si="7"/>
        <v>64003.5</v>
      </c>
      <c r="E43" s="9">
        <f t="shared" si="8"/>
        <v>63596.6</v>
      </c>
      <c r="F43" s="9">
        <f t="shared" si="9"/>
        <v>63032.666666666664</v>
      </c>
      <c r="G43" s="6"/>
      <c r="H43" s="6">
        <f t="shared" si="10"/>
        <v>64589.374984547656</v>
      </c>
      <c r="I43" s="6">
        <f t="shared" si="11"/>
        <v>63737.305384864128</v>
      </c>
      <c r="J43" s="6">
        <f t="shared" si="12"/>
        <v>63000.411203311829</v>
      </c>
      <c r="K43" s="6"/>
      <c r="L43" s="6"/>
      <c r="M43" s="6">
        <f t="shared" si="13"/>
        <v>65330.816201663256</v>
      </c>
      <c r="N43" s="6">
        <f t="shared" si="14"/>
        <v>931.70246196390815</v>
      </c>
      <c r="O43" s="9">
        <v>65727</v>
      </c>
      <c r="P43" s="6">
        <v>874257</v>
      </c>
      <c r="Q43" s="6">
        <f t="shared" si="3"/>
        <v>66326.689797410538</v>
      </c>
      <c r="R43" s="6"/>
      <c r="S43" s="6"/>
      <c r="T43" s="6"/>
      <c r="U43" s="6"/>
      <c r="V43" s="6"/>
      <c r="W43" s="6"/>
      <c r="X43" s="6"/>
      <c r="Y43" s="6"/>
      <c r="Z43" s="6"/>
      <c r="AA43" s="9">
        <v>866910</v>
      </c>
      <c r="AB43" s="9">
        <v>115219</v>
      </c>
      <c r="AC43" s="9">
        <v>552362</v>
      </c>
      <c r="AD43" s="6">
        <f t="shared" si="4"/>
        <v>64926.321629837177</v>
      </c>
    </row>
    <row r="44" spans="1:30" x14ac:dyDescent="0.15">
      <c r="A44" s="54" t="s">
        <v>44</v>
      </c>
      <c r="B44" s="54"/>
      <c r="C44" s="9">
        <v>72094</v>
      </c>
      <c r="D44" s="9">
        <f t="shared" si="7"/>
        <v>66162.5</v>
      </c>
      <c r="E44" s="9">
        <f t="shared" si="8"/>
        <v>65621.600000000006</v>
      </c>
      <c r="F44" s="9">
        <f t="shared" si="9"/>
        <v>65012.833333333336</v>
      </c>
      <c r="G44" s="6"/>
      <c r="H44" s="6">
        <f t="shared" si="10"/>
        <v>68641.872492891926</v>
      </c>
      <c r="I44" s="6">
        <f t="shared" si="11"/>
        <v>66385.771623199136</v>
      </c>
      <c r="J44" s="6">
        <f t="shared" si="12"/>
        <v>64828.505830050977</v>
      </c>
      <c r="K44" s="6"/>
      <c r="L44" s="6"/>
      <c r="M44" s="6">
        <f t="shared" si="13"/>
        <v>70169.611158996966</v>
      </c>
      <c r="N44" s="6">
        <f t="shared" si="14"/>
        <v>2221.0429854359427</v>
      </c>
      <c r="O44" s="9">
        <v>72094</v>
      </c>
      <c r="P44" s="6">
        <v>800058</v>
      </c>
      <c r="Q44" s="6">
        <f t="shared" si="3"/>
        <v>59108.940735044795</v>
      </c>
      <c r="R44" s="6"/>
      <c r="S44" s="6"/>
      <c r="T44" s="6"/>
      <c r="U44" s="6"/>
      <c r="V44" s="6"/>
      <c r="W44" s="6"/>
      <c r="X44" s="6"/>
      <c r="Y44" s="6"/>
      <c r="Z44" s="6"/>
      <c r="AA44" s="9">
        <v>787350</v>
      </c>
      <c r="AB44" s="9">
        <v>112835</v>
      </c>
      <c r="AC44" s="9">
        <v>510008</v>
      </c>
      <c r="AD44" s="6">
        <f t="shared" si="4"/>
        <v>66321.408016512316</v>
      </c>
    </row>
    <row r="45" spans="1:30" x14ac:dyDescent="0.15">
      <c r="A45" s="54" t="s">
        <v>45</v>
      </c>
      <c r="B45" s="54"/>
      <c r="C45" s="9">
        <v>67412</v>
      </c>
      <c r="D45" s="9">
        <f t="shared" si="7"/>
        <v>67223.75</v>
      </c>
      <c r="E45" s="9">
        <f t="shared" si="8"/>
        <v>66412.399999999994</v>
      </c>
      <c r="F45" s="9">
        <f t="shared" si="9"/>
        <v>65920</v>
      </c>
      <c r="G45" s="6"/>
      <c r="H45" s="6">
        <f t="shared" si="10"/>
        <v>67977.741346730283</v>
      </c>
      <c r="I45" s="6">
        <f t="shared" si="11"/>
        <v>67245.435273905954</v>
      </c>
      <c r="J45" s="6">
        <f t="shared" si="12"/>
        <v>66133.647729732664</v>
      </c>
      <c r="K45" s="6"/>
      <c r="L45" s="6"/>
      <c r="M45" s="6">
        <f t="shared" si="13"/>
        <v>69054.955867662851</v>
      </c>
      <c r="N45" s="6">
        <f t="shared" si="14"/>
        <v>1120.2625541018238</v>
      </c>
      <c r="O45" s="9">
        <v>67412</v>
      </c>
      <c r="P45" s="6">
        <v>855201</v>
      </c>
      <c r="Q45" s="6">
        <f t="shared" si="3"/>
        <v>64473.006781029711</v>
      </c>
      <c r="R45" s="6"/>
      <c r="S45" s="6"/>
      <c r="T45" s="6"/>
      <c r="U45" s="6"/>
      <c r="V45" s="6"/>
      <c r="W45" s="6"/>
      <c r="X45" s="6"/>
      <c r="Y45" s="6"/>
      <c r="Z45" s="6"/>
      <c r="AA45" s="9">
        <v>861590</v>
      </c>
      <c r="AB45" s="9">
        <v>117890</v>
      </c>
      <c r="AC45" s="9">
        <v>560413</v>
      </c>
      <c r="AD45" s="6">
        <f t="shared" si="4"/>
        <v>66396.777464933693</v>
      </c>
    </row>
    <row r="46" spans="1:30" x14ac:dyDescent="0.15">
      <c r="A46" s="54" t="s">
        <v>46</v>
      </c>
      <c r="B46" s="54"/>
      <c r="C46" s="9">
        <v>70870</v>
      </c>
      <c r="D46" s="9">
        <f t="shared" si="7"/>
        <v>69025.75</v>
      </c>
      <c r="E46" s="9">
        <f t="shared" si="8"/>
        <v>67953</v>
      </c>
      <c r="F46" s="9">
        <f t="shared" si="9"/>
        <v>67155.333333333328</v>
      </c>
      <c r="G46" s="6"/>
      <c r="H46" s="6">
        <f t="shared" si="10"/>
        <v>69539.56101949593</v>
      </c>
      <c r="I46" s="6">
        <f t="shared" si="11"/>
        <v>68484.263176524546</v>
      </c>
      <c r="J46" s="6">
        <f t="shared" si="12"/>
        <v>67402.980071000289</v>
      </c>
      <c r="K46" s="6"/>
      <c r="L46" s="6"/>
      <c r="M46" s="6">
        <f t="shared" si="13"/>
        <v>70640.722079182335</v>
      </c>
      <c r="N46" s="6">
        <f t="shared" si="14"/>
        <v>1273.8787610496515</v>
      </c>
      <c r="O46" s="9">
        <v>70870</v>
      </c>
      <c r="P46" s="6">
        <v>868741</v>
      </c>
      <c r="Q46" s="6">
        <f t="shared" si="3"/>
        <v>65790.117824364948</v>
      </c>
      <c r="R46" s="6"/>
      <c r="S46" s="6"/>
      <c r="T46" s="6"/>
      <c r="U46" s="6"/>
      <c r="V46" s="6"/>
      <c r="W46" s="6"/>
      <c r="X46" s="6"/>
      <c r="Y46" s="6"/>
      <c r="Z46" s="6"/>
      <c r="AA46" s="9">
        <v>889580</v>
      </c>
      <c r="AB46" s="9">
        <v>125950</v>
      </c>
      <c r="AC46" s="9">
        <v>562628</v>
      </c>
      <c r="AD46" s="6">
        <f t="shared" si="4"/>
        <v>72271.874560483673</v>
      </c>
    </row>
    <row r="47" spans="1:30" x14ac:dyDescent="0.15">
      <c r="A47" s="54" t="s">
        <v>47</v>
      </c>
      <c r="B47" s="54"/>
      <c r="C47" s="9">
        <v>72660</v>
      </c>
      <c r="D47" s="9">
        <f t="shared" si="7"/>
        <v>70759</v>
      </c>
      <c r="E47" s="9">
        <f t="shared" si="8"/>
        <v>69752.600000000006</v>
      </c>
      <c r="F47" s="9">
        <f t="shared" si="9"/>
        <v>68737.5</v>
      </c>
      <c r="G47" s="6"/>
      <c r="H47" s="6">
        <f t="shared" si="10"/>
        <v>71224.598068968131</v>
      </c>
      <c r="I47" s="6">
        <f t="shared" si="11"/>
        <v>69964.044018444081</v>
      </c>
      <c r="J47" s="6">
        <f t="shared" si="12"/>
        <v>68785.954602619939</v>
      </c>
      <c r="K47" s="6"/>
      <c r="L47" s="6"/>
      <c r="M47" s="6">
        <f t="shared" si="13"/>
        <v>72414.018277276555</v>
      </c>
      <c r="N47" s="6">
        <f t="shared" si="14"/>
        <v>1438.686515274359</v>
      </c>
      <c r="O47" s="9">
        <v>72660</v>
      </c>
      <c r="P47" s="6">
        <v>870722</v>
      </c>
      <c r="Q47" s="6">
        <f t="shared" si="3"/>
        <v>65982.820703009493</v>
      </c>
      <c r="R47" s="6"/>
      <c r="S47" s="6"/>
      <c r="T47" s="6"/>
      <c r="U47" s="6"/>
      <c r="V47" s="6"/>
      <c r="W47" s="6"/>
      <c r="X47" s="6"/>
      <c r="Y47" s="6"/>
      <c r="Z47" s="6"/>
      <c r="AA47" s="9">
        <v>862030</v>
      </c>
      <c r="AB47" s="9">
        <v>119799</v>
      </c>
      <c r="AC47" s="9">
        <v>526213</v>
      </c>
      <c r="AD47" s="6">
        <f t="shared" si="4"/>
        <v>70253.480122618232</v>
      </c>
    </row>
    <row r="48" spans="1:30" x14ac:dyDescent="0.15">
      <c r="A48" s="54" t="s">
        <v>48</v>
      </c>
      <c r="B48" s="54"/>
      <c r="C48" s="9">
        <v>74026</v>
      </c>
      <c r="D48" s="9">
        <f t="shared" si="7"/>
        <v>71242</v>
      </c>
      <c r="E48" s="9">
        <f t="shared" si="8"/>
        <v>71412.399999999994</v>
      </c>
      <c r="F48" s="9">
        <f t="shared" si="9"/>
        <v>70464.833333333328</v>
      </c>
      <c r="G48" s="6"/>
      <c r="H48" s="6">
        <f t="shared" si="10"/>
        <v>72737.355111725337</v>
      </c>
      <c r="I48" s="6">
        <f t="shared" si="11"/>
        <v>71461.63200881597</v>
      </c>
      <c r="J48" s="6">
        <f t="shared" si="12"/>
        <v>70230.820401965786</v>
      </c>
      <c r="K48" s="6"/>
      <c r="L48" s="6"/>
      <c r="M48" s="6">
        <f t="shared" si="13"/>
        <v>73968.812581541803</v>
      </c>
      <c r="N48" s="6">
        <f t="shared" si="14"/>
        <v>1477.0020856413521</v>
      </c>
      <c r="O48" s="9">
        <v>74026</v>
      </c>
      <c r="P48" s="6">
        <v>889123</v>
      </c>
      <c r="Q48" s="6">
        <f t="shared" si="3"/>
        <v>67772.788229480095</v>
      </c>
      <c r="R48" s="6"/>
      <c r="S48" s="6"/>
      <c r="T48" s="6"/>
      <c r="U48" s="6"/>
      <c r="V48" s="6"/>
      <c r="W48" s="6"/>
      <c r="X48" s="6"/>
      <c r="Y48" s="6"/>
      <c r="Z48" s="6"/>
      <c r="AA48" s="9">
        <v>878060</v>
      </c>
      <c r="AB48" s="9">
        <v>125771</v>
      </c>
      <c r="AC48" s="9">
        <v>555880</v>
      </c>
      <c r="AD48" s="6">
        <f t="shared" si="4"/>
        <v>72643.185524049986</v>
      </c>
    </row>
    <row r="49" spans="1:30" x14ac:dyDescent="0.15">
      <c r="A49" s="54" t="s">
        <v>49</v>
      </c>
      <c r="B49" s="54"/>
      <c r="C49" s="9">
        <v>68448</v>
      </c>
      <c r="D49" s="9">
        <f t="shared" si="7"/>
        <v>71501</v>
      </c>
      <c r="E49" s="9">
        <f t="shared" si="8"/>
        <v>70683.199999999997</v>
      </c>
      <c r="F49" s="9">
        <f t="shared" si="9"/>
        <v>70918.333333333328</v>
      </c>
      <c r="G49" s="6"/>
      <c r="H49" s="6">
        <f t="shared" si="10"/>
        <v>70421.103351393656</v>
      </c>
      <c r="I49" s="6">
        <f t="shared" si="11"/>
        <v>70899.74653380792</v>
      </c>
      <c r="J49" s="6">
        <f t="shared" si="12"/>
        <v>70592.040513160537</v>
      </c>
      <c r="K49" s="6"/>
      <c r="L49" s="6"/>
      <c r="M49" s="6">
        <f t="shared" si="13"/>
        <v>70757.278840170446</v>
      </c>
      <c r="N49" s="6">
        <f t="shared" si="14"/>
        <v>-70.214737272842058</v>
      </c>
      <c r="O49" s="9">
        <v>68448</v>
      </c>
      <c r="P49" s="6">
        <v>909431</v>
      </c>
      <c r="Q49" s="6">
        <f t="shared" si="3"/>
        <v>69748.260243368743</v>
      </c>
      <c r="R49" s="6"/>
      <c r="S49" s="6"/>
      <c r="T49" s="6"/>
      <c r="U49" s="6"/>
      <c r="V49" s="6"/>
      <c r="W49" s="6"/>
      <c r="X49" s="6"/>
      <c r="Y49" s="6"/>
      <c r="Z49" s="6"/>
      <c r="AA49" s="9">
        <v>915990</v>
      </c>
      <c r="AB49" s="9">
        <v>127893</v>
      </c>
      <c r="AC49" s="9">
        <v>593904</v>
      </c>
      <c r="AD49" s="6">
        <f t="shared" si="4"/>
        <v>71467.384302336155</v>
      </c>
    </row>
    <row r="50" spans="1:30" x14ac:dyDescent="0.15">
      <c r="A50" s="54" t="s">
        <v>50</v>
      </c>
      <c r="B50" s="54"/>
      <c r="C50" s="9">
        <v>72670</v>
      </c>
      <c r="D50" s="9">
        <f t="shared" si="7"/>
        <v>71951</v>
      </c>
      <c r="E50" s="9">
        <f t="shared" si="8"/>
        <v>71734.8</v>
      </c>
      <c r="F50" s="9">
        <f t="shared" si="9"/>
        <v>71014.333333333328</v>
      </c>
      <c r="G50" s="6"/>
      <c r="H50" s="6">
        <f t="shared" si="10"/>
        <v>71635.507541641084</v>
      </c>
      <c r="I50" s="6">
        <f t="shared" si="11"/>
        <v>71297.057478037837</v>
      </c>
      <c r="J50" s="6">
        <f t="shared" si="12"/>
        <v>70972.749674194274</v>
      </c>
      <c r="K50" s="6"/>
      <c r="L50" s="6"/>
      <c r="M50" s="6">
        <f t="shared" si="13"/>
        <v>72015.631153956201</v>
      </c>
      <c r="N50" s="6">
        <f t="shared" si="14"/>
        <v>368.21238957649518</v>
      </c>
      <c r="O50" s="9">
        <v>72670</v>
      </c>
      <c r="P50" s="6">
        <v>923239</v>
      </c>
      <c r="Q50" s="6">
        <f t="shared" si="3"/>
        <v>71091.441136010777</v>
      </c>
      <c r="R50" s="6"/>
      <c r="S50" s="6"/>
      <c r="T50" s="6"/>
      <c r="U50" s="6"/>
      <c r="V50" s="6"/>
      <c r="W50" s="6"/>
      <c r="X50" s="6"/>
      <c r="Y50" s="6"/>
      <c r="Z50" s="6"/>
      <c r="AA50" s="9">
        <v>945670</v>
      </c>
      <c r="AB50" s="9">
        <v>136229</v>
      </c>
      <c r="AC50" s="9">
        <v>607537</v>
      </c>
      <c r="AD50" s="6">
        <f t="shared" si="4"/>
        <v>76741.93953071603</v>
      </c>
    </row>
    <row r="51" spans="1:30" x14ac:dyDescent="0.15">
      <c r="A51" s="54" t="s">
        <v>51</v>
      </c>
      <c r="B51" s="54"/>
      <c r="C51" s="9">
        <v>76487</v>
      </c>
      <c r="D51" s="9">
        <f t="shared" si="7"/>
        <v>72907.75</v>
      </c>
      <c r="E51" s="9">
        <f t="shared" si="8"/>
        <v>72858.2</v>
      </c>
      <c r="F51" s="9">
        <f t="shared" si="9"/>
        <v>72526.833333333328</v>
      </c>
      <c r="G51" s="6"/>
      <c r="H51" s="6">
        <f t="shared" si="10"/>
        <v>74255.313469154906</v>
      </c>
      <c r="I51" s="6">
        <f t="shared" si="11"/>
        <v>72894.515713241068</v>
      </c>
      <c r="J51" s="6">
        <f t="shared" si="12"/>
        <v>72010.503335279544</v>
      </c>
      <c r="K51" s="6"/>
      <c r="L51" s="6"/>
      <c r="M51" s="6">
        <f t="shared" si="13"/>
        <v>75132.958369365791</v>
      </c>
      <c r="N51" s="6">
        <f t="shared" si="14"/>
        <v>1275.4202821014167</v>
      </c>
      <c r="O51" s="9">
        <v>76487</v>
      </c>
      <c r="P51" s="6">
        <v>942756</v>
      </c>
      <c r="Q51" s="6">
        <f t="shared" si="3"/>
        <v>72989.968184221565</v>
      </c>
      <c r="R51" s="6"/>
      <c r="S51" s="6"/>
      <c r="T51" s="6"/>
      <c r="U51" s="6"/>
      <c r="V51" s="6"/>
      <c r="W51" s="6"/>
      <c r="X51" s="6"/>
      <c r="Y51" s="6"/>
      <c r="Z51" s="6"/>
      <c r="AA51" s="9">
        <v>936190</v>
      </c>
      <c r="AB51" s="9">
        <v>133971</v>
      </c>
      <c r="AC51" s="9">
        <v>597970</v>
      </c>
      <c r="AD51" s="6">
        <f t="shared" si="4"/>
        <v>75731.290438609518</v>
      </c>
    </row>
    <row r="52" spans="1:30" x14ac:dyDescent="0.15">
      <c r="A52" s="54" t="s">
        <v>52</v>
      </c>
      <c r="B52" s="54"/>
      <c r="C52" s="9">
        <v>81110</v>
      </c>
      <c r="D52" s="9">
        <f t="shared" si="7"/>
        <v>74678.75</v>
      </c>
      <c r="E52" s="9">
        <f t="shared" si="8"/>
        <v>74548.2</v>
      </c>
      <c r="F52" s="9">
        <f t="shared" si="9"/>
        <v>74233.5</v>
      </c>
      <c r="G52" s="6"/>
      <c r="H52" s="6">
        <f t="shared" si="10"/>
        <v>77956.844195811253</v>
      </c>
      <c r="I52" s="6">
        <f t="shared" si="11"/>
        <v>75628.173093828969</v>
      </c>
      <c r="J52" s="6">
        <f t="shared" si="12"/>
        <v>73964.045004896238</v>
      </c>
      <c r="K52" s="6"/>
      <c r="L52" s="6"/>
      <c r="M52" s="6">
        <f t="shared" si="13"/>
        <v>79558.464954984185</v>
      </c>
      <c r="N52" s="6">
        <f t="shared" si="14"/>
        <v>2314.948762262019</v>
      </c>
      <c r="O52" s="9">
        <v>81110</v>
      </c>
      <c r="P52" s="6">
        <v>957666</v>
      </c>
      <c r="Q52" s="6">
        <f t="shared" si="3"/>
        <v>74440.346740804176</v>
      </c>
      <c r="R52" s="6"/>
      <c r="S52" s="6"/>
      <c r="T52" s="6"/>
      <c r="U52" s="6"/>
      <c r="V52" s="6"/>
      <c r="W52" s="6"/>
      <c r="X52" s="6"/>
      <c r="Y52" s="6"/>
      <c r="Z52" s="6"/>
      <c r="AA52" s="9">
        <v>945730</v>
      </c>
      <c r="AB52" s="9">
        <v>133173</v>
      </c>
      <c r="AC52" s="9">
        <v>624694</v>
      </c>
      <c r="AD52" s="6">
        <f t="shared" si="4"/>
        <v>73216.546020198744</v>
      </c>
    </row>
    <row r="53" spans="1:30" x14ac:dyDescent="0.15">
      <c r="A53" s="56" t="s">
        <v>53</v>
      </c>
      <c r="B53" s="56"/>
      <c r="C53" s="11">
        <f>AD53</f>
        <v>74298.277862428426</v>
      </c>
      <c r="D53" s="12">
        <f t="shared" si="7"/>
        <v>76141.319465607114</v>
      </c>
      <c r="E53" s="12">
        <f t="shared" si="8"/>
        <v>74602.655572485688</v>
      </c>
      <c r="F53" s="12">
        <f t="shared" si="9"/>
        <v>74506.546310404738</v>
      </c>
      <c r="G53" s="13"/>
      <c r="H53" s="13">
        <f t="shared" si="10"/>
        <v>75981.21837578452</v>
      </c>
      <c r="I53" s="13">
        <f t="shared" si="11"/>
        <v>75818.81754608496</v>
      </c>
      <c r="J53" s="13">
        <f t="shared" si="12"/>
        <v>74965.622177138139</v>
      </c>
      <c r="K53" s="13"/>
      <c r="L53" s="13"/>
      <c r="M53" s="13">
        <f t="shared" si="13"/>
        <v>76798.072694518283</v>
      </c>
      <c r="N53" s="13">
        <f t="shared" si="14"/>
        <v>640.08622476180506</v>
      </c>
      <c r="O53" s="11">
        <f>C53</f>
        <v>74298.277862428426</v>
      </c>
      <c r="P53" s="13">
        <f>P52*1.02</f>
        <v>976819.32000000007</v>
      </c>
      <c r="Q53" s="13">
        <f t="shared" si="3"/>
        <v>76303.496614403441</v>
      </c>
      <c r="R53" s="13"/>
      <c r="S53" s="13"/>
      <c r="T53" s="13"/>
      <c r="U53" s="13"/>
      <c r="V53" s="13"/>
      <c r="W53" s="13"/>
      <c r="X53" s="13"/>
      <c r="Y53" s="13"/>
      <c r="Z53" s="13"/>
      <c r="AA53" s="12">
        <v>966220</v>
      </c>
      <c r="AB53" s="13">
        <f>AB52*1.02</f>
        <v>135836.46</v>
      </c>
      <c r="AC53" s="13">
        <f>AC52*1.02</f>
        <v>637187.88</v>
      </c>
      <c r="AD53" s="13">
        <f t="shared" si="4"/>
        <v>74298.277862428426</v>
      </c>
    </row>
    <row r="54" spans="1:30" x14ac:dyDescent="0.15">
      <c r="A54" s="56" t="s">
        <v>54</v>
      </c>
      <c r="B54" s="56"/>
      <c r="C54" s="11">
        <f>AD54</f>
        <v>75392.84741099496</v>
      </c>
      <c r="D54" s="12">
        <f t="shared" si="7"/>
        <v>76822.031318355846</v>
      </c>
      <c r="E54" s="12">
        <f t="shared" si="8"/>
        <v>75991.625054684671</v>
      </c>
      <c r="F54" s="12">
        <f t="shared" si="9"/>
        <v>74734.354212237231</v>
      </c>
      <c r="G54" s="13"/>
      <c r="H54" s="13">
        <f t="shared" si="10"/>
        <v>75663.498054798169</v>
      </c>
      <c r="I54" s="13">
        <f t="shared" si="11"/>
        <v>75734.945020790095</v>
      </c>
      <c r="J54" s="13">
        <f t="shared" si="12"/>
        <v>75381.056512710202</v>
      </c>
      <c r="K54" s="13"/>
      <c r="L54" s="13"/>
      <c r="M54" s="13">
        <f t="shared" si="13"/>
        <v>76067.800208729052</v>
      </c>
      <c r="N54" s="13">
        <f t="shared" si="14"/>
        <v>187.86785027996288</v>
      </c>
      <c r="O54" s="11">
        <f>C54</f>
        <v>75392.84741099496</v>
      </c>
      <c r="P54" s="13">
        <f>P53*1.02</f>
        <v>996355.70640000014</v>
      </c>
      <c r="Q54" s="13">
        <f t="shared" si="3"/>
        <v>78203.909485474695</v>
      </c>
      <c r="R54" s="13"/>
      <c r="S54" s="13"/>
      <c r="T54" s="13"/>
      <c r="U54" s="13"/>
      <c r="V54" s="13"/>
      <c r="W54" s="13"/>
      <c r="X54" s="13"/>
      <c r="Y54" s="13"/>
      <c r="Z54" s="13"/>
      <c r="AA54" s="13">
        <f>AA53*1.025</f>
        <v>990375.49999999988</v>
      </c>
      <c r="AB54" s="13">
        <f>AB53*1.02</f>
        <v>138553.18919999999</v>
      </c>
      <c r="AC54" s="13">
        <f>AC53*1.02</f>
        <v>649931.63760000002</v>
      </c>
      <c r="AD54" s="13">
        <f>$AG$19+$AG$20*AA54+$AG$21*AB54+$AG$22*AC54</f>
        <v>75392.84741099496</v>
      </c>
    </row>
    <row r="56" spans="1:30" x14ac:dyDescent="0.15">
      <c r="C56" s="16"/>
      <c r="D56" s="16"/>
      <c r="E56" s="16"/>
      <c r="F56" s="55" t="s">
        <v>56</v>
      </c>
      <c r="G56" s="55"/>
      <c r="H56" s="55"/>
      <c r="I56" s="55"/>
      <c r="J56" s="55"/>
      <c r="K56" s="55"/>
      <c r="L56" s="55"/>
      <c r="M56" s="55"/>
      <c r="N56" s="55"/>
      <c r="O56" s="55" t="s">
        <v>65</v>
      </c>
      <c r="P56" s="55"/>
      <c r="Q56" s="55"/>
    </row>
    <row r="57" spans="1:30" x14ac:dyDescent="0.15">
      <c r="C57" s="16"/>
      <c r="D57" s="16"/>
      <c r="E57" s="16"/>
      <c r="F57" s="14" t="s">
        <v>57</v>
      </c>
      <c r="G57" s="14" t="s">
        <v>102</v>
      </c>
      <c r="H57" s="14" t="s">
        <v>103</v>
      </c>
      <c r="I57" s="14" t="s">
        <v>59</v>
      </c>
      <c r="J57" s="14" t="s">
        <v>102</v>
      </c>
      <c r="K57" s="14" t="s">
        <v>103</v>
      </c>
      <c r="L57" s="14" t="s">
        <v>58</v>
      </c>
      <c r="M57" s="14" t="s">
        <v>102</v>
      </c>
      <c r="N57" s="14" t="s">
        <v>103</v>
      </c>
      <c r="O57" s="14" t="s">
        <v>104</v>
      </c>
      <c r="P57" s="14" t="s">
        <v>102</v>
      </c>
      <c r="Q57" s="14" t="s">
        <v>103</v>
      </c>
    </row>
    <row r="58" spans="1:30" x14ac:dyDescent="0.15">
      <c r="C58" s="55">
        <v>2021</v>
      </c>
      <c r="D58" s="15" t="s">
        <v>105</v>
      </c>
      <c r="E58" s="9">
        <v>72660</v>
      </c>
      <c r="F58" s="9">
        <f>D47</f>
        <v>70759</v>
      </c>
      <c r="G58" s="17">
        <f>(E58-F58)/E58</f>
        <v>2.6162950729424719E-2</v>
      </c>
      <c r="H58" s="18">
        <f>SQRT(0.25*POWER(G62,2))</f>
        <v>1.4531098856403944E-2</v>
      </c>
      <c r="I58" s="19">
        <f>E47</f>
        <v>69752.600000000006</v>
      </c>
      <c r="J58" s="17">
        <f>(E58-I58)/E58</f>
        <v>4.0013762730525655E-2</v>
      </c>
      <c r="K58" s="18">
        <f>SQRT(0.25*POWER(J62,2))</f>
        <v>2.7766982315562818E-2</v>
      </c>
      <c r="L58" s="19">
        <f>F47</f>
        <v>68737.5</v>
      </c>
      <c r="M58" s="17">
        <f>(E58-L58)/E58</f>
        <v>5.3984310487200662E-2</v>
      </c>
      <c r="N58" s="18">
        <f>SQRT(0.25*POWER(M62,2))</f>
        <v>4.4391991422507021E-2</v>
      </c>
      <c r="O58" s="20">
        <f>M47</f>
        <v>72414.018277276555</v>
      </c>
      <c r="P58" s="17">
        <f>(E58-O58)/E58</f>
        <v>3.3853801640991643E-3</v>
      </c>
      <c r="Q58" s="18">
        <f>SQRT(0.25*POWER(P62,2))</f>
        <v>1.0287568237126539E-2</v>
      </c>
    </row>
    <row r="59" spans="1:30" x14ac:dyDescent="0.15">
      <c r="C59" s="55"/>
      <c r="D59" s="15" t="s">
        <v>106</v>
      </c>
      <c r="E59" s="9">
        <v>74026</v>
      </c>
      <c r="F59" s="9">
        <f>D48</f>
        <v>71242</v>
      </c>
      <c r="G59" s="17">
        <f t="shared" ref="G59:G61" si="15">(E59-F59)/E59</f>
        <v>3.7608407856699E-2</v>
      </c>
      <c r="H59" s="19"/>
      <c r="I59" s="19">
        <f t="shared" ref="I59:I61" si="16">E48</f>
        <v>71412.399999999994</v>
      </c>
      <c r="J59" s="17">
        <f t="shared" ref="J59:J61" si="17">(E59-I59)/E59</f>
        <v>3.530651392753905E-2</v>
      </c>
      <c r="K59" s="19"/>
      <c r="L59" s="19">
        <f t="shared" ref="L59:L61" si="18">F48</f>
        <v>70464.833333333328</v>
      </c>
      <c r="M59" s="17">
        <f t="shared" ref="M59:M61" si="19">(E59-L59)/E59</f>
        <v>4.8106971424454539E-2</v>
      </c>
      <c r="N59" s="20"/>
      <c r="O59" s="20">
        <f t="shared" ref="O59:O61" si="20">M48</f>
        <v>73968.812581541803</v>
      </c>
      <c r="P59" s="17">
        <f t="shared" ref="P59:P61" si="21">(E59-O59)/E59</f>
        <v>7.7253152214353741E-4</v>
      </c>
      <c r="Q59" s="6"/>
    </row>
    <row r="60" spans="1:30" x14ac:dyDescent="0.15">
      <c r="C60" s="55"/>
      <c r="D60" s="6" t="s">
        <v>107</v>
      </c>
      <c r="E60" s="9">
        <v>68448</v>
      </c>
      <c r="F60" s="9">
        <f>D49</f>
        <v>71501</v>
      </c>
      <c r="G60" s="17">
        <f t="shared" si="15"/>
        <v>-4.4603202431042543E-2</v>
      </c>
      <c r="H60" s="19"/>
      <c r="I60" s="19">
        <f t="shared" si="16"/>
        <v>70683.199999999997</v>
      </c>
      <c r="J60" s="17">
        <f t="shared" si="17"/>
        <v>-3.2655446470313189E-2</v>
      </c>
      <c r="K60" s="19"/>
      <c r="L60" s="19">
        <f t="shared" si="18"/>
        <v>70918.333333333328</v>
      </c>
      <c r="M60" s="17">
        <f t="shared" si="19"/>
        <v>-3.6090657628175087E-2</v>
      </c>
      <c r="N60" s="20"/>
      <c r="O60" s="20">
        <f t="shared" si="20"/>
        <v>70757.278840170446</v>
      </c>
      <c r="P60" s="17">
        <f t="shared" si="21"/>
        <v>-3.3737710965557E-2</v>
      </c>
      <c r="Q60" s="6"/>
    </row>
    <row r="61" spans="1:30" x14ac:dyDescent="0.15">
      <c r="C61" s="55"/>
      <c r="D61" s="6" t="s">
        <v>108</v>
      </c>
      <c r="E61" s="9">
        <v>72670</v>
      </c>
      <c r="F61" s="9">
        <f>D50</f>
        <v>71951</v>
      </c>
      <c r="G61" s="17">
        <f t="shared" si="15"/>
        <v>9.8940415577267096E-3</v>
      </c>
      <c r="H61" s="19"/>
      <c r="I61" s="19">
        <f t="shared" si="16"/>
        <v>71734.8</v>
      </c>
      <c r="J61" s="17">
        <f t="shared" si="17"/>
        <v>1.2869134443374118E-2</v>
      </c>
      <c r="K61" s="19"/>
      <c r="L61" s="19">
        <f t="shared" si="18"/>
        <v>71014.333333333328</v>
      </c>
      <c r="M61" s="17">
        <f t="shared" si="19"/>
        <v>2.2783358561533941E-2</v>
      </c>
      <c r="N61" s="20"/>
      <c r="O61" s="20">
        <f t="shared" si="20"/>
        <v>72015.631153956201</v>
      </c>
      <c r="P61" s="17">
        <f t="shared" si="21"/>
        <v>9.0046628050612192E-3</v>
      </c>
      <c r="Q61" s="6"/>
    </row>
    <row r="62" spans="1:30" x14ac:dyDescent="0.15">
      <c r="C62" s="16"/>
      <c r="D62" s="16"/>
      <c r="E62" s="16"/>
      <c r="F62" s="13" t="s">
        <v>109</v>
      </c>
      <c r="G62" s="21">
        <f>SUM(G58:G61)</f>
        <v>2.9062197712807887E-2</v>
      </c>
      <c r="H62" s="21"/>
      <c r="I62" s="21"/>
      <c r="J62" s="21">
        <f>SUM(J58:J61)</f>
        <v>5.5533964631125636E-2</v>
      </c>
      <c r="K62" s="21"/>
      <c r="L62" s="21"/>
      <c r="M62" s="21">
        <f>SUM(M58:M61)</f>
        <v>8.8783982845014042E-2</v>
      </c>
      <c r="N62" s="21"/>
      <c r="O62" s="21"/>
      <c r="P62" s="21">
        <f>SUM(P58:P61)</f>
        <v>-2.0575136474253079E-2</v>
      </c>
      <c r="Q62" s="21"/>
    </row>
    <row r="66" spans="3:11" x14ac:dyDescent="0.15">
      <c r="C66" s="16"/>
      <c r="D66" s="16"/>
      <c r="E66" s="16"/>
      <c r="F66" s="57" t="s">
        <v>110</v>
      </c>
      <c r="G66" s="58"/>
      <c r="H66" s="59"/>
      <c r="I66" s="57" t="s">
        <v>101</v>
      </c>
      <c r="J66" s="58"/>
      <c r="K66" s="59"/>
    </row>
    <row r="67" spans="3:11" x14ac:dyDescent="0.15">
      <c r="C67" s="16"/>
      <c r="D67" s="16"/>
      <c r="E67" s="16"/>
      <c r="F67" s="14" t="s">
        <v>71</v>
      </c>
      <c r="G67" s="14" t="s">
        <v>102</v>
      </c>
      <c r="H67" s="14" t="s">
        <v>103</v>
      </c>
      <c r="I67" s="14" t="s">
        <v>71</v>
      </c>
      <c r="J67" s="14" t="s">
        <v>102</v>
      </c>
      <c r="K67" s="14" t="s">
        <v>103</v>
      </c>
    </row>
    <row r="68" spans="3:11" x14ac:dyDescent="0.15">
      <c r="C68" s="55">
        <v>2021</v>
      </c>
      <c r="D68" s="15" t="s">
        <v>105</v>
      </c>
      <c r="E68" s="9">
        <v>72660</v>
      </c>
      <c r="F68" s="9">
        <f>Q47</f>
        <v>65982.820703009493</v>
      </c>
      <c r="G68" s="17">
        <f>(E68-F68)/E68</f>
        <v>9.1896219336505741E-2</v>
      </c>
      <c r="H68" s="18">
        <f>SQRT(0.25*POWER(G72,2))</f>
        <v>8.9547685044403455E-2</v>
      </c>
      <c r="I68" s="20">
        <f>AD47</f>
        <v>70253.480122618232</v>
      </c>
      <c r="J68" s="17">
        <f>(E68-I68)/E68</f>
        <v>3.3120284577233254E-2</v>
      </c>
      <c r="K68" s="18">
        <f>SQRT(0.25*POWER(J72,2))</f>
        <v>2.4172490435404391E-2</v>
      </c>
    </row>
    <row r="69" spans="3:11" x14ac:dyDescent="0.15">
      <c r="C69" s="55"/>
      <c r="D69" s="15" t="s">
        <v>106</v>
      </c>
      <c r="E69" s="9">
        <v>74026</v>
      </c>
      <c r="F69" s="9">
        <f t="shared" ref="F69:F71" si="22">Q48</f>
        <v>67772.788229480095</v>
      </c>
      <c r="G69" s="17">
        <f t="shared" ref="G69:G71" si="23">(E69-F69)/E69</f>
        <v>8.4473181997134855E-2</v>
      </c>
      <c r="H69" s="19"/>
      <c r="I69" s="20">
        <f t="shared" ref="I69:I71" si="24">AD48</f>
        <v>72643.185524049986</v>
      </c>
      <c r="J69" s="17">
        <f>(E69-I69)/E69</f>
        <v>1.8680118822440951E-2</v>
      </c>
      <c r="K69" s="6"/>
    </row>
    <row r="70" spans="3:11" x14ac:dyDescent="0.15">
      <c r="C70" s="55"/>
      <c r="D70" s="6" t="s">
        <v>107</v>
      </c>
      <c r="E70" s="9">
        <v>68448</v>
      </c>
      <c r="F70" s="9">
        <f t="shared" si="22"/>
        <v>69748.260243368743</v>
      </c>
      <c r="G70" s="17">
        <f t="shared" si="23"/>
        <v>-1.8996321928598972E-2</v>
      </c>
      <c r="H70" s="19"/>
      <c r="I70" s="20">
        <f t="shared" si="24"/>
        <v>71467.384302336155</v>
      </c>
      <c r="J70" s="17">
        <f>(E70-I70)/E70</f>
        <v>-4.4112089503508575E-2</v>
      </c>
      <c r="K70" s="6"/>
    </row>
    <row r="71" spans="3:11" x14ac:dyDescent="0.15">
      <c r="C71" s="55"/>
      <c r="D71" s="6" t="s">
        <v>108</v>
      </c>
      <c r="E71" s="9">
        <v>72670</v>
      </c>
      <c r="F71" s="9">
        <f t="shared" si="22"/>
        <v>71091.441136010777</v>
      </c>
      <c r="G71" s="17">
        <f t="shared" si="23"/>
        <v>2.1722290683765282E-2</v>
      </c>
      <c r="H71" s="19"/>
      <c r="I71" s="20">
        <f t="shared" si="24"/>
        <v>76741.93953071603</v>
      </c>
      <c r="J71" s="17">
        <f>(E71-I71)/E71</f>
        <v>-5.6033294766974412E-2</v>
      </c>
      <c r="K71" s="6"/>
    </row>
    <row r="72" spans="3:11" x14ac:dyDescent="0.15">
      <c r="C72" s="16"/>
      <c r="D72" s="16"/>
      <c r="E72" s="16"/>
      <c r="F72" s="13" t="s">
        <v>109</v>
      </c>
      <c r="G72" s="21">
        <f>SUM(G68:G71)</f>
        <v>0.17909537008880691</v>
      </c>
      <c r="H72" s="21"/>
      <c r="I72" s="21"/>
      <c r="J72" s="21">
        <f>SUM(J68:J71)</f>
        <v>-4.8344980870808782E-2</v>
      </c>
      <c r="K72" s="21"/>
    </row>
  </sheetData>
  <mergeCells count="65">
    <mergeCell ref="C68:C71"/>
    <mergeCell ref="F66:H66"/>
    <mergeCell ref="I66:K66"/>
    <mergeCell ref="AA1:AD1"/>
    <mergeCell ref="F56:N56"/>
    <mergeCell ref="O56:Q56"/>
    <mergeCell ref="C58:C61"/>
    <mergeCell ref="D1:F1"/>
    <mergeCell ref="G1:J1"/>
    <mergeCell ref="K1:N1"/>
    <mergeCell ref="O1:Q1"/>
    <mergeCell ref="C1:C2"/>
    <mergeCell ref="A50:B50"/>
    <mergeCell ref="A51:B51"/>
    <mergeCell ref="A52:B52"/>
    <mergeCell ref="A53:B53"/>
    <mergeCell ref="A54:B54"/>
    <mergeCell ref="A49:B49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37:B37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13:B13"/>
    <mergeCell ref="A1:B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AFA53-4C49-41C1-A297-B4ED14E3FF86}">
  <dimension ref="A1:BT1312"/>
  <sheetViews>
    <sheetView topLeftCell="AP545" zoomScale="84" zoomScaleNormal="84" workbookViewId="0">
      <selection activeCell="AQ584" sqref="AQ584"/>
    </sheetView>
  </sheetViews>
  <sheetFormatPr baseColWidth="10" defaultColWidth="9.1640625" defaultRowHeight="14" x14ac:dyDescent="0.2"/>
  <cols>
    <col min="1" max="1" width="12" style="16" bestFit="1" customWidth="1"/>
    <col min="2" max="2" width="11.5" style="16" bestFit="1" customWidth="1"/>
    <col min="3" max="3" width="10.1640625" style="16" bestFit="1" customWidth="1"/>
    <col min="4" max="8" width="9.1640625" style="16"/>
    <col min="9" max="9" width="22.33203125" style="16" customWidth="1"/>
    <col min="10" max="10" width="8.5" style="16" customWidth="1"/>
    <col min="11" max="11" width="16.83203125" style="16" customWidth="1"/>
    <col min="12" max="12" width="33.5" style="16" customWidth="1"/>
    <col min="13" max="13" width="23.5" style="16" hidden="1" customWidth="1"/>
    <col min="14" max="14" width="10.5" style="16" hidden="1" customWidth="1"/>
    <col min="15" max="15" width="8.83203125" style="16" hidden="1" customWidth="1"/>
    <col min="16" max="16" width="8.5" style="16" hidden="1" customWidth="1"/>
    <col min="17" max="17" width="6.1640625" style="16" hidden="1" customWidth="1"/>
    <col min="18" max="18" width="79.33203125" style="16" hidden="1" customWidth="1"/>
    <col min="19" max="19" width="46.1640625" style="16" hidden="1" customWidth="1"/>
    <col min="20" max="20" width="12.5" style="16" hidden="1" customWidth="1"/>
    <col min="21" max="21" width="16.5" style="16" hidden="1" customWidth="1"/>
    <col min="22" max="24" width="9.1640625" style="16"/>
    <col min="25" max="25" width="15.5" style="16" bestFit="1" customWidth="1"/>
    <col min="26" max="26" width="10.33203125" style="16" bestFit="1" customWidth="1"/>
    <col min="27" max="27" width="9.1640625" style="16"/>
    <col min="28" max="28" width="11.33203125" style="16" bestFit="1" customWidth="1"/>
    <col min="29" max="29" width="28.6640625" style="16" hidden="1" customWidth="1"/>
    <col min="30" max="30" width="17.5" style="16" hidden="1" customWidth="1"/>
    <col min="31" max="31" width="23.5" style="16" hidden="1" customWidth="1"/>
    <col min="32" max="32" width="15.5" style="16" hidden="1" customWidth="1"/>
    <col min="33" max="33" width="13.33203125" style="16" hidden="1" customWidth="1"/>
    <col min="34" max="34" width="16" style="16" hidden="1" customWidth="1"/>
    <col min="35" max="35" width="14.5" style="16" hidden="1" customWidth="1"/>
    <col min="36" max="36" width="16.83203125" style="16" hidden="1" customWidth="1"/>
    <col min="37" max="37" width="16.5" style="16" hidden="1" customWidth="1"/>
    <col min="38" max="38" width="12.6640625" style="16" bestFit="1" customWidth="1"/>
    <col min="39" max="44" width="9.1640625" style="16"/>
    <col min="45" max="53" width="0" style="16" hidden="1" customWidth="1"/>
    <col min="54" max="54" width="12.83203125" style="16" bestFit="1" customWidth="1"/>
    <col min="55" max="55" width="9.1640625" style="16"/>
    <col min="56" max="56" width="11" style="16" bestFit="1" customWidth="1"/>
    <col min="57" max="57" width="10.6640625" style="16" bestFit="1" customWidth="1"/>
    <col min="58" max="58" width="15.83203125" style="16" bestFit="1" customWidth="1"/>
    <col min="59" max="59" width="9.83203125" style="16" bestFit="1" customWidth="1"/>
    <col min="60" max="62" width="9.1640625" style="16"/>
    <col min="63" max="63" width="10.1640625" style="16" bestFit="1" customWidth="1"/>
    <col min="64" max="69" width="9.1640625" style="16"/>
    <col min="70" max="70" width="11.5" style="16" bestFit="1" customWidth="1"/>
    <col min="71" max="16384" width="9.1640625" style="16"/>
  </cols>
  <sheetData>
    <row r="1" spans="1:72" ht="69.75" customHeight="1" x14ac:dyDescent="0.2">
      <c r="D1" s="55" t="s">
        <v>111</v>
      </c>
      <c r="E1" s="55"/>
      <c r="F1" s="55"/>
      <c r="G1" s="55"/>
      <c r="H1" s="55"/>
      <c r="I1" s="60" t="s">
        <v>112</v>
      </c>
      <c r="J1" s="64" t="s">
        <v>113</v>
      </c>
      <c r="K1" s="64"/>
      <c r="L1" s="65"/>
      <c r="M1" s="31"/>
      <c r="N1" s="31"/>
      <c r="O1" s="31"/>
      <c r="P1" s="31"/>
      <c r="Q1" s="31"/>
      <c r="R1" s="31"/>
      <c r="S1" s="31"/>
      <c r="T1" s="31"/>
      <c r="U1" s="31"/>
      <c r="V1" s="55" t="s">
        <v>114</v>
      </c>
      <c r="W1" s="55"/>
      <c r="X1" s="55"/>
      <c r="Y1" s="55"/>
      <c r="Z1" s="67" t="s">
        <v>115</v>
      </c>
      <c r="AA1" s="68"/>
      <c r="AB1" s="69"/>
      <c r="AC1" s="31"/>
      <c r="AD1" s="31"/>
      <c r="AE1" s="31"/>
      <c r="AF1" s="31"/>
      <c r="AG1" s="31"/>
      <c r="AH1" s="31"/>
      <c r="AI1" s="31"/>
      <c r="AJ1" s="31"/>
      <c r="AK1" s="31"/>
      <c r="AL1" s="55" t="s">
        <v>116</v>
      </c>
      <c r="AM1" s="55"/>
      <c r="AN1" s="55"/>
      <c r="AO1" s="55"/>
      <c r="AP1" s="55"/>
      <c r="AQ1" s="55"/>
      <c r="AR1" s="55"/>
      <c r="AS1" s="31"/>
      <c r="AT1" s="31"/>
      <c r="AU1" s="31"/>
      <c r="AV1" s="31"/>
      <c r="AW1" s="31"/>
      <c r="AX1" s="31"/>
      <c r="AY1" s="31"/>
      <c r="AZ1" s="31"/>
      <c r="BA1" s="31"/>
      <c r="BB1" s="55" t="s">
        <v>117</v>
      </c>
      <c r="BC1" s="55"/>
      <c r="BD1" s="55"/>
      <c r="BE1" s="55"/>
      <c r="BF1" s="55"/>
      <c r="BG1" s="55"/>
      <c r="BH1" s="55"/>
      <c r="BM1" s="55" t="s">
        <v>111</v>
      </c>
      <c r="BN1" s="55"/>
      <c r="BO1" s="55"/>
      <c r="BP1" s="55"/>
      <c r="BQ1" s="55"/>
      <c r="BR1" s="60" t="s">
        <v>112</v>
      </c>
      <c r="BS1" s="64" t="s">
        <v>113</v>
      </c>
      <c r="BT1" s="64"/>
    </row>
    <row r="2" spans="1:72" x14ac:dyDescent="0.2">
      <c r="D2" s="55"/>
      <c r="E2" s="55"/>
      <c r="F2" s="55"/>
      <c r="G2" s="55"/>
      <c r="H2" s="55"/>
      <c r="I2" s="60"/>
      <c r="J2" s="55" t="s">
        <v>118</v>
      </c>
      <c r="K2" s="55"/>
      <c r="L2" s="66"/>
      <c r="M2" s="31"/>
      <c r="N2" s="31"/>
      <c r="O2" s="31"/>
      <c r="P2" s="31"/>
      <c r="Q2" s="31"/>
      <c r="R2" s="31"/>
      <c r="S2" s="31"/>
      <c r="T2" s="31"/>
      <c r="U2" s="31"/>
      <c r="V2" s="55"/>
      <c r="W2" s="55"/>
      <c r="X2" s="55"/>
      <c r="Y2" s="55"/>
      <c r="Z2" s="70"/>
      <c r="AA2" s="71"/>
      <c r="AB2" s="72"/>
      <c r="AC2" s="31"/>
      <c r="AD2" s="31"/>
      <c r="AE2" s="31"/>
      <c r="AF2" s="31"/>
      <c r="AG2" s="31"/>
      <c r="AH2" s="31"/>
      <c r="AI2" s="31"/>
      <c r="AJ2" s="31"/>
      <c r="AK2" s="31"/>
      <c r="AL2" s="55"/>
      <c r="AM2" s="55"/>
      <c r="AN2" s="55"/>
      <c r="AO2" s="55"/>
      <c r="AP2" s="55"/>
      <c r="AQ2" s="55"/>
      <c r="AR2" s="55"/>
      <c r="AS2" s="31"/>
      <c r="AT2" s="31"/>
      <c r="AU2" s="31"/>
      <c r="AV2" s="31"/>
      <c r="AW2" s="31"/>
      <c r="AX2" s="31"/>
      <c r="AY2" s="31"/>
      <c r="AZ2" s="31"/>
      <c r="BA2" s="31"/>
      <c r="BB2" s="55"/>
      <c r="BC2" s="55"/>
      <c r="BD2" s="55"/>
      <c r="BE2" s="55"/>
      <c r="BF2" s="55"/>
      <c r="BG2" s="55"/>
      <c r="BH2" s="55"/>
      <c r="BM2" s="55"/>
      <c r="BN2" s="55"/>
      <c r="BO2" s="55"/>
      <c r="BP2" s="55"/>
      <c r="BQ2" s="55"/>
      <c r="BR2" s="60"/>
      <c r="BS2" s="55" t="s">
        <v>118</v>
      </c>
      <c r="BT2" s="55"/>
    </row>
    <row r="3" spans="1:72" ht="31.5" customHeight="1" x14ac:dyDescent="0.2">
      <c r="A3" s="4" t="s">
        <v>119</v>
      </c>
      <c r="B3" s="4" t="s">
        <v>120</v>
      </c>
      <c r="C3" s="4" t="s">
        <v>144</v>
      </c>
      <c r="D3" s="6" t="s">
        <v>121</v>
      </c>
      <c r="E3" s="6" t="s">
        <v>59</v>
      </c>
      <c r="F3" s="6" t="s">
        <v>122</v>
      </c>
      <c r="G3" s="6" t="s">
        <v>123</v>
      </c>
      <c r="H3" s="23" t="s">
        <v>124</v>
      </c>
      <c r="I3" s="23" t="s">
        <v>59</v>
      </c>
      <c r="J3" s="6">
        <v>0.4</v>
      </c>
      <c r="K3" s="6">
        <v>0.6</v>
      </c>
      <c r="L3" s="32" t="s">
        <v>125</v>
      </c>
      <c r="M3" s="33"/>
      <c r="N3" s="33"/>
      <c r="O3" s="33"/>
      <c r="P3" s="33"/>
      <c r="Q3" s="33"/>
      <c r="R3" s="33"/>
      <c r="S3" s="33"/>
      <c r="T3" s="33"/>
      <c r="U3" s="33"/>
      <c r="V3" s="6" t="s">
        <v>126</v>
      </c>
      <c r="W3" s="6" t="s">
        <v>127</v>
      </c>
      <c r="X3" s="6" t="s">
        <v>128</v>
      </c>
      <c r="Y3" s="6" t="s">
        <v>129</v>
      </c>
      <c r="Z3" s="6" t="s">
        <v>130</v>
      </c>
      <c r="AA3" s="6" t="s">
        <v>131</v>
      </c>
      <c r="AB3" s="6" t="s">
        <v>132</v>
      </c>
      <c r="AC3" s="33"/>
      <c r="AD3" s="33"/>
      <c r="AE3" s="33"/>
      <c r="AF3" s="33"/>
      <c r="AG3" s="33"/>
      <c r="AH3" s="33"/>
      <c r="AI3" s="33"/>
      <c r="AJ3" s="33"/>
      <c r="AK3" s="33"/>
      <c r="AL3" s="6" t="s">
        <v>133</v>
      </c>
      <c r="AM3" s="6" t="s">
        <v>145</v>
      </c>
      <c r="AN3" s="6" t="s">
        <v>134</v>
      </c>
      <c r="AO3" s="6" t="s">
        <v>0</v>
      </c>
      <c r="AP3" s="6" t="s">
        <v>131</v>
      </c>
      <c r="AQ3" s="6" t="s">
        <v>135</v>
      </c>
      <c r="AR3" s="6" t="s">
        <v>136</v>
      </c>
      <c r="AS3" s="33"/>
      <c r="AT3" s="33"/>
      <c r="AU3" s="33"/>
      <c r="AV3" s="33"/>
      <c r="AW3" s="33"/>
      <c r="AX3" s="33"/>
      <c r="AY3" s="33"/>
      <c r="AZ3" s="33"/>
      <c r="BA3" s="33"/>
      <c r="BB3" s="6" t="s">
        <v>133</v>
      </c>
      <c r="BC3" s="6" t="s">
        <v>145</v>
      </c>
      <c r="BD3" s="17" t="s">
        <v>137</v>
      </c>
      <c r="BE3" s="17" t="s">
        <v>138</v>
      </c>
      <c r="BF3" s="17" t="s">
        <v>139</v>
      </c>
      <c r="BG3" s="17" t="s">
        <v>140</v>
      </c>
      <c r="BH3" s="17" t="s">
        <v>141</v>
      </c>
      <c r="BK3" s="4" t="s">
        <v>120</v>
      </c>
      <c r="BL3" s="4" t="s">
        <v>144</v>
      </c>
      <c r="BM3" s="6" t="s">
        <v>121</v>
      </c>
      <c r="BN3" s="6" t="s">
        <v>59</v>
      </c>
      <c r="BO3" s="6" t="s">
        <v>122</v>
      </c>
      <c r="BP3" s="6" t="s">
        <v>123</v>
      </c>
      <c r="BQ3" s="23" t="s">
        <v>124</v>
      </c>
      <c r="BR3" s="23" t="s">
        <v>59</v>
      </c>
      <c r="BS3" s="6">
        <v>0.4</v>
      </c>
      <c r="BT3" s="6">
        <v>0.6</v>
      </c>
    </row>
    <row r="4" spans="1:72" ht="16" x14ac:dyDescent="0.2">
      <c r="A4" s="76">
        <v>44197</v>
      </c>
      <c r="B4" s="24">
        <v>44198</v>
      </c>
      <c r="C4" s="25">
        <v>190.9</v>
      </c>
      <c r="D4" s="26"/>
      <c r="E4" s="26"/>
      <c r="F4" s="26"/>
      <c r="G4" s="26"/>
      <c r="H4" s="26"/>
      <c r="I4" s="26"/>
      <c r="J4" s="26">
        <f>C4</f>
        <v>190.9</v>
      </c>
      <c r="K4" s="26">
        <f>C4</f>
        <v>190.9</v>
      </c>
      <c r="L4" s="26">
        <f t="shared" ref="L4:L67" si="0">$N$20+$N$21*A611</f>
        <v>222.41147488925927</v>
      </c>
      <c r="M4" t="s">
        <v>72</v>
      </c>
      <c r="N4"/>
      <c r="O4"/>
      <c r="P4"/>
      <c r="Q4"/>
      <c r="R4"/>
      <c r="S4"/>
      <c r="T4"/>
      <c r="U4"/>
      <c r="V4" s="26"/>
      <c r="W4" s="26"/>
      <c r="X4" s="26"/>
      <c r="Y4" s="26"/>
      <c r="Z4" s="26">
        <v>7360.58</v>
      </c>
      <c r="AA4" s="26">
        <f t="shared" ref="AA4:AA67" si="1">$AD$20+$AD$21*Z4</f>
        <v>215.45454775927141</v>
      </c>
      <c r="AB4" s="27">
        <f t="shared" ref="AB4:AB22" si="2">(AA4-C4)/C4</f>
        <v>0.12862518470021686</v>
      </c>
      <c r="AC4" s="16" t="s">
        <v>72</v>
      </c>
      <c r="AL4" s="22">
        <v>44197</v>
      </c>
      <c r="AM4" s="26">
        <f>AVERAGE(C4:C33)</f>
        <v>203.0733333333333</v>
      </c>
      <c r="AN4" s="26">
        <f>LN(AM4)</f>
        <v>5.3135671617549125</v>
      </c>
      <c r="AO4" s="28">
        <v>1</v>
      </c>
      <c r="AP4" s="26">
        <f t="shared" ref="AP4:AP23" si="3">$AT$20+$AT$21*AO4</f>
        <v>5.3962210825135761</v>
      </c>
      <c r="AQ4" s="26">
        <f>AT20</f>
        <v>5.3979287522444244</v>
      </c>
      <c r="AR4" s="26">
        <f t="shared" ref="AR4:AR23" si="4">EXP(AP4)</f>
        <v>220.57131850282107</v>
      </c>
      <c r="AS4" s="16" t="s">
        <v>72</v>
      </c>
      <c r="BB4" s="22">
        <v>44197</v>
      </c>
      <c r="BC4" s="27">
        <v>0</v>
      </c>
      <c r="BD4" s="27">
        <v>5.2600000000000001E-2</v>
      </c>
      <c r="BE4" s="27">
        <v>-0.11849999999999999</v>
      </c>
      <c r="BF4" s="27">
        <v>0</v>
      </c>
      <c r="BG4" s="27">
        <v>6.4999999999999997E-3</v>
      </c>
      <c r="BH4" s="27">
        <v>-0.25</v>
      </c>
      <c r="BK4" s="24">
        <v>44198</v>
      </c>
      <c r="BL4" s="25">
        <v>190.9</v>
      </c>
      <c r="BM4" s="26"/>
      <c r="BN4" s="26"/>
      <c r="BO4" s="26"/>
      <c r="BP4" s="26"/>
      <c r="BQ4" s="26"/>
      <c r="BR4" s="26"/>
      <c r="BS4" s="26">
        <f>BL4</f>
        <v>190.9</v>
      </c>
      <c r="BT4" s="26">
        <f>BL4</f>
        <v>190.9</v>
      </c>
    </row>
    <row r="5" spans="1:72" ht="17" thickBot="1" x14ac:dyDescent="0.25">
      <c r="A5" s="76"/>
      <c r="B5" s="24">
        <v>44199</v>
      </c>
      <c r="C5" s="25">
        <v>199.9</v>
      </c>
      <c r="D5" s="26"/>
      <c r="E5" s="26"/>
      <c r="F5" s="26"/>
      <c r="G5" s="26"/>
      <c r="H5" s="26"/>
      <c r="I5" s="26"/>
      <c r="J5" s="26">
        <f>C5*$J$3+J4*(1-$J$3)</f>
        <v>194.5</v>
      </c>
      <c r="K5" s="26">
        <f>C5*$K$3+K4*(1-$K$3)</f>
        <v>196.3</v>
      </c>
      <c r="L5" s="26">
        <f t="shared" si="0"/>
        <v>222.38179756525909</v>
      </c>
      <c r="M5"/>
      <c r="N5"/>
      <c r="O5"/>
      <c r="P5"/>
      <c r="Q5"/>
      <c r="R5"/>
      <c r="S5"/>
      <c r="T5"/>
      <c r="U5"/>
      <c r="V5" s="26"/>
      <c r="W5" s="26"/>
      <c r="X5" s="26"/>
      <c r="Y5" s="26"/>
      <c r="Z5" s="26">
        <v>8604.9500000000007</v>
      </c>
      <c r="AA5" s="26">
        <f t="shared" si="1"/>
        <v>216.00240574693117</v>
      </c>
      <c r="AB5" s="27">
        <f t="shared" si="2"/>
        <v>8.0552304887099385E-2</v>
      </c>
      <c r="AL5" s="22">
        <v>44228</v>
      </c>
      <c r="AM5" s="26">
        <f>AVERAGE(C34:C61)</f>
        <v>200.5217857142857</v>
      </c>
      <c r="AN5" s="26">
        <f t="shared" ref="AN5:AN23" si="5">LN(AM5)</f>
        <v>5.3009228977729927</v>
      </c>
      <c r="AO5" s="28">
        <v>2</v>
      </c>
      <c r="AP5" s="26">
        <f t="shared" si="3"/>
        <v>5.3945134127827279</v>
      </c>
      <c r="AQ5" s="29" t="s">
        <v>142</v>
      </c>
      <c r="AR5" s="26">
        <f t="shared" si="4"/>
        <v>220.1949769637032</v>
      </c>
      <c r="BB5" s="22">
        <v>44228</v>
      </c>
      <c r="BC5" s="27">
        <f>(AM5-AM4)/AM4</f>
        <v>-1.256466113578476E-2</v>
      </c>
      <c r="BD5" s="27">
        <v>-0.125</v>
      </c>
      <c r="BE5" s="27">
        <v>-4.8399999999999999E-2</v>
      </c>
      <c r="BF5" s="27">
        <v>-1.3332999999999999</v>
      </c>
      <c r="BG5" s="27">
        <v>-4.7199999999999999E-2</v>
      </c>
      <c r="BH5" s="27">
        <v>-5.9499999999999997E-2</v>
      </c>
      <c r="BK5" s="24">
        <v>44199</v>
      </c>
      <c r="BL5" s="25">
        <v>199.9</v>
      </c>
      <c r="BM5" s="26"/>
      <c r="BN5" s="26"/>
      <c r="BO5" s="26"/>
      <c r="BP5" s="26"/>
      <c r="BQ5" s="26"/>
      <c r="BR5" s="26"/>
      <c r="BS5" s="26">
        <f>BL5*$J$3+BS4*(1-$J$3)</f>
        <v>194.5</v>
      </c>
      <c r="BT5" s="26">
        <f>BL5*$K$3+BT4*(1-$K$3)</f>
        <v>196.3</v>
      </c>
    </row>
    <row r="6" spans="1:72" ht="16" x14ac:dyDescent="0.2">
      <c r="A6" s="76"/>
      <c r="B6" s="24">
        <v>44200</v>
      </c>
      <c r="C6" s="25">
        <v>211.52</v>
      </c>
      <c r="D6" s="26">
        <f>AVERAGE(C4:C6)</f>
        <v>200.77333333333334</v>
      </c>
      <c r="E6" s="26"/>
      <c r="F6" s="26"/>
      <c r="G6" s="26"/>
      <c r="H6" s="26"/>
      <c r="I6" s="26"/>
      <c r="J6" s="26">
        <f t="shared" ref="J6:J69" si="6">C6*$J$3+J5*(1-$J$3)</f>
        <v>201.30799999999999</v>
      </c>
      <c r="K6" s="26">
        <f t="shared" ref="K6:K69" si="7">C6*$K$3+K5*(1-$K$3)</f>
        <v>205.43200000000002</v>
      </c>
      <c r="L6" s="26">
        <f t="shared" si="0"/>
        <v>222.36695890325899</v>
      </c>
      <c r="M6" s="3" t="s">
        <v>73</v>
      </c>
      <c r="N6" s="3"/>
      <c r="O6"/>
      <c r="P6"/>
      <c r="Q6"/>
      <c r="R6"/>
      <c r="S6"/>
      <c r="T6"/>
      <c r="U6"/>
      <c r="V6" s="26"/>
      <c r="W6" s="26"/>
      <c r="X6" s="26"/>
      <c r="Y6" s="26"/>
      <c r="Z6" s="26">
        <v>9552.0499999999993</v>
      </c>
      <c r="AA6" s="26">
        <f t="shared" si="1"/>
        <v>216.41938486095077</v>
      </c>
      <c r="AB6" s="27">
        <f t="shared" si="2"/>
        <v>2.3162749909941192E-2</v>
      </c>
      <c r="AC6" s="30" t="s">
        <v>73</v>
      </c>
      <c r="AD6" s="30"/>
      <c r="AL6" s="22">
        <v>44256</v>
      </c>
      <c r="AM6" s="26">
        <f>AVERAGE(C62:C92)</f>
        <v>210.95258064516131</v>
      </c>
      <c r="AN6" s="26">
        <f t="shared" si="5"/>
        <v>5.3516333719402285</v>
      </c>
      <c r="AO6" s="28">
        <v>3</v>
      </c>
      <c r="AP6" s="26">
        <f t="shared" si="3"/>
        <v>5.3928057430518788</v>
      </c>
      <c r="AQ6" s="26">
        <f>EXP(AQ4)</f>
        <v>220.94830325803781</v>
      </c>
      <c r="AR6" s="26">
        <f t="shared" si="4"/>
        <v>219.81927754322058</v>
      </c>
      <c r="AS6" s="30" t="s">
        <v>73</v>
      </c>
      <c r="AT6" s="30"/>
      <c r="BB6" s="22">
        <v>44256</v>
      </c>
      <c r="BC6" s="27">
        <f t="shared" ref="BC6:BC22" si="8">(AM6-AM5)/AM5</f>
        <v>5.201826272252516E-2</v>
      </c>
      <c r="BD6" s="27">
        <v>0.15709999999999999</v>
      </c>
      <c r="BE6" s="27">
        <v>6.7299999999999999E-2</v>
      </c>
      <c r="BF6" s="27">
        <v>-0.35709999999999997</v>
      </c>
      <c r="BG6" s="27">
        <v>7.22E-2</v>
      </c>
      <c r="BH6" s="27">
        <v>-0.20250000000000001</v>
      </c>
      <c r="BK6" s="24">
        <v>44200</v>
      </c>
      <c r="BL6" s="25">
        <v>211.52</v>
      </c>
      <c r="BM6" s="26">
        <f>AVERAGE(BL4:BL6)</f>
        <v>200.77333333333334</v>
      </c>
      <c r="BN6" s="26"/>
      <c r="BO6" s="26"/>
      <c r="BP6" s="26"/>
      <c r="BQ6" s="26"/>
      <c r="BR6" s="26"/>
      <c r="BS6" s="26">
        <f t="shared" ref="BS6:BS69" si="9">BL6*$J$3+BS5*(1-$J$3)</f>
        <v>201.30799999999999</v>
      </c>
      <c r="BT6" s="26">
        <f t="shared" ref="BT6:BT69" si="10">BL6*$K$3+BT5*(1-$K$3)</f>
        <v>205.43200000000002</v>
      </c>
    </row>
    <row r="7" spans="1:72" ht="16" x14ac:dyDescent="0.2">
      <c r="A7" s="76"/>
      <c r="B7" s="24">
        <v>44201</v>
      </c>
      <c r="C7" s="25">
        <v>219.84</v>
      </c>
      <c r="D7" s="26">
        <f t="shared" ref="D7:D70" si="11">AVERAGE(C5:C7)</f>
        <v>210.42</v>
      </c>
      <c r="E7" s="26"/>
      <c r="F7" s="26"/>
      <c r="G7" s="26"/>
      <c r="H7" s="26"/>
      <c r="I7" s="26"/>
      <c r="J7" s="26">
        <f t="shared" si="6"/>
        <v>208.7208</v>
      </c>
      <c r="K7" s="26">
        <f t="shared" si="7"/>
        <v>214.07679999999999</v>
      </c>
      <c r="L7" s="26">
        <f t="shared" si="0"/>
        <v>222.35212024125889</v>
      </c>
      <c r="M7" t="s">
        <v>74</v>
      </c>
      <c r="N7">
        <v>0.14144199336377045</v>
      </c>
      <c r="O7"/>
      <c r="P7"/>
      <c r="Q7"/>
      <c r="R7"/>
      <c r="S7"/>
      <c r="T7"/>
      <c r="U7"/>
      <c r="V7" s="26"/>
      <c r="W7" s="26"/>
      <c r="X7" s="26"/>
      <c r="Y7" s="26"/>
      <c r="Z7" s="26">
        <v>10154.629999999999</v>
      </c>
      <c r="AA7" s="26">
        <f t="shared" si="1"/>
        <v>216.68468237391238</v>
      </c>
      <c r="AB7" s="27">
        <f t="shared" si="2"/>
        <v>-1.4352791239481544E-2</v>
      </c>
      <c r="AC7" s="16" t="s">
        <v>74</v>
      </c>
      <c r="AD7" s="16">
        <v>4.3120290228350282E-2</v>
      </c>
      <c r="AL7" s="22">
        <v>44287</v>
      </c>
      <c r="AM7" s="26">
        <f>AVERAGE(C93:C122)</f>
        <v>212.65266666666668</v>
      </c>
      <c r="AN7" s="26">
        <f t="shared" si="5"/>
        <v>5.3596601617887405</v>
      </c>
      <c r="AO7" s="28">
        <v>4</v>
      </c>
      <c r="AP7" s="26">
        <f t="shared" si="3"/>
        <v>5.3910980733210305</v>
      </c>
      <c r="AQ7" s="29" t="s">
        <v>143</v>
      </c>
      <c r="AR7" s="26">
        <f t="shared" si="4"/>
        <v>219.44421914578282</v>
      </c>
      <c r="AS7" s="16" t="s">
        <v>74</v>
      </c>
      <c r="AT7" s="16">
        <v>0.15059640101839461</v>
      </c>
      <c r="BB7" s="22">
        <v>44287</v>
      </c>
      <c r="BC7" s="27">
        <f t="shared" si="8"/>
        <v>8.0590908928724978E-3</v>
      </c>
      <c r="BD7" s="27">
        <v>-6.1699999999999998E-2</v>
      </c>
      <c r="BE7" s="27">
        <v>-2.1499999999999998E-2</v>
      </c>
      <c r="BF7" s="27">
        <v>0.81479999999999997</v>
      </c>
      <c r="BG7" s="27">
        <v>-3.0700000000000002E-2</v>
      </c>
      <c r="BH7" s="27">
        <v>-0.15870000000000001</v>
      </c>
      <c r="BK7" s="24">
        <v>44201</v>
      </c>
      <c r="BL7" s="25">
        <v>219.84</v>
      </c>
      <c r="BM7" s="26">
        <f t="shared" ref="BM7:BM64" si="12">AVERAGE(BL5:BL7)</f>
        <v>210.42</v>
      </c>
      <c r="BN7" s="26"/>
      <c r="BO7" s="26"/>
      <c r="BP7" s="26"/>
      <c r="BQ7" s="26"/>
      <c r="BR7" s="26"/>
      <c r="BS7" s="26">
        <f t="shared" si="9"/>
        <v>208.7208</v>
      </c>
      <c r="BT7" s="26">
        <f t="shared" si="10"/>
        <v>214.07679999999999</v>
      </c>
    </row>
    <row r="8" spans="1:72" ht="16" x14ac:dyDescent="0.2">
      <c r="A8" s="76"/>
      <c r="B8" s="24">
        <v>44202</v>
      </c>
      <c r="C8" s="25">
        <v>189.48</v>
      </c>
      <c r="D8" s="26">
        <f t="shared" si="11"/>
        <v>206.94666666666669</v>
      </c>
      <c r="E8" s="26">
        <f>AVERAGE(C4:C8)</f>
        <v>202.32800000000003</v>
      </c>
      <c r="F8" s="26"/>
      <c r="G8" s="26"/>
      <c r="H8" s="26"/>
      <c r="I8" s="26">
        <f>(C8*5+C7*4+C6*3+C5*2+C4)/(5+4+3+2+1)</f>
        <v>203.46800000000002</v>
      </c>
      <c r="J8" s="26">
        <f t="shared" si="6"/>
        <v>201.02447999999998</v>
      </c>
      <c r="K8" s="26">
        <f t="shared" si="7"/>
        <v>199.31871999999998</v>
      </c>
      <c r="L8" s="26">
        <f t="shared" si="0"/>
        <v>222.33728157925881</v>
      </c>
      <c r="M8" t="s">
        <v>75</v>
      </c>
      <c r="N8">
        <v>2.0005837486716881E-2</v>
      </c>
      <c r="O8"/>
      <c r="P8"/>
      <c r="Q8"/>
      <c r="R8"/>
      <c r="S8"/>
      <c r="T8"/>
      <c r="U8"/>
      <c r="V8" s="26"/>
      <c r="W8" s="26"/>
      <c r="X8" s="26"/>
      <c r="Y8" s="26"/>
      <c r="Z8" s="26">
        <v>11939.67</v>
      </c>
      <c r="AA8" s="26">
        <f t="shared" si="1"/>
        <v>217.47058079824936</v>
      </c>
      <c r="AB8" s="27">
        <f t="shared" si="2"/>
        <v>0.14772314121938659</v>
      </c>
      <c r="AC8" s="16" t="s">
        <v>75</v>
      </c>
      <c r="AD8" s="16">
        <v>1.8593594293771607E-3</v>
      </c>
      <c r="AL8" s="22">
        <v>44317</v>
      </c>
      <c r="AM8" s="26">
        <f>AVERAGE(C123:C153)</f>
        <v>213.74870967741936</v>
      </c>
      <c r="AN8" s="26">
        <f t="shared" si="5"/>
        <v>5.3648010712017804</v>
      </c>
      <c r="AO8" s="28">
        <v>5</v>
      </c>
      <c r="AP8" s="26">
        <f t="shared" si="3"/>
        <v>5.3893904035901823</v>
      </c>
      <c r="AQ8" s="26">
        <f>AT21</f>
        <v>-1.7076697308484447E-3</v>
      </c>
      <c r="AR8" s="26">
        <f t="shared" si="4"/>
        <v>219.06980067766821</v>
      </c>
      <c r="AS8" s="16" t="s">
        <v>75</v>
      </c>
      <c r="AT8" s="16">
        <v>2.2679275999693122E-2</v>
      </c>
      <c r="BB8" s="22">
        <v>44317</v>
      </c>
      <c r="BC8" s="27">
        <f t="shared" si="8"/>
        <v>5.1541465617768586E-3</v>
      </c>
      <c r="BD8" s="27">
        <v>-3.95E-2</v>
      </c>
      <c r="BE8" s="27">
        <v>6.3E-3</v>
      </c>
      <c r="BF8" s="27">
        <v>-8.1600000000000006E-2</v>
      </c>
      <c r="BG8" s="27">
        <v>3.1199999999999999E-2</v>
      </c>
      <c r="BH8" s="27">
        <v>-0.18870000000000001</v>
      </c>
      <c r="BK8" s="24">
        <v>44202</v>
      </c>
      <c r="BL8" s="25">
        <v>189.48</v>
      </c>
      <c r="BM8" s="26">
        <f t="shared" si="12"/>
        <v>206.94666666666669</v>
      </c>
      <c r="BN8" s="26">
        <f>AVERAGE(BL4:BL8)</f>
        <v>202.32800000000003</v>
      </c>
      <c r="BO8" s="26"/>
      <c r="BP8" s="26"/>
      <c r="BQ8" s="26"/>
      <c r="BR8" s="26">
        <f>(BL8*5+BL7*4+BL6*3+BL5*2+BL4)/(5+4+3+2+1)</f>
        <v>203.46800000000002</v>
      </c>
      <c r="BS8" s="26">
        <f t="shared" si="9"/>
        <v>201.02447999999998</v>
      </c>
      <c r="BT8" s="26">
        <f t="shared" si="10"/>
        <v>199.31871999999998</v>
      </c>
    </row>
    <row r="9" spans="1:72" ht="16" x14ac:dyDescent="0.2">
      <c r="A9" s="76"/>
      <c r="B9" s="24">
        <v>44203</v>
      </c>
      <c r="C9" s="25">
        <v>204.1</v>
      </c>
      <c r="D9" s="26">
        <f t="shared" si="11"/>
        <v>204.47333333333333</v>
      </c>
      <c r="E9" s="26">
        <f t="shared" ref="E9:E72" si="13">AVERAGE(C5:C9)</f>
        <v>204.96799999999999</v>
      </c>
      <c r="F9" s="26"/>
      <c r="G9" s="26"/>
      <c r="H9" s="26"/>
      <c r="I9" s="26">
        <f t="shared" ref="I9:I72" si="14">(C9*5+C8*4+C7*3+C6*2+C5)/(5+4+3+2+1)</f>
        <v>204.05866666666668</v>
      </c>
      <c r="J9" s="26">
        <f t="shared" si="6"/>
        <v>202.25468799999999</v>
      </c>
      <c r="K9" s="26">
        <f t="shared" si="7"/>
        <v>202.18748799999997</v>
      </c>
      <c r="L9" s="26">
        <f t="shared" si="0"/>
        <v>222.32244291725871</v>
      </c>
      <c r="M9" t="s">
        <v>76</v>
      </c>
      <c r="N9">
        <v>1.8383330595138598E-2</v>
      </c>
      <c r="O9"/>
      <c r="P9"/>
      <c r="Q9"/>
      <c r="R9"/>
      <c r="S9"/>
      <c r="T9"/>
      <c r="U9"/>
      <c r="V9" s="26"/>
      <c r="W9" s="26"/>
      <c r="X9" s="26"/>
      <c r="Y9" s="26"/>
      <c r="Z9" s="26">
        <v>11326.61</v>
      </c>
      <c r="AA9" s="26">
        <f t="shared" si="1"/>
        <v>217.20066926235995</v>
      </c>
      <c r="AB9" s="27">
        <f t="shared" si="2"/>
        <v>6.4187502510337863E-2</v>
      </c>
      <c r="AC9" s="16" t="s">
        <v>76</v>
      </c>
      <c r="AD9" s="16">
        <v>2.0680869995559956E-4</v>
      </c>
      <c r="AL9" s="22">
        <v>44348</v>
      </c>
      <c r="AM9" s="26">
        <f>AVERAGE(C123:C183)</f>
        <v>219.41803278688528</v>
      </c>
      <c r="AN9" s="26">
        <f t="shared" si="5"/>
        <v>5.390978735835005</v>
      </c>
      <c r="AO9" s="28">
        <v>6</v>
      </c>
      <c r="AP9" s="26">
        <f t="shared" si="3"/>
        <v>5.387682733859334</v>
      </c>
      <c r="AQ9" s="28"/>
      <c r="AR9" s="26">
        <f t="shared" si="4"/>
        <v>218.6960210470213</v>
      </c>
      <c r="AS9" s="16" t="s">
        <v>76</v>
      </c>
      <c r="AT9" s="16">
        <v>-3.1616319778101705E-2</v>
      </c>
      <c r="BB9" s="22">
        <v>44348</v>
      </c>
      <c r="BC9" s="27">
        <f t="shared" si="8"/>
        <v>2.6523309160657985E-2</v>
      </c>
      <c r="BD9" s="27">
        <v>9.5899999999999999E-2</v>
      </c>
      <c r="BE9" s="27">
        <v>-5.4699999999999999E-2</v>
      </c>
      <c r="BF9" s="27">
        <v>-0.1111</v>
      </c>
      <c r="BG9" s="27">
        <v>-8.0000000000000002E-3</v>
      </c>
      <c r="BH9" s="27">
        <v>0.6512</v>
      </c>
      <c r="BK9" s="24">
        <v>44203</v>
      </c>
      <c r="BL9" s="25">
        <v>204.1</v>
      </c>
      <c r="BM9" s="26">
        <f t="shared" si="12"/>
        <v>204.47333333333333</v>
      </c>
      <c r="BN9" s="26">
        <f t="shared" ref="BN9:BN64" si="15">AVERAGE(BL5:BL9)</f>
        <v>204.96799999999999</v>
      </c>
      <c r="BO9" s="26"/>
      <c r="BP9" s="26"/>
      <c r="BQ9" s="26"/>
      <c r="BR9" s="26">
        <f t="shared" ref="BR9:BR72" si="16">(BL9*5+BL8*4+BL7*3+BL6*2+BL5)/(5+4+3+2+1)</f>
        <v>204.05866666666668</v>
      </c>
      <c r="BS9" s="26">
        <f t="shared" si="9"/>
        <v>202.25468799999999</v>
      </c>
      <c r="BT9" s="26">
        <f t="shared" si="10"/>
        <v>202.18748799999997</v>
      </c>
    </row>
    <row r="10" spans="1:72" ht="16" x14ac:dyDescent="0.2">
      <c r="A10" s="76"/>
      <c r="B10" s="24">
        <v>44204</v>
      </c>
      <c r="C10" s="25">
        <v>211.52</v>
      </c>
      <c r="D10" s="26">
        <f t="shared" si="11"/>
        <v>201.70000000000002</v>
      </c>
      <c r="E10" s="26">
        <f t="shared" si="13"/>
        <v>207.292</v>
      </c>
      <c r="F10" s="26">
        <f>AVERAGE(C4:C10)</f>
        <v>203.8942857142857</v>
      </c>
      <c r="G10" s="26"/>
      <c r="H10" s="26"/>
      <c r="I10" s="26">
        <f t="shared" si="14"/>
        <v>206.24266666666665</v>
      </c>
      <c r="J10" s="26">
        <f t="shared" si="6"/>
        <v>205.96081279999999</v>
      </c>
      <c r="K10" s="26">
        <f t="shared" si="7"/>
        <v>207.78699520000001</v>
      </c>
      <c r="L10" s="26">
        <f t="shared" si="0"/>
        <v>222.30760425525861</v>
      </c>
      <c r="M10" t="s">
        <v>77</v>
      </c>
      <c r="N10">
        <v>18.198155477457842</v>
      </c>
      <c r="O10"/>
      <c r="P10"/>
      <c r="Q10"/>
      <c r="R10"/>
      <c r="S10"/>
      <c r="T10"/>
      <c r="U10"/>
      <c r="V10" s="26"/>
      <c r="W10" s="26"/>
      <c r="X10" s="26"/>
      <c r="Y10" s="26"/>
      <c r="Z10" s="26">
        <v>12355.11</v>
      </c>
      <c r="AA10" s="26">
        <f t="shared" si="1"/>
        <v>217.65348630255545</v>
      </c>
      <c r="AB10" s="27">
        <f t="shared" si="2"/>
        <v>2.8997193185303704E-2</v>
      </c>
      <c r="AC10" s="16" t="s">
        <v>77</v>
      </c>
      <c r="AD10" s="16">
        <v>18.365869588056434</v>
      </c>
      <c r="AL10" s="22">
        <v>44378</v>
      </c>
      <c r="AM10" s="26">
        <f>AVERAGE(C184:C214)</f>
        <v>235.06290322580645</v>
      </c>
      <c r="AN10" s="26">
        <f t="shared" si="5"/>
        <v>5.4598531516273567</v>
      </c>
      <c r="AO10" s="28">
        <v>7</v>
      </c>
      <c r="AP10" s="26">
        <f t="shared" si="3"/>
        <v>5.3859750641284849</v>
      </c>
      <c r="AQ10" s="28"/>
      <c r="AR10" s="26">
        <f t="shared" si="4"/>
        <v>218.32287916384948</v>
      </c>
      <c r="AS10" s="16" t="s">
        <v>77</v>
      </c>
      <c r="AT10" s="16">
        <v>6.8136906382993259E-2</v>
      </c>
      <c r="BB10" s="22">
        <v>44378</v>
      </c>
      <c r="BC10" s="27">
        <f t="shared" si="8"/>
        <v>7.1301662129641855E-2</v>
      </c>
      <c r="BD10" s="27">
        <v>-0.05</v>
      </c>
      <c r="BE10" s="27">
        <v>6.6100000000000006E-2</v>
      </c>
      <c r="BF10" s="27">
        <v>0.125</v>
      </c>
      <c r="BG10" s="27">
        <v>-0.1396</v>
      </c>
      <c r="BH10" s="27">
        <v>-7.0400000000000004E-2</v>
      </c>
      <c r="BK10" s="24">
        <v>44204</v>
      </c>
      <c r="BL10" s="25">
        <v>211.52</v>
      </c>
      <c r="BM10" s="26">
        <f t="shared" si="12"/>
        <v>201.70000000000002</v>
      </c>
      <c r="BN10" s="26">
        <f t="shared" si="15"/>
        <v>207.292</v>
      </c>
      <c r="BO10" s="26">
        <f>AVERAGE(BL4:BL10)</f>
        <v>203.8942857142857</v>
      </c>
      <c r="BP10" s="26"/>
      <c r="BQ10" s="26"/>
      <c r="BR10" s="26">
        <f t="shared" si="16"/>
        <v>206.24266666666665</v>
      </c>
      <c r="BS10" s="26">
        <f t="shared" si="9"/>
        <v>205.96081279999999</v>
      </c>
      <c r="BT10" s="26">
        <f t="shared" si="10"/>
        <v>207.78699520000001</v>
      </c>
    </row>
    <row r="11" spans="1:72" ht="17" thickBot="1" x14ac:dyDescent="0.25">
      <c r="A11" s="76"/>
      <c r="B11" s="24">
        <v>44205</v>
      </c>
      <c r="C11" s="25">
        <v>209.52</v>
      </c>
      <c r="D11" s="26">
        <f t="shared" si="11"/>
        <v>208.38</v>
      </c>
      <c r="E11" s="26">
        <f t="shared" si="13"/>
        <v>206.892</v>
      </c>
      <c r="F11" s="26">
        <f t="shared" ref="F11:F74" si="17">AVERAGE(C5:C11)</f>
        <v>206.5542857142857</v>
      </c>
      <c r="G11" s="26"/>
      <c r="H11" s="26"/>
      <c r="I11" s="26">
        <f t="shared" si="14"/>
        <v>206.98533333333339</v>
      </c>
      <c r="J11" s="26">
        <f t="shared" si="6"/>
        <v>207.38448768000001</v>
      </c>
      <c r="K11" s="26">
        <f t="shared" si="7"/>
        <v>208.82679808</v>
      </c>
      <c r="L11" s="26">
        <f t="shared" si="0"/>
        <v>222.29276559325854</v>
      </c>
      <c r="M11" s="1" t="s">
        <v>78</v>
      </c>
      <c r="N11" s="1">
        <v>606</v>
      </c>
      <c r="O11"/>
      <c r="P11"/>
      <c r="Q11"/>
      <c r="R11"/>
      <c r="S11"/>
      <c r="T11"/>
      <c r="U11"/>
      <c r="V11" s="26"/>
      <c r="W11" s="26"/>
      <c r="X11" s="26"/>
      <c r="Y11" s="26"/>
      <c r="Z11" s="26">
        <v>8952.17</v>
      </c>
      <c r="AA11" s="26">
        <f t="shared" si="1"/>
        <v>216.15527607527019</v>
      </c>
      <c r="AB11" s="27">
        <f t="shared" si="2"/>
        <v>3.1668938885405611E-2</v>
      </c>
      <c r="AC11" s="34" t="s">
        <v>78</v>
      </c>
      <c r="AD11" s="34">
        <v>606</v>
      </c>
      <c r="AL11" s="22">
        <v>44409</v>
      </c>
      <c r="AM11" s="26">
        <f>AVERAGE(C215:C245)</f>
        <v>233.96419354838713</v>
      </c>
      <c r="AN11" s="26">
        <f t="shared" si="5"/>
        <v>5.4551680846251092</v>
      </c>
      <c r="AO11" s="28">
        <v>8</v>
      </c>
      <c r="AP11" s="26">
        <f t="shared" si="3"/>
        <v>5.3842673943976367</v>
      </c>
      <c r="AQ11" s="28"/>
      <c r="AR11" s="26">
        <f t="shared" si="4"/>
        <v>217.95037394002037</v>
      </c>
      <c r="AS11" s="34" t="s">
        <v>78</v>
      </c>
      <c r="AT11" s="34">
        <v>20</v>
      </c>
      <c r="BB11" s="22">
        <v>44409</v>
      </c>
      <c r="BC11" s="27">
        <f t="shared" si="8"/>
        <v>-4.6741091952049868E-3</v>
      </c>
      <c r="BD11" s="27">
        <v>5.2600000000000001E-2</v>
      </c>
      <c r="BE11" s="27">
        <v>4.3400000000000001E-2</v>
      </c>
      <c r="BF11" s="27">
        <v>1.3332999999999999</v>
      </c>
      <c r="BG11" s="27">
        <v>0.2011</v>
      </c>
      <c r="BH11" s="27">
        <v>3.0300000000000001E-2</v>
      </c>
      <c r="BK11" s="24">
        <v>44205</v>
      </c>
      <c r="BL11" s="25">
        <v>209.52</v>
      </c>
      <c r="BM11" s="26">
        <f t="shared" si="12"/>
        <v>208.38</v>
      </c>
      <c r="BN11" s="26">
        <f t="shared" si="15"/>
        <v>206.892</v>
      </c>
      <c r="BO11" s="26">
        <f t="shared" ref="BO11:BO64" si="18">AVERAGE(BL5:BL11)</f>
        <v>206.5542857142857</v>
      </c>
      <c r="BP11" s="26"/>
      <c r="BQ11" s="26"/>
      <c r="BR11" s="26">
        <f t="shared" si="16"/>
        <v>206.98533333333339</v>
      </c>
      <c r="BS11" s="26">
        <f t="shared" si="9"/>
        <v>207.38448768000001</v>
      </c>
      <c r="BT11" s="26">
        <f t="shared" si="10"/>
        <v>208.82679808</v>
      </c>
    </row>
    <row r="12" spans="1:72" ht="16" x14ac:dyDescent="0.2">
      <c r="A12" s="76"/>
      <c r="B12" s="24">
        <v>44206</v>
      </c>
      <c r="C12" s="25">
        <v>217.54</v>
      </c>
      <c r="D12" s="26">
        <f t="shared" si="11"/>
        <v>212.86</v>
      </c>
      <c r="E12" s="26">
        <f t="shared" si="13"/>
        <v>206.43200000000002</v>
      </c>
      <c r="F12" s="26">
        <f t="shared" si="17"/>
        <v>209.07428571428571</v>
      </c>
      <c r="G12" s="26"/>
      <c r="H12" s="26"/>
      <c r="I12" s="26">
        <f t="shared" si="14"/>
        <v>210.53466666666665</v>
      </c>
      <c r="J12" s="26">
        <f t="shared" si="6"/>
        <v>211.44669260800001</v>
      </c>
      <c r="K12" s="26">
        <f t="shared" si="7"/>
        <v>214.05471923200002</v>
      </c>
      <c r="L12" s="26">
        <f t="shared" si="0"/>
        <v>222.27792693125843</v>
      </c>
      <c r="M12"/>
      <c r="N12"/>
      <c r="O12"/>
      <c r="P12"/>
      <c r="Q12"/>
      <c r="R12"/>
      <c r="S12"/>
      <c r="T12"/>
      <c r="U12"/>
      <c r="V12" s="26"/>
      <c r="W12" s="26"/>
      <c r="X12" s="26"/>
      <c r="Y12" s="26"/>
      <c r="Z12" s="26">
        <v>7487.31</v>
      </c>
      <c r="AA12" s="26">
        <f t="shared" si="1"/>
        <v>215.51034309568752</v>
      </c>
      <c r="AB12" s="27">
        <f t="shared" si="2"/>
        <v>-9.3300400124688553E-3</v>
      </c>
      <c r="AL12" s="22">
        <v>44440</v>
      </c>
      <c r="AM12" s="26">
        <f>AVERAGE(C246:C275)</f>
        <v>242.39</v>
      </c>
      <c r="AN12" s="26">
        <f t="shared" si="5"/>
        <v>5.490547999218772</v>
      </c>
      <c r="AO12" s="28">
        <v>9</v>
      </c>
      <c r="AP12" s="26">
        <f t="shared" si="3"/>
        <v>5.3825597246667884</v>
      </c>
      <c r="AQ12" s="28"/>
      <c r="AR12" s="26">
        <f t="shared" si="4"/>
        <v>217.57850428925769</v>
      </c>
      <c r="BB12" s="22">
        <v>44440</v>
      </c>
      <c r="BC12" s="27">
        <f t="shared" si="8"/>
        <v>3.6013230588082618E-2</v>
      </c>
      <c r="BD12" s="27">
        <v>-0.13750000000000001</v>
      </c>
      <c r="BE12" s="27">
        <v>1.5E-3</v>
      </c>
      <c r="BF12" s="27">
        <v>1.3048</v>
      </c>
      <c r="BG12" s="27">
        <v>-5.8999999999999999E-3</v>
      </c>
      <c r="BH12" s="27">
        <v>0.1618</v>
      </c>
      <c r="BK12" s="24">
        <v>44206</v>
      </c>
      <c r="BL12" s="25">
        <v>217.54</v>
      </c>
      <c r="BM12" s="26">
        <f t="shared" si="12"/>
        <v>212.86</v>
      </c>
      <c r="BN12" s="26">
        <f t="shared" si="15"/>
        <v>206.43200000000002</v>
      </c>
      <c r="BO12" s="26">
        <f t="shared" si="18"/>
        <v>209.07428571428571</v>
      </c>
      <c r="BP12" s="26"/>
      <c r="BQ12" s="26"/>
      <c r="BR12" s="26">
        <f t="shared" si="16"/>
        <v>210.53466666666665</v>
      </c>
      <c r="BS12" s="26">
        <f t="shared" si="9"/>
        <v>211.44669260800001</v>
      </c>
      <c r="BT12" s="26">
        <f t="shared" si="10"/>
        <v>214.05471923200002</v>
      </c>
    </row>
    <row r="13" spans="1:72" ht="17" thickBot="1" x14ac:dyDescent="0.25">
      <c r="A13" s="76"/>
      <c r="B13" s="24">
        <v>44207</v>
      </c>
      <c r="C13" s="25">
        <v>189.75</v>
      </c>
      <c r="D13" s="26">
        <f t="shared" si="11"/>
        <v>205.60333333333332</v>
      </c>
      <c r="E13" s="26">
        <f t="shared" si="13"/>
        <v>206.48599999999996</v>
      </c>
      <c r="F13" s="26">
        <f t="shared" si="17"/>
        <v>205.96428571428572</v>
      </c>
      <c r="G13" s="26"/>
      <c r="H13" s="26"/>
      <c r="I13" s="26">
        <f t="shared" si="14"/>
        <v>204.97399999999999</v>
      </c>
      <c r="J13" s="26">
        <f t="shared" si="6"/>
        <v>202.76801556480001</v>
      </c>
      <c r="K13" s="26">
        <f t="shared" si="7"/>
        <v>199.47188769280001</v>
      </c>
      <c r="L13" s="26">
        <f t="shared" si="0"/>
        <v>222.26308826925833</v>
      </c>
      <c r="M13" t="s">
        <v>79</v>
      </c>
      <c r="N13"/>
      <c r="O13"/>
      <c r="P13"/>
      <c r="Q13"/>
      <c r="R13"/>
      <c r="S13"/>
      <c r="T13"/>
      <c r="U13"/>
      <c r="V13" s="26"/>
      <c r="W13" s="26"/>
      <c r="X13" s="26"/>
      <c r="Y13" s="26"/>
      <c r="Z13" s="26">
        <v>9608.3799999999992</v>
      </c>
      <c r="AA13" s="26">
        <f t="shared" si="1"/>
        <v>216.44418523418776</v>
      </c>
      <c r="AB13" s="27">
        <f t="shared" si="2"/>
        <v>0.1406808180984862</v>
      </c>
      <c r="AC13" s="16" t="s">
        <v>79</v>
      </c>
      <c r="AL13" s="22">
        <v>44470</v>
      </c>
      <c r="AM13" s="26">
        <f>AVERAGE(C276:C306)</f>
        <v>246.88903225806453</v>
      </c>
      <c r="AN13" s="26">
        <f t="shared" si="5"/>
        <v>5.5089389735664192</v>
      </c>
      <c r="AO13" s="28">
        <v>10</v>
      </c>
      <c r="AP13" s="26">
        <f t="shared" si="3"/>
        <v>5.3808520549359402</v>
      </c>
      <c r="AQ13" s="28"/>
      <c r="AR13" s="26">
        <f t="shared" si="4"/>
        <v>217.20726912713872</v>
      </c>
      <c r="AS13" s="16" t="s">
        <v>79</v>
      </c>
      <c r="BB13" s="22">
        <v>44470</v>
      </c>
      <c r="BC13" s="27">
        <f t="shared" si="8"/>
        <v>1.8561129824103906E-2</v>
      </c>
      <c r="BD13" s="27">
        <v>1.4500000000000001E-2</v>
      </c>
      <c r="BE13" s="27">
        <v>1.1900000000000001E-2</v>
      </c>
      <c r="BF13" s="27">
        <v>1.4174</v>
      </c>
      <c r="BG13" s="27">
        <v>-1.5599999999999999E-2</v>
      </c>
      <c r="BH13" s="27">
        <v>0.60760000000000003</v>
      </c>
      <c r="BK13" s="24">
        <v>44207</v>
      </c>
      <c r="BL13" s="25">
        <v>189.75</v>
      </c>
      <c r="BM13" s="26">
        <f t="shared" si="12"/>
        <v>205.60333333333332</v>
      </c>
      <c r="BN13" s="26">
        <f t="shared" si="15"/>
        <v>206.48599999999996</v>
      </c>
      <c r="BO13" s="26">
        <f t="shared" si="18"/>
        <v>205.96428571428572</v>
      </c>
      <c r="BP13" s="26"/>
      <c r="BQ13" s="26"/>
      <c r="BR13" s="26">
        <f t="shared" si="16"/>
        <v>204.97399999999999</v>
      </c>
      <c r="BS13" s="26">
        <f t="shared" si="9"/>
        <v>202.76801556480001</v>
      </c>
      <c r="BT13" s="26">
        <f t="shared" si="10"/>
        <v>199.47188769280001</v>
      </c>
    </row>
    <row r="14" spans="1:72" ht="16" x14ac:dyDescent="0.2">
      <c r="A14" s="76"/>
      <c r="B14" s="24">
        <v>44208</v>
      </c>
      <c r="C14" s="25">
        <v>192.89</v>
      </c>
      <c r="D14" s="26">
        <f t="shared" si="11"/>
        <v>200.05999999999997</v>
      </c>
      <c r="E14" s="26">
        <f t="shared" si="13"/>
        <v>204.244</v>
      </c>
      <c r="F14" s="26">
        <f t="shared" si="17"/>
        <v>202.11428571428573</v>
      </c>
      <c r="G14" s="26"/>
      <c r="H14" s="26"/>
      <c r="I14" s="26">
        <f t="shared" si="14"/>
        <v>200.44199999999998</v>
      </c>
      <c r="J14" s="26">
        <f t="shared" si="6"/>
        <v>198.81680933888001</v>
      </c>
      <c r="K14" s="26">
        <f t="shared" si="7"/>
        <v>195.52275507712</v>
      </c>
      <c r="L14" s="26">
        <f t="shared" si="0"/>
        <v>222.24824960725826</v>
      </c>
      <c r="M14" s="2"/>
      <c r="N14" s="2" t="s">
        <v>84</v>
      </c>
      <c r="O14" s="2" t="s">
        <v>85</v>
      </c>
      <c r="P14" s="2" t="s">
        <v>86</v>
      </c>
      <c r="Q14" s="2" t="s">
        <v>87</v>
      </c>
      <c r="R14" s="2" t="s">
        <v>88</v>
      </c>
      <c r="S14"/>
      <c r="T14"/>
      <c r="U14"/>
      <c r="V14" s="26"/>
      <c r="W14" s="26"/>
      <c r="X14" s="26"/>
      <c r="Y14" s="26"/>
      <c r="Z14" s="26">
        <v>10207.629999999999</v>
      </c>
      <c r="AA14" s="26">
        <f t="shared" si="1"/>
        <v>216.70801665016941</v>
      </c>
      <c r="AB14" s="27">
        <f t="shared" si="2"/>
        <v>0.12347978977743496</v>
      </c>
      <c r="AC14" s="30"/>
      <c r="AD14" s="30" t="s">
        <v>84</v>
      </c>
      <c r="AE14" s="30" t="s">
        <v>85</v>
      </c>
      <c r="AF14" s="30" t="s">
        <v>86</v>
      </c>
      <c r="AG14" s="30" t="s">
        <v>87</v>
      </c>
      <c r="AH14" s="30" t="s">
        <v>88</v>
      </c>
      <c r="AL14" s="22">
        <v>44501</v>
      </c>
      <c r="AM14" s="26">
        <f>AVERAGE(C307:C336)</f>
        <v>230.17133333333337</v>
      </c>
      <c r="AN14" s="26">
        <f t="shared" si="5"/>
        <v>5.4388239591386247</v>
      </c>
      <c r="AO14" s="28">
        <v>11</v>
      </c>
      <c r="AP14" s="26">
        <f t="shared" si="3"/>
        <v>5.3791443852050911</v>
      </c>
      <c r="AQ14" s="28"/>
      <c r="AR14" s="26">
        <f t="shared" si="4"/>
        <v>216.83666737109084</v>
      </c>
      <c r="AS14" s="30"/>
      <c r="AT14" s="30" t="s">
        <v>84</v>
      </c>
      <c r="AU14" s="30" t="s">
        <v>85</v>
      </c>
      <c r="AV14" s="30" t="s">
        <v>86</v>
      </c>
      <c r="AW14" s="30" t="s">
        <v>87</v>
      </c>
      <c r="AX14" s="30" t="s">
        <v>88</v>
      </c>
      <c r="BB14" s="22">
        <v>44501</v>
      </c>
      <c r="BC14" s="27">
        <f t="shared" si="8"/>
        <v>-6.7713412668962691E-2</v>
      </c>
      <c r="BD14" s="27">
        <v>5.7099999999999998E-2</v>
      </c>
      <c r="BE14" s="27">
        <v>0.129</v>
      </c>
      <c r="BF14" s="27">
        <v>-0.45810000000000001</v>
      </c>
      <c r="BG14" s="27">
        <v>0.23810000000000001</v>
      </c>
      <c r="BH14" s="27">
        <v>0.74019999999999997</v>
      </c>
      <c r="BK14" s="24">
        <v>44208</v>
      </c>
      <c r="BL14" s="25">
        <v>192.89</v>
      </c>
      <c r="BM14" s="26">
        <f t="shared" si="12"/>
        <v>200.05999999999997</v>
      </c>
      <c r="BN14" s="26">
        <f t="shared" si="15"/>
        <v>204.244</v>
      </c>
      <c r="BO14" s="26">
        <f t="shared" si="18"/>
        <v>202.11428571428573</v>
      </c>
      <c r="BP14" s="26"/>
      <c r="BQ14" s="26"/>
      <c r="BR14" s="26">
        <f t="shared" si="16"/>
        <v>200.44199999999998</v>
      </c>
      <c r="BS14" s="26">
        <f t="shared" si="9"/>
        <v>198.81680933888001</v>
      </c>
      <c r="BT14" s="26">
        <f t="shared" si="10"/>
        <v>195.52275507712</v>
      </c>
    </row>
    <row r="15" spans="1:72" ht="16" x14ac:dyDescent="0.2">
      <c r="A15" s="76"/>
      <c r="B15" s="24">
        <v>44209</v>
      </c>
      <c r="C15" s="25">
        <v>196.8</v>
      </c>
      <c r="D15" s="26">
        <f t="shared" si="11"/>
        <v>193.14666666666668</v>
      </c>
      <c r="E15" s="26">
        <f t="shared" si="13"/>
        <v>201.3</v>
      </c>
      <c r="F15" s="26">
        <f t="shared" si="17"/>
        <v>203.15999999999994</v>
      </c>
      <c r="G15" s="26"/>
      <c r="H15" s="26"/>
      <c r="I15" s="26">
        <f t="shared" si="14"/>
        <v>197.96066666666667</v>
      </c>
      <c r="J15" s="26">
        <f t="shared" si="6"/>
        <v>198.01008560332801</v>
      </c>
      <c r="K15" s="26">
        <f t="shared" si="7"/>
        <v>196.289102030848</v>
      </c>
      <c r="L15" s="26">
        <f t="shared" si="0"/>
        <v>222.23341094525816</v>
      </c>
      <c r="M15" t="s">
        <v>80</v>
      </c>
      <c r="N15">
        <v>1</v>
      </c>
      <c r="O15">
        <v>4083.4282474925276</v>
      </c>
      <c r="P15">
        <v>4083.4282474925276</v>
      </c>
      <c r="Q15">
        <v>12.33020185649648</v>
      </c>
      <c r="R15">
        <v>4.7893382383084975E-4</v>
      </c>
      <c r="S15"/>
      <c r="T15"/>
      <c r="U15"/>
      <c r="V15" s="26">
        <f>AVERAGE(C4:C15)</f>
        <v>202.81333333333336</v>
      </c>
      <c r="W15" s="26"/>
      <c r="X15" s="26"/>
      <c r="Y15" s="26"/>
      <c r="Z15" s="26">
        <v>12056.44</v>
      </c>
      <c r="AA15" s="26">
        <f t="shared" si="1"/>
        <v>217.52199105180662</v>
      </c>
      <c r="AB15" s="27">
        <f t="shared" si="2"/>
        <v>0.10529466997869212</v>
      </c>
      <c r="AC15" s="16" t="s">
        <v>80</v>
      </c>
      <c r="AD15" s="16">
        <v>1</v>
      </c>
      <c r="AE15" s="16">
        <v>379.51726945705013</v>
      </c>
      <c r="AF15" s="16">
        <v>379.51726945705013</v>
      </c>
      <c r="AG15" s="16">
        <v>1.1251451445777938</v>
      </c>
      <c r="AH15" s="16">
        <v>0.28923722501809918</v>
      </c>
      <c r="AL15" s="22">
        <v>44531</v>
      </c>
      <c r="AM15" s="26">
        <f>AVERAGE(C337:C367)</f>
        <v>210.45193548387101</v>
      </c>
      <c r="AN15" s="26">
        <f t="shared" si="5"/>
        <v>5.3492572920565458</v>
      </c>
      <c r="AO15" s="28">
        <v>12</v>
      </c>
      <c r="AP15" s="26">
        <f t="shared" si="3"/>
        <v>5.3774367154742428</v>
      </c>
      <c r="AQ15" s="28"/>
      <c r="AR15" s="26">
        <f t="shared" si="4"/>
        <v>216.46669794038905</v>
      </c>
      <c r="AS15" s="16" t="s">
        <v>80</v>
      </c>
      <c r="AT15" s="16">
        <v>1</v>
      </c>
      <c r="AU15" s="16">
        <v>1.9392303799212335E-3</v>
      </c>
      <c r="AV15" s="16">
        <v>1.9392303799212335E-3</v>
      </c>
      <c r="AW15" s="16">
        <v>0.41770010393675844</v>
      </c>
      <c r="AX15" s="16">
        <v>0.52624218250656085</v>
      </c>
      <c r="BB15" s="22">
        <v>44531</v>
      </c>
      <c r="BC15" s="27">
        <f t="shared" si="8"/>
        <v>-8.5672692441264117E-2</v>
      </c>
      <c r="BD15" s="27">
        <v>2.7E-2</v>
      </c>
      <c r="BE15" s="27">
        <v>-0.20780000000000001</v>
      </c>
      <c r="BF15" s="27">
        <v>0.6341</v>
      </c>
      <c r="BG15" s="27">
        <v>-0.15640000000000001</v>
      </c>
      <c r="BH15" s="27">
        <v>0.73760000000000003</v>
      </c>
      <c r="BK15" s="24">
        <v>44209</v>
      </c>
      <c r="BL15" s="25">
        <v>196.8</v>
      </c>
      <c r="BM15" s="26">
        <f t="shared" si="12"/>
        <v>193.14666666666668</v>
      </c>
      <c r="BN15" s="26">
        <f t="shared" si="15"/>
        <v>201.3</v>
      </c>
      <c r="BO15" s="26">
        <f t="shared" si="18"/>
        <v>203.15999999999994</v>
      </c>
      <c r="BP15" s="26"/>
      <c r="BQ15" s="26"/>
      <c r="BR15" s="26">
        <f t="shared" si="16"/>
        <v>197.96066666666667</v>
      </c>
      <c r="BS15" s="26">
        <f t="shared" si="9"/>
        <v>198.01008560332801</v>
      </c>
      <c r="BT15" s="26">
        <f t="shared" si="10"/>
        <v>196.289102030848</v>
      </c>
    </row>
    <row r="16" spans="1:72" ht="16" x14ac:dyDescent="0.2">
      <c r="A16" s="76"/>
      <c r="B16" s="24">
        <v>44210</v>
      </c>
      <c r="C16" s="25">
        <v>214.1</v>
      </c>
      <c r="D16" s="26">
        <f t="shared" si="11"/>
        <v>201.26333333333332</v>
      </c>
      <c r="E16" s="26">
        <f t="shared" si="13"/>
        <v>202.21600000000001</v>
      </c>
      <c r="F16" s="26">
        <f t="shared" si="17"/>
        <v>204.58857142857141</v>
      </c>
      <c r="G16" s="26">
        <f>AVERAGE(C4:C16)</f>
        <v>203.68153846153848</v>
      </c>
      <c r="H16" s="26"/>
      <c r="I16" s="26">
        <f t="shared" si="14"/>
        <v>202.22733333333332</v>
      </c>
      <c r="J16" s="26">
        <f t="shared" si="6"/>
        <v>204.44605136199681</v>
      </c>
      <c r="K16" s="26">
        <f t="shared" si="7"/>
        <v>206.97564081233918</v>
      </c>
      <c r="L16" s="26">
        <f t="shared" si="0"/>
        <v>222.21857228325806</v>
      </c>
      <c r="M16" t="s">
        <v>81</v>
      </c>
      <c r="N16">
        <v>604</v>
      </c>
      <c r="O16">
        <v>200028.40912016426</v>
      </c>
      <c r="P16">
        <v>331.1728627817289</v>
      </c>
      <c r="Q16"/>
      <c r="R16"/>
      <c r="S16"/>
      <c r="T16"/>
      <c r="U16"/>
      <c r="V16" s="26">
        <f t="shared" ref="V16:V23" si="19">C16*(2/(12+1))+V15*(1-(2/(12+1)))</f>
        <v>204.54974358974363</v>
      </c>
      <c r="W16" s="26"/>
      <c r="X16" s="26"/>
      <c r="Y16" s="26"/>
      <c r="Z16" s="26">
        <v>11075.11</v>
      </c>
      <c r="AA16" s="26">
        <f t="shared" si="1"/>
        <v>217.08994151747987</v>
      </c>
      <c r="AB16" s="27">
        <f t="shared" si="2"/>
        <v>1.3965163556655197E-2</v>
      </c>
      <c r="AC16" s="16" t="s">
        <v>81</v>
      </c>
      <c r="AD16" s="16">
        <v>604</v>
      </c>
      <c r="AE16" s="16">
        <v>203732.32009819974</v>
      </c>
      <c r="AF16" s="16">
        <v>337.30516572549624</v>
      </c>
      <c r="AL16" s="22">
        <v>44562</v>
      </c>
      <c r="AM16" s="26">
        <f>AVERAGE(C368:C398)</f>
        <v>224.37741935483874</v>
      </c>
      <c r="AN16" s="26">
        <f t="shared" si="5"/>
        <v>5.4133295418243605</v>
      </c>
      <c r="AO16" s="28">
        <v>13</v>
      </c>
      <c r="AP16" s="26">
        <f t="shared" si="3"/>
        <v>5.3757290457433946</v>
      </c>
      <c r="AQ16" s="28"/>
      <c r="AR16" s="26">
        <f t="shared" si="4"/>
        <v>216.09735975615177</v>
      </c>
      <c r="AS16" s="16" t="s">
        <v>81</v>
      </c>
      <c r="AT16" s="16">
        <v>18</v>
      </c>
      <c r="AU16" s="16">
        <v>8.3567484206006182E-2</v>
      </c>
      <c r="AV16" s="16">
        <v>4.642638011444788E-3</v>
      </c>
      <c r="BB16" s="22">
        <v>44562</v>
      </c>
      <c r="BC16" s="27">
        <f t="shared" si="8"/>
        <v>6.6169426472368897E-2</v>
      </c>
      <c r="BD16" s="27">
        <v>-6.5799999999999997E-2</v>
      </c>
      <c r="BE16" s="27">
        <v>8.5599999999999996E-2</v>
      </c>
      <c r="BF16" s="27">
        <v>0.80889999999999995</v>
      </c>
      <c r="BG16" s="27">
        <v>-4.2599999999999999E-2</v>
      </c>
      <c r="BH16" s="27">
        <v>0.99739999999999995</v>
      </c>
      <c r="BK16" s="24">
        <v>44210</v>
      </c>
      <c r="BL16" s="25">
        <v>214.1</v>
      </c>
      <c r="BM16" s="26">
        <f t="shared" si="12"/>
        <v>201.26333333333332</v>
      </c>
      <c r="BN16" s="26">
        <f t="shared" si="15"/>
        <v>202.21600000000001</v>
      </c>
      <c r="BO16" s="26">
        <f t="shared" si="18"/>
        <v>204.58857142857141</v>
      </c>
      <c r="BP16" s="26">
        <f>AVERAGE(BL4:BL16)</f>
        <v>203.68153846153848</v>
      </c>
      <c r="BQ16" s="26"/>
      <c r="BR16" s="26">
        <f t="shared" si="16"/>
        <v>202.22733333333332</v>
      </c>
      <c r="BS16" s="26">
        <f t="shared" si="9"/>
        <v>204.44605136199681</v>
      </c>
      <c r="BT16" s="26">
        <f t="shared" si="10"/>
        <v>206.97564081233918</v>
      </c>
    </row>
    <row r="17" spans="1:72" ht="17" thickBot="1" x14ac:dyDescent="0.25">
      <c r="A17" s="76"/>
      <c r="B17" s="24">
        <v>44211</v>
      </c>
      <c r="C17" s="25">
        <v>214.49</v>
      </c>
      <c r="D17" s="26">
        <f t="shared" si="11"/>
        <v>208.46333333333334</v>
      </c>
      <c r="E17" s="26">
        <f t="shared" si="13"/>
        <v>201.60600000000002</v>
      </c>
      <c r="F17" s="26">
        <f t="shared" si="17"/>
        <v>205.01285714285714</v>
      </c>
      <c r="G17" s="26">
        <f t="shared" ref="G17:G80" si="20">AVERAGE(C5:C17)</f>
        <v>205.49615384615385</v>
      </c>
      <c r="H17" s="26"/>
      <c r="I17" s="26">
        <f t="shared" si="14"/>
        <v>206.31866666666664</v>
      </c>
      <c r="J17" s="26">
        <f t="shared" si="6"/>
        <v>208.46363081719807</v>
      </c>
      <c r="K17" s="26">
        <f t="shared" si="7"/>
        <v>211.48425632493567</v>
      </c>
      <c r="L17" s="26">
        <f t="shared" si="0"/>
        <v>222.20373362125798</v>
      </c>
      <c r="M17" s="1" t="s">
        <v>82</v>
      </c>
      <c r="N17" s="1">
        <v>605</v>
      </c>
      <c r="O17" s="1">
        <v>204111.83736765679</v>
      </c>
      <c r="P17" s="1"/>
      <c r="Q17" s="1"/>
      <c r="R17" s="1"/>
      <c r="S17"/>
      <c r="T17"/>
      <c r="U17"/>
      <c r="V17" s="26">
        <f t="shared" si="19"/>
        <v>206.07901380670614</v>
      </c>
      <c r="W17" s="26"/>
      <c r="X17" s="26"/>
      <c r="Y17" s="26"/>
      <c r="Z17" s="26">
        <v>10957.61</v>
      </c>
      <c r="AA17" s="26">
        <f t="shared" si="1"/>
        <v>217.03820986728738</v>
      </c>
      <c r="AB17" s="27">
        <f t="shared" si="2"/>
        <v>1.1880320142138882E-2</v>
      </c>
      <c r="AC17" s="34" t="s">
        <v>82</v>
      </c>
      <c r="AD17" s="34">
        <v>605</v>
      </c>
      <c r="AE17" s="34">
        <v>204111.83736765679</v>
      </c>
      <c r="AF17" s="34"/>
      <c r="AG17" s="34"/>
      <c r="AH17" s="34"/>
      <c r="AL17" s="22">
        <v>44593</v>
      </c>
      <c r="AM17" s="26">
        <f>AVERAGE(C399:C426)</f>
        <v>218.10392857142855</v>
      </c>
      <c r="AN17" s="26">
        <f t="shared" si="5"/>
        <v>5.384971685752503</v>
      </c>
      <c r="AO17" s="28">
        <v>14</v>
      </c>
      <c r="AP17" s="26">
        <f t="shared" si="3"/>
        <v>5.3740213760125464</v>
      </c>
      <c r="AQ17" s="28"/>
      <c r="AR17" s="26">
        <f t="shared" si="4"/>
        <v>215.72865174133838</v>
      </c>
      <c r="AS17" s="34" t="s">
        <v>82</v>
      </c>
      <c r="AT17" s="34">
        <v>19</v>
      </c>
      <c r="AU17" s="34">
        <v>8.5506714585927415E-2</v>
      </c>
      <c r="AV17" s="34"/>
      <c r="AW17" s="34"/>
      <c r="AX17" s="34"/>
      <c r="BB17" s="22">
        <v>44593</v>
      </c>
      <c r="BC17" s="27">
        <f t="shared" si="8"/>
        <v>-2.7959546024945818E-2</v>
      </c>
      <c r="BD17" s="27">
        <v>-2.8199999999999999E-2</v>
      </c>
      <c r="BE17" s="27">
        <v>-3.3599999999999998E-2</v>
      </c>
      <c r="BF17" s="27">
        <v>4.3799999999999999E-2</v>
      </c>
      <c r="BG17" s="27">
        <v>-6.0299999999999999E-2</v>
      </c>
      <c r="BH17" s="27">
        <v>0.31809999999999999</v>
      </c>
      <c r="BK17" s="24">
        <v>44211</v>
      </c>
      <c r="BL17" s="25">
        <v>214.49</v>
      </c>
      <c r="BM17" s="26">
        <f t="shared" si="12"/>
        <v>208.46333333333334</v>
      </c>
      <c r="BN17" s="26">
        <f t="shared" si="15"/>
        <v>201.60600000000002</v>
      </c>
      <c r="BO17" s="26">
        <f t="shared" si="18"/>
        <v>205.01285714285714</v>
      </c>
      <c r="BP17" s="26">
        <f t="shared" ref="BP17:BP64" si="21">AVERAGE(BL5:BL17)</f>
        <v>205.49615384615385</v>
      </c>
      <c r="BQ17" s="26"/>
      <c r="BR17" s="26">
        <f t="shared" si="16"/>
        <v>206.31866666666664</v>
      </c>
      <c r="BS17" s="26">
        <f t="shared" si="9"/>
        <v>208.46363081719807</v>
      </c>
      <c r="BT17" s="26">
        <f t="shared" si="10"/>
        <v>211.48425632493567</v>
      </c>
    </row>
    <row r="18" spans="1:72" ht="17" thickBot="1" x14ac:dyDescent="0.25">
      <c r="A18" s="76"/>
      <c r="B18" s="24">
        <v>44212</v>
      </c>
      <c r="C18" s="25">
        <v>185.88</v>
      </c>
      <c r="D18" s="26">
        <f t="shared" si="11"/>
        <v>204.82333333333335</v>
      </c>
      <c r="E18" s="26">
        <f t="shared" si="13"/>
        <v>200.83199999999999</v>
      </c>
      <c r="F18" s="26">
        <f t="shared" si="17"/>
        <v>201.63571428571433</v>
      </c>
      <c r="G18" s="26">
        <f t="shared" si="20"/>
        <v>204.41769230769233</v>
      </c>
      <c r="H18" s="26"/>
      <c r="I18" s="26">
        <f t="shared" si="14"/>
        <v>201.07666666666665</v>
      </c>
      <c r="J18" s="26">
        <f t="shared" si="6"/>
        <v>199.43017849031884</v>
      </c>
      <c r="K18" s="26">
        <f t="shared" si="7"/>
        <v>196.12170252997427</v>
      </c>
      <c r="L18" s="26">
        <f t="shared" si="0"/>
        <v>222.18889495925788</v>
      </c>
      <c r="M18"/>
      <c r="N18"/>
      <c r="O18"/>
      <c r="P18"/>
      <c r="Q18"/>
      <c r="R18"/>
      <c r="S18"/>
      <c r="T18"/>
      <c r="U18"/>
      <c r="V18" s="26">
        <f t="shared" si="19"/>
        <v>202.97147322105903</v>
      </c>
      <c r="W18" s="26"/>
      <c r="X18" s="26"/>
      <c r="Y18" s="26"/>
      <c r="Z18" s="26">
        <v>12349.37</v>
      </c>
      <c r="AA18" s="26">
        <f t="shared" si="1"/>
        <v>217.6509591564099</v>
      </c>
      <c r="AB18" s="27">
        <f t="shared" si="2"/>
        <v>0.1709218805487944</v>
      </c>
      <c r="AL18" s="22">
        <v>44621</v>
      </c>
      <c r="AM18" s="26">
        <f>AVERAGE(C427:C457)</f>
        <v>226.01387096774198</v>
      </c>
      <c r="AN18" s="26">
        <f t="shared" si="5"/>
        <v>5.4205963733523186</v>
      </c>
      <c r="AO18" s="28">
        <v>15</v>
      </c>
      <c r="AP18" s="26">
        <f t="shared" si="3"/>
        <v>5.3723137062816981</v>
      </c>
      <c r="AQ18" s="28"/>
      <c r="AR18" s="26">
        <f t="shared" si="4"/>
        <v>215.36057282074597</v>
      </c>
      <c r="BB18" s="22">
        <v>44621</v>
      </c>
      <c r="BC18" s="27">
        <f t="shared" si="8"/>
        <v>3.6266849699238393E-2</v>
      </c>
      <c r="BD18" s="27">
        <v>-0.1739</v>
      </c>
      <c r="BE18" s="27">
        <v>-0.32029999999999997</v>
      </c>
      <c r="BF18" s="27">
        <v>0.29139999999999999</v>
      </c>
      <c r="BG18" s="27">
        <v>-0.2145</v>
      </c>
      <c r="BH18" s="27">
        <v>0.59050000000000002</v>
      </c>
      <c r="BK18" s="24">
        <v>44212</v>
      </c>
      <c r="BL18" s="25">
        <v>185.88</v>
      </c>
      <c r="BM18" s="26">
        <f t="shared" si="12"/>
        <v>204.82333333333335</v>
      </c>
      <c r="BN18" s="26">
        <f t="shared" si="15"/>
        <v>200.83199999999999</v>
      </c>
      <c r="BO18" s="26">
        <f t="shared" si="18"/>
        <v>201.63571428571433</v>
      </c>
      <c r="BP18" s="26">
        <f t="shared" si="21"/>
        <v>204.41769230769233</v>
      </c>
      <c r="BQ18" s="26"/>
      <c r="BR18" s="26">
        <f t="shared" si="16"/>
        <v>201.07666666666665</v>
      </c>
      <c r="BS18" s="26">
        <f t="shared" si="9"/>
        <v>199.43017849031884</v>
      </c>
      <c r="BT18" s="26">
        <f t="shared" si="10"/>
        <v>196.12170252997427</v>
      </c>
    </row>
    <row r="19" spans="1:72" ht="16" x14ac:dyDescent="0.2">
      <c r="A19" s="76"/>
      <c r="B19" s="24">
        <v>44213</v>
      </c>
      <c r="C19" s="25">
        <v>195.43</v>
      </c>
      <c r="D19" s="26">
        <f t="shared" si="11"/>
        <v>198.6</v>
      </c>
      <c r="E19" s="26">
        <f t="shared" si="13"/>
        <v>201.34</v>
      </c>
      <c r="F19" s="26">
        <f t="shared" si="17"/>
        <v>198.47714285714287</v>
      </c>
      <c r="G19" s="26">
        <f t="shared" si="20"/>
        <v>203.17999999999998</v>
      </c>
      <c r="H19" s="26"/>
      <c r="I19" s="26">
        <f t="shared" si="14"/>
        <v>199.27600000000001</v>
      </c>
      <c r="J19" s="26">
        <f t="shared" si="6"/>
        <v>197.83010709419131</v>
      </c>
      <c r="K19" s="26">
        <f t="shared" si="7"/>
        <v>195.7066810119897</v>
      </c>
      <c r="L19" s="26">
        <f t="shared" si="0"/>
        <v>222.17405629725778</v>
      </c>
      <c r="M19" s="2"/>
      <c r="N19" s="2" t="s">
        <v>89</v>
      </c>
      <c r="O19" s="2" t="s">
        <v>77</v>
      </c>
      <c r="P19" s="2" t="s">
        <v>90</v>
      </c>
      <c r="Q19" s="2" t="s">
        <v>91</v>
      </c>
      <c r="R19" s="2" t="s">
        <v>92</v>
      </c>
      <c r="S19" s="2" t="s">
        <v>93</v>
      </c>
      <c r="T19" s="2" t="s">
        <v>94</v>
      </c>
      <c r="U19" s="2" t="s">
        <v>95</v>
      </c>
      <c r="V19" s="26">
        <f t="shared" si="19"/>
        <v>201.81124657166532</v>
      </c>
      <c r="W19" s="26"/>
      <c r="X19" s="26"/>
      <c r="Y19" s="26"/>
      <c r="Z19" s="26">
        <v>8684.09</v>
      </c>
      <c r="AA19" s="26">
        <f t="shared" si="1"/>
        <v>216.03724866434592</v>
      </c>
      <c r="AB19" s="27">
        <f t="shared" si="2"/>
        <v>0.10544567704214254</v>
      </c>
      <c r="AC19" s="30"/>
      <c r="AD19" s="30" t="s">
        <v>89</v>
      </c>
      <c r="AE19" s="30" t="s">
        <v>77</v>
      </c>
      <c r="AF19" s="30" t="s">
        <v>90</v>
      </c>
      <c r="AG19" s="30" t="s">
        <v>91</v>
      </c>
      <c r="AH19" s="30" t="s">
        <v>92</v>
      </c>
      <c r="AI19" s="30" t="s">
        <v>93</v>
      </c>
      <c r="AJ19" s="30" t="s">
        <v>94</v>
      </c>
      <c r="AK19" s="30" t="s">
        <v>95</v>
      </c>
      <c r="AL19" s="22">
        <v>44652</v>
      </c>
      <c r="AM19" s="26">
        <f>AVERAGE(C458:C487)</f>
        <v>209.62533333333329</v>
      </c>
      <c r="AN19" s="26">
        <f t="shared" si="5"/>
        <v>5.3453218102832336</v>
      </c>
      <c r="AO19" s="28">
        <v>16</v>
      </c>
      <c r="AP19" s="26">
        <f t="shared" si="3"/>
        <v>5.370606036550849</v>
      </c>
      <c r="AQ19" s="28"/>
      <c r="AR19" s="26">
        <f t="shared" si="4"/>
        <v>214.99312192100592</v>
      </c>
      <c r="AS19" s="30"/>
      <c r="AT19" s="30" t="s">
        <v>89</v>
      </c>
      <c r="AU19" s="30" t="s">
        <v>77</v>
      </c>
      <c r="AV19" s="30" t="s">
        <v>90</v>
      </c>
      <c r="AW19" s="30" t="s">
        <v>91</v>
      </c>
      <c r="AX19" s="30" t="s">
        <v>92</v>
      </c>
      <c r="AY19" s="30" t="s">
        <v>93</v>
      </c>
      <c r="AZ19" s="30" t="s">
        <v>94</v>
      </c>
      <c r="BA19" s="30" t="s">
        <v>95</v>
      </c>
      <c r="BB19" s="22">
        <v>44652</v>
      </c>
      <c r="BC19" s="27">
        <f t="shared" si="8"/>
        <v>-7.2511202804662195E-2</v>
      </c>
      <c r="BD19" s="27">
        <v>-0.29820000000000002</v>
      </c>
      <c r="BE19" s="27">
        <v>-0.49430000000000002</v>
      </c>
      <c r="BF19" s="27">
        <v>0.1837</v>
      </c>
      <c r="BG19" s="27">
        <v>-0.62370000000000003</v>
      </c>
      <c r="BH19" s="27">
        <v>0.27989999999999998</v>
      </c>
      <c r="BK19" s="24">
        <v>44213</v>
      </c>
      <c r="BL19" s="25">
        <v>195.43</v>
      </c>
      <c r="BM19" s="26">
        <f t="shared" si="12"/>
        <v>198.6</v>
      </c>
      <c r="BN19" s="26">
        <f t="shared" si="15"/>
        <v>201.34</v>
      </c>
      <c r="BO19" s="26">
        <f t="shared" si="18"/>
        <v>198.47714285714287</v>
      </c>
      <c r="BP19" s="26">
        <f t="shared" si="21"/>
        <v>203.17999999999998</v>
      </c>
      <c r="BQ19" s="26"/>
      <c r="BR19" s="26">
        <f t="shared" si="16"/>
        <v>199.27600000000001</v>
      </c>
      <c r="BS19" s="26">
        <f t="shared" si="9"/>
        <v>197.83010709419131</v>
      </c>
      <c r="BT19" s="26">
        <f t="shared" si="10"/>
        <v>195.7066810119897</v>
      </c>
    </row>
    <row r="20" spans="1:72" ht="16" x14ac:dyDescent="0.2">
      <c r="A20" s="76"/>
      <c r="B20" s="24">
        <v>44214</v>
      </c>
      <c r="C20" s="25">
        <v>195.72</v>
      </c>
      <c r="D20" s="26">
        <f t="shared" si="11"/>
        <v>192.34333333333333</v>
      </c>
      <c r="E20" s="26">
        <f t="shared" si="13"/>
        <v>201.12400000000002</v>
      </c>
      <c r="F20" s="26">
        <f t="shared" si="17"/>
        <v>199.32999999999998</v>
      </c>
      <c r="G20" s="26">
        <f t="shared" si="20"/>
        <v>201.32461538461536</v>
      </c>
      <c r="H20" s="26"/>
      <c r="I20" s="26">
        <f t="shared" si="14"/>
        <v>197.40266666666668</v>
      </c>
      <c r="J20" s="26">
        <f t="shared" si="6"/>
        <v>196.98606425651479</v>
      </c>
      <c r="K20" s="26">
        <f t="shared" si="7"/>
        <v>195.71467240479586</v>
      </c>
      <c r="L20" s="26">
        <f t="shared" si="0"/>
        <v>222.1592176352577</v>
      </c>
      <c r="M20" t="s">
        <v>83</v>
      </c>
      <c r="N20">
        <v>222.41147488925927</v>
      </c>
      <c r="O20">
        <v>1.4839934469440836</v>
      </c>
      <c r="P20">
        <v>149.87362332849955</v>
      </c>
      <c r="Q20">
        <v>0</v>
      </c>
      <c r="R20">
        <v>219.49706114670192</v>
      </c>
      <c r="S20">
        <v>225.32588863181661</v>
      </c>
      <c r="T20">
        <v>219.49706114670192</v>
      </c>
      <c r="U20">
        <v>225.32588863181661</v>
      </c>
      <c r="V20" s="26">
        <f t="shared" si="19"/>
        <v>200.87413171448603</v>
      </c>
      <c r="W20" s="26"/>
      <c r="X20" s="26"/>
      <c r="Y20" s="26"/>
      <c r="Z20" s="26">
        <v>7373.08</v>
      </c>
      <c r="AA20" s="26">
        <f t="shared" si="1"/>
        <v>215.46005112631315</v>
      </c>
      <c r="AB20" s="27">
        <f t="shared" si="2"/>
        <v>0.10085863032042279</v>
      </c>
      <c r="AC20" s="16" t="s">
        <v>83</v>
      </c>
      <c r="AD20" s="16">
        <v>212.21390988885602</v>
      </c>
      <c r="AE20" s="16">
        <v>5.4057788996347931</v>
      </c>
      <c r="AF20" s="16">
        <v>39.256860820407006</v>
      </c>
      <c r="AG20" s="16">
        <v>2.284013513843295E-168</v>
      </c>
      <c r="AH20" s="16">
        <v>201.59750430649646</v>
      </c>
      <c r="AI20" s="16">
        <v>222.83031547121558</v>
      </c>
      <c r="AJ20" s="16">
        <v>201.59750430649646</v>
      </c>
      <c r="AK20" s="16">
        <v>222.83031547121558</v>
      </c>
      <c r="AL20" s="22">
        <v>44682</v>
      </c>
      <c r="AM20" s="26">
        <f>AVERAGE(C488:C518)</f>
        <v>198.51419354838708</v>
      </c>
      <c r="AN20" s="26">
        <f t="shared" si="5"/>
        <v>5.2908606015930557</v>
      </c>
      <c r="AO20" s="28">
        <v>17</v>
      </c>
      <c r="AP20" s="26">
        <f t="shared" si="3"/>
        <v>5.3688983668200008</v>
      </c>
      <c r="AQ20" s="28"/>
      <c r="AR20" s="26">
        <f t="shared" si="4"/>
        <v>214.62629797058156</v>
      </c>
      <c r="AS20" s="16" t="s">
        <v>83</v>
      </c>
      <c r="AT20" s="16">
        <v>5.3979287522444244</v>
      </c>
      <c r="AU20" s="16">
        <v>3.1651736334614891E-2</v>
      </c>
      <c r="AV20" s="16">
        <v>170.54131549621042</v>
      </c>
      <c r="AW20" s="16">
        <v>2.4575211142242605E-30</v>
      </c>
      <c r="AX20" s="16">
        <v>5.3314309217671338</v>
      </c>
      <c r="AY20" s="16">
        <v>5.4644265827217149</v>
      </c>
      <c r="AZ20" s="16">
        <v>5.3314309217671338</v>
      </c>
      <c r="BA20" s="16">
        <v>5.4644265827217149</v>
      </c>
      <c r="BB20" s="22">
        <v>44682</v>
      </c>
      <c r="BC20" s="27">
        <f t="shared" si="8"/>
        <v>-5.3004756668784653E-2</v>
      </c>
      <c r="BD20" s="27">
        <v>-0.72499999999999998</v>
      </c>
      <c r="BE20" s="27">
        <v>-1.2044999999999999</v>
      </c>
      <c r="BF20" s="27">
        <v>2.07E-2</v>
      </c>
      <c r="BG20" s="27">
        <v>-1.7714000000000001</v>
      </c>
      <c r="BH20" s="27">
        <v>-2.3999999999999998E-3</v>
      </c>
      <c r="BK20" s="24">
        <v>44214</v>
      </c>
      <c r="BL20" s="25">
        <v>195.72</v>
      </c>
      <c r="BM20" s="26">
        <f t="shared" si="12"/>
        <v>192.34333333333333</v>
      </c>
      <c r="BN20" s="26">
        <f t="shared" si="15"/>
        <v>201.12400000000002</v>
      </c>
      <c r="BO20" s="26">
        <f t="shared" si="18"/>
        <v>199.32999999999998</v>
      </c>
      <c r="BP20" s="26">
        <f t="shared" si="21"/>
        <v>201.32461538461536</v>
      </c>
      <c r="BQ20" s="26"/>
      <c r="BR20" s="26">
        <f t="shared" si="16"/>
        <v>197.40266666666668</v>
      </c>
      <c r="BS20" s="26">
        <f t="shared" si="9"/>
        <v>196.98606425651479</v>
      </c>
      <c r="BT20" s="26">
        <f t="shared" si="10"/>
        <v>195.71467240479586</v>
      </c>
    </row>
    <row r="21" spans="1:72" ht="17" thickBot="1" x14ac:dyDescent="0.25">
      <c r="A21" s="76"/>
      <c r="B21" s="24">
        <v>44215</v>
      </c>
      <c r="C21" s="25">
        <v>216.23</v>
      </c>
      <c r="D21" s="26">
        <f t="shared" si="11"/>
        <v>202.46</v>
      </c>
      <c r="E21" s="26">
        <f t="shared" si="13"/>
        <v>201.55</v>
      </c>
      <c r="F21" s="26">
        <f t="shared" si="17"/>
        <v>202.66428571428574</v>
      </c>
      <c r="G21" s="26">
        <f t="shared" si="20"/>
        <v>203.38230769230765</v>
      </c>
      <c r="H21" s="26"/>
      <c r="I21" s="26">
        <f t="shared" si="14"/>
        <v>202.43799999999999</v>
      </c>
      <c r="J21" s="26">
        <f t="shared" si="6"/>
        <v>204.68363855390888</v>
      </c>
      <c r="K21" s="26">
        <f t="shared" si="7"/>
        <v>208.02386896191837</v>
      </c>
      <c r="L21" s="26">
        <f t="shared" si="0"/>
        <v>222.1443789732576</v>
      </c>
      <c r="M21" s="1"/>
      <c r="N21" s="1">
        <v>-1.4838662000092481E-2</v>
      </c>
      <c r="O21" s="1">
        <v>4.2258069127947707E-3</v>
      </c>
      <c r="P21" s="1">
        <v>-3.5114387160389242</v>
      </c>
      <c r="Q21" s="1">
        <v>4.7893382383070999E-4</v>
      </c>
      <c r="R21" s="1">
        <v>-2.3137721383005631E-2</v>
      </c>
      <c r="S21" s="1">
        <v>-6.5396026171793305E-3</v>
      </c>
      <c r="T21" s="1">
        <v>-2.3137721383005631E-2</v>
      </c>
      <c r="U21" s="1">
        <v>-6.5396026171793305E-3</v>
      </c>
      <c r="V21" s="26">
        <f t="shared" si="19"/>
        <v>203.2365729891805</v>
      </c>
      <c r="W21" s="26"/>
      <c r="X21" s="26"/>
      <c r="Y21" s="26"/>
      <c r="Z21" s="26">
        <v>9682.91</v>
      </c>
      <c r="AA21" s="26">
        <f t="shared" si="1"/>
        <v>216.4769985098375</v>
      </c>
      <c r="AB21" s="27">
        <f t="shared" si="2"/>
        <v>1.1422952866739606E-3</v>
      </c>
      <c r="AC21" s="34">
        <v>7360.58</v>
      </c>
      <c r="AD21" s="34">
        <v>4.4026936334030513E-4</v>
      </c>
      <c r="AE21" s="34">
        <v>4.1506316216684865E-4</v>
      </c>
      <c r="AF21" s="34">
        <v>1.060728591383217</v>
      </c>
      <c r="AG21" s="34">
        <v>0.28923722501809274</v>
      </c>
      <c r="AH21" s="34">
        <v>-3.7487290453114671E-4</v>
      </c>
      <c r="AI21" s="34">
        <v>1.255411631211757E-3</v>
      </c>
      <c r="AJ21" s="34">
        <v>-3.7487290453114671E-4</v>
      </c>
      <c r="AK21" s="34">
        <v>1.255411631211757E-3</v>
      </c>
      <c r="AL21" s="22">
        <v>44713</v>
      </c>
      <c r="AM21" s="26">
        <f>AVERAGE(C519:C548)</f>
        <v>211.41066666666666</v>
      </c>
      <c r="AN21" s="26">
        <f t="shared" si="5"/>
        <v>5.3538025294322127</v>
      </c>
      <c r="AO21" s="28">
        <v>18</v>
      </c>
      <c r="AP21" s="26">
        <f t="shared" si="3"/>
        <v>5.3671906970891525</v>
      </c>
      <c r="AQ21" s="28"/>
      <c r="AR21" s="26">
        <f t="shared" si="4"/>
        <v>214.26009989976399</v>
      </c>
      <c r="AS21" s="34" t="s">
        <v>0</v>
      </c>
      <c r="AT21" s="34">
        <v>-1.7076697308484447E-3</v>
      </c>
      <c r="AU21" s="34">
        <v>2.6422358985385835E-3</v>
      </c>
      <c r="AV21" s="34">
        <v>-0.64629722569167802</v>
      </c>
      <c r="AW21" s="34">
        <v>0.52624218250656019</v>
      </c>
      <c r="AX21" s="34">
        <v>-7.2588013656042375E-3</v>
      </c>
      <c r="AY21" s="34">
        <v>3.8434619039073485E-3</v>
      </c>
      <c r="AZ21" s="34">
        <v>-7.2588013656042375E-3</v>
      </c>
      <c r="BA21" s="34">
        <v>3.8434619039073485E-3</v>
      </c>
      <c r="BB21" s="22">
        <v>44713</v>
      </c>
      <c r="BC21" s="27">
        <f t="shared" si="8"/>
        <v>6.4964992617195946E-2</v>
      </c>
      <c r="BD21" s="27">
        <v>-4.9090999999999996</v>
      </c>
      <c r="BE21" s="27">
        <v>8.8888999999999996</v>
      </c>
      <c r="BF21" s="27">
        <v>0.21629999999999999</v>
      </c>
      <c r="BG21" s="27">
        <v>3.9037000000000002</v>
      </c>
      <c r="BH21" s="27">
        <v>0.35899999999999999</v>
      </c>
      <c r="BK21" s="24">
        <v>44215</v>
      </c>
      <c r="BL21" s="25">
        <v>216.23</v>
      </c>
      <c r="BM21" s="26">
        <f t="shared" si="12"/>
        <v>202.46</v>
      </c>
      <c r="BN21" s="26">
        <f t="shared" si="15"/>
        <v>201.55</v>
      </c>
      <c r="BO21" s="26">
        <f t="shared" si="18"/>
        <v>202.66428571428574</v>
      </c>
      <c r="BP21" s="26">
        <f t="shared" si="21"/>
        <v>203.38230769230765</v>
      </c>
      <c r="BQ21" s="26"/>
      <c r="BR21" s="26">
        <f t="shared" si="16"/>
        <v>202.43799999999999</v>
      </c>
      <c r="BS21" s="26">
        <f t="shared" si="9"/>
        <v>204.68363855390888</v>
      </c>
      <c r="BT21" s="26">
        <f t="shared" si="10"/>
        <v>208.02386896191837</v>
      </c>
    </row>
    <row r="22" spans="1:72" ht="16" x14ac:dyDescent="0.2">
      <c r="A22" s="76"/>
      <c r="B22" s="24">
        <v>44216</v>
      </c>
      <c r="C22" s="25">
        <v>213.43</v>
      </c>
      <c r="D22" s="26">
        <f t="shared" si="11"/>
        <v>208.46</v>
      </c>
      <c r="E22" s="26">
        <f t="shared" si="13"/>
        <v>201.33800000000002</v>
      </c>
      <c r="F22" s="26">
        <f t="shared" si="17"/>
        <v>205.04000000000002</v>
      </c>
      <c r="G22" s="26">
        <f t="shared" si="20"/>
        <v>204.09999999999997</v>
      </c>
      <c r="H22" s="26"/>
      <c r="I22" s="26">
        <f t="shared" si="14"/>
        <v>206.39800000000002</v>
      </c>
      <c r="J22" s="26">
        <f t="shared" si="6"/>
        <v>208.18218313234533</v>
      </c>
      <c r="K22" s="26">
        <f t="shared" si="7"/>
        <v>211.26754758476733</v>
      </c>
      <c r="L22" s="26">
        <f t="shared" si="0"/>
        <v>222.1295403112575</v>
      </c>
      <c r="M22"/>
      <c r="N22"/>
      <c r="O22"/>
      <c r="P22"/>
      <c r="Q22"/>
      <c r="R22"/>
      <c r="S22"/>
      <c r="T22"/>
      <c r="U22"/>
      <c r="V22" s="26">
        <f t="shared" si="19"/>
        <v>204.80479252930658</v>
      </c>
      <c r="W22" s="26"/>
      <c r="X22" s="26"/>
      <c r="Y22" s="26"/>
      <c r="Z22" s="26">
        <v>10902.8</v>
      </c>
      <c r="AA22" s="26">
        <f t="shared" si="1"/>
        <v>217.01407870348271</v>
      </c>
      <c r="AB22" s="27">
        <f t="shared" si="2"/>
        <v>1.6792759703334596E-2</v>
      </c>
      <c r="AL22" s="22">
        <v>44743</v>
      </c>
      <c r="AM22" s="26">
        <f>AVERAGE(C549:C579)</f>
        <v>209.81645161290322</v>
      </c>
      <c r="AN22" s="26">
        <f t="shared" si="5"/>
        <v>5.3462331085832862</v>
      </c>
      <c r="AO22" s="28">
        <v>19</v>
      </c>
      <c r="AP22" s="26">
        <f t="shared" si="3"/>
        <v>5.3654830273583043</v>
      </c>
      <c r="AQ22" s="28"/>
      <c r="AR22" s="26">
        <f t="shared" si="4"/>
        <v>213.89452664066954</v>
      </c>
      <c r="BB22" s="22">
        <v>44743</v>
      </c>
      <c r="BC22" s="27">
        <f t="shared" si="8"/>
        <v>-7.540844929442703E-3</v>
      </c>
      <c r="BD22" s="27">
        <v>0.3256</v>
      </c>
      <c r="BE22" s="27">
        <v>-0.15279999999999999</v>
      </c>
      <c r="BF22" s="27">
        <v>-4.9000000000000002E-2</v>
      </c>
      <c r="BG22" s="27">
        <v>-0.28249999999999997</v>
      </c>
      <c r="BH22" s="27">
        <v>6.59E-2</v>
      </c>
      <c r="BK22" s="24">
        <v>44216</v>
      </c>
      <c r="BL22" s="25">
        <v>213.43</v>
      </c>
      <c r="BM22" s="26">
        <f t="shared" si="12"/>
        <v>208.46</v>
      </c>
      <c r="BN22" s="26">
        <f t="shared" si="15"/>
        <v>201.33800000000002</v>
      </c>
      <c r="BO22" s="26">
        <f t="shared" si="18"/>
        <v>205.04000000000002</v>
      </c>
      <c r="BP22" s="26">
        <f t="shared" si="21"/>
        <v>204.09999999999997</v>
      </c>
      <c r="BQ22" s="26"/>
      <c r="BR22" s="26">
        <f t="shared" si="16"/>
        <v>206.39800000000002</v>
      </c>
      <c r="BS22" s="26">
        <f t="shared" si="9"/>
        <v>208.18218313234533</v>
      </c>
      <c r="BT22" s="26">
        <f t="shared" si="10"/>
        <v>211.26754758476733</v>
      </c>
    </row>
    <row r="23" spans="1:72" ht="16" x14ac:dyDescent="0.2">
      <c r="A23" s="76"/>
      <c r="B23" s="24">
        <v>44217</v>
      </c>
      <c r="C23" s="25">
        <v>185.66</v>
      </c>
      <c r="D23" s="26">
        <f t="shared" si="11"/>
        <v>205.10666666666665</v>
      </c>
      <c r="E23" s="26">
        <f t="shared" si="13"/>
        <v>201.29399999999998</v>
      </c>
      <c r="F23" s="26">
        <f t="shared" si="17"/>
        <v>200.97714285714287</v>
      </c>
      <c r="G23" s="26">
        <f t="shared" si="20"/>
        <v>202.11076923076919</v>
      </c>
      <c r="H23" s="26"/>
      <c r="I23" s="26">
        <f t="shared" si="14"/>
        <v>201.172</v>
      </c>
      <c r="J23" s="26">
        <f t="shared" si="6"/>
        <v>199.17330987940719</v>
      </c>
      <c r="K23" s="26">
        <f t="shared" si="7"/>
        <v>195.90301903390696</v>
      </c>
      <c r="L23" s="26">
        <f t="shared" si="0"/>
        <v>222.11470164925743</v>
      </c>
      <c r="M23"/>
      <c r="N23"/>
      <c r="O23"/>
      <c r="P23"/>
      <c r="Q23"/>
      <c r="R23"/>
      <c r="S23"/>
      <c r="T23"/>
      <c r="U23"/>
      <c r="V23" s="26">
        <f t="shared" si="19"/>
        <v>201.85943983249018</v>
      </c>
      <c r="W23" s="26"/>
      <c r="X23" s="26"/>
      <c r="Y23" s="26"/>
      <c r="Z23" s="26">
        <v>11458.1</v>
      </c>
      <c r="AA23" s="26">
        <f t="shared" si="1"/>
        <v>217.25856028094557</v>
      </c>
      <c r="AB23" s="27">
        <f t="shared" ref="AB23:AB68" si="22">(AA23-C23)/C23</f>
        <v>0.1701958433746934</v>
      </c>
      <c r="AL23" s="22">
        <v>44774</v>
      </c>
      <c r="AM23" s="26">
        <f>AVERAGE(C580:C610)</f>
        <v>192.61548387096781</v>
      </c>
      <c r="AN23" s="26">
        <f t="shared" si="5"/>
        <v>5.2606958900628653</v>
      </c>
      <c r="AO23" s="28">
        <v>20</v>
      </c>
      <c r="AP23" s="26">
        <f t="shared" si="3"/>
        <v>5.3637753576274552</v>
      </c>
      <c r="AQ23" s="28"/>
      <c r="AR23" s="26">
        <f t="shared" si="4"/>
        <v>213.52957712723654</v>
      </c>
      <c r="BB23" s="22">
        <v>44774</v>
      </c>
      <c r="BC23" s="27">
        <f>(AM23-AM22)/AM22</f>
        <v>-8.198102488964977E-2</v>
      </c>
      <c r="BD23" s="27">
        <v>0.64910000000000001</v>
      </c>
      <c r="BE23" s="27">
        <v>0.878</v>
      </c>
      <c r="BF23" s="27">
        <v>2.07E-2</v>
      </c>
      <c r="BG23" s="27">
        <v>0.52629999999999999</v>
      </c>
      <c r="BH23" s="27">
        <v>0.1711</v>
      </c>
      <c r="BK23" s="24">
        <v>44217</v>
      </c>
      <c r="BL23" s="25">
        <v>185.66</v>
      </c>
      <c r="BM23" s="26">
        <f t="shared" si="12"/>
        <v>205.10666666666665</v>
      </c>
      <c r="BN23" s="26">
        <f t="shared" si="15"/>
        <v>201.29399999999998</v>
      </c>
      <c r="BO23" s="26">
        <f t="shared" si="18"/>
        <v>200.97714285714287</v>
      </c>
      <c r="BP23" s="26">
        <f t="shared" si="21"/>
        <v>202.11076923076919</v>
      </c>
      <c r="BQ23" s="26"/>
      <c r="BR23" s="26">
        <f>(BL23*5+BL22*4+BL21*3+BL20*2+BL19)/(5+4+3+2+1)</f>
        <v>201.172</v>
      </c>
      <c r="BS23" s="26">
        <f>BL23*$J$3+BS22*(1-$J$3)</f>
        <v>199.17330987940719</v>
      </c>
      <c r="BT23" s="26">
        <f>BL23*$K$3+BT22*(1-$K$3)</f>
        <v>195.90301903390696</v>
      </c>
    </row>
    <row r="24" spans="1:72" ht="15" x14ac:dyDescent="0.2">
      <c r="A24" s="76"/>
      <c r="B24" s="24">
        <v>44218</v>
      </c>
      <c r="C24" s="25">
        <v>195.28</v>
      </c>
      <c r="D24" s="26">
        <f t="shared" si="11"/>
        <v>198.12333333333333</v>
      </c>
      <c r="E24" s="26">
        <f t="shared" si="13"/>
        <v>201.26399999999998</v>
      </c>
      <c r="F24" s="26">
        <f t="shared" si="17"/>
        <v>198.23285714285717</v>
      </c>
      <c r="G24" s="26">
        <f t="shared" si="20"/>
        <v>201.01538461538465</v>
      </c>
      <c r="H24" s="26"/>
      <c r="I24" s="26">
        <f t="shared" si="14"/>
        <v>199.16733333333332</v>
      </c>
      <c r="J24" s="26">
        <f t="shared" si="6"/>
        <v>197.61598592764432</v>
      </c>
      <c r="K24" s="26">
        <f t="shared" si="7"/>
        <v>195.52920761356279</v>
      </c>
      <c r="L24" s="26">
        <f t="shared" si="0"/>
        <v>222.09986298725732</v>
      </c>
      <c r="M24"/>
      <c r="N24"/>
      <c r="O24"/>
      <c r="P24"/>
      <c r="Q24"/>
      <c r="R24"/>
      <c r="S24"/>
      <c r="T24"/>
      <c r="U24"/>
      <c r="V24" s="26">
        <f t="shared" ref="V24:V80" si="23">C24*(2/(12+1))+V23*(1-(2/(12+1)))</f>
        <v>200.84721831979937</v>
      </c>
      <c r="W24" s="26"/>
      <c r="X24" s="26"/>
      <c r="Y24" s="26"/>
      <c r="Z24" s="26">
        <v>11160.57</v>
      </c>
      <c r="AA24" s="26">
        <f t="shared" si="1"/>
        <v>217.12756693727093</v>
      </c>
      <c r="AB24" s="27">
        <f t="shared" si="22"/>
        <v>0.11187815924452543</v>
      </c>
      <c r="BK24" s="24">
        <v>44218</v>
      </c>
      <c r="BL24" s="25">
        <v>195.28</v>
      </c>
      <c r="BM24" s="26">
        <f t="shared" si="12"/>
        <v>198.12333333333333</v>
      </c>
      <c r="BN24" s="26">
        <f t="shared" si="15"/>
        <v>201.26399999999998</v>
      </c>
      <c r="BO24" s="26">
        <f t="shared" si="18"/>
        <v>198.23285714285717</v>
      </c>
      <c r="BP24" s="26">
        <f t="shared" si="21"/>
        <v>201.01538461538465</v>
      </c>
      <c r="BQ24" s="26"/>
      <c r="BR24" s="26">
        <f>(BL24*5+BL23*4+BL22*3+BL21*2+BL20)/(5+4+3+2+1)</f>
        <v>199.16733333333332</v>
      </c>
      <c r="BS24" s="26">
        <f t="shared" si="9"/>
        <v>197.61598592764432</v>
      </c>
      <c r="BT24" s="26">
        <f t="shared" si="10"/>
        <v>195.52920761356279</v>
      </c>
    </row>
    <row r="25" spans="1:72" x14ac:dyDescent="0.2">
      <c r="A25" s="76"/>
      <c r="B25" s="24">
        <v>44219</v>
      </c>
      <c r="C25" s="25">
        <v>213.19</v>
      </c>
      <c r="D25" s="26">
        <f t="shared" si="11"/>
        <v>198.04333333333332</v>
      </c>
      <c r="E25" s="26">
        <f t="shared" si="13"/>
        <v>204.75799999999998</v>
      </c>
      <c r="F25" s="26">
        <f t="shared" si="17"/>
        <v>202.13428571428571</v>
      </c>
      <c r="G25" s="26">
        <f t="shared" si="20"/>
        <v>200.68076923076927</v>
      </c>
      <c r="H25" s="26"/>
      <c r="I25" s="26">
        <f t="shared" si="14"/>
        <v>203.14266666666668</v>
      </c>
      <c r="J25" s="26">
        <f t="shared" si="6"/>
        <v>203.84559155658661</v>
      </c>
      <c r="K25" s="26">
        <f t="shared" si="7"/>
        <v>206.12568304542509</v>
      </c>
      <c r="L25" s="26">
        <f t="shared" si="0"/>
        <v>222.08502432525722</v>
      </c>
      <c r="V25" s="26">
        <f t="shared" si="23"/>
        <v>202.74610780906099</v>
      </c>
      <c r="W25" s="26"/>
      <c r="X25" s="26"/>
      <c r="Y25" s="26"/>
      <c r="Z25" s="26">
        <v>12377.18</v>
      </c>
      <c r="AA25" s="26">
        <f t="shared" si="1"/>
        <v>217.66320304740438</v>
      </c>
      <c r="AB25" s="27">
        <f t="shared" si="22"/>
        <v>2.0982236725007656E-2</v>
      </c>
      <c r="BK25" s="24">
        <v>44219</v>
      </c>
      <c r="BL25" s="25">
        <v>213.19</v>
      </c>
      <c r="BM25" s="26">
        <f t="shared" si="12"/>
        <v>198.04333333333332</v>
      </c>
      <c r="BN25" s="26">
        <f t="shared" si="15"/>
        <v>204.75799999999998</v>
      </c>
      <c r="BO25" s="26">
        <f t="shared" si="18"/>
        <v>202.13428571428571</v>
      </c>
      <c r="BP25" s="26">
        <f t="shared" si="21"/>
        <v>200.68076923076927</v>
      </c>
      <c r="BQ25" s="26"/>
      <c r="BR25" s="26">
        <f>(BL25*5+BL24*4+BL23*3+BL22*2+BL21)/(5+4+3+2+1)</f>
        <v>203.14266666666668</v>
      </c>
      <c r="BS25" s="26">
        <f t="shared" si="9"/>
        <v>203.84559155658661</v>
      </c>
      <c r="BT25" s="26">
        <f t="shared" si="10"/>
        <v>206.12568304542509</v>
      </c>
    </row>
    <row r="26" spans="1:72" x14ac:dyDescent="0.2">
      <c r="A26" s="76"/>
      <c r="B26" s="24">
        <v>44220</v>
      </c>
      <c r="C26" s="25">
        <v>218.01</v>
      </c>
      <c r="D26" s="26">
        <f t="shared" si="11"/>
        <v>208.82666666666668</v>
      </c>
      <c r="E26" s="26">
        <f t="shared" si="13"/>
        <v>205.11399999999998</v>
      </c>
      <c r="F26" s="26">
        <f t="shared" si="17"/>
        <v>205.35999999999999</v>
      </c>
      <c r="G26" s="26">
        <f t="shared" si="20"/>
        <v>202.85461538461544</v>
      </c>
      <c r="H26" s="26"/>
      <c r="I26" s="26">
        <f t="shared" si="14"/>
        <v>207.56</v>
      </c>
      <c r="J26" s="26">
        <f t="shared" si="6"/>
        <v>209.51135493395196</v>
      </c>
      <c r="K26" s="26">
        <f t="shared" si="7"/>
        <v>213.25627321817001</v>
      </c>
      <c r="L26" s="26">
        <f t="shared" si="0"/>
        <v>222.07018566325715</v>
      </c>
      <c r="V26" s="26">
        <f t="shared" si="23"/>
        <v>205.09439891535928</v>
      </c>
      <c r="W26" s="26"/>
      <c r="X26" s="26"/>
      <c r="Y26" s="26"/>
      <c r="Z26" s="26">
        <v>9018.09</v>
      </c>
      <c r="AA26" s="26">
        <f t="shared" si="1"/>
        <v>216.18429863170161</v>
      </c>
      <c r="AB26" s="27">
        <f t="shared" si="22"/>
        <v>-8.3743927723424726E-3</v>
      </c>
      <c r="BK26" s="24">
        <v>44220</v>
      </c>
      <c r="BL26" s="25">
        <v>218.01</v>
      </c>
      <c r="BM26" s="26">
        <f t="shared" si="12"/>
        <v>208.82666666666668</v>
      </c>
      <c r="BN26" s="26">
        <f t="shared" si="15"/>
        <v>205.11399999999998</v>
      </c>
      <c r="BO26" s="26">
        <f t="shared" si="18"/>
        <v>205.35999999999999</v>
      </c>
      <c r="BP26" s="26">
        <f t="shared" si="21"/>
        <v>202.85461538461544</v>
      </c>
      <c r="BQ26" s="26"/>
      <c r="BR26" s="26">
        <f>(BL26*5+BL25*4+BL24*3+BL23*2+BL22)/(5+4+3+2+1)</f>
        <v>207.56</v>
      </c>
      <c r="BS26" s="26">
        <f t="shared" si="9"/>
        <v>209.51135493395196</v>
      </c>
      <c r="BT26" s="26">
        <f t="shared" si="10"/>
        <v>213.25627321817001</v>
      </c>
    </row>
    <row r="27" spans="1:72" x14ac:dyDescent="0.2">
      <c r="A27" s="76"/>
      <c r="B27" s="24">
        <v>44221</v>
      </c>
      <c r="C27" s="25">
        <v>187.14</v>
      </c>
      <c r="D27" s="26">
        <f t="shared" si="11"/>
        <v>206.11333333333332</v>
      </c>
      <c r="E27" s="26">
        <f t="shared" si="13"/>
        <v>199.85599999999999</v>
      </c>
      <c r="F27" s="26">
        <f t="shared" si="17"/>
        <v>204.13428571428571</v>
      </c>
      <c r="G27" s="26">
        <f t="shared" si="20"/>
        <v>202.41230769230771</v>
      </c>
      <c r="H27" s="26"/>
      <c r="I27" s="26">
        <f t="shared" si="14"/>
        <v>201.56866666666662</v>
      </c>
      <c r="J27" s="26">
        <f t="shared" si="6"/>
        <v>200.56281296037116</v>
      </c>
      <c r="K27" s="26">
        <f t="shared" si="7"/>
        <v>197.586509287268</v>
      </c>
      <c r="L27" s="26">
        <f t="shared" si="0"/>
        <v>222.05534700125705</v>
      </c>
      <c r="V27" s="26">
        <f t="shared" si="23"/>
        <v>202.3321836976117</v>
      </c>
      <c r="W27" s="26"/>
      <c r="X27" s="26"/>
      <c r="Y27" s="26"/>
      <c r="Z27" s="26">
        <v>8710.7199999999993</v>
      </c>
      <c r="AA27" s="26">
        <f t="shared" si="1"/>
        <v>216.04897303749169</v>
      </c>
      <c r="AB27" s="27">
        <f t="shared" si="22"/>
        <v>0.1544777868841066</v>
      </c>
      <c r="BK27" s="24">
        <v>44221</v>
      </c>
      <c r="BL27" s="25">
        <v>187.14</v>
      </c>
      <c r="BM27" s="26">
        <f t="shared" si="12"/>
        <v>206.11333333333332</v>
      </c>
      <c r="BN27" s="26">
        <f t="shared" si="15"/>
        <v>199.85599999999999</v>
      </c>
      <c r="BO27" s="26">
        <f t="shared" si="18"/>
        <v>204.13428571428571</v>
      </c>
      <c r="BP27" s="26">
        <f t="shared" si="21"/>
        <v>202.41230769230771</v>
      </c>
      <c r="BQ27" s="26"/>
      <c r="BR27" s="26">
        <f t="shared" si="16"/>
        <v>201.56866666666662</v>
      </c>
      <c r="BS27" s="26">
        <f t="shared" si="9"/>
        <v>200.56281296037116</v>
      </c>
      <c r="BT27" s="26">
        <f t="shared" si="10"/>
        <v>197.586509287268</v>
      </c>
    </row>
    <row r="28" spans="1:72" x14ac:dyDescent="0.2">
      <c r="A28" s="76"/>
      <c r="B28" s="24">
        <v>44222</v>
      </c>
      <c r="C28" s="25">
        <v>192.55</v>
      </c>
      <c r="D28" s="26">
        <f t="shared" si="11"/>
        <v>199.23333333333335</v>
      </c>
      <c r="E28" s="26">
        <f t="shared" si="13"/>
        <v>201.23400000000001</v>
      </c>
      <c r="F28" s="26">
        <f t="shared" si="17"/>
        <v>200.75142857142856</v>
      </c>
      <c r="G28" s="26">
        <f t="shared" si="20"/>
        <v>202.08538461538461</v>
      </c>
      <c r="H28" s="26"/>
      <c r="I28" s="26">
        <f t="shared" si="14"/>
        <v>199.13333333333335</v>
      </c>
      <c r="J28" s="26">
        <f t="shared" si="6"/>
        <v>197.35768777622269</v>
      </c>
      <c r="K28" s="26">
        <f t="shared" si="7"/>
        <v>194.56460371490721</v>
      </c>
      <c r="L28" s="26">
        <f t="shared" si="0"/>
        <v>222.04050833925695</v>
      </c>
      <c r="V28" s="26">
        <f t="shared" si="23"/>
        <v>200.82723235951758</v>
      </c>
      <c r="W28" s="26"/>
      <c r="X28" s="26"/>
      <c r="Y28" s="26"/>
      <c r="Z28" s="26">
        <v>9615.81</v>
      </c>
      <c r="AA28" s="26">
        <f t="shared" si="1"/>
        <v>216.44745643555737</v>
      </c>
      <c r="AB28" s="27">
        <f t="shared" si="22"/>
        <v>0.12411039436799459</v>
      </c>
      <c r="BK28" s="24">
        <v>44222</v>
      </c>
      <c r="BL28" s="25">
        <v>192.55</v>
      </c>
      <c r="BM28" s="26">
        <f t="shared" si="12"/>
        <v>199.23333333333335</v>
      </c>
      <c r="BN28" s="26">
        <f t="shared" si="15"/>
        <v>201.23400000000001</v>
      </c>
      <c r="BO28" s="26">
        <f t="shared" si="18"/>
        <v>200.75142857142856</v>
      </c>
      <c r="BP28" s="26">
        <f t="shared" si="21"/>
        <v>202.08538461538461</v>
      </c>
      <c r="BQ28" s="26"/>
      <c r="BR28" s="26">
        <f t="shared" si="16"/>
        <v>199.13333333333335</v>
      </c>
      <c r="BS28" s="26">
        <f t="shared" si="9"/>
        <v>197.35768777622269</v>
      </c>
      <c r="BT28" s="26">
        <f t="shared" si="10"/>
        <v>194.56460371490721</v>
      </c>
    </row>
    <row r="29" spans="1:72" x14ac:dyDescent="0.2">
      <c r="A29" s="76"/>
      <c r="B29" s="24">
        <v>44223</v>
      </c>
      <c r="C29" s="25">
        <v>212.29</v>
      </c>
      <c r="D29" s="26">
        <f t="shared" si="11"/>
        <v>197.32666666666668</v>
      </c>
      <c r="E29" s="26">
        <f t="shared" si="13"/>
        <v>204.63599999999997</v>
      </c>
      <c r="F29" s="26">
        <f t="shared" si="17"/>
        <v>200.58857142857141</v>
      </c>
      <c r="G29" s="26">
        <f t="shared" si="20"/>
        <v>201.94615384615386</v>
      </c>
      <c r="H29" s="26"/>
      <c r="I29" s="26">
        <f t="shared" si="14"/>
        <v>202.81866666666667</v>
      </c>
      <c r="J29" s="26">
        <f t="shared" si="6"/>
        <v>203.33061266573361</v>
      </c>
      <c r="K29" s="26">
        <f t="shared" si="7"/>
        <v>205.19984148596288</v>
      </c>
      <c r="L29" s="26">
        <f t="shared" si="0"/>
        <v>222.02566967725687</v>
      </c>
      <c r="V29" s="26">
        <f>C29*(2/(12+1))+V28*(1-(2/(12+1)))</f>
        <v>202.59073507343794</v>
      </c>
      <c r="W29" s="26">
        <f>AVERAGE(C4:C29)</f>
        <v>202.81384615384616</v>
      </c>
      <c r="X29" s="26">
        <f>V29-W29</f>
        <v>-0.22311108040821637</v>
      </c>
      <c r="Y29" s="26"/>
      <c r="Z29" s="26">
        <v>10941.17</v>
      </c>
      <c r="AA29" s="26">
        <f t="shared" si="1"/>
        <v>217.03097183895406</v>
      </c>
      <c r="AB29" s="27">
        <f t="shared" si="22"/>
        <v>2.2332525502633507E-2</v>
      </c>
      <c r="BK29" s="24">
        <v>44223</v>
      </c>
      <c r="BL29" s="25">
        <v>212.29</v>
      </c>
      <c r="BM29" s="26">
        <f t="shared" si="12"/>
        <v>197.32666666666668</v>
      </c>
      <c r="BN29" s="26">
        <f t="shared" si="15"/>
        <v>204.63599999999997</v>
      </c>
      <c r="BO29" s="26">
        <f t="shared" si="18"/>
        <v>200.58857142857141</v>
      </c>
      <c r="BP29" s="26">
        <f t="shared" si="21"/>
        <v>201.94615384615386</v>
      </c>
      <c r="BQ29" s="26"/>
      <c r="BR29" s="26">
        <f t="shared" si="16"/>
        <v>202.81866666666667</v>
      </c>
      <c r="BS29" s="26">
        <f t="shared" si="9"/>
        <v>203.33061266573361</v>
      </c>
      <c r="BT29" s="26">
        <f t="shared" si="10"/>
        <v>205.19984148596288</v>
      </c>
    </row>
    <row r="30" spans="1:72" x14ac:dyDescent="0.2">
      <c r="A30" s="76"/>
      <c r="B30" s="24">
        <v>44224</v>
      </c>
      <c r="C30" s="25">
        <v>221.4</v>
      </c>
      <c r="D30" s="26">
        <f t="shared" si="11"/>
        <v>208.74666666666667</v>
      </c>
      <c r="E30" s="26">
        <f t="shared" si="13"/>
        <v>206.27800000000002</v>
      </c>
      <c r="F30" s="26">
        <f t="shared" si="17"/>
        <v>205.69428571428574</v>
      </c>
      <c r="G30" s="26">
        <f t="shared" si="20"/>
        <v>202.47769230769234</v>
      </c>
      <c r="H30" s="26"/>
      <c r="I30" s="26">
        <f t="shared" si="14"/>
        <v>208.40666666666669</v>
      </c>
      <c r="J30" s="26">
        <f t="shared" si="6"/>
        <v>210.55836759944015</v>
      </c>
      <c r="K30" s="26">
        <f t="shared" si="7"/>
        <v>214.91993659438515</v>
      </c>
      <c r="L30" s="26">
        <f t="shared" si="0"/>
        <v>222.01083101525677</v>
      </c>
      <c r="V30" s="26">
        <f>C30*(2/(12+1))+V29*(1-(2/(12+1)))</f>
        <v>205.48446813906287</v>
      </c>
      <c r="W30" s="26">
        <f>C30*(2/(26+1))+V29*(1-(2/(26+1)))</f>
        <v>203.984013956887</v>
      </c>
      <c r="X30" s="26">
        <f t="shared" ref="X30:X93" si="24">V30-W30</f>
        <v>1.5004541821758721</v>
      </c>
      <c r="Y30" s="26"/>
      <c r="Z30" s="26">
        <v>11313.13</v>
      </c>
      <c r="AA30" s="26">
        <f t="shared" si="1"/>
        <v>217.19473443134214</v>
      </c>
      <c r="AB30" s="27">
        <f t="shared" si="22"/>
        <v>-1.8993972758165605E-2</v>
      </c>
      <c r="BK30" s="24">
        <v>44224</v>
      </c>
      <c r="BL30" s="25">
        <v>221.4</v>
      </c>
      <c r="BM30" s="26">
        <f t="shared" si="12"/>
        <v>208.74666666666667</v>
      </c>
      <c r="BN30" s="26">
        <f t="shared" si="15"/>
        <v>206.27800000000002</v>
      </c>
      <c r="BO30" s="26">
        <f t="shared" si="18"/>
        <v>205.69428571428574</v>
      </c>
      <c r="BP30" s="26">
        <f t="shared" si="21"/>
        <v>202.47769230769234</v>
      </c>
      <c r="BQ30" s="26"/>
      <c r="BR30" s="26">
        <f t="shared" si="16"/>
        <v>208.40666666666669</v>
      </c>
      <c r="BS30" s="26">
        <f t="shared" si="9"/>
        <v>210.55836759944015</v>
      </c>
      <c r="BT30" s="26">
        <f t="shared" si="10"/>
        <v>214.91993659438515</v>
      </c>
    </row>
    <row r="31" spans="1:72" x14ac:dyDescent="0.2">
      <c r="A31" s="76"/>
      <c r="B31" s="24">
        <v>44225</v>
      </c>
      <c r="C31" s="25">
        <v>187.82</v>
      </c>
      <c r="D31" s="26">
        <f t="shared" si="11"/>
        <v>207.17</v>
      </c>
      <c r="E31" s="26">
        <f t="shared" si="13"/>
        <v>200.24</v>
      </c>
      <c r="F31" s="26">
        <f t="shared" si="17"/>
        <v>204.62857142857141</v>
      </c>
      <c r="G31" s="26">
        <f t="shared" si="20"/>
        <v>202.62692307692311</v>
      </c>
      <c r="H31" s="26"/>
      <c r="I31" s="26">
        <f t="shared" si="14"/>
        <v>202.25399999999996</v>
      </c>
      <c r="J31" s="26">
        <f t="shared" si="6"/>
        <v>201.46302055966407</v>
      </c>
      <c r="K31" s="26">
        <f t="shared" si="7"/>
        <v>198.65997463775406</v>
      </c>
      <c r="L31" s="26">
        <f t="shared" si="0"/>
        <v>221.99599235325667</v>
      </c>
      <c r="V31" s="26">
        <f t="shared" si="23"/>
        <v>202.76685765613013</v>
      </c>
      <c r="W31" s="26">
        <f t="shared" ref="W31:W94" si="25">C31*(2/(26+1))+V30*(1-(2/(26+1)))</f>
        <v>204.17598901765081</v>
      </c>
      <c r="X31" s="26">
        <f t="shared" si="24"/>
        <v>-1.4091313615206786</v>
      </c>
      <c r="Y31" s="26"/>
      <c r="Z31" s="26">
        <v>11590.78</v>
      </c>
      <c r="AA31" s="26">
        <f t="shared" si="1"/>
        <v>217.31697522007357</v>
      </c>
      <c r="AB31" s="27">
        <f t="shared" si="22"/>
        <v>0.15704917058925344</v>
      </c>
      <c r="BK31" s="24">
        <v>44225</v>
      </c>
      <c r="BL31" s="25">
        <v>187.82</v>
      </c>
      <c r="BM31" s="26">
        <f t="shared" si="12"/>
        <v>207.17</v>
      </c>
      <c r="BN31" s="26">
        <f t="shared" si="15"/>
        <v>200.24</v>
      </c>
      <c r="BO31" s="26">
        <f t="shared" si="18"/>
        <v>204.62857142857141</v>
      </c>
      <c r="BP31" s="26">
        <f t="shared" si="21"/>
        <v>202.62692307692311</v>
      </c>
      <c r="BQ31" s="26"/>
      <c r="BR31" s="26">
        <f t="shared" si="16"/>
        <v>202.25399999999996</v>
      </c>
      <c r="BS31" s="26">
        <f t="shared" si="9"/>
        <v>201.46302055966407</v>
      </c>
      <c r="BT31" s="26">
        <f t="shared" si="10"/>
        <v>198.65997463775406</v>
      </c>
    </row>
    <row r="32" spans="1:72" x14ac:dyDescent="0.2">
      <c r="A32" s="76"/>
      <c r="B32" s="24">
        <v>44226</v>
      </c>
      <c r="C32" s="25">
        <v>195.29</v>
      </c>
      <c r="D32" s="26">
        <f t="shared" si="11"/>
        <v>201.50333333333333</v>
      </c>
      <c r="E32" s="26">
        <f t="shared" si="13"/>
        <v>201.86999999999998</v>
      </c>
      <c r="F32" s="26">
        <f t="shared" si="17"/>
        <v>202.07142857142858</v>
      </c>
      <c r="G32" s="26">
        <f t="shared" si="20"/>
        <v>202.61615384615382</v>
      </c>
      <c r="H32" s="26"/>
      <c r="I32" s="26">
        <f t="shared" si="14"/>
        <v>200.60400000000001</v>
      </c>
      <c r="J32" s="26">
        <f t="shared" si="6"/>
        <v>198.99381233579845</v>
      </c>
      <c r="K32" s="26">
        <f t="shared" si="7"/>
        <v>196.63798985510164</v>
      </c>
      <c r="L32" s="26">
        <f t="shared" si="0"/>
        <v>221.98115369125659</v>
      </c>
      <c r="V32" s="26">
        <f t="shared" si="23"/>
        <v>201.61657186287934</v>
      </c>
      <c r="W32" s="26">
        <f t="shared" si="25"/>
        <v>202.21301634826864</v>
      </c>
      <c r="X32" s="26">
        <f t="shared" si="24"/>
        <v>-0.59644448538929851</v>
      </c>
      <c r="Y32" s="26"/>
      <c r="Z32" s="26">
        <v>12464.23</v>
      </c>
      <c r="AA32" s="26">
        <f t="shared" si="1"/>
        <v>217.70152849548316</v>
      </c>
      <c r="AB32" s="27">
        <f t="shared" si="22"/>
        <v>0.11476024627724496</v>
      </c>
      <c r="BK32" s="24">
        <v>44226</v>
      </c>
      <c r="BL32" s="25">
        <v>195.29</v>
      </c>
      <c r="BM32" s="26">
        <f t="shared" si="12"/>
        <v>201.50333333333333</v>
      </c>
      <c r="BN32" s="26">
        <f t="shared" si="15"/>
        <v>201.86999999999998</v>
      </c>
      <c r="BO32" s="26">
        <f t="shared" si="18"/>
        <v>202.07142857142858</v>
      </c>
      <c r="BP32" s="26">
        <f t="shared" si="21"/>
        <v>202.61615384615382</v>
      </c>
      <c r="BQ32" s="26"/>
      <c r="BR32" s="26">
        <f t="shared" si="16"/>
        <v>200.60400000000001</v>
      </c>
      <c r="BS32" s="26">
        <f t="shared" si="9"/>
        <v>198.99381233579845</v>
      </c>
      <c r="BT32" s="26">
        <f t="shared" si="10"/>
        <v>196.63798985510164</v>
      </c>
    </row>
    <row r="33" spans="1:72" x14ac:dyDescent="0.2">
      <c r="A33" s="76"/>
      <c r="B33" s="24">
        <v>44227</v>
      </c>
      <c r="C33" s="25">
        <v>214.53</v>
      </c>
      <c r="D33" s="26">
        <f t="shared" si="11"/>
        <v>199.21333333333334</v>
      </c>
      <c r="E33" s="26">
        <f t="shared" si="13"/>
        <v>206.26599999999999</v>
      </c>
      <c r="F33" s="26">
        <f t="shared" si="17"/>
        <v>201.57428571428571</v>
      </c>
      <c r="G33" s="26">
        <f t="shared" si="20"/>
        <v>204.06307692307695</v>
      </c>
      <c r="H33" s="26"/>
      <c r="I33" s="26">
        <f t="shared" si="14"/>
        <v>204.82400000000001</v>
      </c>
      <c r="J33" s="26">
        <f t="shared" si="6"/>
        <v>205.20828740147908</v>
      </c>
      <c r="K33" s="26">
        <f t="shared" si="7"/>
        <v>207.37319594204064</v>
      </c>
      <c r="L33" s="26">
        <f t="shared" si="0"/>
        <v>221.96631502925649</v>
      </c>
      <c r="V33" s="26">
        <f t="shared" si="23"/>
        <v>203.60325311474406</v>
      </c>
      <c r="W33" s="26">
        <f t="shared" si="25"/>
        <v>202.57312209525864</v>
      </c>
      <c r="X33" s="26">
        <f t="shared" si="24"/>
        <v>1.0301310194854238</v>
      </c>
      <c r="Y33" s="26"/>
      <c r="Z33" s="26">
        <v>8738.59</v>
      </c>
      <c r="AA33" s="26">
        <f t="shared" si="1"/>
        <v>216.06124334464798</v>
      </c>
      <c r="AB33" s="27">
        <f t="shared" si="22"/>
        <v>7.1376653365402311E-3</v>
      </c>
      <c r="BK33" s="24">
        <v>44227</v>
      </c>
      <c r="BL33" s="25">
        <v>214.53</v>
      </c>
      <c r="BM33" s="26">
        <f t="shared" si="12"/>
        <v>199.21333333333334</v>
      </c>
      <c r="BN33" s="26">
        <f t="shared" si="15"/>
        <v>206.26599999999999</v>
      </c>
      <c r="BO33" s="26">
        <f t="shared" si="18"/>
        <v>201.57428571428571</v>
      </c>
      <c r="BP33" s="26">
        <f t="shared" si="21"/>
        <v>204.06307692307695</v>
      </c>
      <c r="BQ33" s="26"/>
      <c r="BR33" s="26">
        <f t="shared" si="16"/>
        <v>204.82400000000001</v>
      </c>
      <c r="BS33" s="26">
        <f t="shared" si="9"/>
        <v>205.20828740147908</v>
      </c>
      <c r="BT33" s="26">
        <f t="shared" si="10"/>
        <v>207.37319594204064</v>
      </c>
    </row>
    <row r="34" spans="1:72" x14ac:dyDescent="0.2">
      <c r="A34" s="74">
        <v>44228</v>
      </c>
      <c r="B34" s="24">
        <v>44228</v>
      </c>
      <c r="C34" s="25">
        <v>213.36</v>
      </c>
      <c r="D34" s="26">
        <f t="shared" si="11"/>
        <v>207.72666666666669</v>
      </c>
      <c r="E34" s="26">
        <f t="shared" si="13"/>
        <v>206.48000000000002</v>
      </c>
      <c r="F34" s="26">
        <f t="shared" si="17"/>
        <v>205.31999999999996</v>
      </c>
      <c r="G34" s="26">
        <f t="shared" si="20"/>
        <v>203.84230769230771</v>
      </c>
      <c r="H34" s="26"/>
      <c r="I34" s="26">
        <f t="shared" si="14"/>
        <v>207.18866666666665</v>
      </c>
      <c r="J34" s="26">
        <f t="shared" si="6"/>
        <v>208.46897244088746</v>
      </c>
      <c r="K34" s="26">
        <f t="shared" si="7"/>
        <v>210.96527837681626</v>
      </c>
      <c r="L34" s="26">
        <f t="shared" si="0"/>
        <v>221.95147636725639</v>
      </c>
      <c r="V34" s="26">
        <f t="shared" si="23"/>
        <v>205.10429109709114</v>
      </c>
      <c r="W34" s="26">
        <f t="shared" si="25"/>
        <v>204.3259751062445</v>
      </c>
      <c r="X34" s="26">
        <f t="shared" si="24"/>
        <v>0.77831599084663594</v>
      </c>
      <c r="Y34" s="26"/>
      <c r="Z34" s="26">
        <v>8809.1200000000008</v>
      </c>
      <c r="AA34" s="26">
        <f t="shared" si="1"/>
        <v>216.09229554284437</v>
      </c>
      <c r="AB34" s="27">
        <f t="shared" si="22"/>
        <v>1.2806034602757569E-2</v>
      </c>
      <c r="BK34" s="24">
        <v>44228</v>
      </c>
      <c r="BL34" s="25">
        <v>213.36</v>
      </c>
      <c r="BM34" s="26">
        <f t="shared" si="12"/>
        <v>207.72666666666669</v>
      </c>
      <c r="BN34" s="26">
        <f t="shared" si="15"/>
        <v>206.48000000000002</v>
      </c>
      <c r="BO34" s="26">
        <f t="shared" si="18"/>
        <v>205.31999999999996</v>
      </c>
      <c r="BP34" s="26">
        <f t="shared" si="21"/>
        <v>203.84230769230771</v>
      </c>
      <c r="BQ34" s="26"/>
      <c r="BR34" s="26">
        <f t="shared" si="16"/>
        <v>207.18866666666665</v>
      </c>
      <c r="BS34" s="26">
        <f t="shared" si="9"/>
        <v>208.46897244088746</v>
      </c>
      <c r="BT34" s="26">
        <f t="shared" si="10"/>
        <v>210.96527837681626</v>
      </c>
    </row>
    <row r="35" spans="1:72" x14ac:dyDescent="0.2">
      <c r="A35" s="74"/>
      <c r="B35" s="24">
        <v>44229</v>
      </c>
      <c r="C35" s="25">
        <v>186</v>
      </c>
      <c r="D35" s="26">
        <f t="shared" si="11"/>
        <v>204.63</v>
      </c>
      <c r="E35" s="26">
        <f t="shared" si="13"/>
        <v>199.4</v>
      </c>
      <c r="F35" s="26">
        <f t="shared" si="17"/>
        <v>204.38428571428571</v>
      </c>
      <c r="G35" s="26">
        <f t="shared" si="20"/>
        <v>201.7323076923077</v>
      </c>
      <c r="H35" s="26"/>
      <c r="I35" s="26">
        <f t="shared" si="14"/>
        <v>200.36200000000002</v>
      </c>
      <c r="J35" s="26">
        <f t="shared" si="6"/>
        <v>199.48138346453248</v>
      </c>
      <c r="K35" s="26">
        <f t="shared" si="7"/>
        <v>195.9861113507265</v>
      </c>
      <c r="L35" s="26">
        <f t="shared" si="0"/>
        <v>221.93663770525632</v>
      </c>
      <c r="V35" s="26">
        <f t="shared" si="23"/>
        <v>202.16516938984634</v>
      </c>
      <c r="W35" s="26">
        <f t="shared" si="25"/>
        <v>203.68915842323253</v>
      </c>
      <c r="X35" s="26">
        <f t="shared" si="24"/>
        <v>-1.5239890333861865</v>
      </c>
      <c r="Y35" s="26"/>
      <c r="Z35" s="26">
        <v>9814.08</v>
      </c>
      <c r="AA35" s="26">
        <f t="shared" si="1"/>
        <v>216.53474864222684</v>
      </c>
      <c r="AB35" s="27">
        <f t="shared" si="22"/>
        <v>0.16416531528078948</v>
      </c>
      <c r="BK35" s="24">
        <v>44229</v>
      </c>
      <c r="BL35" s="25">
        <v>186</v>
      </c>
      <c r="BM35" s="26">
        <f t="shared" si="12"/>
        <v>204.63</v>
      </c>
      <c r="BN35" s="26">
        <f t="shared" si="15"/>
        <v>199.4</v>
      </c>
      <c r="BO35" s="26">
        <f t="shared" si="18"/>
        <v>204.38428571428571</v>
      </c>
      <c r="BP35" s="26">
        <f t="shared" si="21"/>
        <v>201.7323076923077</v>
      </c>
      <c r="BQ35" s="26"/>
      <c r="BR35" s="26">
        <f t="shared" si="16"/>
        <v>200.36200000000002</v>
      </c>
      <c r="BS35" s="26">
        <f t="shared" si="9"/>
        <v>199.48138346453248</v>
      </c>
      <c r="BT35" s="26">
        <f t="shared" si="10"/>
        <v>195.9861113507265</v>
      </c>
    </row>
    <row r="36" spans="1:72" x14ac:dyDescent="0.2">
      <c r="A36" s="74"/>
      <c r="B36" s="24">
        <v>44230</v>
      </c>
      <c r="C36" s="25">
        <v>186.53</v>
      </c>
      <c r="D36" s="26">
        <f t="shared" si="11"/>
        <v>195.29666666666665</v>
      </c>
      <c r="E36" s="26">
        <f t="shared" si="13"/>
        <v>199.142</v>
      </c>
      <c r="F36" s="26">
        <f t="shared" si="17"/>
        <v>200.70428571428573</v>
      </c>
      <c r="G36" s="26">
        <f t="shared" si="20"/>
        <v>201.7992307692308</v>
      </c>
      <c r="H36" s="26">
        <f>AVERAGE(C4:C36)</f>
        <v>202.36636363636359</v>
      </c>
      <c r="I36" s="26">
        <f t="shared" si="14"/>
        <v>196.072</v>
      </c>
      <c r="J36" s="26">
        <f t="shared" si="6"/>
        <v>194.30083007871951</v>
      </c>
      <c r="K36" s="26">
        <f t="shared" si="7"/>
        <v>190.31244454029058</v>
      </c>
      <c r="L36" s="26">
        <f t="shared" si="0"/>
        <v>221.92179904325621</v>
      </c>
      <c r="V36" s="26">
        <f t="shared" si="23"/>
        <v>199.75975871448534</v>
      </c>
      <c r="W36" s="26">
        <f t="shared" si="25"/>
        <v>201.00700869430216</v>
      </c>
      <c r="X36" s="26">
        <f t="shared" si="24"/>
        <v>-1.2472499798168144</v>
      </c>
      <c r="Y36" s="26"/>
      <c r="Z36" s="26">
        <v>10998.4</v>
      </c>
      <c r="AA36" s="26">
        <f t="shared" si="1"/>
        <v>217.05616845461805</v>
      </c>
      <c r="AB36" s="27">
        <f t="shared" si="22"/>
        <v>0.16365286256697606</v>
      </c>
      <c r="BK36" s="24">
        <v>44230</v>
      </c>
      <c r="BL36" s="25">
        <v>186.53</v>
      </c>
      <c r="BM36" s="26">
        <f t="shared" si="12"/>
        <v>195.29666666666665</v>
      </c>
      <c r="BN36" s="26">
        <f t="shared" si="15"/>
        <v>199.142</v>
      </c>
      <c r="BO36" s="26">
        <f t="shared" si="18"/>
        <v>200.70428571428573</v>
      </c>
      <c r="BP36" s="26">
        <f t="shared" si="21"/>
        <v>201.7992307692308</v>
      </c>
      <c r="BQ36" s="26">
        <f>AVERAGE(BL4:BL36)</f>
        <v>202.36636363636359</v>
      </c>
      <c r="BR36" s="26">
        <f t="shared" si="16"/>
        <v>196.072</v>
      </c>
      <c r="BS36" s="26">
        <f t="shared" si="9"/>
        <v>194.30083007871951</v>
      </c>
      <c r="BT36" s="26">
        <f t="shared" si="10"/>
        <v>190.31244454029058</v>
      </c>
    </row>
    <row r="37" spans="1:72" x14ac:dyDescent="0.2">
      <c r="A37" s="74"/>
      <c r="B37" s="24">
        <v>44231</v>
      </c>
      <c r="C37" s="25">
        <v>192.4</v>
      </c>
      <c r="D37" s="26">
        <f t="shared" si="11"/>
        <v>188.30999999999997</v>
      </c>
      <c r="E37" s="26">
        <f t="shared" si="13"/>
        <v>198.56399999999999</v>
      </c>
      <c r="F37" s="26">
        <f t="shared" si="17"/>
        <v>196.56142857142859</v>
      </c>
      <c r="G37" s="26">
        <f t="shared" si="20"/>
        <v>201.57769230769233</v>
      </c>
      <c r="H37" s="26">
        <f t="shared" ref="H37:H100" si="26">AVERAGE(C5:C37)</f>
        <v>202.41181818181812</v>
      </c>
      <c r="I37" s="26">
        <f t="shared" si="14"/>
        <v>193.8246666666667</v>
      </c>
      <c r="J37" s="26">
        <f t="shared" si="6"/>
        <v>193.54049804723172</v>
      </c>
      <c r="K37" s="26">
        <f t="shared" si="7"/>
        <v>191.56497781611625</v>
      </c>
      <c r="L37" s="26">
        <f t="shared" si="0"/>
        <v>221.90696038125611</v>
      </c>
      <c r="V37" s="26">
        <f t="shared" si="23"/>
        <v>198.62748814302606</v>
      </c>
      <c r="W37" s="26">
        <f t="shared" si="25"/>
        <v>199.21459140230124</v>
      </c>
      <c r="X37" s="26">
        <f t="shared" si="24"/>
        <v>-0.5871032592751817</v>
      </c>
      <c r="Y37" s="26">
        <f>AVERAGE(X29:X37)</f>
        <v>-0.25312533414316046</v>
      </c>
      <c r="Z37" s="26">
        <v>11332.58</v>
      </c>
      <c r="AA37" s="26">
        <f t="shared" si="1"/>
        <v>217.20329767045911</v>
      </c>
      <c r="AB37" s="27">
        <f t="shared" si="22"/>
        <v>0.12891526855747973</v>
      </c>
      <c r="BK37" s="24">
        <v>44231</v>
      </c>
      <c r="BL37" s="25">
        <v>192.4</v>
      </c>
      <c r="BM37" s="26">
        <f t="shared" si="12"/>
        <v>188.30999999999997</v>
      </c>
      <c r="BN37" s="26">
        <f t="shared" si="15"/>
        <v>198.56399999999999</v>
      </c>
      <c r="BO37" s="26">
        <f t="shared" si="18"/>
        <v>196.56142857142859</v>
      </c>
      <c r="BP37" s="26">
        <f t="shared" si="21"/>
        <v>201.57769230769233</v>
      </c>
      <c r="BQ37" s="26">
        <f t="shared" ref="BQ37:BQ64" si="27">AVERAGE(BL5:BL37)</f>
        <v>202.41181818181812</v>
      </c>
      <c r="BR37" s="26">
        <f t="shared" si="16"/>
        <v>193.8246666666667</v>
      </c>
      <c r="BS37" s="26">
        <f t="shared" si="9"/>
        <v>193.54049804723172</v>
      </c>
      <c r="BT37" s="26">
        <f t="shared" si="10"/>
        <v>191.56497781611625</v>
      </c>
    </row>
    <row r="38" spans="1:72" x14ac:dyDescent="0.2">
      <c r="A38" s="74"/>
      <c r="B38" s="24">
        <v>44232</v>
      </c>
      <c r="C38" s="25">
        <v>218.88</v>
      </c>
      <c r="D38" s="26">
        <f t="shared" si="11"/>
        <v>199.26999999999998</v>
      </c>
      <c r="E38" s="26">
        <f t="shared" si="13"/>
        <v>199.434</v>
      </c>
      <c r="F38" s="26">
        <f t="shared" si="17"/>
        <v>200.99857142857147</v>
      </c>
      <c r="G38" s="26">
        <f t="shared" si="20"/>
        <v>202.01538461538465</v>
      </c>
      <c r="H38" s="26">
        <f t="shared" si="26"/>
        <v>202.98696969696965</v>
      </c>
      <c r="I38" s="26">
        <f t="shared" si="14"/>
        <v>200.59666666666669</v>
      </c>
      <c r="J38" s="26">
        <f t="shared" si="6"/>
        <v>203.67629882833904</v>
      </c>
      <c r="K38" s="26">
        <f t="shared" si="7"/>
        <v>207.95399112644651</v>
      </c>
      <c r="L38" s="26">
        <f t="shared" si="0"/>
        <v>221.89212171925604</v>
      </c>
      <c r="V38" s="26">
        <f t="shared" si="23"/>
        <v>201.74325919794512</v>
      </c>
      <c r="W38" s="26">
        <f>C38*(2/(26+1))+V37*(1-(2/(26+1)))</f>
        <v>200.12767420650562</v>
      </c>
      <c r="X38" s="26">
        <f t="shared" si="24"/>
        <v>1.6155849914395048</v>
      </c>
      <c r="Y38" s="26">
        <f>X38*(2/(9+1))+Y37*(1-(2/(9+1)))</f>
        <v>0.12061673097337258</v>
      </c>
      <c r="Z38" s="26">
        <v>11890.93</v>
      </c>
      <c r="AA38" s="26">
        <f t="shared" si="1"/>
        <v>217.44912206948015</v>
      </c>
      <c r="AB38" s="27">
        <f t="shared" si="22"/>
        <v>-6.5372712468925506E-3</v>
      </c>
      <c r="BK38" s="24">
        <v>44232</v>
      </c>
      <c r="BL38" s="25">
        <v>218.88</v>
      </c>
      <c r="BM38" s="26">
        <f t="shared" si="12"/>
        <v>199.26999999999998</v>
      </c>
      <c r="BN38" s="26">
        <f t="shared" si="15"/>
        <v>199.434</v>
      </c>
      <c r="BO38" s="26">
        <f t="shared" si="18"/>
        <v>200.99857142857147</v>
      </c>
      <c r="BP38" s="26">
        <f t="shared" si="21"/>
        <v>202.01538461538465</v>
      </c>
      <c r="BQ38" s="26">
        <f t="shared" si="27"/>
        <v>202.98696969696965</v>
      </c>
      <c r="BR38" s="26">
        <f t="shared" si="16"/>
        <v>200.59666666666669</v>
      </c>
      <c r="BS38" s="26">
        <f t="shared" si="9"/>
        <v>203.67629882833904</v>
      </c>
      <c r="BT38" s="26">
        <f t="shared" si="10"/>
        <v>207.95399112644651</v>
      </c>
    </row>
    <row r="39" spans="1:72" x14ac:dyDescent="0.2">
      <c r="A39" s="74"/>
      <c r="B39" s="24">
        <v>44233</v>
      </c>
      <c r="C39" s="25">
        <v>211.37</v>
      </c>
      <c r="D39" s="26">
        <f t="shared" si="11"/>
        <v>207.54999999999998</v>
      </c>
      <c r="E39" s="26">
        <f t="shared" si="13"/>
        <v>199.036</v>
      </c>
      <c r="F39" s="26">
        <f t="shared" si="17"/>
        <v>203.29571428571424</v>
      </c>
      <c r="G39" s="26">
        <f t="shared" si="20"/>
        <v>201.50461538461539</v>
      </c>
      <c r="H39" s="26">
        <f t="shared" si="26"/>
        <v>202.9824242424242</v>
      </c>
      <c r="I39" s="26">
        <f t="shared" si="14"/>
        <v>204.5753333333333</v>
      </c>
      <c r="J39" s="26">
        <f t="shared" si="6"/>
        <v>206.7537792970034</v>
      </c>
      <c r="K39" s="26">
        <f t="shared" si="7"/>
        <v>210.00359645057861</v>
      </c>
      <c r="L39" s="26">
        <f t="shared" si="0"/>
        <v>221.87728305725594</v>
      </c>
      <c r="V39" s="26">
        <f t="shared" si="23"/>
        <v>203.22429624441509</v>
      </c>
      <c r="W39" s="26">
        <f t="shared" si="25"/>
        <v>202.45635110920844</v>
      </c>
      <c r="X39" s="26">
        <f t="shared" si="24"/>
        <v>0.76794513520664509</v>
      </c>
      <c r="Y39" s="26">
        <f t="shared" ref="Y39:Y102" si="28">X39*(2/(9+1))+Y38*(1-(2/(9+1)))</f>
        <v>0.25008241182002711</v>
      </c>
      <c r="Z39" s="26">
        <v>8575.6200000000008</v>
      </c>
      <c r="AA39" s="26">
        <f t="shared" si="1"/>
        <v>215.9894926465044</v>
      </c>
      <c r="AB39" s="27">
        <f t="shared" si="22"/>
        <v>2.1855006133814626E-2</v>
      </c>
      <c r="BK39" s="24">
        <v>44233</v>
      </c>
      <c r="BL39" s="25">
        <v>211.37</v>
      </c>
      <c r="BM39" s="26">
        <f t="shared" si="12"/>
        <v>207.54999999999998</v>
      </c>
      <c r="BN39" s="26">
        <f t="shared" si="15"/>
        <v>199.036</v>
      </c>
      <c r="BO39" s="26">
        <f t="shared" si="18"/>
        <v>203.29571428571424</v>
      </c>
      <c r="BP39" s="26">
        <f t="shared" si="21"/>
        <v>201.50461538461539</v>
      </c>
      <c r="BQ39" s="26">
        <f t="shared" si="27"/>
        <v>202.9824242424242</v>
      </c>
      <c r="BR39" s="26">
        <f t="shared" si="16"/>
        <v>204.5753333333333</v>
      </c>
      <c r="BS39" s="26">
        <f t="shared" si="9"/>
        <v>206.7537792970034</v>
      </c>
      <c r="BT39" s="26">
        <f t="shared" si="10"/>
        <v>210.00359645057861</v>
      </c>
    </row>
    <row r="40" spans="1:72" x14ac:dyDescent="0.2">
      <c r="A40" s="74"/>
      <c r="B40" s="24">
        <v>44234</v>
      </c>
      <c r="C40" s="25">
        <v>186.25</v>
      </c>
      <c r="D40" s="26">
        <f t="shared" si="11"/>
        <v>205.5</v>
      </c>
      <c r="E40" s="26">
        <f t="shared" si="13"/>
        <v>199.08599999999998</v>
      </c>
      <c r="F40" s="26">
        <f t="shared" si="17"/>
        <v>199.25571428571428</v>
      </c>
      <c r="G40" s="26">
        <f t="shared" si="20"/>
        <v>201.43615384615381</v>
      </c>
      <c r="H40" s="26">
        <f t="shared" si="26"/>
        <v>201.96454545454537</v>
      </c>
      <c r="I40" s="26">
        <f t="shared" si="14"/>
        <v>200.31333333333336</v>
      </c>
      <c r="J40" s="26">
        <f t="shared" si="6"/>
        <v>198.55226757820202</v>
      </c>
      <c r="K40" s="26">
        <f t="shared" si="7"/>
        <v>195.75143858023145</v>
      </c>
      <c r="L40" s="26">
        <f t="shared" si="0"/>
        <v>221.86244439525584</v>
      </c>
      <c r="V40" s="26">
        <f t="shared" si="23"/>
        <v>200.61286605296661</v>
      </c>
      <c r="W40" s="26">
        <f t="shared" si="25"/>
        <v>201.96694096705102</v>
      </c>
      <c r="X40" s="26">
        <f t="shared" si="24"/>
        <v>-1.3540749140844071</v>
      </c>
      <c r="Y40" s="26">
        <f t="shared" si="28"/>
        <v>-7.0749053360859737E-2</v>
      </c>
      <c r="Z40" s="26">
        <v>7913.24</v>
      </c>
      <c r="AA40" s="26">
        <f t="shared" si="1"/>
        <v>215.69786702561507</v>
      </c>
      <c r="AB40" s="27">
        <f t="shared" si="22"/>
        <v>0.15810935315766481</v>
      </c>
      <c r="BK40" s="24">
        <v>44234</v>
      </c>
      <c r="BL40" s="25">
        <v>186.25</v>
      </c>
      <c r="BM40" s="26">
        <f t="shared" si="12"/>
        <v>205.5</v>
      </c>
      <c r="BN40" s="26">
        <f t="shared" si="15"/>
        <v>199.08599999999998</v>
      </c>
      <c r="BO40" s="26">
        <f t="shared" si="18"/>
        <v>199.25571428571428</v>
      </c>
      <c r="BP40" s="26">
        <f t="shared" si="21"/>
        <v>201.43615384615381</v>
      </c>
      <c r="BQ40" s="26">
        <f t="shared" si="27"/>
        <v>201.96454545454537</v>
      </c>
      <c r="BR40" s="26">
        <f t="shared" si="16"/>
        <v>200.31333333333336</v>
      </c>
      <c r="BS40" s="26">
        <f t="shared" si="9"/>
        <v>198.55226757820202</v>
      </c>
      <c r="BT40" s="26">
        <f t="shared" si="10"/>
        <v>195.75143858023145</v>
      </c>
    </row>
    <row r="41" spans="1:72" x14ac:dyDescent="0.2">
      <c r="A41" s="74"/>
      <c r="B41" s="24">
        <v>44235</v>
      </c>
      <c r="C41" s="25">
        <v>189.74</v>
      </c>
      <c r="D41" s="26">
        <f t="shared" si="11"/>
        <v>195.78666666666666</v>
      </c>
      <c r="E41" s="26">
        <f t="shared" si="13"/>
        <v>199.72800000000001</v>
      </c>
      <c r="F41" s="26">
        <f t="shared" si="17"/>
        <v>195.88142857142856</v>
      </c>
      <c r="G41" s="26">
        <f t="shared" si="20"/>
        <v>201.21999999999997</v>
      </c>
      <c r="H41" s="26">
        <f t="shared" si="26"/>
        <v>201.97242424242415</v>
      </c>
      <c r="I41" s="26">
        <f t="shared" si="14"/>
        <v>197.19799999999998</v>
      </c>
      <c r="J41" s="26">
        <f t="shared" si="6"/>
        <v>195.02736054692122</v>
      </c>
      <c r="K41" s="26">
        <f t="shared" si="7"/>
        <v>192.14457543209261</v>
      </c>
      <c r="L41" s="26">
        <f t="shared" si="0"/>
        <v>221.84760573325576</v>
      </c>
      <c r="V41" s="26">
        <f t="shared" si="23"/>
        <v>198.94011742943329</v>
      </c>
      <c r="W41" s="26">
        <f t="shared" si="25"/>
        <v>199.80746856756167</v>
      </c>
      <c r="X41" s="26">
        <f t="shared" si="24"/>
        <v>-0.86735113812838449</v>
      </c>
      <c r="Y41" s="26">
        <f t="shared" si="28"/>
        <v>-0.2300694703143647</v>
      </c>
      <c r="Z41" s="26">
        <v>8854.39</v>
      </c>
      <c r="AA41" s="26">
        <f t="shared" si="1"/>
        <v>216.11222653692278</v>
      </c>
      <c r="AB41" s="27">
        <f t="shared" si="22"/>
        <v>0.13899139104523436</v>
      </c>
      <c r="BK41" s="24">
        <v>44235</v>
      </c>
      <c r="BL41" s="25">
        <v>189.74</v>
      </c>
      <c r="BM41" s="26">
        <f t="shared" si="12"/>
        <v>195.78666666666666</v>
      </c>
      <c r="BN41" s="26">
        <f t="shared" si="15"/>
        <v>199.72800000000001</v>
      </c>
      <c r="BO41" s="26">
        <f t="shared" si="18"/>
        <v>195.88142857142856</v>
      </c>
      <c r="BP41" s="26">
        <f t="shared" si="21"/>
        <v>201.21999999999997</v>
      </c>
      <c r="BQ41" s="26">
        <f t="shared" si="27"/>
        <v>201.97242424242415</v>
      </c>
      <c r="BR41" s="26">
        <f t="shared" si="16"/>
        <v>197.19799999999998</v>
      </c>
      <c r="BS41" s="26">
        <f t="shared" si="9"/>
        <v>195.02736054692122</v>
      </c>
      <c r="BT41" s="26">
        <f t="shared" si="10"/>
        <v>192.14457543209261</v>
      </c>
    </row>
    <row r="42" spans="1:72" x14ac:dyDescent="0.2">
      <c r="A42" s="74"/>
      <c r="B42" s="24">
        <v>44236</v>
      </c>
      <c r="C42" s="25">
        <v>197.45</v>
      </c>
      <c r="D42" s="26">
        <f t="shared" si="11"/>
        <v>191.14666666666668</v>
      </c>
      <c r="E42" s="26">
        <f t="shared" si="13"/>
        <v>200.738</v>
      </c>
      <c r="F42" s="26">
        <f t="shared" si="17"/>
        <v>197.51714285714289</v>
      </c>
      <c r="G42" s="26">
        <f t="shared" si="20"/>
        <v>200.07846153846151</v>
      </c>
      <c r="H42" s="26">
        <f t="shared" si="26"/>
        <v>201.77090909090902</v>
      </c>
      <c r="I42" s="26">
        <f t="shared" si="14"/>
        <v>196.43866666666665</v>
      </c>
      <c r="J42" s="26">
        <f t="shared" si="6"/>
        <v>195.99641632815275</v>
      </c>
      <c r="K42" s="26">
        <f t="shared" si="7"/>
        <v>195.32783017283703</v>
      </c>
      <c r="L42" s="26">
        <f t="shared" si="0"/>
        <v>221.83276707125566</v>
      </c>
      <c r="V42" s="26">
        <f t="shared" si="23"/>
        <v>198.71086859413586</v>
      </c>
      <c r="W42" s="26">
        <f t="shared" si="25"/>
        <v>198.82973836058636</v>
      </c>
      <c r="X42" s="26">
        <f t="shared" si="24"/>
        <v>-0.1188697664505014</v>
      </c>
      <c r="Y42" s="26">
        <f t="shared" si="28"/>
        <v>-0.20782952954159206</v>
      </c>
      <c r="Z42" s="26">
        <v>10433.65</v>
      </c>
      <c r="AA42" s="26">
        <f t="shared" si="1"/>
        <v>216.8075263316716</v>
      </c>
      <c r="AB42" s="27">
        <f t="shared" si="22"/>
        <v>9.8037611201173006E-2</v>
      </c>
      <c r="BK42" s="24">
        <v>44236</v>
      </c>
      <c r="BL42" s="25">
        <v>197.45</v>
      </c>
      <c r="BM42" s="26">
        <f t="shared" si="12"/>
        <v>191.14666666666668</v>
      </c>
      <c r="BN42" s="26">
        <f t="shared" si="15"/>
        <v>200.738</v>
      </c>
      <c r="BO42" s="26">
        <f t="shared" si="18"/>
        <v>197.51714285714289</v>
      </c>
      <c r="BP42" s="26">
        <f t="shared" si="21"/>
        <v>200.07846153846151</v>
      </c>
      <c r="BQ42" s="26">
        <f t="shared" si="27"/>
        <v>201.77090909090902</v>
      </c>
      <c r="BR42" s="26">
        <f t="shared" si="16"/>
        <v>196.43866666666665</v>
      </c>
      <c r="BS42" s="26">
        <f t="shared" si="9"/>
        <v>195.99641632815275</v>
      </c>
      <c r="BT42" s="26">
        <f t="shared" si="10"/>
        <v>195.32783017283703</v>
      </c>
    </row>
    <row r="43" spans="1:72" x14ac:dyDescent="0.2">
      <c r="A43" s="74"/>
      <c r="B43" s="24">
        <v>44237</v>
      </c>
      <c r="C43" s="25">
        <v>220.98</v>
      </c>
      <c r="D43" s="26">
        <f t="shared" si="11"/>
        <v>202.72333333333333</v>
      </c>
      <c r="E43" s="26">
        <f t="shared" si="13"/>
        <v>201.15799999999999</v>
      </c>
      <c r="F43" s="26">
        <f t="shared" si="17"/>
        <v>202.43857142857141</v>
      </c>
      <c r="G43" s="26">
        <f t="shared" si="20"/>
        <v>200.04615384615383</v>
      </c>
      <c r="H43" s="26">
        <f t="shared" si="26"/>
        <v>202.05757575757571</v>
      </c>
      <c r="I43" s="26">
        <f t="shared" si="14"/>
        <v>203.18600000000001</v>
      </c>
      <c r="J43" s="26">
        <f t="shared" si="6"/>
        <v>205.98984979689163</v>
      </c>
      <c r="K43" s="26">
        <f t="shared" si="7"/>
        <v>210.71913206913482</v>
      </c>
      <c r="L43" s="26">
        <f t="shared" si="0"/>
        <v>221.81792840925556</v>
      </c>
      <c r="V43" s="26">
        <f t="shared" si="23"/>
        <v>202.13688881042265</v>
      </c>
      <c r="W43" s="26">
        <f t="shared" si="25"/>
        <v>200.36043388345911</v>
      </c>
      <c r="X43" s="26">
        <f t="shared" si="24"/>
        <v>1.7764549269635381</v>
      </c>
      <c r="Y43" s="26">
        <f t="shared" si="28"/>
        <v>0.18902736175943399</v>
      </c>
      <c r="Z43" s="26">
        <v>11108.07</v>
      </c>
      <c r="AA43" s="26">
        <f t="shared" si="1"/>
        <v>217.10445279569558</v>
      </c>
      <c r="AB43" s="27">
        <f t="shared" si="22"/>
        <v>-1.7537999838466878E-2</v>
      </c>
      <c r="BK43" s="24">
        <v>44237</v>
      </c>
      <c r="BL43" s="25">
        <v>220.98</v>
      </c>
      <c r="BM43" s="26">
        <f t="shared" si="12"/>
        <v>202.72333333333333</v>
      </c>
      <c r="BN43" s="26">
        <f t="shared" si="15"/>
        <v>201.15799999999999</v>
      </c>
      <c r="BO43" s="26">
        <f t="shared" si="18"/>
        <v>202.43857142857141</v>
      </c>
      <c r="BP43" s="26">
        <f t="shared" si="21"/>
        <v>200.04615384615383</v>
      </c>
      <c r="BQ43" s="26">
        <f t="shared" si="27"/>
        <v>202.05757575757571</v>
      </c>
      <c r="BR43" s="26">
        <f t="shared" si="16"/>
        <v>203.18600000000001</v>
      </c>
      <c r="BS43" s="26">
        <f t="shared" si="9"/>
        <v>205.98984979689163</v>
      </c>
      <c r="BT43" s="26">
        <f t="shared" si="10"/>
        <v>210.71913206913482</v>
      </c>
    </row>
    <row r="44" spans="1:72" x14ac:dyDescent="0.2">
      <c r="A44" s="74"/>
      <c r="B44" s="24">
        <v>44238</v>
      </c>
      <c r="C44" s="25">
        <v>210.49</v>
      </c>
      <c r="D44" s="26">
        <f t="shared" si="11"/>
        <v>209.64</v>
      </c>
      <c r="E44" s="26">
        <f t="shared" si="13"/>
        <v>200.98200000000003</v>
      </c>
      <c r="F44" s="26">
        <f t="shared" si="17"/>
        <v>205.02285714285716</v>
      </c>
      <c r="G44" s="26">
        <f t="shared" si="20"/>
        <v>201.79000000000002</v>
      </c>
      <c r="H44" s="26">
        <f t="shared" si="26"/>
        <v>202.08696969696967</v>
      </c>
      <c r="I44" s="26">
        <f t="shared" si="14"/>
        <v>206.29666666666665</v>
      </c>
      <c r="J44" s="26">
        <f t="shared" si="6"/>
        <v>207.78990987813501</v>
      </c>
      <c r="K44" s="26">
        <f t="shared" si="7"/>
        <v>210.58165282765393</v>
      </c>
      <c r="L44" s="26">
        <f t="shared" si="0"/>
        <v>221.80308974725548</v>
      </c>
      <c r="V44" s="26">
        <f t="shared" si="23"/>
        <v>203.4219828395884</v>
      </c>
      <c r="W44" s="26">
        <f t="shared" si="25"/>
        <v>202.75563778742838</v>
      </c>
      <c r="X44" s="26">
        <f t="shared" si="24"/>
        <v>0.66634505216001116</v>
      </c>
      <c r="Y44" s="26">
        <f t="shared" si="28"/>
        <v>0.28449089983954945</v>
      </c>
      <c r="Z44" s="26">
        <v>11154.7</v>
      </c>
      <c r="AA44" s="26">
        <f t="shared" si="1"/>
        <v>217.12498255610814</v>
      </c>
      <c r="AB44" s="27">
        <f t="shared" si="22"/>
        <v>3.1521604618310266E-2</v>
      </c>
      <c r="BK44" s="24">
        <v>44238</v>
      </c>
      <c r="BL44" s="25">
        <v>210.49</v>
      </c>
      <c r="BM44" s="26">
        <f t="shared" si="12"/>
        <v>209.64</v>
      </c>
      <c r="BN44" s="26">
        <f t="shared" si="15"/>
        <v>200.98200000000003</v>
      </c>
      <c r="BO44" s="26">
        <f t="shared" si="18"/>
        <v>205.02285714285716</v>
      </c>
      <c r="BP44" s="26">
        <f t="shared" si="21"/>
        <v>201.79000000000002</v>
      </c>
      <c r="BQ44" s="26">
        <f t="shared" si="27"/>
        <v>202.08696969696967</v>
      </c>
      <c r="BR44" s="26">
        <f t="shared" si="16"/>
        <v>206.29666666666665</v>
      </c>
      <c r="BS44" s="26">
        <f t="shared" si="9"/>
        <v>207.78990987813501</v>
      </c>
      <c r="BT44" s="26">
        <f t="shared" si="10"/>
        <v>210.58165282765393</v>
      </c>
    </row>
    <row r="45" spans="1:72" x14ac:dyDescent="0.2">
      <c r="A45" s="74"/>
      <c r="B45" s="24">
        <v>44239</v>
      </c>
      <c r="C45" s="25">
        <v>208.98</v>
      </c>
      <c r="D45" s="26">
        <f t="shared" si="11"/>
        <v>213.48333333333335</v>
      </c>
      <c r="E45" s="26">
        <f t="shared" si="13"/>
        <v>205.52799999999996</v>
      </c>
      <c r="F45" s="26">
        <f t="shared" si="17"/>
        <v>203.60857142857142</v>
      </c>
      <c r="G45" s="26">
        <f t="shared" si="20"/>
        <v>202.84307692307689</v>
      </c>
      <c r="H45" s="26">
        <f t="shared" si="26"/>
        <v>201.82757575757572</v>
      </c>
      <c r="I45" s="26">
        <f t="shared" si="14"/>
        <v>208.96266666666665</v>
      </c>
      <c r="J45" s="26">
        <f t="shared" si="6"/>
        <v>208.26594592688099</v>
      </c>
      <c r="K45" s="26">
        <f t="shared" si="7"/>
        <v>209.62066113106158</v>
      </c>
      <c r="L45" s="26">
        <f t="shared" si="0"/>
        <v>221.78825108525538</v>
      </c>
      <c r="V45" s="26">
        <f t="shared" si="23"/>
        <v>204.27706240272863</v>
      </c>
      <c r="W45" s="26">
        <f t="shared" si="25"/>
        <v>203.83368781443369</v>
      </c>
      <c r="X45" s="26">
        <f t="shared" si="24"/>
        <v>0.44337458829494381</v>
      </c>
      <c r="Y45" s="26">
        <f t="shared" si="28"/>
        <v>0.31626763753062836</v>
      </c>
      <c r="Z45" s="26">
        <v>11895.23</v>
      </c>
      <c r="AA45" s="26">
        <f t="shared" si="1"/>
        <v>217.45101522774252</v>
      </c>
      <c r="AB45" s="27">
        <f t="shared" si="22"/>
        <v>4.0535052290853323E-2</v>
      </c>
      <c r="BK45" s="24">
        <v>44239</v>
      </c>
      <c r="BL45" s="25">
        <v>208.98</v>
      </c>
      <c r="BM45" s="26">
        <f t="shared" si="12"/>
        <v>213.48333333333335</v>
      </c>
      <c r="BN45" s="26">
        <f t="shared" si="15"/>
        <v>205.52799999999996</v>
      </c>
      <c r="BO45" s="26">
        <f t="shared" si="18"/>
        <v>203.60857142857142</v>
      </c>
      <c r="BP45" s="26">
        <f t="shared" si="21"/>
        <v>202.84307692307689</v>
      </c>
      <c r="BQ45" s="26">
        <f t="shared" si="27"/>
        <v>201.82757575757572</v>
      </c>
      <c r="BR45" s="26">
        <f t="shared" si="16"/>
        <v>208.96266666666665</v>
      </c>
      <c r="BS45" s="26">
        <f t="shared" si="9"/>
        <v>208.26594592688099</v>
      </c>
      <c r="BT45" s="26">
        <f t="shared" si="10"/>
        <v>209.62066113106158</v>
      </c>
    </row>
    <row r="46" spans="1:72" x14ac:dyDescent="0.2">
      <c r="A46" s="74"/>
      <c r="B46" s="24">
        <v>44240</v>
      </c>
      <c r="C46" s="25">
        <v>190.13</v>
      </c>
      <c r="D46" s="26">
        <f t="shared" si="11"/>
        <v>203.20000000000002</v>
      </c>
      <c r="E46" s="26">
        <f t="shared" si="13"/>
        <v>205.60599999999999</v>
      </c>
      <c r="F46" s="26">
        <f t="shared" si="17"/>
        <v>200.57428571428571</v>
      </c>
      <c r="G46" s="26">
        <f t="shared" si="20"/>
        <v>200.96615384615384</v>
      </c>
      <c r="H46" s="26">
        <f t="shared" si="26"/>
        <v>201.83909090909086</v>
      </c>
      <c r="I46" s="26">
        <f t="shared" si="14"/>
        <v>203.82999999999998</v>
      </c>
      <c r="J46" s="26">
        <f t="shared" si="6"/>
        <v>201.0115675561286</v>
      </c>
      <c r="K46" s="26">
        <f t="shared" si="7"/>
        <v>197.92626445242462</v>
      </c>
      <c r="L46" s="26">
        <f t="shared" si="0"/>
        <v>221.77341242325528</v>
      </c>
      <c r="V46" s="26">
        <f t="shared" si="23"/>
        <v>202.10059126384732</v>
      </c>
      <c r="W46" s="26">
        <f t="shared" si="25"/>
        <v>203.22913185437835</v>
      </c>
      <c r="X46" s="26">
        <f t="shared" si="24"/>
        <v>-1.1285405905310313</v>
      </c>
      <c r="Y46" s="26">
        <f t="shared" si="28"/>
        <v>2.7305991918296413E-2</v>
      </c>
      <c r="Z46" s="26">
        <v>7887.26</v>
      </c>
      <c r="AA46" s="26">
        <f t="shared" si="1"/>
        <v>215.68642882755549</v>
      </c>
      <c r="AB46" s="27">
        <f t="shared" si="22"/>
        <v>0.13441555160971699</v>
      </c>
      <c r="BK46" s="24">
        <v>44240</v>
      </c>
      <c r="BL46" s="25">
        <v>190.13</v>
      </c>
      <c r="BM46" s="26">
        <f t="shared" si="12"/>
        <v>203.20000000000002</v>
      </c>
      <c r="BN46" s="26">
        <f t="shared" si="15"/>
        <v>205.60599999999999</v>
      </c>
      <c r="BO46" s="26">
        <f t="shared" si="18"/>
        <v>200.57428571428571</v>
      </c>
      <c r="BP46" s="26">
        <f t="shared" si="21"/>
        <v>200.96615384615384</v>
      </c>
      <c r="BQ46" s="26">
        <f t="shared" si="27"/>
        <v>201.83909090909086</v>
      </c>
      <c r="BR46" s="26">
        <f t="shared" si="16"/>
        <v>203.82999999999998</v>
      </c>
      <c r="BS46" s="26">
        <f t="shared" si="9"/>
        <v>201.0115675561286</v>
      </c>
      <c r="BT46" s="26">
        <f t="shared" si="10"/>
        <v>197.92626445242462</v>
      </c>
    </row>
    <row r="47" spans="1:72" x14ac:dyDescent="0.2">
      <c r="A47" s="74"/>
      <c r="B47" s="24">
        <v>44241</v>
      </c>
      <c r="C47" s="25">
        <v>188.24</v>
      </c>
      <c r="D47" s="26">
        <f t="shared" si="11"/>
        <v>195.78333333333333</v>
      </c>
      <c r="E47" s="26">
        <f t="shared" si="13"/>
        <v>203.76400000000001</v>
      </c>
      <c r="F47" s="26">
        <f t="shared" si="17"/>
        <v>200.85857142857142</v>
      </c>
      <c r="G47" s="26">
        <f t="shared" si="20"/>
        <v>199.03384615384613</v>
      </c>
      <c r="H47" s="26">
        <f t="shared" si="26"/>
        <v>201.69818181818175</v>
      </c>
      <c r="I47" s="26">
        <f t="shared" si="14"/>
        <v>198.04133333333331</v>
      </c>
      <c r="J47" s="26">
        <f t="shared" si="6"/>
        <v>195.90294053367717</v>
      </c>
      <c r="K47" s="26">
        <f t="shared" si="7"/>
        <v>192.11450578096986</v>
      </c>
      <c r="L47" s="26">
        <f t="shared" si="0"/>
        <v>221.75857376125521</v>
      </c>
      <c r="V47" s="26">
        <f t="shared" si="23"/>
        <v>199.9681926078708</v>
      </c>
      <c r="W47" s="26">
        <f t="shared" si="25"/>
        <v>201.07388079985864</v>
      </c>
      <c r="X47" s="26">
        <f t="shared" si="24"/>
        <v>-1.1056881919878379</v>
      </c>
      <c r="Y47" s="26">
        <f t="shared" si="28"/>
        <v>-0.19929284486293045</v>
      </c>
      <c r="Z47" s="26">
        <v>8979.66</v>
      </c>
      <c r="AA47" s="26">
        <f t="shared" si="1"/>
        <v>216.16737908006843</v>
      </c>
      <c r="AB47" s="27">
        <f t="shared" si="22"/>
        <v>0.14836049235055471</v>
      </c>
      <c r="BK47" s="24">
        <v>44241</v>
      </c>
      <c r="BL47" s="25">
        <v>188.24</v>
      </c>
      <c r="BM47" s="26">
        <f t="shared" si="12"/>
        <v>195.78333333333333</v>
      </c>
      <c r="BN47" s="26">
        <f t="shared" si="15"/>
        <v>203.76400000000001</v>
      </c>
      <c r="BO47" s="26">
        <f t="shared" si="18"/>
        <v>200.85857142857142</v>
      </c>
      <c r="BP47" s="26">
        <f t="shared" si="21"/>
        <v>199.03384615384613</v>
      </c>
      <c r="BQ47" s="26">
        <f t="shared" si="27"/>
        <v>201.69818181818175</v>
      </c>
      <c r="BR47" s="26">
        <f t="shared" si="16"/>
        <v>198.04133333333331</v>
      </c>
      <c r="BS47" s="26">
        <f t="shared" si="9"/>
        <v>195.90294053367717</v>
      </c>
      <c r="BT47" s="26">
        <f t="shared" si="10"/>
        <v>192.11450578096986</v>
      </c>
    </row>
    <row r="48" spans="1:72" x14ac:dyDescent="0.2">
      <c r="A48" s="74"/>
      <c r="B48" s="24">
        <v>44242</v>
      </c>
      <c r="C48" s="25">
        <v>193.29</v>
      </c>
      <c r="D48" s="26">
        <f t="shared" si="11"/>
        <v>190.55333333333331</v>
      </c>
      <c r="E48" s="26">
        <f t="shared" si="13"/>
        <v>198.226</v>
      </c>
      <c r="F48" s="26">
        <f t="shared" si="17"/>
        <v>201.36571428571429</v>
      </c>
      <c r="G48" s="26">
        <f t="shared" si="20"/>
        <v>199.59461538461542</v>
      </c>
      <c r="H48" s="26">
        <f t="shared" si="26"/>
        <v>201.59181818181816</v>
      </c>
      <c r="I48" s="26">
        <f t="shared" si="14"/>
        <v>194.55</v>
      </c>
      <c r="J48" s="26">
        <f t="shared" si="6"/>
        <v>194.85776432020629</v>
      </c>
      <c r="K48" s="26">
        <f t="shared" si="7"/>
        <v>192.81980231238794</v>
      </c>
      <c r="L48" s="26">
        <f t="shared" si="0"/>
        <v>221.7437350992551</v>
      </c>
      <c r="V48" s="26">
        <f t="shared" si="23"/>
        <v>198.94077836050604</v>
      </c>
      <c r="W48" s="26">
        <f t="shared" si="25"/>
        <v>199.47351167395445</v>
      </c>
      <c r="X48" s="26">
        <f t="shared" si="24"/>
        <v>-0.53273331344840358</v>
      </c>
      <c r="Y48" s="26">
        <f t="shared" si="28"/>
        <v>-0.26598093858002508</v>
      </c>
      <c r="Z48" s="26">
        <v>10343.89</v>
      </c>
      <c r="AA48" s="26">
        <f t="shared" si="1"/>
        <v>216.76800775361818</v>
      </c>
      <c r="AB48" s="27">
        <f t="shared" si="22"/>
        <v>0.12146519609715033</v>
      </c>
      <c r="BK48" s="24">
        <v>44242</v>
      </c>
      <c r="BL48" s="25">
        <v>193.29</v>
      </c>
      <c r="BM48" s="26">
        <f t="shared" si="12"/>
        <v>190.55333333333331</v>
      </c>
      <c r="BN48" s="26">
        <f t="shared" si="15"/>
        <v>198.226</v>
      </c>
      <c r="BO48" s="26">
        <f t="shared" si="18"/>
        <v>201.36571428571429</v>
      </c>
      <c r="BP48" s="26">
        <f t="shared" si="21"/>
        <v>199.59461538461542</v>
      </c>
      <c r="BQ48" s="26">
        <f t="shared" si="27"/>
        <v>201.59181818181816</v>
      </c>
      <c r="BR48" s="26">
        <f t="shared" si="16"/>
        <v>194.55</v>
      </c>
      <c r="BS48" s="26">
        <f t="shared" si="9"/>
        <v>194.85776432020629</v>
      </c>
      <c r="BT48" s="26">
        <f t="shared" si="10"/>
        <v>192.81980231238794</v>
      </c>
    </row>
    <row r="49" spans="1:72" x14ac:dyDescent="0.2">
      <c r="A49" s="74"/>
      <c r="B49" s="24">
        <v>44243</v>
      </c>
      <c r="C49" s="25">
        <v>197.12</v>
      </c>
      <c r="D49" s="26">
        <f t="shared" si="11"/>
        <v>192.88333333333333</v>
      </c>
      <c r="E49" s="26">
        <f t="shared" si="13"/>
        <v>195.55199999999999</v>
      </c>
      <c r="F49" s="26">
        <f t="shared" si="17"/>
        <v>201.31857142857143</v>
      </c>
      <c r="G49" s="26">
        <f t="shared" si="20"/>
        <v>200.40923076923076</v>
      </c>
      <c r="H49" s="26">
        <f t="shared" si="26"/>
        <v>201.07727272727271</v>
      </c>
      <c r="I49" s="26">
        <f t="shared" si="14"/>
        <v>194.18133333333333</v>
      </c>
      <c r="J49" s="26">
        <f t="shared" si="6"/>
        <v>195.76265859212378</v>
      </c>
      <c r="K49" s="26">
        <f t="shared" si="7"/>
        <v>195.39992092495515</v>
      </c>
      <c r="L49" s="26">
        <f t="shared" si="0"/>
        <v>221.728896437255</v>
      </c>
      <c r="V49" s="26">
        <f t="shared" si="23"/>
        <v>198.66065861273589</v>
      </c>
      <c r="W49" s="26">
        <f t="shared" si="25"/>
        <v>198.80590588935743</v>
      </c>
      <c r="X49" s="26">
        <f t="shared" si="24"/>
        <v>-0.14524727662154646</v>
      </c>
      <c r="Y49" s="26">
        <f t="shared" si="28"/>
        <v>-0.24183420618832938</v>
      </c>
      <c r="Z49" s="26">
        <v>11010.98</v>
      </c>
      <c r="AA49" s="26">
        <f t="shared" si="1"/>
        <v>217.06170704320886</v>
      </c>
      <c r="AB49" s="27">
        <f t="shared" si="22"/>
        <v>0.10116531576303191</v>
      </c>
      <c r="BK49" s="24">
        <v>44243</v>
      </c>
      <c r="BL49" s="25">
        <v>197.12</v>
      </c>
      <c r="BM49" s="26">
        <f t="shared" si="12"/>
        <v>192.88333333333333</v>
      </c>
      <c r="BN49" s="26">
        <f t="shared" si="15"/>
        <v>195.55199999999999</v>
      </c>
      <c r="BO49" s="26">
        <f t="shared" si="18"/>
        <v>201.31857142857143</v>
      </c>
      <c r="BP49" s="26">
        <f t="shared" si="21"/>
        <v>200.40923076923076</v>
      </c>
      <c r="BQ49" s="26">
        <f t="shared" si="27"/>
        <v>201.07727272727271</v>
      </c>
      <c r="BR49" s="26">
        <f t="shared" si="16"/>
        <v>194.18133333333333</v>
      </c>
      <c r="BS49" s="26">
        <f t="shared" si="9"/>
        <v>195.76265859212378</v>
      </c>
      <c r="BT49" s="26">
        <f t="shared" si="10"/>
        <v>195.39992092495515</v>
      </c>
    </row>
    <row r="50" spans="1:72" x14ac:dyDescent="0.2">
      <c r="A50" s="74"/>
      <c r="B50" s="24">
        <v>44244</v>
      </c>
      <c r="C50" s="25">
        <v>210.56</v>
      </c>
      <c r="D50" s="26">
        <f t="shared" si="11"/>
        <v>200.32333333333335</v>
      </c>
      <c r="E50" s="26">
        <f t="shared" si="13"/>
        <v>195.86799999999999</v>
      </c>
      <c r="F50" s="26">
        <f t="shared" si="17"/>
        <v>199.82999999999998</v>
      </c>
      <c r="G50" s="26">
        <f t="shared" si="20"/>
        <v>201.80615384615385</v>
      </c>
      <c r="H50" s="26">
        <f t="shared" si="26"/>
        <v>200.95818181818183</v>
      </c>
      <c r="I50" s="26">
        <f t="shared" si="14"/>
        <v>199.18400000000003</v>
      </c>
      <c r="J50" s="26">
        <f t="shared" si="6"/>
        <v>201.68159515527427</v>
      </c>
      <c r="K50" s="26">
        <f t="shared" si="7"/>
        <v>204.49596836998205</v>
      </c>
      <c r="L50" s="26">
        <f t="shared" si="0"/>
        <v>221.71405777525493</v>
      </c>
      <c r="V50" s="26">
        <f t="shared" si="23"/>
        <v>200.49132651846884</v>
      </c>
      <c r="W50" s="26">
        <f t="shared" si="25"/>
        <v>199.5420913080888</v>
      </c>
      <c r="X50" s="26">
        <f t="shared" si="24"/>
        <v>0.94923521038003855</v>
      </c>
      <c r="Y50" s="26">
        <f t="shared" si="28"/>
        <v>-3.6203228746558014E-3</v>
      </c>
      <c r="Z50" s="26">
        <v>11364.7</v>
      </c>
      <c r="AA50" s="26">
        <f t="shared" si="1"/>
        <v>217.21743912240959</v>
      </c>
      <c r="AB50" s="27">
        <f t="shared" si="22"/>
        <v>3.1617776987127588E-2</v>
      </c>
      <c r="BK50" s="24">
        <v>44244</v>
      </c>
      <c r="BL50" s="25">
        <v>210.56</v>
      </c>
      <c r="BM50" s="26">
        <f t="shared" si="12"/>
        <v>200.32333333333335</v>
      </c>
      <c r="BN50" s="26">
        <f t="shared" si="15"/>
        <v>195.86799999999999</v>
      </c>
      <c r="BO50" s="26">
        <f t="shared" si="18"/>
        <v>199.82999999999998</v>
      </c>
      <c r="BP50" s="26">
        <f t="shared" si="21"/>
        <v>201.80615384615385</v>
      </c>
      <c r="BQ50" s="26">
        <f t="shared" si="27"/>
        <v>200.95818181818183</v>
      </c>
      <c r="BR50" s="26">
        <f t="shared" si="16"/>
        <v>199.18400000000003</v>
      </c>
      <c r="BS50" s="26">
        <f t="shared" si="9"/>
        <v>201.68159515527427</v>
      </c>
      <c r="BT50" s="26">
        <f t="shared" si="10"/>
        <v>204.49596836998205</v>
      </c>
    </row>
    <row r="51" spans="1:72" x14ac:dyDescent="0.2">
      <c r="A51" s="74"/>
      <c r="B51" s="24">
        <v>44245</v>
      </c>
      <c r="C51" s="25">
        <v>205.87</v>
      </c>
      <c r="D51" s="26">
        <f t="shared" si="11"/>
        <v>204.51666666666665</v>
      </c>
      <c r="E51" s="26">
        <f t="shared" si="13"/>
        <v>199.01600000000002</v>
      </c>
      <c r="F51" s="26">
        <f t="shared" si="17"/>
        <v>199.17000000000002</v>
      </c>
      <c r="G51" s="26">
        <f t="shared" si="20"/>
        <v>200.80538461538461</v>
      </c>
      <c r="H51" s="26">
        <f t="shared" si="26"/>
        <v>201.56393939393939</v>
      </c>
      <c r="I51" s="26">
        <f t="shared" si="14"/>
        <v>202.51799999999997</v>
      </c>
      <c r="J51" s="26">
        <f t="shared" si="6"/>
        <v>203.35695709316457</v>
      </c>
      <c r="K51" s="26">
        <f t="shared" si="7"/>
        <v>205.32038734799283</v>
      </c>
      <c r="L51" s="26">
        <f t="shared" si="0"/>
        <v>221.69921911325483</v>
      </c>
      <c r="V51" s="26">
        <f t="shared" si="23"/>
        <v>201.31881474639673</v>
      </c>
      <c r="W51" s="26">
        <f t="shared" si="25"/>
        <v>200.88974677636003</v>
      </c>
      <c r="X51" s="26">
        <f t="shared" si="24"/>
        <v>0.42906797003669794</v>
      </c>
      <c r="Y51" s="26">
        <f t="shared" si="28"/>
        <v>8.2917335707614948E-2</v>
      </c>
      <c r="Z51" s="26">
        <v>12519.95</v>
      </c>
      <c r="AA51" s="26">
        <f t="shared" si="1"/>
        <v>217.72606030440846</v>
      </c>
      <c r="AB51" s="27">
        <f t="shared" si="22"/>
        <v>5.7590034023453918E-2</v>
      </c>
      <c r="BK51" s="24">
        <v>44245</v>
      </c>
      <c r="BL51" s="25">
        <v>205.87</v>
      </c>
      <c r="BM51" s="26">
        <f t="shared" si="12"/>
        <v>204.51666666666665</v>
      </c>
      <c r="BN51" s="26">
        <f t="shared" si="15"/>
        <v>199.01600000000002</v>
      </c>
      <c r="BO51" s="26">
        <f t="shared" si="18"/>
        <v>199.17000000000002</v>
      </c>
      <c r="BP51" s="26">
        <f t="shared" si="21"/>
        <v>200.80538461538461</v>
      </c>
      <c r="BQ51" s="26">
        <f t="shared" si="27"/>
        <v>201.56393939393939</v>
      </c>
      <c r="BR51" s="26">
        <f t="shared" si="16"/>
        <v>202.51799999999997</v>
      </c>
      <c r="BS51" s="26">
        <f t="shared" si="9"/>
        <v>203.35695709316457</v>
      </c>
      <c r="BT51" s="26">
        <f t="shared" si="10"/>
        <v>205.32038734799283</v>
      </c>
    </row>
    <row r="52" spans="1:72" x14ac:dyDescent="0.2">
      <c r="A52" s="74"/>
      <c r="B52" s="24">
        <v>44246</v>
      </c>
      <c r="C52" s="25">
        <v>188.28</v>
      </c>
      <c r="D52" s="26">
        <f t="shared" si="11"/>
        <v>201.57000000000002</v>
      </c>
      <c r="E52" s="26">
        <f t="shared" si="13"/>
        <v>199.024</v>
      </c>
      <c r="F52" s="26">
        <f t="shared" si="17"/>
        <v>196.21285714285713</v>
      </c>
      <c r="G52" s="26">
        <f t="shared" si="20"/>
        <v>199.02923076923076</v>
      </c>
      <c r="H52" s="26">
        <f t="shared" si="26"/>
        <v>201.34727272727267</v>
      </c>
      <c r="I52" s="26">
        <f t="shared" si="14"/>
        <v>198.93933333333334</v>
      </c>
      <c r="J52" s="26">
        <f t="shared" si="6"/>
        <v>197.32617425589874</v>
      </c>
      <c r="K52" s="26">
        <f t="shared" si="7"/>
        <v>195.09615493919716</v>
      </c>
      <c r="L52" s="26">
        <f t="shared" si="0"/>
        <v>221.68438045125473</v>
      </c>
      <c r="V52" s="26">
        <f t="shared" si="23"/>
        <v>199.31284324695108</v>
      </c>
      <c r="W52" s="26">
        <f t="shared" si="25"/>
        <v>200.35297661703399</v>
      </c>
      <c r="X52" s="26">
        <f t="shared" si="24"/>
        <v>-1.0401333700829127</v>
      </c>
      <c r="Y52" s="26">
        <f t="shared" si="28"/>
        <v>-0.14169280545049062</v>
      </c>
      <c r="Z52" s="26">
        <v>8090.9</v>
      </c>
      <c r="AA52" s="26">
        <f t="shared" si="1"/>
        <v>215.7760852807061</v>
      </c>
      <c r="AB52" s="27">
        <f t="shared" si="22"/>
        <v>0.14603826896487199</v>
      </c>
      <c r="BK52" s="24">
        <v>44246</v>
      </c>
      <c r="BL52" s="25">
        <v>188.28</v>
      </c>
      <c r="BM52" s="26">
        <f t="shared" si="12"/>
        <v>201.57000000000002</v>
      </c>
      <c r="BN52" s="26">
        <f t="shared" si="15"/>
        <v>199.024</v>
      </c>
      <c r="BO52" s="26">
        <f t="shared" si="18"/>
        <v>196.21285714285713</v>
      </c>
      <c r="BP52" s="26">
        <f t="shared" si="21"/>
        <v>199.02923076923076</v>
      </c>
      <c r="BQ52" s="26">
        <f t="shared" si="27"/>
        <v>201.34727272727267</v>
      </c>
      <c r="BR52" s="26">
        <f t="shared" si="16"/>
        <v>198.93933333333334</v>
      </c>
      <c r="BS52" s="26">
        <f t="shared" si="9"/>
        <v>197.32617425589874</v>
      </c>
      <c r="BT52" s="26">
        <f t="shared" si="10"/>
        <v>195.09615493919716</v>
      </c>
    </row>
    <row r="53" spans="1:72" x14ac:dyDescent="0.2">
      <c r="A53" s="74"/>
      <c r="B53" s="24">
        <v>44247</v>
      </c>
      <c r="C53" s="25">
        <v>191.09</v>
      </c>
      <c r="D53" s="26">
        <f t="shared" si="11"/>
        <v>195.08</v>
      </c>
      <c r="E53" s="26">
        <f t="shared" si="13"/>
        <v>198.584</v>
      </c>
      <c r="F53" s="26">
        <f t="shared" si="17"/>
        <v>196.35</v>
      </c>
      <c r="G53" s="26">
        <f t="shared" si="20"/>
        <v>199.40153846153848</v>
      </c>
      <c r="H53" s="26">
        <f t="shared" si="26"/>
        <v>201.20696969696968</v>
      </c>
      <c r="I53" s="26">
        <f t="shared" si="14"/>
        <v>196.29466666666667</v>
      </c>
      <c r="J53" s="26">
        <f t="shared" si="6"/>
        <v>194.83170455353923</v>
      </c>
      <c r="K53" s="26">
        <f t="shared" si="7"/>
        <v>192.69246197567887</v>
      </c>
      <c r="L53" s="26">
        <f t="shared" si="0"/>
        <v>221.66954178925465</v>
      </c>
      <c r="V53" s="26">
        <f t="shared" si="23"/>
        <v>198.04779043972783</v>
      </c>
      <c r="W53" s="26">
        <f t="shared" si="25"/>
        <v>198.70374374717693</v>
      </c>
      <c r="X53" s="26">
        <f t="shared" si="24"/>
        <v>-0.65595330744909575</v>
      </c>
      <c r="Y53" s="26">
        <f t="shared" si="28"/>
        <v>-0.24454490585021166</v>
      </c>
      <c r="Z53" s="26">
        <v>9121.32</v>
      </c>
      <c r="AA53" s="26">
        <f t="shared" si="1"/>
        <v>216.2297476380792</v>
      </c>
      <c r="AB53" s="27">
        <f t="shared" si="22"/>
        <v>0.13155972388968129</v>
      </c>
      <c r="BK53" s="24">
        <v>44247</v>
      </c>
      <c r="BL53" s="25">
        <v>191.09</v>
      </c>
      <c r="BM53" s="26">
        <f t="shared" si="12"/>
        <v>195.08</v>
      </c>
      <c r="BN53" s="26">
        <f t="shared" si="15"/>
        <v>198.584</v>
      </c>
      <c r="BO53" s="26">
        <f t="shared" si="18"/>
        <v>196.35</v>
      </c>
      <c r="BP53" s="26">
        <f t="shared" si="21"/>
        <v>199.40153846153848</v>
      </c>
      <c r="BQ53" s="26">
        <f t="shared" si="27"/>
        <v>201.20696969696968</v>
      </c>
      <c r="BR53" s="26">
        <f t="shared" si="16"/>
        <v>196.29466666666667</v>
      </c>
      <c r="BS53" s="26">
        <f t="shared" si="9"/>
        <v>194.83170455353923</v>
      </c>
      <c r="BT53" s="26">
        <f t="shared" si="10"/>
        <v>192.69246197567887</v>
      </c>
    </row>
    <row r="54" spans="1:72" x14ac:dyDescent="0.2">
      <c r="A54" s="74"/>
      <c r="B54" s="24">
        <v>44248</v>
      </c>
      <c r="C54" s="25">
        <v>200.5</v>
      </c>
      <c r="D54" s="26">
        <f t="shared" si="11"/>
        <v>193.29</v>
      </c>
      <c r="E54" s="26">
        <f t="shared" si="13"/>
        <v>199.26000000000002</v>
      </c>
      <c r="F54" s="26">
        <f t="shared" si="17"/>
        <v>198.10142857142858</v>
      </c>
      <c r="G54" s="26">
        <f t="shared" si="20"/>
        <v>200.22923076923078</v>
      </c>
      <c r="H54" s="26">
        <f t="shared" si="26"/>
        <v>200.73030303030302</v>
      </c>
      <c r="I54" s="26">
        <f t="shared" si="14"/>
        <v>196.93333333333337</v>
      </c>
      <c r="J54" s="26">
        <f t="shared" si="6"/>
        <v>197.09902273212353</v>
      </c>
      <c r="K54" s="26">
        <f t="shared" si="7"/>
        <v>197.37698479027154</v>
      </c>
      <c r="L54" s="26">
        <f t="shared" si="0"/>
        <v>221.65470312725455</v>
      </c>
      <c r="V54" s="26">
        <f t="shared" si="23"/>
        <v>198.42505344900047</v>
      </c>
      <c r="W54" s="26">
        <f t="shared" si="25"/>
        <v>198.22943559234059</v>
      </c>
      <c r="X54" s="26">
        <f t="shared" si="24"/>
        <v>0.19561785665987941</v>
      </c>
      <c r="Y54" s="26">
        <f t="shared" si="28"/>
        <v>-0.15651235334819344</v>
      </c>
      <c r="Z54" s="26">
        <v>9924.75</v>
      </c>
      <c r="AA54" s="26">
        <f t="shared" si="1"/>
        <v>216.58347325266772</v>
      </c>
      <c r="AB54" s="27">
        <f t="shared" si="22"/>
        <v>8.0216824202831494E-2</v>
      </c>
      <c r="BK54" s="24">
        <v>44248</v>
      </c>
      <c r="BL54" s="25">
        <v>200.5</v>
      </c>
      <c r="BM54" s="26">
        <f t="shared" si="12"/>
        <v>193.29</v>
      </c>
      <c r="BN54" s="26">
        <f t="shared" si="15"/>
        <v>199.26000000000002</v>
      </c>
      <c r="BO54" s="26">
        <f t="shared" si="18"/>
        <v>198.10142857142858</v>
      </c>
      <c r="BP54" s="26">
        <f t="shared" si="21"/>
        <v>200.22923076923078</v>
      </c>
      <c r="BQ54" s="26">
        <f t="shared" si="27"/>
        <v>200.73030303030302</v>
      </c>
      <c r="BR54" s="26">
        <f t="shared" si="16"/>
        <v>196.93333333333337</v>
      </c>
      <c r="BS54" s="26">
        <f t="shared" si="9"/>
        <v>197.09902273212353</v>
      </c>
      <c r="BT54" s="26">
        <f t="shared" si="10"/>
        <v>197.37698479027154</v>
      </c>
    </row>
    <row r="55" spans="1:72" x14ac:dyDescent="0.2">
      <c r="A55" s="74"/>
      <c r="B55" s="24">
        <v>44249</v>
      </c>
      <c r="C55" s="25">
        <v>213.57</v>
      </c>
      <c r="D55" s="26">
        <f t="shared" si="11"/>
        <v>201.72000000000003</v>
      </c>
      <c r="E55" s="26">
        <f t="shared" si="13"/>
        <v>199.86199999999999</v>
      </c>
      <c r="F55" s="26">
        <f t="shared" si="17"/>
        <v>200.99857142857144</v>
      </c>
      <c r="G55" s="26">
        <f t="shared" si="20"/>
        <v>201.46923076923076</v>
      </c>
      <c r="H55" s="26">
        <f t="shared" si="26"/>
        <v>200.73454545454541</v>
      </c>
      <c r="I55" s="26">
        <f t="shared" si="14"/>
        <v>201.70333333333332</v>
      </c>
      <c r="J55" s="26">
        <f t="shared" si="6"/>
        <v>203.6874136392741</v>
      </c>
      <c r="K55" s="26">
        <f t="shared" si="7"/>
        <v>207.09279391610863</v>
      </c>
      <c r="L55" s="26">
        <f t="shared" si="0"/>
        <v>221.63986446525445</v>
      </c>
      <c r="V55" s="26">
        <f t="shared" si="23"/>
        <v>200.7550452260773</v>
      </c>
      <c r="W55" s="26">
        <f t="shared" si="25"/>
        <v>199.54690134166711</v>
      </c>
      <c r="X55" s="26">
        <f t="shared" si="24"/>
        <v>1.208143884410191</v>
      </c>
      <c r="Y55" s="26">
        <f t="shared" si="28"/>
        <v>0.11641889420348345</v>
      </c>
      <c r="Z55" s="26">
        <v>10492.5</v>
      </c>
      <c r="AA55" s="26">
        <f t="shared" si="1"/>
        <v>216.83343618370418</v>
      </c>
      <c r="AB55" s="27">
        <f t="shared" si="22"/>
        <v>1.5280405411360148E-2</v>
      </c>
      <c r="BK55" s="24">
        <v>44249</v>
      </c>
      <c r="BL55" s="25">
        <v>213.57</v>
      </c>
      <c r="BM55" s="26">
        <f t="shared" si="12"/>
        <v>201.72000000000003</v>
      </c>
      <c r="BN55" s="26">
        <f t="shared" si="15"/>
        <v>199.86199999999999</v>
      </c>
      <c r="BO55" s="26">
        <f t="shared" si="18"/>
        <v>200.99857142857144</v>
      </c>
      <c r="BP55" s="26">
        <f t="shared" si="21"/>
        <v>201.46923076923076</v>
      </c>
      <c r="BQ55" s="26">
        <f t="shared" si="27"/>
        <v>200.73454545454541</v>
      </c>
      <c r="BR55" s="26">
        <f t="shared" si="16"/>
        <v>201.70333333333332</v>
      </c>
      <c r="BS55" s="26">
        <f t="shared" si="9"/>
        <v>203.6874136392741</v>
      </c>
      <c r="BT55" s="26">
        <f t="shared" si="10"/>
        <v>207.09279391610863</v>
      </c>
    </row>
    <row r="56" spans="1:72" x14ac:dyDescent="0.2">
      <c r="A56" s="74"/>
      <c r="B56" s="24">
        <v>44250</v>
      </c>
      <c r="C56" s="25">
        <v>206.61</v>
      </c>
      <c r="D56" s="26">
        <f t="shared" si="11"/>
        <v>206.89333333333335</v>
      </c>
      <c r="E56" s="26">
        <f t="shared" si="13"/>
        <v>200.01000000000002</v>
      </c>
      <c r="F56" s="26">
        <f t="shared" si="17"/>
        <v>202.35428571428571</v>
      </c>
      <c r="G56" s="26">
        <f t="shared" si="20"/>
        <v>200.36384615384617</v>
      </c>
      <c r="H56" s="26">
        <f t="shared" si="26"/>
        <v>201.36939393939392</v>
      </c>
      <c r="I56" s="26">
        <f t="shared" si="14"/>
        <v>203.95266666666666</v>
      </c>
      <c r="J56" s="26">
        <f t="shared" si="6"/>
        <v>204.85644818356445</v>
      </c>
      <c r="K56" s="26">
        <f t="shared" si="7"/>
        <v>206.80311756644346</v>
      </c>
      <c r="L56" s="26">
        <f t="shared" si="0"/>
        <v>221.62502580325437</v>
      </c>
      <c r="V56" s="26">
        <f t="shared" si="23"/>
        <v>201.65580749898851</v>
      </c>
      <c r="W56" s="26">
        <f t="shared" si="25"/>
        <v>201.18874557970119</v>
      </c>
      <c r="X56" s="26">
        <f t="shared" si="24"/>
        <v>0.46706191928731755</v>
      </c>
      <c r="Y56" s="26">
        <f t="shared" si="28"/>
        <v>0.18654749922025027</v>
      </c>
      <c r="Z56" s="26">
        <v>10847.69</v>
      </c>
      <c r="AA56" s="26">
        <f t="shared" si="1"/>
        <v>216.98981545886903</v>
      </c>
      <c r="AB56" s="27">
        <f t="shared" si="22"/>
        <v>5.0238688634959672E-2</v>
      </c>
      <c r="BK56" s="24">
        <v>44250</v>
      </c>
      <c r="BL56" s="25">
        <v>206.61</v>
      </c>
      <c r="BM56" s="26">
        <f t="shared" si="12"/>
        <v>206.89333333333335</v>
      </c>
      <c r="BN56" s="26">
        <f t="shared" si="15"/>
        <v>200.01000000000002</v>
      </c>
      <c r="BO56" s="26">
        <f t="shared" si="18"/>
        <v>202.35428571428571</v>
      </c>
      <c r="BP56" s="26">
        <f t="shared" si="21"/>
        <v>200.36384615384617</v>
      </c>
      <c r="BQ56" s="26">
        <f t="shared" si="27"/>
        <v>201.36939393939392</v>
      </c>
      <c r="BR56" s="26">
        <f t="shared" si="16"/>
        <v>203.95266666666666</v>
      </c>
      <c r="BS56" s="26">
        <f t="shared" si="9"/>
        <v>204.85644818356445</v>
      </c>
      <c r="BT56" s="26">
        <f t="shared" si="10"/>
        <v>206.80311756644346</v>
      </c>
    </row>
    <row r="57" spans="1:72" x14ac:dyDescent="0.2">
      <c r="A57" s="74"/>
      <c r="B57" s="24">
        <v>44251</v>
      </c>
      <c r="C57" s="25">
        <v>184</v>
      </c>
      <c r="D57" s="26">
        <f t="shared" si="11"/>
        <v>201.39333333333335</v>
      </c>
      <c r="E57" s="26">
        <f t="shared" si="13"/>
        <v>199.15400000000002</v>
      </c>
      <c r="F57" s="26">
        <f t="shared" si="17"/>
        <v>198.56</v>
      </c>
      <c r="G57" s="26">
        <f t="shared" si="20"/>
        <v>198.32615384615386</v>
      </c>
      <c r="H57" s="26">
        <f t="shared" si="26"/>
        <v>201.02757575757573</v>
      </c>
      <c r="I57" s="26">
        <f t="shared" si="14"/>
        <v>198.61600000000001</v>
      </c>
      <c r="J57" s="26">
        <f t="shared" si="6"/>
        <v>196.51386891013868</v>
      </c>
      <c r="K57" s="26">
        <f t="shared" si="7"/>
        <v>193.12124702657738</v>
      </c>
      <c r="L57" s="26">
        <f t="shared" si="0"/>
        <v>221.61018714125427</v>
      </c>
      <c r="V57" s="26">
        <f t="shared" si="23"/>
        <v>198.93952942222106</v>
      </c>
      <c r="W57" s="26">
        <f t="shared" si="25"/>
        <v>200.34796990647084</v>
      </c>
      <c r="X57" s="26">
        <f t="shared" si="24"/>
        <v>-1.4084404842497804</v>
      </c>
      <c r="Y57" s="26">
        <f t="shared" si="28"/>
        <v>-0.13245009747375588</v>
      </c>
      <c r="Z57" s="26">
        <v>11421.08</v>
      </c>
      <c r="AA57" s="26">
        <f t="shared" si="1"/>
        <v>217.24226150911471</v>
      </c>
      <c r="AB57" s="27">
        <f t="shared" si="22"/>
        <v>0.18066446472344952</v>
      </c>
      <c r="BK57" s="24">
        <v>44251</v>
      </c>
      <c r="BL57" s="25">
        <v>184</v>
      </c>
      <c r="BM57" s="26">
        <f t="shared" si="12"/>
        <v>201.39333333333335</v>
      </c>
      <c r="BN57" s="26">
        <f t="shared" si="15"/>
        <v>199.15400000000002</v>
      </c>
      <c r="BO57" s="26">
        <f t="shared" si="18"/>
        <v>198.56</v>
      </c>
      <c r="BP57" s="26">
        <f t="shared" si="21"/>
        <v>198.32615384615386</v>
      </c>
      <c r="BQ57" s="26">
        <f t="shared" si="27"/>
        <v>201.02757575757573</v>
      </c>
      <c r="BR57" s="26">
        <f t="shared" si="16"/>
        <v>198.61600000000001</v>
      </c>
      <c r="BS57" s="26">
        <f t="shared" si="9"/>
        <v>196.51386891013868</v>
      </c>
      <c r="BT57" s="26">
        <f t="shared" si="10"/>
        <v>193.12124702657738</v>
      </c>
    </row>
    <row r="58" spans="1:72" x14ac:dyDescent="0.2">
      <c r="A58" s="74"/>
      <c r="B58" s="24">
        <v>44252</v>
      </c>
      <c r="C58" s="25">
        <v>196.83</v>
      </c>
      <c r="D58" s="26">
        <f t="shared" si="11"/>
        <v>195.81333333333336</v>
      </c>
      <c r="E58" s="26">
        <f t="shared" si="13"/>
        <v>200.30200000000002</v>
      </c>
      <c r="F58" s="26">
        <f t="shared" si="17"/>
        <v>197.26857142857145</v>
      </c>
      <c r="G58" s="26">
        <f t="shared" si="20"/>
        <v>197.39153846153843</v>
      </c>
      <c r="H58" s="26">
        <f t="shared" si="26"/>
        <v>200.53181818181815</v>
      </c>
      <c r="I58" s="26">
        <f t="shared" si="14"/>
        <v>197.84133333333332</v>
      </c>
      <c r="J58" s="26">
        <f t="shared" si="6"/>
        <v>196.64032134608323</v>
      </c>
      <c r="K58" s="26">
        <f t="shared" si="7"/>
        <v>195.34649881063098</v>
      </c>
      <c r="L58" s="26">
        <f t="shared" si="0"/>
        <v>221.59534847925417</v>
      </c>
      <c r="V58" s="26">
        <f t="shared" si="23"/>
        <v>198.61498643418705</v>
      </c>
      <c r="W58" s="26">
        <f t="shared" si="25"/>
        <v>198.78326798353802</v>
      </c>
      <c r="X58" s="26">
        <f t="shared" si="24"/>
        <v>-0.16828154935097928</v>
      </c>
      <c r="Y58" s="26">
        <f t="shared" si="28"/>
        <v>-0.13961638784920055</v>
      </c>
      <c r="Z58" s="26">
        <v>12582.77</v>
      </c>
      <c r="AA58" s="26">
        <f t="shared" si="1"/>
        <v>217.75371802581353</v>
      </c>
      <c r="AB58" s="27">
        <f t="shared" si="22"/>
        <v>0.10630350061379623</v>
      </c>
      <c r="BK58" s="24">
        <v>44252</v>
      </c>
      <c r="BL58" s="25">
        <v>196.83</v>
      </c>
      <c r="BM58" s="26">
        <f t="shared" si="12"/>
        <v>195.81333333333336</v>
      </c>
      <c r="BN58" s="26">
        <f t="shared" si="15"/>
        <v>200.30200000000002</v>
      </c>
      <c r="BO58" s="26">
        <f t="shared" si="18"/>
        <v>197.26857142857145</v>
      </c>
      <c r="BP58" s="26">
        <f t="shared" si="21"/>
        <v>197.39153846153843</v>
      </c>
      <c r="BQ58" s="26">
        <f t="shared" si="27"/>
        <v>200.53181818181815</v>
      </c>
      <c r="BR58" s="26">
        <f t="shared" si="16"/>
        <v>197.84133333333332</v>
      </c>
      <c r="BS58" s="26">
        <f t="shared" si="9"/>
        <v>196.64032134608323</v>
      </c>
      <c r="BT58" s="26">
        <f t="shared" si="10"/>
        <v>195.34649881063098</v>
      </c>
    </row>
    <row r="59" spans="1:72" x14ac:dyDescent="0.2">
      <c r="A59" s="74"/>
      <c r="B59" s="24">
        <v>44253</v>
      </c>
      <c r="C59" s="25">
        <v>220.56</v>
      </c>
      <c r="D59" s="26">
        <f t="shared" si="11"/>
        <v>200.46333333333337</v>
      </c>
      <c r="E59" s="26">
        <f t="shared" si="13"/>
        <v>204.31400000000002</v>
      </c>
      <c r="F59" s="26">
        <f t="shared" si="17"/>
        <v>201.88000000000002</v>
      </c>
      <c r="G59" s="26">
        <f t="shared" si="20"/>
        <v>199.7323076923077</v>
      </c>
      <c r="H59" s="26">
        <f t="shared" si="26"/>
        <v>200.60909090909092</v>
      </c>
      <c r="I59" s="26">
        <f t="shared" si="14"/>
        <v>204.59400000000002</v>
      </c>
      <c r="J59" s="26">
        <f t="shared" si="6"/>
        <v>206.20819280764994</v>
      </c>
      <c r="K59" s="26">
        <f t="shared" si="7"/>
        <v>210.47459952425237</v>
      </c>
      <c r="L59" s="26">
        <f t="shared" si="0"/>
        <v>221.5805098172541</v>
      </c>
      <c r="V59" s="26">
        <f t="shared" si="23"/>
        <v>201.99114236738905</v>
      </c>
      <c r="W59" s="26">
        <f t="shared" si="25"/>
        <v>200.24054299461764</v>
      </c>
      <c r="X59" s="26">
        <f t="shared" si="24"/>
        <v>1.7505993727714042</v>
      </c>
      <c r="Y59" s="26">
        <f t="shared" si="28"/>
        <v>0.23842676427492038</v>
      </c>
      <c r="Z59" s="26">
        <v>7950.68</v>
      </c>
      <c r="AA59" s="26">
        <f t="shared" si="1"/>
        <v>215.71435071057851</v>
      </c>
      <c r="AB59" s="27">
        <f t="shared" si="22"/>
        <v>-2.1969755574090893E-2</v>
      </c>
      <c r="BK59" s="24">
        <v>44253</v>
      </c>
      <c r="BL59" s="25">
        <v>220.56</v>
      </c>
      <c r="BM59" s="26">
        <f t="shared" si="12"/>
        <v>200.46333333333337</v>
      </c>
      <c r="BN59" s="26">
        <f t="shared" si="15"/>
        <v>204.31400000000002</v>
      </c>
      <c r="BO59" s="26">
        <f t="shared" si="18"/>
        <v>201.88000000000002</v>
      </c>
      <c r="BP59" s="26">
        <f t="shared" si="21"/>
        <v>199.7323076923077</v>
      </c>
      <c r="BQ59" s="26">
        <f t="shared" si="27"/>
        <v>200.60909090909092</v>
      </c>
      <c r="BR59" s="26">
        <f t="shared" si="16"/>
        <v>204.59400000000002</v>
      </c>
      <c r="BS59" s="26">
        <f t="shared" si="9"/>
        <v>206.20819280764994</v>
      </c>
      <c r="BT59" s="26">
        <f t="shared" si="10"/>
        <v>210.47459952425237</v>
      </c>
    </row>
    <row r="60" spans="1:72" x14ac:dyDescent="0.2">
      <c r="A60" s="74"/>
      <c r="B60" s="24">
        <v>44254</v>
      </c>
      <c r="C60" s="25">
        <v>212.78</v>
      </c>
      <c r="D60" s="26">
        <f t="shared" si="11"/>
        <v>210.05666666666664</v>
      </c>
      <c r="E60" s="26">
        <f t="shared" si="13"/>
        <v>204.15600000000001</v>
      </c>
      <c r="F60" s="26">
        <f t="shared" si="17"/>
        <v>204.97857142857146</v>
      </c>
      <c r="G60" s="26">
        <f t="shared" si="20"/>
        <v>201.62</v>
      </c>
      <c r="H60" s="26">
        <f t="shared" si="26"/>
        <v>201.3860606060606</v>
      </c>
      <c r="I60" s="26">
        <f t="shared" si="14"/>
        <v>207.41600000000003</v>
      </c>
      <c r="J60" s="26">
        <f t="shared" si="6"/>
        <v>208.83691568458997</v>
      </c>
      <c r="K60" s="26">
        <f t="shared" si="7"/>
        <v>211.85783980970095</v>
      </c>
      <c r="L60" s="26">
        <f t="shared" si="0"/>
        <v>221.56567115525399</v>
      </c>
      <c r="V60" s="26">
        <f t="shared" si="23"/>
        <v>203.65096661855995</v>
      </c>
      <c r="W60" s="26">
        <f t="shared" si="25"/>
        <v>202.79031700684169</v>
      </c>
      <c r="X60" s="26">
        <f t="shared" si="24"/>
        <v>0.86064961171825871</v>
      </c>
      <c r="Y60" s="26">
        <f t="shared" si="28"/>
        <v>0.36287133376358804</v>
      </c>
      <c r="Z60" s="26">
        <v>8153.57</v>
      </c>
      <c r="AA60" s="26">
        <f t="shared" si="1"/>
        <v>215.80367696170663</v>
      </c>
      <c r="AB60" s="27">
        <f t="shared" si="22"/>
        <v>1.4210343837327884E-2</v>
      </c>
      <c r="BK60" s="24">
        <v>44254</v>
      </c>
      <c r="BL60" s="25">
        <v>212.78</v>
      </c>
      <c r="BM60" s="26">
        <f t="shared" si="12"/>
        <v>210.05666666666664</v>
      </c>
      <c r="BN60" s="26">
        <f t="shared" si="15"/>
        <v>204.15600000000001</v>
      </c>
      <c r="BO60" s="26">
        <f t="shared" si="18"/>
        <v>204.97857142857146</v>
      </c>
      <c r="BP60" s="26">
        <f t="shared" si="21"/>
        <v>201.62</v>
      </c>
      <c r="BQ60" s="26">
        <f t="shared" si="27"/>
        <v>201.3860606060606</v>
      </c>
      <c r="BR60" s="26">
        <f t="shared" si="16"/>
        <v>207.41600000000003</v>
      </c>
      <c r="BS60" s="26">
        <f t="shared" si="9"/>
        <v>208.83691568458997</v>
      </c>
      <c r="BT60" s="26">
        <f t="shared" si="10"/>
        <v>211.85783980970095</v>
      </c>
    </row>
    <row r="61" spans="1:72" x14ac:dyDescent="0.2">
      <c r="A61" s="75"/>
      <c r="B61" s="24">
        <v>44255</v>
      </c>
      <c r="C61" s="25">
        <v>192.75</v>
      </c>
      <c r="D61" s="26">
        <f t="shared" si="11"/>
        <v>208.69666666666669</v>
      </c>
      <c r="E61" s="26">
        <f t="shared" si="13"/>
        <v>201.38400000000001</v>
      </c>
      <c r="F61" s="26">
        <f t="shared" si="17"/>
        <v>203.87142857142859</v>
      </c>
      <c r="G61" s="26">
        <f t="shared" si="20"/>
        <v>201.57846153846154</v>
      </c>
      <c r="H61" s="26">
        <f t="shared" si="26"/>
        <v>201.3921212121212</v>
      </c>
      <c r="I61" s="26">
        <f t="shared" si="14"/>
        <v>203.614</v>
      </c>
      <c r="J61" s="26">
        <f t="shared" si="6"/>
        <v>202.40214941075396</v>
      </c>
      <c r="K61" s="26">
        <f t="shared" si="7"/>
        <v>200.39313592388038</v>
      </c>
      <c r="L61" s="26">
        <f t="shared" si="0"/>
        <v>221.55083249325389</v>
      </c>
      <c r="V61" s="26">
        <f t="shared" si="23"/>
        <v>201.97389483108918</v>
      </c>
      <c r="W61" s="26">
        <f t="shared" si="25"/>
        <v>202.84348760977772</v>
      </c>
      <c r="X61" s="26">
        <f t="shared" si="24"/>
        <v>-0.86959277868854201</v>
      </c>
      <c r="Y61" s="26">
        <f t="shared" si="28"/>
        <v>0.11637851127316201</v>
      </c>
      <c r="Z61" s="26">
        <v>9953.75</v>
      </c>
      <c r="AA61" s="26">
        <f t="shared" si="1"/>
        <v>216.59624106420458</v>
      </c>
      <c r="AB61" s="27">
        <f t="shared" si="22"/>
        <v>0.12371590694788366</v>
      </c>
      <c r="BK61" s="24">
        <v>44255</v>
      </c>
      <c r="BL61" s="25">
        <v>192.75</v>
      </c>
      <c r="BM61" s="26">
        <f t="shared" si="12"/>
        <v>208.69666666666669</v>
      </c>
      <c r="BN61" s="26">
        <f t="shared" si="15"/>
        <v>201.38400000000001</v>
      </c>
      <c r="BO61" s="26">
        <f t="shared" si="18"/>
        <v>203.87142857142859</v>
      </c>
      <c r="BP61" s="26">
        <f t="shared" si="21"/>
        <v>201.57846153846154</v>
      </c>
      <c r="BQ61" s="26">
        <f t="shared" si="27"/>
        <v>201.3921212121212</v>
      </c>
      <c r="BR61" s="26">
        <f t="shared" si="16"/>
        <v>203.614</v>
      </c>
      <c r="BS61" s="26">
        <f t="shared" si="9"/>
        <v>202.40214941075396</v>
      </c>
      <c r="BT61" s="26">
        <f t="shared" si="10"/>
        <v>200.39313592388038</v>
      </c>
    </row>
    <row r="62" spans="1:72" x14ac:dyDescent="0.2">
      <c r="A62" s="73">
        <v>44256</v>
      </c>
      <c r="B62" s="24">
        <v>44256</v>
      </c>
      <c r="C62" s="25">
        <v>192.9</v>
      </c>
      <c r="D62" s="26">
        <f t="shared" si="11"/>
        <v>199.47666666666666</v>
      </c>
      <c r="E62" s="26">
        <f t="shared" si="13"/>
        <v>203.16399999999999</v>
      </c>
      <c r="F62" s="26">
        <f t="shared" si="17"/>
        <v>200.91857142857143</v>
      </c>
      <c r="G62" s="26">
        <f t="shared" si="20"/>
        <v>201.25384615384615</v>
      </c>
      <c r="H62" s="26">
        <f t="shared" si="26"/>
        <v>200.80454545454543</v>
      </c>
      <c r="I62" s="26">
        <f t="shared" si="14"/>
        <v>200.786</v>
      </c>
      <c r="J62" s="26">
        <f t="shared" si="6"/>
        <v>198.60128964645239</v>
      </c>
      <c r="K62" s="26">
        <f t="shared" si="7"/>
        <v>195.89725436955217</v>
      </c>
      <c r="L62" s="26">
        <f t="shared" si="0"/>
        <v>221.53599383125382</v>
      </c>
      <c r="V62" s="26">
        <f t="shared" si="23"/>
        <v>200.57791101092164</v>
      </c>
      <c r="W62" s="26">
        <f t="shared" si="25"/>
        <v>201.30175447323072</v>
      </c>
      <c r="X62" s="26">
        <f t="shared" si="24"/>
        <v>-0.72384346230907681</v>
      </c>
      <c r="Y62" s="26">
        <f t="shared" si="28"/>
        <v>-5.1665883443285751E-2</v>
      </c>
      <c r="Z62" s="26">
        <v>10547.75</v>
      </c>
      <c r="AA62" s="26">
        <f t="shared" si="1"/>
        <v>216.85776106602873</v>
      </c>
      <c r="AB62" s="27">
        <f t="shared" si="22"/>
        <v>0.12419782823239359</v>
      </c>
      <c r="BK62" s="24">
        <v>44256</v>
      </c>
      <c r="BL62" s="25">
        <v>192.9</v>
      </c>
      <c r="BM62" s="26">
        <f t="shared" si="12"/>
        <v>199.47666666666666</v>
      </c>
      <c r="BN62" s="26">
        <f t="shared" si="15"/>
        <v>203.16399999999999</v>
      </c>
      <c r="BO62" s="26">
        <f t="shared" si="18"/>
        <v>200.91857142857143</v>
      </c>
      <c r="BP62" s="26">
        <f t="shared" si="21"/>
        <v>201.25384615384615</v>
      </c>
      <c r="BQ62" s="26">
        <f t="shared" si="27"/>
        <v>200.80454545454543</v>
      </c>
      <c r="BR62" s="26">
        <f t="shared" si="16"/>
        <v>200.786</v>
      </c>
      <c r="BS62" s="26">
        <f t="shared" si="9"/>
        <v>198.60128964645239</v>
      </c>
      <c r="BT62" s="26">
        <f t="shared" si="10"/>
        <v>195.89725436955217</v>
      </c>
    </row>
    <row r="63" spans="1:72" x14ac:dyDescent="0.2">
      <c r="A63" s="74"/>
      <c r="B63" s="24">
        <v>44257</v>
      </c>
      <c r="C63" s="25">
        <v>202.4</v>
      </c>
      <c r="D63" s="26">
        <f t="shared" si="11"/>
        <v>196.01666666666665</v>
      </c>
      <c r="E63" s="26">
        <f t="shared" si="13"/>
        <v>204.27799999999999</v>
      </c>
      <c r="F63" s="26">
        <f t="shared" si="17"/>
        <v>200.3171428571429</v>
      </c>
      <c r="G63" s="26">
        <f t="shared" si="20"/>
        <v>200.62615384615387</v>
      </c>
      <c r="H63" s="26">
        <f t="shared" si="26"/>
        <v>200.22878787878787</v>
      </c>
      <c r="I63" s="26">
        <f t="shared" si="14"/>
        <v>200.53133333333332</v>
      </c>
      <c r="J63" s="26">
        <f t="shared" si="6"/>
        <v>200.12077378787143</v>
      </c>
      <c r="K63" s="26">
        <f t="shared" si="7"/>
        <v>199.79890174782088</v>
      </c>
      <c r="L63" s="26">
        <f t="shared" si="0"/>
        <v>221.52115516925372</v>
      </c>
      <c r="V63" s="26">
        <f t="shared" si="23"/>
        <v>200.85823239385678</v>
      </c>
      <c r="W63" s="26">
        <f t="shared" si="25"/>
        <v>200.71288056566817</v>
      </c>
      <c r="X63" s="26">
        <f t="shared" si="24"/>
        <v>0.14535182818860903</v>
      </c>
      <c r="Y63" s="26">
        <f t="shared" si="28"/>
        <v>-1.22623411169068E-2</v>
      </c>
      <c r="Z63" s="26">
        <v>11141.56</v>
      </c>
      <c r="AA63" s="26">
        <f t="shared" si="1"/>
        <v>217.11919741667384</v>
      </c>
      <c r="AB63" s="27">
        <f t="shared" si="22"/>
        <v>7.2723307394633577E-2</v>
      </c>
      <c r="BK63" s="24">
        <v>44257</v>
      </c>
      <c r="BL63" s="25">
        <v>202.4</v>
      </c>
      <c r="BM63" s="26">
        <f t="shared" si="12"/>
        <v>196.01666666666665</v>
      </c>
      <c r="BN63" s="26">
        <f t="shared" si="15"/>
        <v>204.27799999999999</v>
      </c>
      <c r="BO63" s="26">
        <f t="shared" si="18"/>
        <v>200.3171428571429</v>
      </c>
      <c r="BP63" s="26">
        <f t="shared" si="21"/>
        <v>200.62615384615387</v>
      </c>
      <c r="BQ63" s="26">
        <f t="shared" si="27"/>
        <v>200.22878787878787</v>
      </c>
      <c r="BR63" s="26">
        <f t="shared" si="16"/>
        <v>200.53133333333332</v>
      </c>
      <c r="BS63" s="26">
        <f t="shared" si="9"/>
        <v>200.12077378787143</v>
      </c>
      <c r="BT63" s="26">
        <f t="shared" si="10"/>
        <v>199.79890174782088</v>
      </c>
    </row>
    <row r="64" spans="1:72" x14ac:dyDescent="0.2">
      <c r="A64" s="74"/>
      <c r="B64" s="24">
        <v>44258</v>
      </c>
      <c r="C64" s="25">
        <v>201.42</v>
      </c>
      <c r="D64" s="26">
        <f t="shared" si="11"/>
        <v>198.90666666666667</v>
      </c>
      <c r="E64" s="26">
        <f t="shared" si="13"/>
        <v>200.45</v>
      </c>
      <c r="F64" s="26">
        <f t="shared" si="17"/>
        <v>202.80571428571429</v>
      </c>
      <c r="G64" s="26">
        <f t="shared" si="20"/>
        <v>200.28384615384616</v>
      </c>
      <c r="H64" s="26">
        <f t="shared" si="26"/>
        <v>200.64090909090908</v>
      </c>
      <c r="I64" s="26">
        <f t="shared" si="14"/>
        <v>199.57866666666666</v>
      </c>
      <c r="J64" s="26">
        <f t="shared" si="6"/>
        <v>200.64046427272285</v>
      </c>
      <c r="K64" s="26">
        <f t="shared" si="7"/>
        <v>200.77156069912834</v>
      </c>
      <c r="L64" s="26">
        <f t="shared" si="0"/>
        <v>221.50631650725362</v>
      </c>
      <c r="V64" s="26">
        <f t="shared" si="23"/>
        <v>200.94465817941727</v>
      </c>
      <c r="W64" s="26">
        <f t="shared" si="25"/>
        <v>200.89984480912665</v>
      </c>
      <c r="X64" s="26">
        <f t="shared" si="24"/>
        <v>4.4813370290626153E-2</v>
      </c>
      <c r="Y64" s="26">
        <f t="shared" si="28"/>
        <v>-8.4719883540020947E-4</v>
      </c>
      <c r="Z64" s="26">
        <v>11580.04</v>
      </c>
      <c r="AA64" s="26">
        <f t="shared" si="1"/>
        <v>217.3122467271113</v>
      </c>
      <c r="AB64" s="27">
        <f t="shared" si="22"/>
        <v>7.8901036277982894E-2</v>
      </c>
      <c r="BK64" s="24">
        <v>44258</v>
      </c>
      <c r="BL64" s="25">
        <v>201.42</v>
      </c>
      <c r="BM64" s="26">
        <f t="shared" si="12"/>
        <v>198.90666666666667</v>
      </c>
      <c r="BN64" s="26">
        <f t="shared" si="15"/>
        <v>200.45</v>
      </c>
      <c r="BO64" s="26">
        <f t="shared" si="18"/>
        <v>202.80571428571429</v>
      </c>
      <c r="BP64" s="26">
        <f t="shared" si="21"/>
        <v>200.28384615384616</v>
      </c>
      <c r="BQ64" s="26">
        <f t="shared" si="27"/>
        <v>200.64090909090908</v>
      </c>
      <c r="BR64" s="26">
        <f t="shared" si="16"/>
        <v>199.57866666666666</v>
      </c>
      <c r="BS64" s="26">
        <f t="shared" si="9"/>
        <v>200.64046427272285</v>
      </c>
      <c r="BT64" s="26">
        <f t="shared" si="10"/>
        <v>200.77156069912834</v>
      </c>
    </row>
    <row r="65" spans="1:72" x14ac:dyDescent="0.2">
      <c r="A65" s="74"/>
      <c r="B65" s="24">
        <v>44259</v>
      </c>
      <c r="C65" s="25">
        <v>217.81</v>
      </c>
      <c r="D65" s="26">
        <f>AVERAGE(C63:C65)</f>
        <v>207.21</v>
      </c>
      <c r="E65" s="26">
        <f>AVERAGE(C61:C65)</f>
        <v>201.45599999999999</v>
      </c>
      <c r="F65" s="26">
        <f t="shared" ref="F65:F70" si="29">AVERAGE(C59:C65)</f>
        <v>205.80285714285714</v>
      </c>
      <c r="G65" s="26">
        <f t="shared" ref="G65:G76" si="30">AVERAGE(C53:C65)</f>
        <v>202.55538461538464</v>
      </c>
      <c r="H65" s="26">
        <f t="shared" ref="H65:H85" si="31">AVERAGE(C33:C65)</f>
        <v>201.3233333333333</v>
      </c>
      <c r="I65" s="26">
        <f t="shared" si="14"/>
        <v>205.36533333333335</v>
      </c>
      <c r="J65" s="26">
        <f t="shared" si="6"/>
        <v>207.50827856363372</v>
      </c>
      <c r="K65" s="26">
        <f t="shared" si="7"/>
        <v>210.99462427965136</v>
      </c>
      <c r="L65" s="26">
        <f t="shared" si="0"/>
        <v>221.49147784525354</v>
      </c>
      <c r="V65" s="26">
        <f t="shared" si="23"/>
        <v>203.53932615181463</v>
      </c>
      <c r="W65" s="26">
        <f t="shared" si="25"/>
        <v>202.19394275871971</v>
      </c>
      <c r="X65" s="26">
        <f t="shared" si="24"/>
        <v>1.3453833930949202</v>
      </c>
      <c r="Y65" s="26">
        <f t="shared" si="28"/>
        <v>0.26839891955066386</v>
      </c>
      <c r="Z65" s="26">
        <v>11713.78</v>
      </c>
      <c r="AA65" s="26">
        <f t="shared" si="1"/>
        <v>217.37112835176441</v>
      </c>
      <c r="AB65" s="27">
        <f t="shared" si="22"/>
        <v>-2.0149288289591401E-3</v>
      </c>
      <c r="BK65" s="24">
        <v>44259</v>
      </c>
      <c r="BL65" s="25">
        <v>217.81</v>
      </c>
      <c r="BM65" s="26">
        <f>AVERAGE(BL63:BL65)</f>
        <v>207.21</v>
      </c>
      <c r="BN65" s="26">
        <f>AVERAGE(BL61:BL65)</f>
        <v>201.45599999999999</v>
      </c>
      <c r="BO65" s="26">
        <f t="shared" ref="BO65:BO70" si="32">AVERAGE(BL59:BL65)</f>
        <v>205.80285714285714</v>
      </c>
      <c r="BP65" s="26">
        <f t="shared" ref="BP65:BP76" si="33">AVERAGE(BL53:BL65)</f>
        <v>202.55538461538464</v>
      </c>
      <c r="BQ65" s="26">
        <f t="shared" ref="BQ65:BQ85" si="34">AVERAGE(BL33:BL65)</f>
        <v>201.3233333333333</v>
      </c>
      <c r="BR65" s="26">
        <f t="shared" si="16"/>
        <v>205.36533333333335</v>
      </c>
      <c r="BS65" s="26">
        <f t="shared" si="9"/>
        <v>207.50827856363372</v>
      </c>
      <c r="BT65" s="26">
        <f t="shared" si="10"/>
        <v>210.99462427965136</v>
      </c>
    </row>
    <row r="66" spans="1:72" x14ac:dyDescent="0.2">
      <c r="A66" s="74"/>
      <c r="B66" s="24">
        <v>44260</v>
      </c>
      <c r="C66" s="25">
        <v>222.69</v>
      </c>
      <c r="D66" s="26">
        <f>AVERAGE(C64:C66)</f>
        <v>213.97333333333336</v>
      </c>
      <c r="E66" s="26">
        <f>AVERAGE(C62:C66)</f>
        <v>207.44400000000002</v>
      </c>
      <c r="F66" s="26">
        <f t="shared" si="29"/>
        <v>206.10714285714286</v>
      </c>
      <c r="G66" s="26">
        <f t="shared" si="30"/>
        <v>204.98615384615385</v>
      </c>
      <c r="H66" s="26">
        <f t="shared" si="31"/>
        <v>201.57060606060602</v>
      </c>
      <c r="I66" s="26">
        <f t="shared" si="14"/>
        <v>212.44333333333333</v>
      </c>
      <c r="J66" s="26">
        <f t="shared" si="6"/>
        <v>213.58096713818026</v>
      </c>
      <c r="K66" s="26">
        <f t="shared" si="7"/>
        <v>218.01184971186055</v>
      </c>
      <c r="L66" s="26">
        <f t="shared" si="0"/>
        <v>221.47663918325344</v>
      </c>
      <c r="V66" s="26">
        <f t="shared" si="23"/>
        <v>206.48558366692006</v>
      </c>
      <c r="W66" s="26">
        <f t="shared" si="25"/>
        <v>204.95789458501355</v>
      </c>
      <c r="X66" s="26">
        <f t="shared" si="24"/>
        <v>1.5276890819065159</v>
      </c>
      <c r="Y66" s="26">
        <f t="shared" si="28"/>
        <v>0.52025695202183431</v>
      </c>
      <c r="Z66" s="26">
        <v>12338.95</v>
      </c>
      <c r="AA66" s="26">
        <f t="shared" si="1"/>
        <v>217.64637154964387</v>
      </c>
      <c r="AB66" s="27">
        <f t="shared" si="22"/>
        <v>-2.2648652612852503E-2</v>
      </c>
      <c r="BK66" s="24">
        <v>44260</v>
      </c>
      <c r="BL66" s="25">
        <v>222.69</v>
      </c>
      <c r="BM66" s="26">
        <f>AVERAGE(BL64:BL66)</f>
        <v>213.97333333333336</v>
      </c>
      <c r="BN66" s="26">
        <f>AVERAGE(BL62:BL66)</f>
        <v>207.44400000000002</v>
      </c>
      <c r="BO66" s="26">
        <f t="shared" si="32"/>
        <v>206.10714285714286</v>
      </c>
      <c r="BP66" s="26">
        <f t="shared" si="33"/>
        <v>204.98615384615385</v>
      </c>
      <c r="BQ66" s="26">
        <f t="shared" si="34"/>
        <v>201.57060606060602</v>
      </c>
      <c r="BR66" s="26">
        <f t="shared" si="16"/>
        <v>212.44333333333333</v>
      </c>
      <c r="BS66" s="26">
        <f t="shared" si="9"/>
        <v>213.58096713818026</v>
      </c>
      <c r="BT66" s="26">
        <f t="shared" si="10"/>
        <v>218.01184971186055</v>
      </c>
    </row>
    <row r="67" spans="1:72" x14ac:dyDescent="0.2">
      <c r="A67" s="74"/>
      <c r="B67" s="24">
        <v>44261</v>
      </c>
      <c r="C67" s="25">
        <v>209.21</v>
      </c>
      <c r="D67" s="26">
        <f t="shared" si="11"/>
        <v>216.57000000000002</v>
      </c>
      <c r="E67" s="26">
        <f>AVERAGE(C63:C67)</f>
        <v>210.70599999999999</v>
      </c>
      <c r="F67" s="26">
        <f t="shared" si="29"/>
        <v>205.59714285714287</v>
      </c>
      <c r="G67" s="26">
        <f t="shared" si="30"/>
        <v>205.6561538461539</v>
      </c>
      <c r="H67" s="26">
        <f t="shared" si="31"/>
        <v>201.44484848484845</v>
      </c>
      <c r="I67" s="26">
        <f t="shared" si="14"/>
        <v>213.03200000000001</v>
      </c>
      <c r="J67" s="26">
        <f t="shared" si="6"/>
        <v>211.83258028290817</v>
      </c>
      <c r="K67" s="26">
        <f t="shared" si="7"/>
        <v>212.73073988474422</v>
      </c>
      <c r="L67" s="26">
        <f t="shared" si="0"/>
        <v>221.46180052125334</v>
      </c>
      <c r="V67" s="26">
        <f t="shared" si="23"/>
        <v>206.90472464124005</v>
      </c>
      <c r="W67" s="26">
        <f t="shared" si="25"/>
        <v>206.68739228418525</v>
      </c>
      <c r="X67" s="26">
        <f t="shared" si="24"/>
        <v>0.2173323570548007</v>
      </c>
      <c r="Y67" s="26">
        <f t="shared" si="28"/>
        <v>0.45967203302842763</v>
      </c>
      <c r="Z67" s="26">
        <v>8344.25</v>
      </c>
      <c r="AA67" s="26">
        <f t="shared" si="1"/>
        <v>215.88762752390835</v>
      </c>
      <c r="AB67" s="27">
        <f t="shared" si="22"/>
        <v>3.1918299908744042E-2</v>
      </c>
      <c r="BK67" s="24">
        <v>44261</v>
      </c>
      <c r="BL67" s="25">
        <v>209.21</v>
      </c>
      <c r="BM67" s="26">
        <f t="shared" ref="BM67:BM130" si="35">AVERAGE(BL65:BL67)</f>
        <v>216.57000000000002</v>
      </c>
      <c r="BN67" s="26">
        <f>AVERAGE(BL63:BL67)</f>
        <v>210.70599999999999</v>
      </c>
      <c r="BO67" s="26">
        <f t="shared" si="32"/>
        <v>205.59714285714287</v>
      </c>
      <c r="BP67" s="26">
        <f t="shared" si="33"/>
        <v>205.6561538461539</v>
      </c>
      <c r="BQ67" s="26">
        <f t="shared" si="34"/>
        <v>201.44484848484845</v>
      </c>
      <c r="BR67" s="26">
        <f t="shared" si="16"/>
        <v>213.03200000000001</v>
      </c>
      <c r="BS67" s="26">
        <f t="shared" si="9"/>
        <v>211.83258028290817</v>
      </c>
      <c r="BT67" s="26">
        <f t="shared" si="10"/>
        <v>212.73073988474422</v>
      </c>
    </row>
    <row r="68" spans="1:72" x14ac:dyDescent="0.2">
      <c r="A68" s="74"/>
      <c r="B68" s="24">
        <v>44262</v>
      </c>
      <c r="C68" s="25">
        <v>220.47</v>
      </c>
      <c r="D68" s="26">
        <f t="shared" si="11"/>
        <v>217.45666666666668</v>
      </c>
      <c r="E68" s="26">
        <f>AVERAGE(C64:C68)</f>
        <v>214.32000000000002</v>
      </c>
      <c r="F68" s="26">
        <f t="shared" si="29"/>
        <v>209.55714285714288</v>
      </c>
      <c r="G68" s="26">
        <f t="shared" si="30"/>
        <v>206.18692307692305</v>
      </c>
      <c r="H68" s="26">
        <f t="shared" si="31"/>
        <v>202.48939393939395</v>
      </c>
      <c r="I68" s="26">
        <f t="shared" si="14"/>
        <v>216.28666666666669</v>
      </c>
      <c r="J68" s="26">
        <f t="shared" si="6"/>
        <v>215.28754816974489</v>
      </c>
      <c r="K68" s="26">
        <f t="shared" si="7"/>
        <v>217.37429595389767</v>
      </c>
      <c r="L68" s="26">
        <f t="shared" ref="L68:L131" si="36">$N$20+$N$21*A675</f>
        <v>221.44696185925326</v>
      </c>
      <c r="V68" s="26">
        <f t="shared" si="23"/>
        <v>208.99169008104928</v>
      </c>
      <c r="W68" s="26">
        <f t="shared" si="25"/>
        <v>207.90955985300005</v>
      </c>
      <c r="X68" s="26">
        <f t="shared" si="24"/>
        <v>1.0821302280492375</v>
      </c>
      <c r="Y68" s="26">
        <f t="shared" si="28"/>
        <v>0.58416367203258956</v>
      </c>
      <c r="Z68" s="26">
        <v>10020.35</v>
      </c>
      <c r="AA68" s="26">
        <f t="shared" ref="AA68:AA131" si="37">$AD$20+$AD$21*Z68</f>
        <v>216.62556300380305</v>
      </c>
      <c r="AB68" s="27">
        <f t="shared" si="22"/>
        <v>-1.7437460861781408E-2</v>
      </c>
      <c r="BK68" s="24">
        <v>44262</v>
      </c>
      <c r="BL68" s="25">
        <v>220.47</v>
      </c>
      <c r="BM68" s="26">
        <f t="shared" si="35"/>
        <v>217.45666666666668</v>
      </c>
      <c r="BN68" s="26">
        <f>AVERAGE(BL64:BL68)</f>
        <v>214.32000000000002</v>
      </c>
      <c r="BO68" s="26">
        <f t="shared" si="32"/>
        <v>209.55714285714288</v>
      </c>
      <c r="BP68" s="26">
        <f t="shared" si="33"/>
        <v>206.18692307692305</v>
      </c>
      <c r="BQ68" s="26">
        <f t="shared" si="34"/>
        <v>202.48939393939395</v>
      </c>
      <c r="BR68" s="26">
        <f t="shared" si="16"/>
        <v>216.28666666666669</v>
      </c>
      <c r="BS68" s="26">
        <f t="shared" si="9"/>
        <v>215.28754816974489</v>
      </c>
      <c r="BT68" s="26">
        <f t="shared" si="10"/>
        <v>217.37429595389767</v>
      </c>
    </row>
    <row r="69" spans="1:72" x14ac:dyDescent="0.2">
      <c r="A69" s="74"/>
      <c r="B69" s="24">
        <v>44263</v>
      </c>
      <c r="C69" s="25">
        <v>222.79</v>
      </c>
      <c r="D69" s="26">
        <f t="shared" si="11"/>
        <v>217.49</v>
      </c>
      <c r="E69" s="26">
        <f t="shared" si="13"/>
        <v>218.59399999999999</v>
      </c>
      <c r="F69" s="26">
        <f t="shared" si="29"/>
        <v>213.82714285714286</v>
      </c>
      <c r="G69" s="26">
        <f t="shared" si="30"/>
        <v>207.43153846153848</v>
      </c>
      <c r="H69" s="26">
        <f t="shared" si="31"/>
        <v>203.58818181818182</v>
      </c>
      <c r="I69" s="26">
        <f t="shared" si="14"/>
        <v>219.11</v>
      </c>
      <c r="J69" s="26">
        <f t="shared" si="6"/>
        <v>218.28852890184692</v>
      </c>
      <c r="K69" s="26">
        <f t="shared" si="7"/>
        <v>220.62371838155906</v>
      </c>
      <c r="L69" s="26">
        <f t="shared" si="36"/>
        <v>221.43212319725316</v>
      </c>
      <c r="V69" s="26">
        <f t="shared" si="23"/>
        <v>211.11450699165707</v>
      </c>
      <c r="W69" s="26">
        <f t="shared" si="25"/>
        <v>210.01378711208267</v>
      </c>
      <c r="X69" s="26">
        <f t="shared" si="24"/>
        <v>1.1007198795743989</v>
      </c>
      <c r="Y69" s="26">
        <f t="shared" si="28"/>
        <v>0.68747491354095147</v>
      </c>
      <c r="Z69" s="26">
        <v>10617.44</v>
      </c>
      <c r="AA69" s="26">
        <f t="shared" si="37"/>
        <v>216.88844343795992</v>
      </c>
      <c r="AB69" s="27">
        <f t="shared" ref="AB69:AB132" si="38">(AA69-C69)/C69</f>
        <v>-2.6489324305579563E-2</v>
      </c>
      <c r="BK69" s="24">
        <v>44263</v>
      </c>
      <c r="BL69" s="25">
        <v>222.79</v>
      </c>
      <c r="BM69" s="26">
        <f t="shared" si="35"/>
        <v>217.49</v>
      </c>
      <c r="BN69" s="26">
        <f t="shared" ref="BN69:BN132" si="39">AVERAGE(BL65:BL69)</f>
        <v>218.59399999999999</v>
      </c>
      <c r="BO69" s="26">
        <f t="shared" si="32"/>
        <v>213.82714285714286</v>
      </c>
      <c r="BP69" s="26">
        <f t="shared" si="33"/>
        <v>207.43153846153848</v>
      </c>
      <c r="BQ69" s="26">
        <f t="shared" si="34"/>
        <v>203.58818181818182</v>
      </c>
      <c r="BR69" s="26">
        <f t="shared" si="16"/>
        <v>219.11</v>
      </c>
      <c r="BS69" s="26">
        <f t="shared" si="9"/>
        <v>218.28852890184692</v>
      </c>
      <c r="BT69" s="26">
        <f t="shared" si="10"/>
        <v>220.62371838155906</v>
      </c>
    </row>
    <row r="70" spans="1:72" x14ac:dyDescent="0.2">
      <c r="A70" s="74"/>
      <c r="B70" s="24">
        <v>44264</v>
      </c>
      <c r="C70" s="25">
        <v>195.35</v>
      </c>
      <c r="D70" s="26">
        <f t="shared" si="11"/>
        <v>212.87</v>
      </c>
      <c r="E70" s="26">
        <f t="shared" si="13"/>
        <v>214.102</v>
      </c>
      <c r="F70" s="26">
        <f t="shared" si="29"/>
        <v>212.82</v>
      </c>
      <c r="G70" s="26">
        <f t="shared" si="30"/>
        <v>208.30461538461535</v>
      </c>
      <c r="H70" s="26">
        <f t="shared" si="31"/>
        <v>203.67757575757577</v>
      </c>
      <c r="I70" s="26">
        <f t="shared" si="14"/>
        <v>211.36199999999999</v>
      </c>
      <c r="J70" s="26">
        <f t="shared" ref="J70:J133" si="40">C70*$J$3+J69*(1-$J$3)</f>
        <v>209.11311734110814</v>
      </c>
      <c r="K70" s="26">
        <f t="shared" ref="K70:K133" si="41">C70*$K$3+K69*(1-$K$3)</f>
        <v>205.45948735262363</v>
      </c>
      <c r="L70" s="26">
        <f t="shared" si="36"/>
        <v>221.41728453525306</v>
      </c>
      <c r="V70" s="26">
        <f t="shared" si="23"/>
        <v>208.68919822370984</v>
      </c>
      <c r="W70" s="26">
        <f t="shared" si="25"/>
        <v>209.94676573301581</v>
      </c>
      <c r="X70" s="26">
        <f t="shared" si="24"/>
        <v>-1.2575675093059715</v>
      </c>
      <c r="Y70" s="26">
        <f t="shared" si="28"/>
        <v>0.29846642897156689</v>
      </c>
      <c r="Z70" s="26">
        <v>10968.36</v>
      </c>
      <c r="AA70" s="26">
        <f t="shared" si="37"/>
        <v>217.04294276294328</v>
      </c>
      <c r="AB70" s="27">
        <f t="shared" si="38"/>
        <v>0.11104654600943584</v>
      </c>
      <c r="BK70" s="24">
        <v>44264</v>
      </c>
      <c r="BL70" s="25">
        <v>195.35</v>
      </c>
      <c r="BM70" s="26">
        <f t="shared" si="35"/>
        <v>212.87</v>
      </c>
      <c r="BN70" s="26">
        <f t="shared" si="39"/>
        <v>214.102</v>
      </c>
      <c r="BO70" s="26">
        <f t="shared" si="32"/>
        <v>212.82</v>
      </c>
      <c r="BP70" s="26">
        <f t="shared" si="33"/>
        <v>208.30461538461535</v>
      </c>
      <c r="BQ70" s="26">
        <f t="shared" si="34"/>
        <v>203.67757575757577</v>
      </c>
      <c r="BR70" s="26">
        <f t="shared" si="16"/>
        <v>211.36199999999999</v>
      </c>
      <c r="BS70" s="26">
        <f t="shared" ref="BS70:BS133" si="42">BL70*$J$3+BS69*(1-$J$3)</f>
        <v>209.11311734110814</v>
      </c>
      <c r="BT70" s="26">
        <f t="shared" ref="BT70:BT133" si="43">BL70*$K$3+BT69*(1-$K$3)</f>
        <v>205.45948735262363</v>
      </c>
    </row>
    <row r="71" spans="1:72" x14ac:dyDescent="0.2">
      <c r="A71" s="74"/>
      <c r="B71" s="24">
        <v>44265</v>
      </c>
      <c r="C71" s="25">
        <v>186.5</v>
      </c>
      <c r="D71" s="26">
        <f t="shared" ref="D71:D134" si="44">AVERAGE(C69:C71)</f>
        <v>201.54666666666665</v>
      </c>
      <c r="E71" s="26">
        <f t="shared" si="13"/>
        <v>206.86400000000003</v>
      </c>
      <c r="F71" s="26">
        <f t="shared" si="17"/>
        <v>210.68857142857141</v>
      </c>
      <c r="G71" s="26">
        <f t="shared" si="30"/>
        <v>207.50999999999996</v>
      </c>
      <c r="H71" s="26">
        <f t="shared" si="31"/>
        <v>202.69636363636366</v>
      </c>
      <c r="I71" s="26">
        <f t="shared" si="14"/>
        <v>202.16133333333335</v>
      </c>
      <c r="J71" s="26">
        <f t="shared" si="40"/>
        <v>200.06787040466489</v>
      </c>
      <c r="K71" s="26">
        <f t="shared" si="41"/>
        <v>194.08379494104946</v>
      </c>
      <c r="L71" s="26">
        <f t="shared" si="36"/>
        <v>221.40244587325299</v>
      </c>
      <c r="V71" s="26">
        <f t="shared" si="23"/>
        <v>205.27547542006215</v>
      </c>
      <c r="W71" s="26">
        <f t="shared" si="25"/>
        <v>207.04555391084244</v>
      </c>
      <c r="X71" s="26">
        <f t="shared" si="24"/>
        <v>-1.7700784907802927</v>
      </c>
      <c r="Y71" s="26">
        <f t="shared" si="28"/>
        <v>-0.11524255497880503</v>
      </c>
      <c r="Z71" s="26">
        <v>10919.59</v>
      </c>
      <c r="AA71" s="26">
        <f t="shared" si="37"/>
        <v>217.02147082609318</v>
      </c>
      <c r="AB71" s="27">
        <f t="shared" si="38"/>
        <v>0.16365399906752376</v>
      </c>
      <c r="BK71" s="24">
        <v>44265</v>
      </c>
      <c r="BL71" s="25">
        <v>186.5</v>
      </c>
      <c r="BM71" s="26">
        <f t="shared" si="35"/>
        <v>201.54666666666665</v>
      </c>
      <c r="BN71" s="26">
        <f t="shared" si="39"/>
        <v>206.86400000000003</v>
      </c>
      <c r="BO71" s="26">
        <f t="shared" ref="BO71:BO134" si="45">AVERAGE(BL65:BL71)</f>
        <v>210.68857142857141</v>
      </c>
      <c r="BP71" s="26">
        <f t="shared" si="33"/>
        <v>207.50999999999996</v>
      </c>
      <c r="BQ71" s="26">
        <f t="shared" si="34"/>
        <v>202.69636363636366</v>
      </c>
      <c r="BR71" s="26">
        <f t="shared" si="16"/>
        <v>202.16133333333335</v>
      </c>
      <c r="BS71" s="26">
        <f t="shared" si="42"/>
        <v>200.06787040466489</v>
      </c>
      <c r="BT71" s="26">
        <f t="shared" si="43"/>
        <v>194.08379494104946</v>
      </c>
    </row>
    <row r="72" spans="1:72" x14ac:dyDescent="0.2">
      <c r="A72" s="74"/>
      <c r="B72" s="24">
        <v>44266</v>
      </c>
      <c r="C72" s="25">
        <v>202.23</v>
      </c>
      <c r="D72" s="26">
        <f t="shared" si="44"/>
        <v>194.69333333333336</v>
      </c>
      <c r="E72" s="26">
        <f t="shared" si="13"/>
        <v>205.46799999999999</v>
      </c>
      <c r="F72" s="26">
        <f t="shared" si="17"/>
        <v>208.46285714285713</v>
      </c>
      <c r="G72" s="26">
        <f t="shared" si="30"/>
        <v>206.10000000000002</v>
      </c>
      <c r="H72" s="26">
        <f t="shared" si="31"/>
        <v>202.41939393939396</v>
      </c>
      <c r="I72" s="26">
        <f t="shared" si="14"/>
        <v>200.61666666666665</v>
      </c>
      <c r="J72" s="26">
        <f t="shared" si="40"/>
        <v>200.93272224279892</v>
      </c>
      <c r="K72" s="26">
        <f t="shared" si="41"/>
        <v>198.97151797641979</v>
      </c>
      <c r="L72" s="26">
        <f t="shared" si="36"/>
        <v>221.38760721125288</v>
      </c>
      <c r="V72" s="26">
        <f t="shared" si="23"/>
        <v>204.8069407400526</v>
      </c>
      <c r="W72" s="26">
        <f t="shared" si="25"/>
        <v>205.04988464820568</v>
      </c>
      <c r="X72" s="26">
        <f t="shared" si="24"/>
        <v>-0.2429439081530802</v>
      </c>
      <c r="Y72" s="26">
        <f t="shared" si="28"/>
        <v>-0.14078282561366007</v>
      </c>
      <c r="Z72" s="26">
        <v>11553.86</v>
      </c>
      <c r="AA72" s="26">
        <f t="shared" si="37"/>
        <v>217.30072047517905</v>
      </c>
      <c r="AB72" s="27">
        <f t="shared" si="38"/>
        <v>7.4522674554611382E-2</v>
      </c>
      <c r="BK72" s="24">
        <v>44266</v>
      </c>
      <c r="BL72" s="25">
        <v>202.23</v>
      </c>
      <c r="BM72" s="26">
        <f t="shared" si="35"/>
        <v>194.69333333333336</v>
      </c>
      <c r="BN72" s="26">
        <f t="shared" si="39"/>
        <v>205.46799999999999</v>
      </c>
      <c r="BO72" s="26">
        <f t="shared" si="45"/>
        <v>208.46285714285713</v>
      </c>
      <c r="BP72" s="26">
        <f t="shared" si="33"/>
        <v>206.10000000000002</v>
      </c>
      <c r="BQ72" s="26">
        <f t="shared" si="34"/>
        <v>202.41939393939396</v>
      </c>
      <c r="BR72" s="26">
        <f t="shared" si="16"/>
        <v>200.61666666666665</v>
      </c>
      <c r="BS72" s="26">
        <f t="shared" si="42"/>
        <v>200.93272224279892</v>
      </c>
      <c r="BT72" s="26">
        <f t="shared" si="43"/>
        <v>198.97151797641979</v>
      </c>
    </row>
    <row r="73" spans="1:72" x14ac:dyDescent="0.2">
      <c r="A73" s="74"/>
      <c r="B73" s="24">
        <v>44267</v>
      </c>
      <c r="C73" s="25">
        <v>218.53</v>
      </c>
      <c r="D73" s="26">
        <f t="shared" si="44"/>
        <v>202.42</v>
      </c>
      <c r="E73" s="26">
        <f t="shared" ref="E73:E136" si="46">AVERAGE(C69:C73)</f>
        <v>205.08</v>
      </c>
      <c r="F73" s="26">
        <f t="shared" si="17"/>
        <v>207.86857142857144</v>
      </c>
      <c r="G73" s="26">
        <f t="shared" si="30"/>
        <v>206.5423076923077</v>
      </c>
      <c r="H73" s="26">
        <f t="shared" si="31"/>
        <v>203.39757575757577</v>
      </c>
      <c r="I73" s="26">
        <f t="shared" ref="I73:I136" si="47">(C73*5+C72*4+C71*3+C70*2+C69)/(5+4+3+2+1)</f>
        <v>204.97066666666666</v>
      </c>
      <c r="J73" s="26">
        <f t="shared" si="40"/>
        <v>207.97163334567935</v>
      </c>
      <c r="K73" s="26">
        <f t="shared" si="41"/>
        <v>210.70660719056792</v>
      </c>
      <c r="L73" s="26">
        <f t="shared" si="36"/>
        <v>221.37276854925278</v>
      </c>
      <c r="V73" s="26">
        <f t="shared" si="23"/>
        <v>206.91818062619836</v>
      </c>
      <c r="W73" s="26">
        <f t="shared" si="25"/>
        <v>205.82346364819682</v>
      </c>
      <c r="X73" s="26">
        <f t="shared" si="24"/>
        <v>1.0947169780015429</v>
      </c>
      <c r="Y73" s="26">
        <f t="shared" si="28"/>
        <v>0.10631713510938054</v>
      </c>
      <c r="Z73" s="26">
        <v>12405.81</v>
      </c>
      <c r="AA73" s="26">
        <f t="shared" si="37"/>
        <v>217.67580795927682</v>
      </c>
      <c r="AB73" s="27">
        <f t="shared" si="38"/>
        <v>-3.9088090455460444E-3</v>
      </c>
      <c r="BK73" s="24">
        <v>44267</v>
      </c>
      <c r="BL73" s="25">
        <v>218.53</v>
      </c>
      <c r="BM73" s="26">
        <f t="shared" si="35"/>
        <v>202.42</v>
      </c>
      <c r="BN73" s="26">
        <f t="shared" si="39"/>
        <v>205.08</v>
      </c>
      <c r="BO73" s="26">
        <f t="shared" si="45"/>
        <v>207.86857142857144</v>
      </c>
      <c r="BP73" s="26">
        <f t="shared" si="33"/>
        <v>206.5423076923077</v>
      </c>
      <c r="BQ73" s="26">
        <f t="shared" si="34"/>
        <v>203.39757575757577</v>
      </c>
      <c r="BR73" s="26">
        <f t="shared" ref="BR73:BR136" si="48">(BL73*5+BL72*4+BL71*3+BL70*2+BL69)/(5+4+3+2+1)</f>
        <v>204.97066666666666</v>
      </c>
      <c r="BS73" s="26">
        <f t="shared" si="42"/>
        <v>207.97163334567935</v>
      </c>
      <c r="BT73" s="26">
        <f t="shared" si="43"/>
        <v>210.70660719056792</v>
      </c>
    </row>
    <row r="74" spans="1:72" x14ac:dyDescent="0.2">
      <c r="A74" s="74"/>
      <c r="B74" s="24">
        <v>44268</v>
      </c>
      <c r="C74" s="25">
        <v>232.5</v>
      </c>
      <c r="D74" s="26">
        <f t="shared" si="44"/>
        <v>217.75333333333333</v>
      </c>
      <c r="E74" s="26">
        <f t="shared" si="46"/>
        <v>207.02200000000002</v>
      </c>
      <c r="F74" s="26">
        <f t="shared" si="17"/>
        <v>211.19571428571427</v>
      </c>
      <c r="G74" s="26">
        <f t="shared" si="30"/>
        <v>209.60000000000002</v>
      </c>
      <c r="H74" s="26">
        <f t="shared" si="31"/>
        <v>204.69333333333333</v>
      </c>
      <c r="I74" s="26">
        <f t="shared" si="47"/>
        <v>214.11066666666665</v>
      </c>
      <c r="J74" s="26">
        <f t="shared" si="40"/>
        <v>217.78298000740762</v>
      </c>
      <c r="K74" s="26">
        <f t="shared" si="41"/>
        <v>223.78264287622716</v>
      </c>
      <c r="L74" s="26">
        <f t="shared" si="36"/>
        <v>221.35792988725271</v>
      </c>
      <c r="V74" s="26">
        <f t="shared" si="23"/>
        <v>210.85384514524478</v>
      </c>
      <c r="W74" s="26">
        <f t="shared" si="25"/>
        <v>208.81313020944293</v>
      </c>
      <c r="X74" s="26">
        <f t="shared" si="24"/>
        <v>2.0407149358018444</v>
      </c>
      <c r="Y74" s="26">
        <f t="shared" si="28"/>
        <v>0.49319669524787335</v>
      </c>
      <c r="Z74" s="26">
        <v>7952.05</v>
      </c>
      <c r="AA74" s="26">
        <f t="shared" si="37"/>
        <v>215.7149538796063</v>
      </c>
      <c r="AB74" s="27">
        <f t="shared" si="38"/>
        <v>-7.2193746754381519E-2</v>
      </c>
      <c r="BK74" s="24">
        <v>44268</v>
      </c>
      <c r="BL74" s="25">
        <v>232.5</v>
      </c>
      <c r="BM74" s="26">
        <f t="shared" si="35"/>
        <v>217.75333333333333</v>
      </c>
      <c r="BN74" s="26">
        <f t="shared" si="39"/>
        <v>207.02200000000002</v>
      </c>
      <c r="BO74" s="26">
        <f t="shared" si="45"/>
        <v>211.19571428571427</v>
      </c>
      <c r="BP74" s="26">
        <f t="shared" si="33"/>
        <v>209.60000000000002</v>
      </c>
      <c r="BQ74" s="26">
        <f t="shared" si="34"/>
        <v>204.69333333333333</v>
      </c>
      <c r="BR74" s="26">
        <f t="shared" si="48"/>
        <v>214.11066666666665</v>
      </c>
      <c r="BS74" s="26">
        <f t="shared" si="42"/>
        <v>217.78298000740762</v>
      </c>
      <c r="BT74" s="26">
        <f t="shared" si="43"/>
        <v>223.78264287622716</v>
      </c>
    </row>
    <row r="75" spans="1:72" x14ac:dyDescent="0.2">
      <c r="A75" s="74"/>
      <c r="B75" s="24">
        <v>44269</v>
      </c>
      <c r="C75" s="25">
        <v>224.96</v>
      </c>
      <c r="D75" s="26">
        <f t="shared" si="44"/>
        <v>225.33</v>
      </c>
      <c r="E75" s="26">
        <f t="shared" si="46"/>
        <v>212.94400000000002</v>
      </c>
      <c r="F75" s="26">
        <f t="shared" ref="F75:F138" si="49">AVERAGE(C69:C75)</f>
        <v>211.83714285714288</v>
      </c>
      <c r="G75" s="26">
        <f t="shared" si="30"/>
        <v>212.06615384615387</v>
      </c>
      <c r="H75" s="26">
        <f t="shared" si="31"/>
        <v>205.5269696969697</v>
      </c>
      <c r="I75" s="26">
        <f t="shared" si="47"/>
        <v>220.09000000000003</v>
      </c>
      <c r="J75" s="26">
        <f t="shared" si="40"/>
        <v>220.65378800444458</v>
      </c>
      <c r="K75" s="26">
        <f t="shared" si="41"/>
        <v>224.48905715049085</v>
      </c>
      <c r="L75" s="26">
        <f t="shared" si="36"/>
        <v>221.34309122525261</v>
      </c>
      <c r="V75" s="26">
        <f t="shared" si="23"/>
        <v>213.02402281520713</v>
      </c>
      <c r="W75" s="26">
        <f t="shared" si="25"/>
        <v>211.89874550485627</v>
      </c>
      <c r="X75" s="26">
        <f t="shared" si="24"/>
        <v>1.1252773103508673</v>
      </c>
      <c r="Y75" s="26">
        <f t="shared" si="28"/>
        <v>0.61961281826847214</v>
      </c>
      <c r="Z75" s="26">
        <v>9192.34</v>
      </c>
      <c r="AA75" s="26">
        <f t="shared" si="37"/>
        <v>216.26101556826364</v>
      </c>
      <c r="AB75" s="27">
        <f t="shared" si="38"/>
        <v>-3.8669027523721387E-2</v>
      </c>
      <c r="BK75" s="24">
        <v>44269</v>
      </c>
      <c r="BL75" s="25">
        <v>224.96</v>
      </c>
      <c r="BM75" s="26">
        <f t="shared" si="35"/>
        <v>225.33</v>
      </c>
      <c r="BN75" s="26">
        <f t="shared" si="39"/>
        <v>212.94400000000002</v>
      </c>
      <c r="BO75" s="26">
        <f t="shared" si="45"/>
        <v>211.83714285714288</v>
      </c>
      <c r="BP75" s="26">
        <f t="shared" si="33"/>
        <v>212.06615384615387</v>
      </c>
      <c r="BQ75" s="26">
        <f t="shared" si="34"/>
        <v>205.5269696969697</v>
      </c>
      <c r="BR75" s="26">
        <f t="shared" si="48"/>
        <v>220.09000000000003</v>
      </c>
      <c r="BS75" s="26">
        <f t="shared" si="42"/>
        <v>220.65378800444458</v>
      </c>
      <c r="BT75" s="26">
        <f t="shared" si="43"/>
        <v>224.48905715049085</v>
      </c>
    </row>
    <row r="76" spans="1:72" x14ac:dyDescent="0.2">
      <c r="A76" s="74"/>
      <c r="B76" s="24">
        <v>44270</v>
      </c>
      <c r="C76" s="25">
        <v>221.84</v>
      </c>
      <c r="D76" s="26">
        <f t="shared" si="44"/>
        <v>226.43333333333337</v>
      </c>
      <c r="E76" s="26">
        <f t="shared" si="46"/>
        <v>220.012</v>
      </c>
      <c r="F76" s="26">
        <f t="shared" si="49"/>
        <v>211.70142857142858</v>
      </c>
      <c r="G76" s="26">
        <f t="shared" si="30"/>
        <v>213.56153846153848</v>
      </c>
      <c r="H76" s="26">
        <f t="shared" si="31"/>
        <v>205.55303030303031</v>
      </c>
      <c r="I76" s="26">
        <f t="shared" si="47"/>
        <v>223.05533333333332</v>
      </c>
      <c r="J76" s="26">
        <f t="shared" si="40"/>
        <v>221.12827280266674</v>
      </c>
      <c r="K76" s="26">
        <f t="shared" si="41"/>
        <v>222.89962286019633</v>
      </c>
      <c r="L76" s="26">
        <f t="shared" si="36"/>
        <v>221.32825256325251</v>
      </c>
      <c r="V76" s="26">
        <f t="shared" si="23"/>
        <v>214.38032699748294</v>
      </c>
      <c r="W76" s="26">
        <f t="shared" si="25"/>
        <v>213.67705816222883</v>
      </c>
      <c r="X76" s="26">
        <f t="shared" si="24"/>
        <v>0.70326883525410722</v>
      </c>
      <c r="Y76" s="26">
        <f t="shared" si="28"/>
        <v>0.63634402166559911</v>
      </c>
      <c r="Z76" s="26">
        <v>9492.73</v>
      </c>
      <c r="AA76" s="26">
        <f t="shared" si="37"/>
        <v>216.39326808231743</v>
      </c>
      <c r="AB76" s="27">
        <f t="shared" si="38"/>
        <v>-2.4552523970801342E-2</v>
      </c>
      <c r="BK76" s="24">
        <v>44270</v>
      </c>
      <c r="BL76" s="25">
        <v>221.84</v>
      </c>
      <c r="BM76" s="26">
        <f t="shared" si="35"/>
        <v>226.43333333333337</v>
      </c>
      <c r="BN76" s="26">
        <f t="shared" si="39"/>
        <v>220.012</v>
      </c>
      <c r="BO76" s="26">
        <f t="shared" si="45"/>
        <v>211.70142857142858</v>
      </c>
      <c r="BP76" s="26">
        <f t="shared" si="33"/>
        <v>213.56153846153848</v>
      </c>
      <c r="BQ76" s="26">
        <f t="shared" si="34"/>
        <v>205.55303030303031</v>
      </c>
      <c r="BR76" s="26">
        <f t="shared" si="48"/>
        <v>223.05533333333332</v>
      </c>
      <c r="BS76" s="26">
        <f t="shared" si="42"/>
        <v>221.12827280266674</v>
      </c>
      <c r="BT76" s="26">
        <f t="shared" si="43"/>
        <v>222.89962286019633</v>
      </c>
    </row>
    <row r="77" spans="1:72" x14ac:dyDescent="0.2">
      <c r="A77" s="74"/>
      <c r="B77" s="24">
        <v>44271</v>
      </c>
      <c r="C77" s="25">
        <v>215.81</v>
      </c>
      <c r="D77" s="26">
        <f t="shared" si="44"/>
        <v>220.87</v>
      </c>
      <c r="E77" s="26">
        <f t="shared" si="46"/>
        <v>222.72800000000001</v>
      </c>
      <c r="F77" s="26">
        <f t="shared" si="49"/>
        <v>214.62428571428569</v>
      </c>
      <c r="G77" s="26">
        <f t="shared" si="20"/>
        <v>214.66846153846154</v>
      </c>
      <c r="H77" s="26">
        <f t="shared" si="31"/>
        <v>205.71424242424246</v>
      </c>
      <c r="I77" s="26">
        <f t="shared" si="47"/>
        <v>221.65466666666669</v>
      </c>
      <c r="J77" s="26">
        <f t="shared" si="40"/>
        <v>219.00096368160004</v>
      </c>
      <c r="K77" s="26">
        <f t="shared" si="41"/>
        <v>218.64584914407851</v>
      </c>
      <c r="L77" s="26">
        <f t="shared" si="36"/>
        <v>221.31341390125243</v>
      </c>
      <c r="V77" s="26">
        <f t="shared" si="23"/>
        <v>214.60027669017788</v>
      </c>
      <c r="W77" s="26">
        <f t="shared" si="25"/>
        <v>214.48622870137308</v>
      </c>
      <c r="X77" s="26">
        <f t="shared" si="24"/>
        <v>0.11404798880479916</v>
      </c>
      <c r="Y77" s="26">
        <f t="shared" si="28"/>
        <v>0.5318848150934391</v>
      </c>
      <c r="Z77" s="26">
        <v>10782.82</v>
      </c>
      <c r="AA77" s="26">
        <f t="shared" si="37"/>
        <v>216.96125518526912</v>
      </c>
      <c r="AB77" s="27">
        <f t="shared" si="38"/>
        <v>5.3345775694783456E-3</v>
      </c>
      <c r="BK77" s="24">
        <v>44271</v>
      </c>
      <c r="BL77" s="25">
        <v>215.81</v>
      </c>
      <c r="BM77" s="26">
        <f t="shared" si="35"/>
        <v>220.87</v>
      </c>
      <c r="BN77" s="26">
        <f t="shared" si="39"/>
        <v>222.72800000000001</v>
      </c>
      <c r="BO77" s="26">
        <f t="shared" si="45"/>
        <v>214.62428571428569</v>
      </c>
      <c r="BP77" s="26">
        <f t="shared" ref="BP77:BP140" si="50">AVERAGE(BL65:BL77)</f>
        <v>214.66846153846154</v>
      </c>
      <c r="BQ77" s="26">
        <f t="shared" si="34"/>
        <v>205.71424242424246</v>
      </c>
      <c r="BR77" s="26">
        <f t="shared" si="48"/>
        <v>221.65466666666669</v>
      </c>
      <c r="BS77" s="26">
        <f t="shared" si="42"/>
        <v>219.00096368160004</v>
      </c>
      <c r="BT77" s="26">
        <f t="shared" si="43"/>
        <v>218.64584914407851</v>
      </c>
    </row>
    <row r="78" spans="1:72" x14ac:dyDescent="0.2">
      <c r="A78" s="74"/>
      <c r="B78" s="24">
        <v>44272</v>
      </c>
      <c r="C78" s="25">
        <v>195.78</v>
      </c>
      <c r="D78" s="26">
        <f t="shared" si="44"/>
        <v>211.14333333333332</v>
      </c>
      <c r="E78" s="26">
        <f t="shared" si="46"/>
        <v>218.17800000000003</v>
      </c>
      <c r="F78" s="26">
        <f t="shared" si="49"/>
        <v>215.95</v>
      </c>
      <c r="G78" s="26">
        <f t="shared" si="20"/>
        <v>212.97384615384618</v>
      </c>
      <c r="H78" s="26">
        <f t="shared" si="31"/>
        <v>205.31424242424242</v>
      </c>
      <c r="I78" s="26">
        <f t="shared" si="47"/>
        <v>212.672</v>
      </c>
      <c r="J78" s="26">
        <f t="shared" si="40"/>
        <v>209.71257820896002</v>
      </c>
      <c r="K78" s="26">
        <f t="shared" si="41"/>
        <v>204.92633965763139</v>
      </c>
      <c r="L78" s="26">
        <f t="shared" si="36"/>
        <v>221.29857523925233</v>
      </c>
      <c r="V78" s="26">
        <f t="shared" si="23"/>
        <v>211.70484950707359</v>
      </c>
      <c r="W78" s="26">
        <f t="shared" si="25"/>
        <v>213.20618212053509</v>
      </c>
      <c r="X78" s="26">
        <f t="shared" si="24"/>
        <v>-1.5013326134614999</v>
      </c>
      <c r="Y78" s="26">
        <f t="shared" si="28"/>
        <v>0.12524132938245125</v>
      </c>
      <c r="Z78" s="26">
        <v>10853.54</v>
      </c>
      <c r="AA78" s="26">
        <f t="shared" si="37"/>
        <v>216.99239103464456</v>
      </c>
      <c r="AB78" s="27">
        <f t="shared" si="38"/>
        <v>0.10834810008501662</v>
      </c>
      <c r="BK78" s="24">
        <v>44272</v>
      </c>
      <c r="BL78" s="25">
        <v>195.78</v>
      </c>
      <c r="BM78" s="26">
        <f t="shared" si="35"/>
        <v>211.14333333333332</v>
      </c>
      <c r="BN78" s="26">
        <f t="shared" si="39"/>
        <v>218.17800000000003</v>
      </c>
      <c r="BO78" s="26">
        <f t="shared" si="45"/>
        <v>215.95</v>
      </c>
      <c r="BP78" s="26">
        <f t="shared" si="50"/>
        <v>212.97384615384618</v>
      </c>
      <c r="BQ78" s="26">
        <f t="shared" si="34"/>
        <v>205.31424242424242</v>
      </c>
      <c r="BR78" s="26">
        <f t="shared" si="48"/>
        <v>212.672</v>
      </c>
      <c r="BS78" s="26">
        <f t="shared" si="42"/>
        <v>209.71257820896002</v>
      </c>
      <c r="BT78" s="26">
        <f t="shared" si="43"/>
        <v>204.92633965763139</v>
      </c>
    </row>
    <row r="79" spans="1:72" x14ac:dyDescent="0.2">
      <c r="A79" s="74"/>
      <c r="B79" s="24">
        <v>44273</v>
      </c>
      <c r="C79" s="25">
        <v>182.89</v>
      </c>
      <c r="D79" s="26">
        <f t="shared" si="44"/>
        <v>198.16</v>
      </c>
      <c r="E79" s="26">
        <f t="shared" si="46"/>
        <v>208.256</v>
      </c>
      <c r="F79" s="26">
        <f t="shared" si="49"/>
        <v>213.18714285714285</v>
      </c>
      <c r="G79" s="26">
        <f t="shared" si="20"/>
        <v>209.91230769230771</v>
      </c>
      <c r="H79" s="26">
        <f t="shared" si="31"/>
        <v>205.09484848484851</v>
      </c>
      <c r="I79" s="26">
        <f t="shared" si="47"/>
        <v>200.90933333333334</v>
      </c>
      <c r="J79" s="26">
        <f t="shared" si="40"/>
        <v>198.983546925376</v>
      </c>
      <c r="K79" s="26">
        <f t="shared" si="41"/>
        <v>191.70453586305257</v>
      </c>
      <c r="L79" s="26">
        <f t="shared" si="36"/>
        <v>221.28373657725223</v>
      </c>
      <c r="V79" s="26">
        <f t="shared" si="23"/>
        <v>207.27179573675457</v>
      </c>
      <c r="W79" s="26">
        <f t="shared" si="25"/>
        <v>209.57041621025331</v>
      </c>
      <c r="X79" s="26">
        <f t="shared" si="24"/>
        <v>-2.2986204734987439</v>
      </c>
      <c r="Y79" s="26">
        <f t="shared" si="28"/>
        <v>-0.35953103119378776</v>
      </c>
      <c r="Z79" s="26">
        <v>11786.43</v>
      </c>
      <c r="AA79" s="26">
        <f t="shared" si="37"/>
        <v>217.40311392101108</v>
      </c>
      <c r="AB79" s="27">
        <f t="shared" si="38"/>
        <v>0.18870968298436819</v>
      </c>
      <c r="BK79" s="24">
        <v>44273</v>
      </c>
      <c r="BL79" s="25">
        <v>182.89</v>
      </c>
      <c r="BM79" s="26">
        <f t="shared" si="35"/>
        <v>198.16</v>
      </c>
      <c r="BN79" s="26">
        <f t="shared" si="39"/>
        <v>208.256</v>
      </c>
      <c r="BO79" s="26">
        <f t="shared" si="45"/>
        <v>213.18714285714285</v>
      </c>
      <c r="BP79" s="26">
        <f t="shared" si="50"/>
        <v>209.91230769230771</v>
      </c>
      <c r="BQ79" s="26">
        <f t="shared" si="34"/>
        <v>205.09484848484851</v>
      </c>
      <c r="BR79" s="26">
        <f t="shared" si="48"/>
        <v>200.90933333333334</v>
      </c>
      <c r="BS79" s="26">
        <f t="shared" si="42"/>
        <v>198.983546925376</v>
      </c>
      <c r="BT79" s="26">
        <f t="shared" si="43"/>
        <v>191.70453586305257</v>
      </c>
    </row>
    <row r="80" spans="1:72" x14ac:dyDescent="0.2">
      <c r="A80" s="74"/>
      <c r="B80" s="24">
        <v>44274</v>
      </c>
      <c r="C80" s="25">
        <v>216.57</v>
      </c>
      <c r="D80" s="26">
        <f t="shared" si="44"/>
        <v>198.41333333333333</v>
      </c>
      <c r="E80" s="26">
        <f t="shared" si="46"/>
        <v>206.57799999999997</v>
      </c>
      <c r="F80" s="26">
        <f t="shared" si="49"/>
        <v>212.90714285714287</v>
      </c>
      <c r="G80" s="26">
        <f t="shared" si="20"/>
        <v>210.47846153846154</v>
      </c>
      <c r="H80" s="26">
        <f t="shared" si="31"/>
        <v>205.95333333333335</v>
      </c>
      <c r="I80" s="26">
        <f t="shared" si="47"/>
        <v>203.68066666666667</v>
      </c>
      <c r="J80" s="26">
        <f t="shared" si="40"/>
        <v>206.01812815522561</v>
      </c>
      <c r="K80" s="26">
        <f t="shared" si="41"/>
        <v>206.62381434522101</v>
      </c>
      <c r="L80" s="26">
        <f t="shared" si="36"/>
        <v>221.26889791525215</v>
      </c>
      <c r="V80" s="26">
        <f t="shared" si="23"/>
        <v>208.7022887003308</v>
      </c>
      <c r="W80" s="26">
        <f t="shared" si="25"/>
        <v>207.96055160810607</v>
      </c>
      <c r="X80" s="26">
        <f t="shared" si="24"/>
        <v>0.74173709222472439</v>
      </c>
      <c r="Y80" s="26">
        <f t="shared" si="28"/>
        <v>-0.13927740651008533</v>
      </c>
      <c r="Z80" s="26">
        <v>12377.87</v>
      </c>
      <c r="AA80" s="26">
        <f t="shared" si="37"/>
        <v>217.66350683326507</v>
      </c>
      <c r="AB80" s="27">
        <f t="shared" si="38"/>
        <v>5.049207338343637E-3</v>
      </c>
      <c r="BK80" s="24">
        <v>44274</v>
      </c>
      <c r="BL80" s="25">
        <v>216.57</v>
      </c>
      <c r="BM80" s="26">
        <f t="shared" si="35"/>
        <v>198.41333333333333</v>
      </c>
      <c r="BN80" s="26">
        <f t="shared" si="39"/>
        <v>206.57799999999997</v>
      </c>
      <c r="BO80" s="26">
        <f t="shared" si="45"/>
        <v>212.90714285714287</v>
      </c>
      <c r="BP80" s="26">
        <f t="shared" si="50"/>
        <v>210.47846153846154</v>
      </c>
      <c r="BQ80" s="26">
        <f t="shared" si="34"/>
        <v>205.95333333333335</v>
      </c>
      <c r="BR80" s="26">
        <f t="shared" si="48"/>
        <v>203.68066666666667</v>
      </c>
      <c r="BS80" s="26">
        <f t="shared" si="42"/>
        <v>206.01812815522561</v>
      </c>
      <c r="BT80" s="26">
        <f t="shared" si="43"/>
        <v>206.62381434522101</v>
      </c>
    </row>
    <row r="81" spans="1:72" x14ac:dyDescent="0.2">
      <c r="A81" s="74"/>
      <c r="B81" s="24">
        <v>44275</v>
      </c>
      <c r="C81" s="25">
        <v>206</v>
      </c>
      <c r="D81" s="26">
        <f t="shared" si="44"/>
        <v>201.82000000000002</v>
      </c>
      <c r="E81" s="26">
        <f t="shared" si="46"/>
        <v>203.41</v>
      </c>
      <c r="F81" s="26">
        <f t="shared" si="49"/>
        <v>209.12142857142857</v>
      </c>
      <c r="G81" s="26">
        <f t="shared" ref="G81:G144" si="51">AVERAGE(C69:C81)</f>
        <v>209.36538461538461</v>
      </c>
      <c r="H81" s="26">
        <f t="shared" si="31"/>
        <v>206.33848484848485</v>
      </c>
      <c r="I81" s="26">
        <f t="shared" si="47"/>
        <v>203.48799999999997</v>
      </c>
      <c r="J81" s="26">
        <f t="shared" si="40"/>
        <v>206.01087689313536</v>
      </c>
      <c r="K81" s="26">
        <f t="shared" si="41"/>
        <v>206.24952573808841</v>
      </c>
      <c r="L81" s="26">
        <f t="shared" si="36"/>
        <v>221.25405925325205</v>
      </c>
      <c r="V81" s="26">
        <f t="shared" ref="V81:V144" si="52">C81*(2/(12+1))+V80*(1-(2/(12+1)))</f>
        <v>208.28655197720298</v>
      </c>
      <c r="W81" s="26">
        <f t="shared" si="25"/>
        <v>208.50211916697296</v>
      </c>
      <c r="X81" s="26">
        <f t="shared" si="24"/>
        <v>-0.21556718976998468</v>
      </c>
      <c r="Y81" s="26">
        <f t="shared" si="28"/>
        <v>-0.1545353631620652</v>
      </c>
      <c r="Z81" s="26">
        <v>7201.8</v>
      </c>
      <c r="AA81" s="26">
        <f t="shared" si="37"/>
        <v>215.38464178976022</v>
      </c>
      <c r="AB81" s="27">
        <f t="shared" si="38"/>
        <v>4.5556513542525358E-2</v>
      </c>
      <c r="BK81" s="24">
        <v>44275</v>
      </c>
      <c r="BL81" s="25">
        <v>206</v>
      </c>
      <c r="BM81" s="26">
        <f t="shared" si="35"/>
        <v>201.82000000000002</v>
      </c>
      <c r="BN81" s="26">
        <f t="shared" si="39"/>
        <v>203.41</v>
      </c>
      <c r="BO81" s="26">
        <f t="shared" si="45"/>
        <v>209.12142857142857</v>
      </c>
      <c r="BP81" s="26">
        <f t="shared" si="50"/>
        <v>209.36538461538461</v>
      </c>
      <c r="BQ81" s="26">
        <f t="shared" si="34"/>
        <v>206.33848484848485</v>
      </c>
      <c r="BR81" s="26">
        <f t="shared" si="48"/>
        <v>203.48799999999997</v>
      </c>
      <c r="BS81" s="26">
        <f t="shared" si="42"/>
        <v>206.01087689313536</v>
      </c>
      <c r="BT81" s="26">
        <f t="shared" si="43"/>
        <v>206.24952573808841</v>
      </c>
    </row>
    <row r="82" spans="1:72" x14ac:dyDescent="0.2">
      <c r="A82" s="74"/>
      <c r="B82" s="24">
        <v>44276</v>
      </c>
      <c r="C82" s="25">
        <v>235.05</v>
      </c>
      <c r="D82" s="26">
        <f t="shared" si="44"/>
        <v>219.20666666666668</v>
      </c>
      <c r="E82" s="26">
        <f t="shared" si="46"/>
        <v>207.25799999999998</v>
      </c>
      <c r="F82" s="26">
        <f t="shared" si="49"/>
        <v>210.56285714285713</v>
      </c>
      <c r="G82" s="26">
        <f t="shared" si="51"/>
        <v>210.30846153846156</v>
      </c>
      <c r="H82" s="26">
        <f t="shared" si="31"/>
        <v>207.4878787878788</v>
      </c>
      <c r="I82" s="26">
        <f t="shared" si="47"/>
        <v>214.03466666666665</v>
      </c>
      <c r="J82" s="26">
        <f t="shared" si="40"/>
        <v>217.62652613588122</v>
      </c>
      <c r="K82" s="26">
        <f t="shared" si="41"/>
        <v>223.52981029523536</v>
      </c>
      <c r="L82" s="26">
        <f t="shared" si="36"/>
        <v>221.23922059125195</v>
      </c>
      <c r="V82" s="26">
        <f t="shared" si="52"/>
        <v>212.40400551917176</v>
      </c>
      <c r="W82" s="26">
        <f t="shared" si="25"/>
        <v>210.26902960852129</v>
      </c>
      <c r="X82" s="26">
        <f t="shared" si="24"/>
        <v>2.1349759106504678</v>
      </c>
      <c r="Y82" s="26">
        <f t="shared" si="28"/>
        <v>0.30336689160044139</v>
      </c>
      <c r="Z82" s="26">
        <v>9002.5499999999993</v>
      </c>
      <c r="AA82" s="26">
        <f t="shared" si="37"/>
        <v>216.17745684579529</v>
      </c>
      <c r="AB82" s="27">
        <f t="shared" si="38"/>
        <v>-8.0291610951732484E-2</v>
      </c>
      <c r="BK82" s="24">
        <v>44276</v>
      </c>
      <c r="BL82" s="25">
        <v>235.05</v>
      </c>
      <c r="BM82" s="26">
        <f t="shared" si="35"/>
        <v>219.20666666666668</v>
      </c>
      <c r="BN82" s="26">
        <f t="shared" si="39"/>
        <v>207.25799999999998</v>
      </c>
      <c r="BO82" s="26">
        <f t="shared" si="45"/>
        <v>210.56285714285713</v>
      </c>
      <c r="BP82" s="26">
        <f t="shared" si="50"/>
        <v>210.30846153846156</v>
      </c>
      <c r="BQ82" s="26">
        <f t="shared" si="34"/>
        <v>207.4878787878788</v>
      </c>
      <c r="BR82" s="26">
        <f t="shared" si="48"/>
        <v>214.03466666666665</v>
      </c>
      <c r="BS82" s="26">
        <f t="shared" si="42"/>
        <v>217.62652613588122</v>
      </c>
      <c r="BT82" s="26">
        <f t="shared" si="43"/>
        <v>223.52981029523536</v>
      </c>
    </row>
    <row r="83" spans="1:72" x14ac:dyDescent="0.2">
      <c r="A83" s="74"/>
      <c r="B83" s="24">
        <v>44277</v>
      </c>
      <c r="C83" s="25">
        <v>222.45</v>
      </c>
      <c r="D83" s="26">
        <f t="shared" si="44"/>
        <v>221.16666666666666</v>
      </c>
      <c r="E83" s="26">
        <f t="shared" si="46"/>
        <v>212.59200000000001</v>
      </c>
      <c r="F83" s="26">
        <f t="shared" si="49"/>
        <v>210.65</v>
      </c>
      <c r="G83" s="26">
        <f t="shared" si="51"/>
        <v>212.39307692307693</v>
      </c>
      <c r="H83" s="26">
        <f t="shared" si="31"/>
        <v>207.84818181818181</v>
      </c>
      <c r="I83" s="26">
        <f t="shared" si="47"/>
        <v>219.09866666666665</v>
      </c>
      <c r="J83" s="26">
        <f t="shared" si="40"/>
        <v>219.55591568152875</v>
      </c>
      <c r="K83" s="26">
        <f t="shared" si="41"/>
        <v>222.88192411809416</v>
      </c>
      <c r="L83" s="26">
        <f t="shared" si="36"/>
        <v>221.22438192925188</v>
      </c>
      <c r="V83" s="26">
        <f t="shared" si="52"/>
        <v>213.94954313160687</v>
      </c>
      <c r="W83" s="26">
        <f t="shared" si="25"/>
        <v>213.14815325849236</v>
      </c>
      <c r="X83" s="26">
        <f t="shared" si="24"/>
        <v>0.80138987311451615</v>
      </c>
      <c r="Y83" s="26">
        <f t="shared" si="28"/>
        <v>0.40297148790325638</v>
      </c>
      <c r="Z83" s="26">
        <v>9588.81</v>
      </c>
      <c r="AA83" s="26">
        <f t="shared" si="37"/>
        <v>216.43556916274719</v>
      </c>
      <c r="AB83" s="27">
        <f t="shared" si="38"/>
        <v>-2.7037225611385943E-2</v>
      </c>
      <c r="BK83" s="24">
        <v>44277</v>
      </c>
      <c r="BL83" s="25">
        <v>222.45</v>
      </c>
      <c r="BM83" s="26">
        <f t="shared" si="35"/>
        <v>221.16666666666666</v>
      </c>
      <c r="BN83" s="26">
        <f t="shared" si="39"/>
        <v>212.59200000000001</v>
      </c>
      <c r="BO83" s="26">
        <f t="shared" si="45"/>
        <v>210.65</v>
      </c>
      <c r="BP83" s="26">
        <f t="shared" si="50"/>
        <v>212.39307692307693</v>
      </c>
      <c r="BQ83" s="26">
        <f t="shared" si="34"/>
        <v>207.84818181818181</v>
      </c>
      <c r="BR83" s="26">
        <f t="shared" si="48"/>
        <v>219.09866666666665</v>
      </c>
      <c r="BS83" s="26">
        <f t="shared" si="42"/>
        <v>219.55591568152875</v>
      </c>
      <c r="BT83" s="26">
        <f t="shared" si="43"/>
        <v>222.88192411809416</v>
      </c>
    </row>
    <row r="84" spans="1:72" x14ac:dyDescent="0.2">
      <c r="A84" s="74"/>
      <c r="B84" s="24">
        <v>44278</v>
      </c>
      <c r="C84" s="25">
        <v>223.72</v>
      </c>
      <c r="D84" s="26">
        <f t="shared" si="44"/>
        <v>227.07333333333335</v>
      </c>
      <c r="E84" s="26">
        <f t="shared" si="46"/>
        <v>220.75799999999998</v>
      </c>
      <c r="F84" s="26">
        <f t="shared" si="49"/>
        <v>211.78</v>
      </c>
      <c r="G84" s="26">
        <f t="shared" si="51"/>
        <v>215.25615384615381</v>
      </c>
      <c r="H84" s="26">
        <f t="shared" si="31"/>
        <v>208.38909090909092</v>
      </c>
      <c r="I84" s="26">
        <f t="shared" si="47"/>
        <v>222.80800000000002</v>
      </c>
      <c r="J84" s="26">
        <f t="shared" si="40"/>
        <v>221.22154940891724</v>
      </c>
      <c r="K84" s="26">
        <f t="shared" si="41"/>
        <v>223.38476964723768</v>
      </c>
      <c r="L84" s="26">
        <f t="shared" si="36"/>
        <v>221.20954326725177</v>
      </c>
      <c r="V84" s="26">
        <f t="shared" si="52"/>
        <v>215.4526903421289</v>
      </c>
      <c r="W84" s="26">
        <f t="shared" si="25"/>
        <v>214.67328067741377</v>
      </c>
      <c r="X84" s="26">
        <f t="shared" si="24"/>
        <v>0.77940966471513207</v>
      </c>
      <c r="Y84" s="26">
        <f t="shared" si="28"/>
        <v>0.47825912326563158</v>
      </c>
      <c r="Z84" s="26">
        <v>11012.24</v>
      </c>
      <c r="AA84" s="26">
        <f t="shared" si="37"/>
        <v>217.06226178260667</v>
      </c>
      <c r="AB84" s="27">
        <f t="shared" si="38"/>
        <v>-2.9759244669199582E-2</v>
      </c>
      <c r="BK84" s="24">
        <v>44278</v>
      </c>
      <c r="BL84" s="25">
        <v>223.72</v>
      </c>
      <c r="BM84" s="26">
        <f t="shared" si="35"/>
        <v>227.07333333333335</v>
      </c>
      <c r="BN84" s="26">
        <f t="shared" si="39"/>
        <v>220.75799999999998</v>
      </c>
      <c r="BO84" s="26">
        <f t="shared" si="45"/>
        <v>211.78</v>
      </c>
      <c r="BP84" s="26">
        <f t="shared" si="50"/>
        <v>215.25615384615381</v>
      </c>
      <c r="BQ84" s="26">
        <f t="shared" si="34"/>
        <v>208.38909090909092</v>
      </c>
      <c r="BR84" s="26">
        <f t="shared" si="48"/>
        <v>222.80800000000002</v>
      </c>
      <c r="BS84" s="26">
        <f t="shared" si="42"/>
        <v>221.22154940891724</v>
      </c>
      <c r="BT84" s="26">
        <f t="shared" si="43"/>
        <v>223.38476964723768</v>
      </c>
    </row>
    <row r="85" spans="1:72" x14ac:dyDescent="0.2">
      <c r="A85" s="74"/>
      <c r="B85" s="24">
        <v>44279</v>
      </c>
      <c r="C85" s="25">
        <v>222</v>
      </c>
      <c r="D85" s="26">
        <f t="shared" si="44"/>
        <v>222.72333333333333</v>
      </c>
      <c r="E85" s="26">
        <f t="shared" si="46"/>
        <v>221.84399999999999</v>
      </c>
      <c r="F85" s="26">
        <f t="shared" si="49"/>
        <v>215.52571428571429</v>
      </c>
      <c r="G85" s="26">
        <f t="shared" si="51"/>
        <v>216.77692307692303</v>
      </c>
      <c r="H85" s="26">
        <f t="shared" si="31"/>
        <v>209.41090909090912</v>
      </c>
      <c r="I85" s="26">
        <f t="shared" si="47"/>
        <v>223.22200000000001</v>
      </c>
      <c r="J85" s="26">
        <f t="shared" si="40"/>
        <v>221.53292964535035</v>
      </c>
      <c r="K85" s="26">
        <f t="shared" si="41"/>
        <v>222.55390785889506</v>
      </c>
      <c r="L85" s="26">
        <f t="shared" si="36"/>
        <v>221.19470460525167</v>
      </c>
      <c r="V85" s="26">
        <f t="shared" si="52"/>
        <v>216.45996875103216</v>
      </c>
      <c r="W85" s="26">
        <f t="shared" si="25"/>
        <v>215.93767624271197</v>
      </c>
      <c r="X85" s="26">
        <f t="shared" si="24"/>
        <v>0.52229250832019147</v>
      </c>
      <c r="Y85" s="26">
        <f t="shared" si="28"/>
        <v>0.48706580027654361</v>
      </c>
      <c r="Z85" s="26">
        <v>11876.36</v>
      </c>
      <c r="AA85" s="26">
        <f t="shared" si="37"/>
        <v>217.4427073448563</v>
      </c>
      <c r="AB85" s="27">
        <f t="shared" si="38"/>
        <v>-2.0528345293440081E-2</v>
      </c>
      <c r="BK85" s="24">
        <v>44279</v>
      </c>
      <c r="BL85" s="25">
        <v>222</v>
      </c>
      <c r="BM85" s="26">
        <f t="shared" si="35"/>
        <v>222.72333333333333</v>
      </c>
      <c r="BN85" s="26">
        <f t="shared" si="39"/>
        <v>221.84399999999999</v>
      </c>
      <c r="BO85" s="26">
        <f t="shared" si="45"/>
        <v>215.52571428571429</v>
      </c>
      <c r="BP85" s="26">
        <f t="shared" si="50"/>
        <v>216.77692307692303</v>
      </c>
      <c r="BQ85" s="26">
        <f t="shared" si="34"/>
        <v>209.41090909090912</v>
      </c>
      <c r="BR85" s="26">
        <f t="shared" si="48"/>
        <v>223.22200000000001</v>
      </c>
      <c r="BS85" s="26">
        <f t="shared" si="42"/>
        <v>221.53292964535035</v>
      </c>
      <c r="BT85" s="26">
        <f t="shared" si="43"/>
        <v>222.55390785889506</v>
      </c>
    </row>
    <row r="86" spans="1:72" x14ac:dyDescent="0.2">
      <c r="A86" s="74"/>
      <c r="B86" s="24">
        <v>44280</v>
      </c>
      <c r="C86" s="25">
        <v>209.71</v>
      </c>
      <c r="D86" s="26">
        <f t="shared" si="44"/>
        <v>218.47666666666669</v>
      </c>
      <c r="E86" s="26">
        <f t="shared" si="46"/>
        <v>222.58600000000001</v>
      </c>
      <c r="F86" s="26">
        <f t="shared" si="49"/>
        <v>219.35714285714286</v>
      </c>
      <c r="G86" s="26">
        <f t="shared" si="51"/>
        <v>216.09846153846152</v>
      </c>
      <c r="H86" s="26">
        <f t="shared" si="26"/>
        <v>209.97515151515154</v>
      </c>
      <c r="I86" s="26">
        <f t="shared" si="47"/>
        <v>219.17733333333337</v>
      </c>
      <c r="J86" s="26">
        <f t="shared" si="40"/>
        <v>216.80375778721023</v>
      </c>
      <c r="K86" s="26">
        <f t="shared" si="41"/>
        <v>214.84756314355803</v>
      </c>
      <c r="L86" s="26">
        <f t="shared" si="36"/>
        <v>221.1798659432516</v>
      </c>
      <c r="V86" s="26">
        <f t="shared" si="52"/>
        <v>215.42151202010416</v>
      </c>
      <c r="W86" s="26">
        <f t="shared" si="25"/>
        <v>215.95997106577053</v>
      </c>
      <c r="X86" s="26">
        <f t="shared" si="24"/>
        <v>-0.53845904566637159</v>
      </c>
      <c r="Y86" s="26">
        <f t="shared" si="28"/>
        <v>0.28196083108796061</v>
      </c>
      <c r="Z86" s="26">
        <v>11709.59</v>
      </c>
      <c r="AA86" s="26">
        <f t="shared" si="37"/>
        <v>217.36928362313202</v>
      </c>
      <c r="AB86" s="27">
        <f t="shared" si="38"/>
        <v>3.6523215979838881E-2</v>
      </c>
      <c r="BK86" s="24">
        <v>44280</v>
      </c>
      <c r="BL86" s="25">
        <v>209.71</v>
      </c>
      <c r="BM86" s="26">
        <f t="shared" si="35"/>
        <v>218.47666666666669</v>
      </c>
      <c r="BN86" s="26">
        <f t="shared" si="39"/>
        <v>222.58600000000001</v>
      </c>
      <c r="BO86" s="26">
        <f t="shared" si="45"/>
        <v>219.35714285714286</v>
      </c>
      <c r="BP86" s="26">
        <f t="shared" si="50"/>
        <v>216.09846153846152</v>
      </c>
      <c r="BQ86" s="26">
        <f t="shared" ref="BQ86:BQ149" si="53">AVERAGE(BL54:BL86)</f>
        <v>209.97515151515154</v>
      </c>
      <c r="BR86" s="26">
        <f t="shared" si="48"/>
        <v>219.17733333333337</v>
      </c>
      <c r="BS86" s="26">
        <f t="shared" si="42"/>
        <v>216.80375778721023</v>
      </c>
      <c r="BT86" s="26">
        <f t="shared" si="43"/>
        <v>214.84756314355803</v>
      </c>
    </row>
    <row r="87" spans="1:72" x14ac:dyDescent="0.2">
      <c r="A87" s="74"/>
      <c r="B87" s="24">
        <v>44281</v>
      </c>
      <c r="C87" s="25">
        <v>195.72</v>
      </c>
      <c r="D87" s="26">
        <f t="shared" si="44"/>
        <v>209.14333333333335</v>
      </c>
      <c r="E87" s="26">
        <f t="shared" si="46"/>
        <v>214.71999999999997</v>
      </c>
      <c r="F87" s="26">
        <f t="shared" si="49"/>
        <v>216.37857142857143</v>
      </c>
      <c r="G87" s="26">
        <f t="shared" si="51"/>
        <v>213.26923076923075</v>
      </c>
      <c r="H87" s="26">
        <f t="shared" si="26"/>
        <v>209.83030303030307</v>
      </c>
      <c r="I87" s="26">
        <f t="shared" si="47"/>
        <v>210.22200000000001</v>
      </c>
      <c r="J87" s="26">
        <f t="shared" si="40"/>
        <v>208.37025467232615</v>
      </c>
      <c r="K87" s="26">
        <f t="shared" si="41"/>
        <v>203.37102525742321</v>
      </c>
      <c r="L87" s="26">
        <f t="shared" si="36"/>
        <v>221.1650272812515</v>
      </c>
      <c r="V87" s="26">
        <f t="shared" si="52"/>
        <v>212.39051017085737</v>
      </c>
      <c r="W87" s="26">
        <f t="shared" si="25"/>
        <v>213.96214075935569</v>
      </c>
      <c r="X87" s="26">
        <f t="shared" si="24"/>
        <v>-1.5716305884983228</v>
      </c>
      <c r="Y87" s="26">
        <f t="shared" si="28"/>
        <v>-8.8757452829296063E-2</v>
      </c>
      <c r="Z87" s="26">
        <v>13403.39</v>
      </c>
      <c r="AA87" s="26">
        <f t="shared" si="37"/>
        <v>218.11501187075783</v>
      </c>
      <c r="AB87" s="27">
        <f t="shared" si="38"/>
        <v>0.11442372711402936</v>
      </c>
      <c r="BK87" s="24">
        <v>44281</v>
      </c>
      <c r="BL87" s="25">
        <v>195.72</v>
      </c>
      <c r="BM87" s="26">
        <f t="shared" si="35"/>
        <v>209.14333333333335</v>
      </c>
      <c r="BN87" s="26">
        <f t="shared" si="39"/>
        <v>214.71999999999997</v>
      </c>
      <c r="BO87" s="26">
        <f t="shared" si="45"/>
        <v>216.37857142857143</v>
      </c>
      <c r="BP87" s="26">
        <f t="shared" si="50"/>
        <v>213.26923076923075</v>
      </c>
      <c r="BQ87" s="26">
        <f t="shared" si="53"/>
        <v>209.83030303030307</v>
      </c>
      <c r="BR87" s="26">
        <f t="shared" si="48"/>
        <v>210.22200000000001</v>
      </c>
      <c r="BS87" s="26">
        <f t="shared" si="42"/>
        <v>208.37025467232615</v>
      </c>
      <c r="BT87" s="26">
        <f t="shared" si="43"/>
        <v>203.37102525742321</v>
      </c>
    </row>
    <row r="88" spans="1:72" x14ac:dyDescent="0.2">
      <c r="A88" s="74"/>
      <c r="B88" s="24">
        <v>44282</v>
      </c>
      <c r="C88" s="25">
        <v>178.14</v>
      </c>
      <c r="D88" s="26">
        <f t="shared" si="44"/>
        <v>194.52333333333331</v>
      </c>
      <c r="E88" s="26">
        <f t="shared" si="46"/>
        <v>205.858</v>
      </c>
      <c r="F88" s="26">
        <f t="shared" si="49"/>
        <v>212.39857142857142</v>
      </c>
      <c r="G88" s="26">
        <f t="shared" si="51"/>
        <v>209.66769230769225</v>
      </c>
      <c r="H88" s="26">
        <f t="shared" si="26"/>
        <v>208.75666666666669</v>
      </c>
      <c r="I88" s="26">
        <f t="shared" si="47"/>
        <v>198.02866666666665</v>
      </c>
      <c r="J88" s="26">
        <f t="shared" si="40"/>
        <v>196.2781528033957</v>
      </c>
      <c r="K88" s="26">
        <f t="shared" si="41"/>
        <v>188.23241010296928</v>
      </c>
      <c r="L88" s="26">
        <f t="shared" si="36"/>
        <v>221.1501886192514</v>
      </c>
      <c r="V88" s="26">
        <f t="shared" si="52"/>
        <v>207.12120091380237</v>
      </c>
      <c r="W88" s="26">
        <f t="shared" si="25"/>
        <v>209.85343534338645</v>
      </c>
      <c r="X88" s="26">
        <f t="shared" si="24"/>
        <v>-2.7322344295840821</v>
      </c>
      <c r="Y88" s="26">
        <f t="shared" si="28"/>
        <v>-0.61745284818025326</v>
      </c>
      <c r="Z88" s="26">
        <v>13588.83</v>
      </c>
      <c r="AA88" s="26">
        <f t="shared" si="37"/>
        <v>218.19665542149565</v>
      </c>
      <c r="AB88" s="27">
        <f t="shared" si="38"/>
        <v>0.22486053340909209</v>
      </c>
      <c r="BK88" s="24">
        <v>44282</v>
      </c>
      <c r="BL88" s="25">
        <v>178.14</v>
      </c>
      <c r="BM88" s="26">
        <f t="shared" si="35"/>
        <v>194.52333333333331</v>
      </c>
      <c r="BN88" s="26">
        <f t="shared" si="39"/>
        <v>205.858</v>
      </c>
      <c r="BO88" s="26">
        <f t="shared" si="45"/>
        <v>212.39857142857142</v>
      </c>
      <c r="BP88" s="26">
        <f t="shared" si="50"/>
        <v>209.66769230769225</v>
      </c>
      <c r="BQ88" s="26">
        <f t="shared" si="53"/>
        <v>208.75666666666669</v>
      </c>
      <c r="BR88" s="26">
        <f t="shared" si="48"/>
        <v>198.02866666666665</v>
      </c>
      <c r="BS88" s="26">
        <f t="shared" si="42"/>
        <v>196.2781528033957</v>
      </c>
      <c r="BT88" s="26">
        <f t="shared" si="43"/>
        <v>188.23241010296928</v>
      </c>
    </row>
    <row r="89" spans="1:72" x14ac:dyDescent="0.2">
      <c r="A89" s="74"/>
      <c r="B89" s="24">
        <v>44283</v>
      </c>
      <c r="C89" s="25">
        <v>216.24</v>
      </c>
      <c r="D89" s="26">
        <f t="shared" si="44"/>
        <v>196.70000000000002</v>
      </c>
      <c r="E89" s="26">
        <f t="shared" si="46"/>
        <v>204.36200000000002</v>
      </c>
      <c r="F89" s="26">
        <f t="shared" si="49"/>
        <v>209.71142857142854</v>
      </c>
      <c r="G89" s="26">
        <f t="shared" si="51"/>
        <v>209.23692307692306</v>
      </c>
      <c r="H89" s="26">
        <f t="shared" si="26"/>
        <v>209.04848484848489</v>
      </c>
      <c r="I89" s="26">
        <f t="shared" si="47"/>
        <v>201.48933333333335</v>
      </c>
      <c r="J89" s="26">
        <f t="shared" si="40"/>
        <v>204.26289168203743</v>
      </c>
      <c r="K89" s="26">
        <f t="shared" si="41"/>
        <v>205.03696404118773</v>
      </c>
      <c r="L89" s="26">
        <f t="shared" si="36"/>
        <v>221.13534995725132</v>
      </c>
      <c r="V89" s="26">
        <f t="shared" si="52"/>
        <v>208.52409308090969</v>
      </c>
      <c r="W89" s="26">
        <f t="shared" si="25"/>
        <v>207.79666751277998</v>
      </c>
      <c r="X89" s="26">
        <f t="shared" si="24"/>
        <v>0.7274255681297177</v>
      </c>
      <c r="Y89" s="26">
        <f t="shared" si="28"/>
        <v>-0.34847716491825909</v>
      </c>
      <c r="Z89" s="26">
        <v>13480.11</v>
      </c>
      <c r="AA89" s="26">
        <f t="shared" si="37"/>
        <v>218.14878933631331</v>
      </c>
      <c r="AB89" s="27">
        <f t="shared" si="38"/>
        <v>8.8271796906830586E-3</v>
      </c>
      <c r="BK89" s="24">
        <v>44283</v>
      </c>
      <c r="BL89" s="25">
        <v>216.24</v>
      </c>
      <c r="BM89" s="26">
        <f t="shared" si="35"/>
        <v>196.70000000000002</v>
      </c>
      <c r="BN89" s="26">
        <f t="shared" si="39"/>
        <v>204.36200000000002</v>
      </c>
      <c r="BO89" s="26">
        <f t="shared" si="45"/>
        <v>209.71142857142854</v>
      </c>
      <c r="BP89" s="26">
        <f t="shared" si="50"/>
        <v>209.23692307692306</v>
      </c>
      <c r="BQ89" s="26">
        <f t="shared" si="53"/>
        <v>209.04848484848489</v>
      </c>
      <c r="BR89" s="26">
        <f t="shared" si="48"/>
        <v>201.48933333333335</v>
      </c>
      <c r="BS89" s="26">
        <f t="shared" si="42"/>
        <v>204.26289168203743</v>
      </c>
      <c r="BT89" s="26">
        <f t="shared" si="43"/>
        <v>205.03696404118773</v>
      </c>
    </row>
    <row r="90" spans="1:72" x14ac:dyDescent="0.2">
      <c r="A90" s="74"/>
      <c r="B90" s="24">
        <v>44284</v>
      </c>
      <c r="C90" s="25">
        <v>206.76</v>
      </c>
      <c r="D90" s="26">
        <f t="shared" si="44"/>
        <v>200.38</v>
      </c>
      <c r="E90" s="26">
        <f t="shared" si="46"/>
        <v>201.31399999999999</v>
      </c>
      <c r="F90" s="26">
        <f t="shared" si="49"/>
        <v>207.47</v>
      </c>
      <c r="G90" s="26">
        <f t="shared" si="51"/>
        <v>208.5407692307692</v>
      </c>
      <c r="H90" s="26">
        <f t="shared" si="26"/>
        <v>209.73818181818183</v>
      </c>
      <c r="I90" s="26">
        <f t="shared" si="47"/>
        <v>202.28866666666667</v>
      </c>
      <c r="J90" s="26">
        <f t="shared" si="40"/>
        <v>205.26173500922246</v>
      </c>
      <c r="K90" s="26">
        <f t="shared" si="41"/>
        <v>206.07078561647506</v>
      </c>
      <c r="L90" s="26">
        <f t="shared" si="36"/>
        <v>221.12051129525122</v>
      </c>
      <c r="V90" s="26">
        <f t="shared" si="52"/>
        <v>208.25269414538511</v>
      </c>
      <c r="W90" s="26">
        <f t="shared" si="25"/>
        <v>208.39341951936083</v>
      </c>
      <c r="X90" s="26">
        <f t="shared" si="24"/>
        <v>-0.1407253739757266</v>
      </c>
      <c r="Y90" s="26">
        <f t="shared" si="28"/>
        <v>-0.30692680672975259</v>
      </c>
      <c r="Z90" s="26">
        <v>13736.48</v>
      </c>
      <c r="AA90" s="26">
        <f t="shared" si="37"/>
        <v>218.26166119299285</v>
      </c>
      <c r="AB90" s="27">
        <f t="shared" si="38"/>
        <v>5.5628076963594779E-2</v>
      </c>
      <c r="BK90" s="24">
        <v>44284</v>
      </c>
      <c r="BL90" s="25">
        <v>206.76</v>
      </c>
      <c r="BM90" s="26">
        <f t="shared" si="35"/>
        <v>200.38</v>
      </c>
      <c r="BN90" s="26">
        <f t="shared" si="39"/>
        <v>201.31399999999999</v>
      </c>
      <c r="BO90" s="26">
        <f t="shared" si="45"/>
        <v>207.47</v>
      </c>
      <c r="BP90" s="26">
        <f t="shared" si="50"/>
        <v>208.5407692307692</v>
      </c>
      <c r="BQ90" s="26">
        <f t="shared" si="53"/>
        <v>209.73818181818183</v>
      </c>
      <c r="BR90" s="26">
        <f t="shared" si="48"/>
        <v>202.28866666666667</v>
      </c>
      <c r="BS90" s="26">
        <f t="shared" si="42"/>
        <v>205.26173500922246</v>
      </c>
      <c r="BT90" s="26">
        <f t="shared" si="43"/>
        <v>206.07078561647506</v>
      </c>
    </row>
    <row r="91" spans="1:72" x14ac:dyDescent="0.2">
      <c r="A91" s="74"/>
      <c r="B91" s="24">
        <v>44285</v>
      </c>
      <c r="C91" s="25">
        <v>234.9</v>
      </c>
      <c r="D91" s="26">
        <f t="shared" si="44"/>
        <v>219.29999999999998</v>
      </c>
      <c r="E91" s="26">
        <f t="shared" si="46"/>
        <v>206.352</v>
      </c>
      <c r="F91" s="26">
        <f t="shared" si="49"/>
        <v>209.0671428571429</v>
      </c>
      <c r="G91" s="26">
        <f t="shared" si="51"/>
        <v>211.55</v>
      </c>
      <c r="H91" s="26">
        <f t="shared" si="26"/>
        <v>210.89181818181819</v>
      </c>
      <c r="I91" s="26">
        <f t="shared" si="47"/>
        <v>213.48399999999998</v>
      </c>
      <c r="J91" s="26">
        <f t="shared" si="40"/>
        <v>217.11704100553348</v>
      </c>
      <c r="K91" s="26">
        <f t="shared" si="41"/>
        <v>223.36831424659005</v>
      </c>
      <c r="L91" s="26">
        <f t="shared" si="36"/>
        <v>221.10567263325112</v>
      </c>
      <c r="V91" s="26">
        <f t="shared" si="52"/>
        <v>212.35227966147971</v>
      </c>
      <c r="W91" s="26">
        <f t="shared" si="25"/>
        <v>210.22656865313436</v>
      </c>
      <c r="X91" s="26">
        <f t="shared" si="24"/>
        <v>2.1257110083453483</v>
      </c>
      <c r="Y91" s="26">
        <f t="shared" si="28"/>
        <v>0.17960075628526762</v>
      </c>
      <c r="Z91" s="26">
        <v>14522.38</v>
      </c>
      <c r="AA91" s="26">
        <f t="shared" si="37"/>
        <v>218.607668885642</v>
      </c>
      <c r="AB91" s="27">
        <f t="shared" si="38"/>
        <v>-6.9358582862315901E-2</v>
      </c>
      <c r="BK91" s="24">
        <v>44285</v>
      </c>
      <c r="BL91" s="25">
        <v>234.9</v>
      </c>
      <c r="BM91" s="26">
        <f t="shared" si="35"/>
        <v>219.29999999999998</v>
      </c>
      <c r="BN91" s="26">
        <f t="shared" si="39"/>
        <v>206.352</v>
      </c>
      <c r="BO91" s="26">
        <f t="shared" si="45"/>
        <v>209.0671428571429</v>
      </c>
      <c r="BP91" s="26">
        <f t="shared" si="50"/>
        <v>211.55</v>
      </c>
      <c r="BQ91" s="26">
        <f t="shared" si="53"/>
        <v>210.89181818181819</v>
      </c>
      <c r="BR91" s="26">
        <f t="shared" si="48"/>
        <v>213.48399999999998</v>
      </c>
      <c r="BS91" s="26">
        <f t="shared" si="42"/>
        <v>217.11704100553348</v>
      </c>
      <c r="BT91" s="26">
        <f t="shared" si="43"/>
        <v>223.36831424659005</v>
      </c>
    </row>
    <row r="92" spans="1:72" x14ac:dyDescent="0.2">
      <c r="A92" s="75"/>
      <c r="B92" s="24">
        <v>44286</v>
      </c>
      <c r="C92" s="25">
        <v>206.19</v>
      </c>
      <c r="D92" s="26">
        <f t="shared" si="44"/>
        <v>215.94999999999996</v>
      </c>
      <c r="E92" s="26">
        <f t="shared" si="46"/>
        <v>208.446</v>
      </c>
      <c r="F92" s="26">
        <f t="shared" si="49"/>
        <v>206.80857142857144</v>
      </c>
      <c r="G92" s="26">
        <f t="shared" si="51"/>
        <v>213.34230769230774</v>
      </c>
      <c r="H92" s="26">
        <f t="shared" si="26"/>
        <v>210.45636363636365</v>
      </c>
      <c r="I92" s="26">
        <f t="shared" si="47"/>
        <v>213.42999999999998</v>
      </c>
      <c r="J92" s="26">
        <f t="shared" si="40"/>
        <v>212.74622460332009</v>
      </c>
      <c r="K92" s="26">
        <f t="shared" si="41"/>
        <v>213.06132569863604</v>
      </c>
      <c r="L92" s="26">
        <f t="shared" si="36"/>
        <v>221.09083397125104</v>
      </c>
      <c r="V92" s="26">
        <f t="shared" si="52"/>
        <v>211.40423663663668</v>
      </c>
      <c r="W92" s="26">
        <f t="shared" si="25"/>
        <v>211.89581450137013</v>
      </c>
      <c r="X92" s="26">
        <f t="shared" si="24"/>
        <v>-0.49157786473344345</v>
      </c>
      <c r="Y92" s="26">
        <f t="shared" si="28"/>
        <v>4.5365032081525397E-2</v>
      </c>
      <c r="Z92" s="26">
        <v>15309.38</v>
      </c>
      <c r="AA92" s="26">
        <f t="shared" si="37"/>
        <v>218.95416087459083</v>
      </c>
      <c r="AB92" s="27">
        <f t="shared" si="38"/>
        <v>6.1904849287505836E-2</v>
      </c>
      <c r="BK92" s="24">
        <v>44286</v>
      </c>
      <c r="BL92" s="25">
        <v>206.19</v>
      </c>
      <c r="BM92" s="26">
        <f t="shared" si="35"/>
        <v>215.94999999999996</v>
      </c>
      <c r="BN92" s="26">
        <f t="shared" si="39"/>
        <v>208.446</v>
      </c>
      <c r="BO92" s="26">
        <f t="shared" si="45"/>
        <v>206.80857142857144</v>
      </c>
      <c r="BP92" s="26">
        <f t="shared" si="50"/>
        <v>213.34230769230774</v>
      </c>
      <c r="BQ92" s="26">
        <f t="shared" si="53"/>
        <v>210.45636363636365</v>
      </c>
      <c r="BR92" s="26">
        <f t="shared" si="48"/>
        <v>213.42999999999998</v>
      </c>
      <c r="BS92" s="26">
        <f t="shared" si="42"/>
        <v>212.74622460332009</v>
      </c>
      <c r="BT92" s="26">
        <f t="shared" si="43"/>
        <v>213.06132569863604</v>
      </c>
    </row>
    <row r="93" spans="1:72" x14ac:dyDescent="0.2">
      <c r="A93" s="61">
        <v>44287</v>
      </c>
      <c r="B93" s="24">
        <v>44287</v>
      </c>
      <c r="C93" s="25">
        <v>226.21</v>
      </c>
      <c r="D93" s="26">
        <f t="shared" si="44"/>
        <v>222.43333333333337</v>
      </c>
      <c r="E93" s="26">
        <f t="shared" si="46"/>
        <v>218.06</v>
      </c>
      <c r="F93" s="26">
        <f t="shared" si="49"/>
        <v>209.1657142857143</v>
      </c>
      <c r="G93" s="26">
        <f t="shared" si="51"/>
        <v>214.08384615384617</v>
      </c>
      <c r="H93" s="26">
        <f t="shared" si="26"/>
        <v>210.86333333333334</v>
      </c>
      <c r="I93" s="26">
        <f t="shared" si="47"/>
        <v>219.35133333333337</v>
      </c>
      <c r="J93" s="26">
        <f t="shared" si="40"/>
        <v>218.13173476199205</v>
      </c>
      <c r="K93" s="26">
        <f t="shared" si="41"/>
        <v>220.95053027945443</v>
      </c>
      <c r="L93" s="26">
        <f t="shared" si="36"/>
        <v>221.07599530925094</v>
      </c>
      <c r="V93" s="26">
        <f t="shared" si="52"/>
        <v>213.68204638484642</v>
      </c>
      <c r="W93" s="26">
        <f t="shared" si="25"/>
        <v>212.50095984873766</v>
      </c>
      <c r="X93" s="26">
        <f t="shared" si="24"/>
        <v>1.1810865361087508</v>
      </c>
      <c r="Y93" s="26">
        <f t="shared" si="28"/>
        <v>0.27250933288697049</v>
      </c>
      <c r="Z93" s="26">
        <v>14566.7</v>
      </c>
      <c r="AA93" s="26">
        <f t="shared" si="37"/>
        <v>218.62718162382524</v>
      </c>
      <c r="AB93" s="27">
        <f t="shared" si="38"/>
        <v>-3.35211457326147E-2</v>
      </c>
      <c r="BK93" s="24">
        <v>44287</v>
      </c>
      <c r="BL93" s="25">
        <v>226.21</v>
      </c>
      <c r="BM93" s="26">
        <f t="shared" si="35"/>
        <v>222.43333333333337</v>
      </c>
      <c r="BN93" s="26">
        <f t="shared" si="39"/>
        <v>218.06</v>
      </c>
      <c r="BO93" s="26">
        <f t="shared" si="45"/>
        <v>209.1657142857143</v>
      </c>
      <c r="BP93" s="26">
        <f t="shared" si="50"/>
        <v>214.08384615384617</v>
      </c>
      <c r="BQ93" s="26">
        <f t="shared" si="53"/>
        <v>210.86333333333334</v>
      </c>
      <c r="BR93" s="26">
        <f t="shared" si="48"/>
        <v>219.35133333333337</v>
      </c>
      <c r="BS93" s="26">
        <f t="shared" si="42"/>
        <v>218.13173476199205</v>
      </c>
      <c r="BT93" s="26">
        <f t="shared" si="43"/>
        <v>220.95053027945443</v>
      </c>
    </row>
    <row r="94" spans="1:72" x14ac:dyDescent="0.2">
      <c r="A94" s="62"/>
      <c r="B94" s="24">
        <v>44288</v>
      </c>
      <c r="C94" s="25">
        <v>206.73</v>
      </c>
      <c r="D94" s="26">
        <f t="shared" si="44"/>
        <v>213.04333333333332</v>
      </c>
      <c r="E94" s="26">
        <f t="shared" si="46"/>
        <v>216.15799999999999</v>
      </c>
      <c r="F94" s="26">
        <f t="shared" si="49"/>
        <v>210.73857142857145</v>
      </c>
      <c r="G94" s="26">
        <f t="shared" si="51"/>
        <v>214.14000000000001</v>
      </c>
      <c r="H94" s="26">
        <f t="shared" si="26"/>
        <v>211.28696969696969</v>
      </c>
      <c r="I94" s="26">
        <f t="shared" si="47"/>
        <v>215.57466666666667</v>
      </c>
      <c r="J94" s="26">
        <f t="shared" si="40"/>
        <v>213.57104085719524</v>
      </c>
      <c r="K94" s="26">
        <f t="shared" si="41"/>
        <v>212.41821211178177</v>
      </c>
      <c r="L94" s="26">
        <f t="shared" si="36"/>
        <v>221.06115664725084</v>
      </c>
      <c r="V94" s="26">
        <f t="shared" si="52"/>
        <v>212.61250078717774</v>
      </c>
      <c r="W94" s="26">
        <f t="shared" si="25"/>
        <v>213.16707998596891</v>
      </c>
      <c r="X94" s="26">
        <f t="shared" ref="X94:X157" si="54">V94-W94</f>
        <v>-0.55457919879117412</v>
      </c>
      <c r="Y94" s="26">
        <f t="shared" si="28"/>
        <v>0.10709162655134158</v>
      </c>
      <c r="Z94" s="26">
        <v>15595.92</v>
      </c>
      <c r="AA94" s="26">
        <f t="shared" si="37"/>
        <v>219.08031565796236</v>
      </c>
      <c r="AB94" s="27">
        <f t="shared" si="38"/>
        <v>5.9741284080502922E-2</v>
      </c>
      <c r="BK94" s="24">
        <v>44288</v>
      </c>
      <c r="BL94" s="25">
        <v>206.73</v>
      </c>
      <c r="BM94" s="26">
        <f t="shared" si="35"/>
        <v>213.04333333333332</v>
      </c>
      <c r="BN94" s="26">
        <f t="shared" si="39"/>
        <v>216.15799999999999</v>
      </c>
      <c r="BO94" s="26">
        <f t="shared" si="45"/>
        <v>210.73857142857145</v>
      </c>
      <c r="BP94" s="26">
        <f t="shared" si="50"/>
        <v>214.14000000000001</v>
      </c>
      <c r="BQ94" s="26">
        <f t="shared" si="53"/>
        <v>211.28696969696969</v>
      </c>
      <c r="BR94" s="26">
        <f t="shared" si="48"/>
        <v>215.57466666666667</v>
      </c>
      <c r="BS94" s="26">
        <f t="shared" si="42"/>
        <v>213.57104085719524</v>
      </c>
      <c r="BT94" s="26">
        <f t="shared" si="43"/>
        <v>212.41821211178177</v>
      </c>
    </row>
    <row r="95" spans="1:72" x14ac:dyDescent="0.2">
      <c r="A95" s="62"/>
      <c r="B95" s="24">
        <v>44289</v>
      </c>
      <c r="C95" s="25">
        <v>193.82</v>
      </c>
      <c r="D95" s="26">
        <f t="shared" si="44"/>
        <v>208.92</v>
      </c>
      <c r="E95" s="26">
        <f t="shared" si="46"/>
        <v>213.57000000000002</v>
      </c>
      <c r="F95" s="26">
        <f t="shared" si="49"/>
        <v>212.97857142857143</v>
      </c>
      <c r="G95" s="26">
        <f t="shared" si="51"/>
        <v>210.96846153846155</v>
      </c>
      <c r="H95" s="26">
        <f t="shared" si="26"/>
        <v>211.31484848484845</v>
      </c>
      <c r="I95" s="26">
        <f t="shared" si="47"/>
        <v>208.12866666666667</v>
      </c>
      <c r="J95" s="26">
        <f t="shared" si="40"/>
        <v>205.67062451431713</v>
      </c>
      <c r="K95" s="26">
        <f t="shared" si="41"/>
        <v>201.25928484471268</v>
      </c>
      <c r="L95" s="26">
        <f t="shared" si="36"/>
        <v>221.04631798525077</v>
      </c>
      <c r="V95" s="26">
        <f t="shared" si="52"/>
        <v>209.72134681991963</v>
      </c>
      <c r="W95" s="26">
        <f t="shared" ref="W95:W158" si="55">C95*(2/(26+1))+V94*(1-(2/(26+1)))</f>
        <v>211.22046369183124</v>
      </c>
      <c r="X95" s="26">
        <f t="shared" si="54"/>
        <v>-1.4991168719116104</v>
      </c>
      <c r="Y95" s="26">
        <f t="shared" si="28"/>
        <v>-0.21415007314124884</v>
      </c>
      <c r="Z95" s="26">
        <v>15254.05</v>
      </c>
      <c r="AA95" s="26">
        <f t="shared" si="37"/>
        <v>218.92980077071721</v>
      </c>
      <c r="AB95" s="27">
        <f t="shared" si="38"/>
        <v>0.12955216577606654</v>
      </c>
      <c r="BK95" s="24">
        <v>44289</v>
      </c>
      <c r="BL95" s="25">
        <v>193.82</v>
      </c>
      <c r="BM95" s="26">
        <f t="shared" si="35"/>
        <v>208.92</v>
      </c>
      <c r="BN95" s="26">
        <f t="shared" si="39"/>
        <v>213.57000000000002</v>
      </c>
      <c r="BO95" s="26">
        <f t="shared" si="45"/>
        <v>212.97857142857143</v>
      </c>
      <c r="BP95" s="26">
        <f t="shared" si="50"/>
        <v>210.96846153846155</v>
      </c>
      <c r="BQ95" s="26">
        <f t="shared" si="53"/>
        <v>211.31484848484845</v>
      </c>
      <c r="BR95" s="26">
        <f t="shared" si="48"/>
        <v>208.12866666666667</v>
      </c>
      <c r="BS95" s="26">
        <f t="shared" si="42"/>
        <v>205.67062451431713</v>
      </c>
      <c r="BT95" s="26">
        <f t="shared" si="43"/>
        <v>201.25928484471268</v>
      </c>
    </row>
    <row r="96" spans="1:72" x14ac:dyDescent="0.2">
      <c r="A96" s="62"/>
      <c r="B96" s="24">
        <v>44290</v>
      </c>
      <c r="C96" s="25">
        <v>178.71</v>
      </c>
      <c r="D96" s="26">
        <f t="shared" si="44"/>
        <v>193.08666666666667</v>
      </c>
      <c r="E96" s="26">
        <f t="shared" si="46"/>
        <v>202.33200000000002</v>
      </c>
      <c r="F96" s="26">
        <f t="shared" si="49"/>
        <v>207.61714285714285</v>
      </c>
      <c r="G96" s="26">
        <f t="shared" si="51"/>
        <v>207.60384615384618</v>
      </c>
      <c r="H96" s="26">
        <f t="shared" si="26"/>
        <v>210.59696969696969</v>
      </c>
      <c r="I96" s="26">
        <f t="shared" si="47"/>
        <v>196.50866666666667</v>
      </c>
      <c r="J96" s="26">
        <f t="shared" si="40"/>
        <v>194.88637470859027</v>
      </c>
      <c r="K96" s="26">
        <f t="shared" si="41"/>
        <v>187.72971393788509</v>
      </c>
      <c r="L96" s="26">
        <f t="shared" si="36"/>
        <v>221.03147932325066</v>
      </c>
      <c r="V96" s="26">
        <f t="shared" si="52"/>
        <v>204.95037038608584</v>
      </c>
      <c r="W96" s="26">
        <f t="shared" si="55"/>
        <v>207.42421001844411</v>
      </c>
      <c r="X96" s="26">
        <f t="shared" si="54"/>
        <v>-2.4738396323582776</v>
      </c>
      <c r="Y96" s="26">
        <f t="shared" si="28"/>
        <v>-0.6660879849846546</v>
      </c>
      <c r="Z96" s="26">
        <v>13612.78</v>
      </c>
      <c r="AA96" s="26">
        <f t="shared" si="37"/>
        <v>218.20719987274765</v>
      </c>
      <c r="AB96" s="27">
        <f t="shared" si="38"/>
        <v>0.22101281334423167</v>
      </c>
      <c r="BK96" s="24">
        <v>44290</v>
      </c>
      <c r="BL96" s="25">
        <v>178.71</v>
      </c>
      <c r="BM96" s="26">
        <f t="shared" si="35"/>
        <v>193.08666666666667</v>
      </c>
      <c r="BN96" s="26">
        <f t="shared" si="39"/>
        <v>202.33200000000002</v>
      </c>
      <c r="BO96" s="26">
        <f t="shared" si="45"/>
        <v>207.61714285714285</v>
      </c>
      <c r="BP96" s="26">
        <f t="shared" si="50"/>
        <v>207.60384615384618</v>
      </c>
      <c r="BQ96" s="26">
        <f t="shared" si="53"/>
        <v>210.59696969696969</v>
      </c>
      <c r="BR96" s="26">
        <f t="shared" si="48"/>
        <v>196.50866666666667</v>
      </c>
      <c r="BS96" s="26">
        <f t="shared" si="42"/>
        <v>194.88637470859027</v>
      </c>
      <c r="BT96" s="26">
        <f t="shared" si="43"/>
        <v>187.72971393788509</v>
      </c>
    </row>
    <row r="97" spans="1:72" x14ac:dyDescent="0.2">
      <c r="A97" s="62"/>
      <c r="B97" s="24">
        <v>44291</v>
      </c>
      <c r="C97" s="25">
        <v>207.78</v>
      </c>
      <c r="D97" s="26">
        <f t="shared" si="44"/>
        <v>193.43666666666664</v>
      </c>
      <c r="E97" s="26">
        <f t="shared" si="46"/>
        <v>202.65</v>
      </c>
      <c r="F97" s="26">
        <f t="shared" si="49"/>
        <v>207.76285714285717</v>
      </c>
      <c r="G97" s="26">
        <f t="shared" si="51"/>
        <v>206.37769230769237</v>
      </c>
      <c r="H97" s="26">
        <f t="shared" si="26"/>
        <v>210.78969696969696</v>
      </c>
      <c r="I97" s="26">
        <f t="shared" si="47"/>
        <v>198.3246666666667</v>
      </c>
      <c r="J97" s="26">
        <f t="shared" si="40"/>
        <v>200.04382482515416</v>
      </c>
      <c r="K97" s="26">
        <f t="shared" si="41"/>
        <v>199.75988557515404</v>
      </c>
      <c r="L97" s="26">
        <f t="shared" si="36"/>
        <v>221.01664066125056</v>
      </c>
      <c r="V97" s="26">
        <f t="shared" si="52"/>
        <v>205.3856980189957</v>
      </c>
      <c r="W97" s="26">
        <f t="shared" si="55"/>
        <v>205.15997257970912</v>
      </c>
      <c r="X97" s="26">
        <f t="shared" si="54"/>
        <v>0.22572543928657751</v>
      </c>
      <c r="Y97" s="26">
        <f t="shared" si="28"/>
        <v>-0.48772530013040816</v>
      </c>
      <c r="Z97" s="26">
        <v>13358.79</v>
      </c>
      <c r="AA97" s="26">
        <f t="shared" si="37"/>
        <v>218.09537585715285</v>
      </c>
      <c r="AB97" s="27">
        <f t="shared" si="38"/>
        <v>4.9645662995249036E-2</v>
      </c>
      <c r="BK97" s="24">
        <v>44291</v>
      </c>
      <c r="BL97" s="25">
        <v>207.78</v>
      </c>
      <c r="BM97" s="26">
        <f t="shared" si="35"/>
        <v>193.43666666666664</v>
      </c>
      <c r="BN97" s="26">
        <f t="shared" si="39"/>
        <v>202.65</v>
      </c>
      <c r="BO97" s="26">
        <f t="shared" si="45"/>
        <v>207.76285714285717</v>
      </c>
      <c r="BP97" s="26">
        <f t="shared" si="50"/>
        <v>206.37769230769237</v>
      </c>
      <c r="BQ97" s="26">
        <f t="shared" si="53"/>
        <v>210.78969696969696</v>
      </c>
      <c r="BR97" s="26">
        <f t="shared" si="48"/>
        <v>198.3246666666667</v>
      </c>
      <c r="BS97" s="26">
        <f t="shared" si="42"/>
        <v>200.04382482515416</v>
      </c>
      <c r="BT97" s="26">
        <f t="shared" si="43"/>
        <v>199.75988557515404</v>
      </c>
    </row>
    <row r="98" spans="1:72" x14ac:dyDescent="0.2">
      <c r="A98" s="62"/>
      <c r="B98" s="24">
        <v>44292</v>
      </c>
      <c r="C98" s="25">
        <v>215.88</v>
      </c>
      <c r="D98" s="26">
        <f t="shared" si="44"/>
        <v>200.79</v>
      </c>
      <c r="E98" s="26">
        <f t="shared" si="46"/>
        <v>200.584</v>
      </c>
      <c r="F98" s="26">
        <f t="shared" si="49"/>
        <v>205.0457142857143</v>
      </c>
      <c r="G98" s="26">
        <f t="shared" si="51"/>
        <v>205.90692307692311</v>
      </c>
      <c r="H98" s="26">
        <f t="shared" si="26"/>
        <v>210.73121212121211</v>
      </c>
      <c r="I98" s="26">
        <f t="shared" si="47"/>
        <v>202.73466666666667</v>
      </c>
      <c r="J98" s="26">
        <f t="shared" si="40"/>
        <v>206.37829489509249</v>
      </c>
      <c r="K98" s="26">
        <f t="shared" si="41"/>
        <v>209.43195423006162</v>
      </c>
      <c r="L98" s="26">
        <f t="shared" si="36"/>
        <v>221.00180199925049</v>
      </c>
      <c r="V98" s="26">
        <f t="shared" si="52"/>
        <v>207.00020601607326</v>
      </c>
      <c r="W98" s="26">
        <f t="shared" si="55"/>
        <v>206.1630537212923</v>
      </c>
      <c r="X98" s="26">
        <f t="shared" si="54"/>
        <v>0.83715229478096376</v>
      </c>
      <c r="Y98" s="26">
        <f t="shared" si="28"/>
        <v>-0.22274978114813379</v>
      </c>
      <c r="Z98" s="26">
        <v>13756.33</v>
      </c>
      <c r="AA98" s="26">
        <f t="shared" si="37"/>
        <v>218.27040053985516</v>
      </c>
      <c r="AB98" s="27">
        <f t="shared" si="38"/>
        <v>1.107282073307006E-2</v>
      </c>
      <c r="BK98" s="24">
        <v>44292</v>
      </c>
      <c r="BL98" s="25">
        <v>215.88</v>
      </c>
      <c r="BM98" s="26">
        <f t="shared" si="35"/>
        <v>200.79</v>
      </c>
      <c r="BN98" s="26">
        <f t="shared" si="39"/>
        <v>200.584</v>
      </c>
      <c r="BO98" s="26">
        <f t="shared" si="45"/>
        <v>205.0457142857143</v>
      </c>
      <c r="BP98" s="26">
        <f t="shared" si="50"/>
        <v>205.90692307692311</v>
      </c>
      <c r="BQ98" s="26">
        <f t="shared" si="53"/>
        <v>210.73121212121211</v>
      </c>
      <c r="BR98" s="26">
        <f t="shared" si="48"/>
        <v>202.73466666666667</v>
      </c>
      <c r="BS98" s="26">
        <f t="shared" si="42"/>
        <v>206.37829489509249</v>
      </c>
      <c r="BT98" s="26">
        <f t="shared" si="43"/>
        <v>209.43195423006162</v>
      </c>
    </row>
    <row r="99" spans="1:72" x14ac:dyDescent="0.2">
      <c r="A99" s="62"/>
      <c r="B99" s="24">
        <v>44293</v>
      </c>
      <c r="C99" s="25">
        <v>235.81</v>
      </c>
      <c r="D99" s="26">
        <f t="shared" si="44"/>
        <v>219.82333333333335</v>
      </c>
      <c r="E99" s="26">
        <f t="shared" si="46"/>
        <v>206.4</v>
      </c>
      <c r="F99" s="26">
        <f t="shared" si="49"/>
        <v>209.27714285714288</v>
      </c>
      <c r="G99" s="26">
        <f t="shared" si="51"/>
        <v>207.91461538461542</v>
      </c>
      <c r="H99" s="26">
        <f t="shared" si="26"/>
        <v>211.12878787878785</v>
      </c>
      <c r="I99" s="26">
        <f t="shared" si="47"/>
        <v>214.47666666666666</v>
      </c>
      <c r="J99" s="26">
        <f t="shared" si="40"/>
        <v>218.1509769370555</v>
      </c>
      <c r="K99" s="26">
        <f t="shared" si="41"/>
        <v>225.25878169202463</v>
      </c>
      <c r="L99" s="26">
        <f t="shared" si="36"/>
        <v>220.98696333725039</v>
      </c>
      <c r="V99" s="26">
        <f t="shared" si="52"/>
        <v>211.43248201360046</v>
      </c>
      <c r="W99" s="26">
        <f t="shared" si="55"/>
        <v>209.13426482969749</v>
      </c>
      <c r="X99" s="26">
        <f t="shared" si="54"/>
        <v>2.2982171839029775</v>
      </c>
      <c r="Y99" s="26">
        <f t="shared" si="28"/>
        <v>0.28144361186208844</v>
      </c>
      <c r="Z99" s="26">
        <v>14639.33</v>
      </c>
      <c r="AA99" s="26">
        <f t="shared" si="37"/>
        <v>218.65915838768464</v>
      </c>
      <c r="AB99" s="27">
        <f t="shared" si="38"/>
        <v>-7.2731612791295364E-2</v>
      </c>
      <c r="BK99" s="24">
        <v>44293</v>
      </c>
      <c r="BL99" s="25">
        <v>235.81</v>
      </c>
      <c r="BM99" s="26">
        <f t="shared" si="35"/>
        <v>219.82333333333335</v>
      </c>
      <c r="BN99" s="26">
        <f t="shared" si="39"/>
        <v>206.4</v>
      </c>
      <c r="BO99" s="26">
        <f t="shared" si="45"/>
        <v>209.27714285714288</v>
      </c>
      <c r="BP99" s="26">
        <f t="shared" si="50"/>
        <v>207.91461538461542</v>
      </c>
      <c r="BQ99" s="26">
        <f t="shared" si="53"/>
        <v>211.12878787878785</v>
      </c>
      <c r="BR99" s="26">
        <f t="shared" si="48"/>
        <v>214.47666666666666</v>
      </c>
      <c r="BS99" s="26">
        <f t="shared" si="42"/>
        <v>218.1509769370555</v>
      </c>
      <c r="BT99" s="26">
        <f t="shared" si="43"/>
        <v>225.25878169202463</v>
      </c>
    </row>
    <row r="100" spans="1:72" x14ac:dyDescent="0.2">
      <c r="A100" s="62"/>
      <c r="B100" s="24">
        <v>44294</v>
      </c>
      <c r="C100" s="25">
        <v>205.61</v>
      </c>
      <c r="D100" s="26">
        <f t="shared" si="44"/>
        <v>219.1</v>
      </c>
      <c r="E100" s="26">
        <f t="shared" si="46"/>
        <v>208.75799999999998</v>
      </c>
      <c r="F100" s="26">
        <f t="shared" si="49"/>
        <v>206.33428571428573</v>
      </c>
      <c r="G100" s="26">
        <f t="shared" si="51"/>
        <v>208.67538461538464</v>
      </c>
      <c r="H100" s="26">
        <f t="shared" si="26"/>
        <v>211.01969696969692</v>
      </c>
      <c r="I100" s="26">
        <f t="shared" si="47"/>
        <v>214.21333333333334</v>
      </c>
      <c r="J100" s="26">
        <f t="shared" si="40"/>
        <v>213.13458616223329</v>
      </c>
      <c r="K100" s="26">
        <f t="shared" si="41"/>
        <v>213.46951267680987</v>
      </c>
      <c r="L100" s="26">
        <f t="shared" si="36"/>
        <v>220.97212467525029</v>
      </c>
      <c r="V100" s="26">
        <f t="shared" si="52"/>
        <v>210.53671554996964</v>
      </c>
      <c r="W100" s="26">
        <f t="shared" si="55"/>
        <v>211.00118704963006</v>
      </c>
      <c r="X100" s="26">
        <f t="shared" si="54"/>
        <v>-0.46447149966041934</v>
      </c>
      <c r="Y100" s="26">
        <f t="shared" si="28"/>
        <v>0.13226058955758691</v>
      </c>
      <c r="Z100" s="26">
        <v>14681.07</v>
      </c>
      <c r="AA100" s="26">
        <f t="shared" si="37"/>
        <v>218.67753523091048</v>
      </c>
      <c r="AB100" s="27">
        <f t="shared" si="38"/>
        <v>6.3554959539470185E-2</v>
      </c>
      <c r="BK100" s="24">
        <v>44294</v>
      </c>
      <c r="BL100" s="25">
        <v>205.61</v>
      </c>
      <c r="BM100" s="26">
        <f t="shared" si="35"/>
        <v>219.1</v>
      </c>
      <c r="BN100" s="26">
        <f t="shared" si="39"/>
        <v>208.75799999999998</v>
      </c>
      <c r="BO100" s="26">
        <f t="shared" si="45"/>
        <v>206.33428571428573</v>
      </c>
      <c r="BP100" s="26">
        <f t="shared" si="50"/>
        <v>208.67538461538464</v>
      </c>
      <c r="BQ100" s="26">
        <f t="shared" si="53"/>
        <v>211.01969696969692</v>
      </c>
      <c r="BR100" s="26">
        <f t="shared" si="48"/>
        <v>214.21333333333334</v>
      </c>
      <c r="BS100" s="26">
        <f t="shared" si="42"/>
        <v>213.13458616223329</v>
      </c>
      <c r="BT100" s="26">
        <f t="shared" si="43"/>
        <v>213.46951267680987</v>
      </c>
    </row>
    <row r="101" spans="1:72" x14ac:dyDescent="0.2">
      <c r="A101" s="62"/>
      <c r="B101" s="24">
        <v>44295</v>
      </c>
      <c r="C101" s="25">
        <v>225.63</v>
      </c>
      <c r="D101" s="26">
        <f t="shared" si="44"/>
        <v>222.35</v>
      </c>
      <c r="E101" s="26">
        <f t="shared" si="46"/>
        <v>218.142</v>
      </c>
      <c r="F101" s="26">
        <f t="shared" si="49"/>
        <v>209.03428571428574</v>
      </c>
      <c r="G101" s="26">
        <f t="shared" si="51"/>
        <v>212.32846153846154</v>
      </c>
      <c r="H101" s="26">
        <f t="shared" ref="H101:H164" si="56">AVERAGE(C69:C101)</f>
        <v>211.17606060606056</v>
      </c>
      <c r="I101" s="26">
        <f t="shared" si="47"/>
        <v>219.83733333333339</v>
      </c>
      <c r="J101" s="26">
        <f t="shared" si="40"/>
        <v>218.13275169733998</v>
      </c>
      <c r="K101" s="26">
        <f t="shared" si="41"/>
        <v>220.76580507072396</v>
      </c>
      <c r="L101" s="26">
        <f t="shared" si="36"/>
        <v>220.95728601325021</v>
      </c>
      <c r="V101" s="26">
        <f t="shared" si="52"/>
        <v>212.85875931151276</v>
      </c>
      <c r="W101" s="26">
        <f t="shared" si="55"/>
        <v>211.65473662034228</v>
      </c>
      <c r="X101" s="26">
        <f t="shared" si="54"/>
        <v>1.2040226911704792</v>
      </c>
      <c r="Y101" s="26">
        <f t="shared" si="28"/>
        <v>0.34661300988016541</v>
      </c>
      <c r="Z101" s="26">
        <v>15331.18</v>
      </c>
      <c r="AA101" s="26">
        <f t="shared" si="37"/>
        <v>218.96375874671165</v>
      </c>
      <c r="AB101" s="27">
        <f t="shared" si="38"/>
        <v>-2.9545012867474841E-2</v>
      </c>
      <c r="BK101" s="24">
        <v>44295</v>
      </c>
      <c r="BL101" s="25">
        <v>225.63</v>
      </c>
      <c r="BM101" s="26">
        <f t="shared" si="35"/>
        <v>222.35</v>
      </c>
      <c r="BN101" s="26">
        <f t="shared" si="39"/>
        <v>218.142</v>
      </c>
      <c r="BO101" s="26">
        <f t="shared" si="45"/>
        <v>209.03428571428574</v>
      </c>
      <c r="BP101" s="26">
        <f t="shared" si="50"/>
        <v>212.32846153846154</v>
      </c>
      <c r="BQ101" s="26">
        <f t="shared" si="53"/>
        <v>211.17606060606056</v>
      </c>
      <c r="BR101" s="26">
        <f t="shared" si="48"/>
        <v>219.83733333333339</v>
      </c>
      <c r="BS101" s="26">
        <f t="shared" si="42"/>
        <v>218.13275169733998</v>
      </c>
      <c r="BT101" s="26">
        <f t="shared" si="43"/>
        <v>220.76580507072396</v>
      </c>
    </row>
    <row r="102" spans="1:72" x14ac:dyDescent="0.2">
      <c r="A102" s="62"/>
      <c r="B102" s="24">
        <v>44296</v>
      </c>
      <c r="C102" s="25">
        <v>215.31</v>
      </c>
      <c r="D102" s="26">
        <f t="shared" si="44"/>
        <v>215.51666666666665</v>
      </c>
      <c r="E102" s="26">
        <f t="shared" si="46"/>
        <v>219.648</v>
      </c>
      <c r="F102" s="26">
        <f t="shared" si="49"/>
        <v>212.10428571428571</v>
      </c>
      <c r="G102" s="26">
        <f t="shared" si="51"/>
        <v>212.2569230769231</v>
      </c>
      <c r="H102" s="26">
        <f t="shared" si="56"/>
        <v>210.9493939393939</v>
      </c>
      <c r="I102" s="26">
        <f t="shared" si="47"/>
        <v>218.89333333333335</v>
      </c>
      <c r="J102" s="26">
        <f t="shared" si="40"/>
        <v>217.00365101840401</v>
      </c>
      <c r="K102" s="26">
        <f t="shared" si="41"/>
        <v>217.49232202828961</v>
      </c>
      <c r="L102" s="26">
        <f t="shared" si="36"/>
        <v>220.94244735125011</v>
      </c>
      <c r="V102" s="26">
        <f t="shared" si="52"/>
        <v>213.23587326358773</v>
      </c>
      <c r="W102" s="26">
        <f t="shared" si="55"/>
        <v>213.04033269584514</v>
      </c>
      <c r="X102" s="26">
        <f t="shared" si="54"/>
        <v>0.1955405677425972</v>
      </c>
      <c r="Y102" s="26">
        <f t="shared" si="28"/>
        <v>0.31639852145265179</v>
      </c>
      <c r="Z102" s="26">
        <v>15649.6</v>
      </c>
      <c r="AA102" s="26">
        <f t="shared" si="37"/>
        <v>219.10394931738645</v>
      </c>
      <c r="AB102" s="27">
        <f t="shared" si="38"/>
        <v>1.7620869060361567E-2</v>
      </c>
      <c r="BK102" s="24">
        <v>44296</v>
      </c>
      <c r="BL102" s="25">
        <v>215.31</v>
      </c>
      <c r="BM102" s="26">
        <f t="shared" si="35"/>
        <v>215.51666666666665</v>
      </c>
      <c r="BN102" s="26">
        <f t="shared" si="39"/>
        <v>219.648</v>
      </c>
      <c r="BO102" s="26">
        <f t="shared" si="45"/>
        <v>212.10428571428571</v>
      </c>
      <c r="BP102" s="26">
        <f t="shared" si="50"/>
        <v>212.2569230769231</v>
      </c>
      <c r="BQ102" s="26">
        <f t="shared" si="53"/>
        <v>210.9493939393939</v>
      </c>
      <c r="BR102" s="26">
        <f t="shared" si="48"/>
        <v>218.89333333333335</v>
      </c>
      <c r="BS102" s="26">
        <f t="shared" si="42"/>
        <v>217.00365101840401</v>
      </c>
      <c r="BT102" s="26">
        <f t="shared" si="43"/>
        <v>217.49232202828961</v>
      </c>
    </row>
    <row r="103" spans="1:72" x14ac:dyDescent="0.2">
      <c r="A103" s="62"/>
      <c r="B103" s="24">
        <v>44297</v>
      </c>
      <c r="C103" s="25">
        <v>205.63</v>
      </c>
      <c r="D103" s="26">
        <f t="shared" si="44"/>
        <v>215.52333333333331</v>
      </c>
      <c r="E103" s="26">
        <f t="shared" si="46"/>
        <v>217.59799999999996</v>
      </c>
      <c r="F103" s="26">
        <f t="shared" si="49"/>
        <v>215.95000000000002</v>
      </c>
      <c r="G103" s="26">
        <f t="shared" si="51"/>
        <v>212.17000000000004</v>
      </c>
      <c r="H103" s="26">
        <f t="shared" si="56"/>
        <v>211.26090909090905</v>
      </c>
      <c r="I103" s="26">
        <f t="shared" si="47"/>
        <v>214.22066666666666</v>
      </c>
      <c r="J103" s="26">
        <f t="shared" si="40"/>
        <v>212.45419061104241</v>
      </c>
      <c r="K103" s="26">
        <f t="shared" si="41"/>
        <v>210.37492881131584</v>
      </c>
      <c r="L103" s="26">
        <f t="shared" si="36"/>
        <v>220.92760868925001</v>
      </c>
      <c r="V103" s="26">
        <f t="shared" si="52"/>
        <v>212.06573891534347</v>
      </c>
      <c r="W103" s="26">
        <f t="shared" si="55"/>
        <v>212.6724752440627</v>
      </c>
      <c r="X103" s="26">
        <f t="shared" si="54"/>
        <v>-0.60673632871922223</v>
      </c>
      <c r="Y103" s="26">
        <f t="shared" ref="Y103:Y166" si="57">X103*(2/(9+1))+Y102*(1-(2/(9+1)))</f>
        <v>0.13177155141827696</v>
      </c>
      <c r="Z103" s="26">
        <v>15381.32</v>
      </c>
      <c r="AA103" s="26">
        <f t="shared" si="37"/>
        <v>218.98583385258954</v>
      </c>
      <c r="AB103" s="27">
        <f t="shared" si="38"/>
        <v>6.495080412677888E-2</v>
      </c>
      <c r="BK103" s="24">
        <v>44297</v>
      </c>
      <c r="BL103" s="25">
        <v>205.63</v>
      </c>
      <c r="BM103" s="26">
        <f t="shared" si="35"/>
        <v>215.52333333333331</v>
      </c>
      <c r="BN103" s="26">
        <f t="shared" si="39"/>
        <v>217.59799999999996</v>
      </c>
      <c r="BO103" s="26">
        <f t="shared" si="45"/>
        <v>215.95000000000002</v>
      </c>
      <c r="BP103" s="26">
        <f t="shared" si="50"/>
        <v>212.17000000000004</v>
      </c>
      <c r="BQ103" s="26">
        <f t="shared" si="53"/>
        <v>211.26090909090905</v>
      </c>
      <c r="BR103" s="26">
        <f t="shared" si="48"/>
        <v>214.22066666666666</v>
      </c>
      <c r="BS103" s="26">
        <f t="shared" si="42"/>
        <v>212.45419061104241</v>
      </c>
      <c r="BT103" s="26">
        <f t="shared" si="43"/>
        <v>210.37492881131584</v>
      </c>
    </row>
    <row r="104" spans="1:72" x14ac:dyDescent="0.2">
      <c r="A104" s="62"/>
      <c r="B104" s="24">
        <v>44298</v>
      </c>
      <c r="C104" s="25">
        <v>218.5</v>
      </c>
      <c r="D104" s="26">
        <f t="shared" si="44"/>
        <v>213.14666666666668</v>
      </c>
      <c r="E104" s="26">
        <f t="shared" si="46"/>
        <v>214.13599999999997</v>
      </c>
      <c r="F104" s="26">
        <f t="shared" si="49"/>
        <v>217.48142857142855</v>
      </c>
      <c r="G104" s="26">
        <f t="shared" si="51"/>
        <v>210.90846153846158</v>
      </c>
      <c r="H104" s="26">
        <f t="shared" si="56"/>
        <v>212.23060606060602</v>
      </c>
      <c r="I104" s="26">
        <f t="shared" si="47"/>
        <v>214.52133333333333</v>
      </c>
      <c r="J104" s="26">
        <f t="shared" si="40"/>
        <v>214.87251436662544</v>
      </c>
      <c r="K104" s="26">
        <f t="shared" si="41"/>
        <v>215.24997152452633</v>
      </c>
      <c r="L104" s="26">
        <f t="shared" si="36"/>
        <v>220.91277002724993</v>
      </c>
      <c r="V104" s="26">
        <f t="shared" si="52"/>
        <v>213.05562523605985</v>
      </c>
      <c r="W104" s="26">
        <f t="shared" si="55"/>
        <v>212.54235084754026</v>
      </c>
      <c r="X104" s="26">
        <f t="shared" si="54"/>
        <v>0.51327438851959073</v>
      </c>
      <c r="Y104" s="26">
        <f t="shared" si="57"/>
        <v>0.20807211883853971</v>
      </c>
      <c r="Z104" s="26">
        <v>13610.54</v>
      </c>
      <c r="AA104" s="26">
        <f t="shared" si="37"/>
        <v>218.20621366937377</v>
      </c>
      <c r="AB104" s="27">
        <f t="shared" si="38"/>
        <v>-1.3445598655662835E-3</v>
      </c>
      <c r="BK104" s="24">
        <v>44298</v>
      </c>
      <c r="BL104" s="25">
        <v>218.5</v>
      </c>
      <c r="BM104" s="26">
        <f t="shared" si="35"/>
        <v>213.14666666666668</v>
      </c>
      <c r="BN104" s="26">
        <f t="shared" si="39"/>
        <v>214.13599999999997</v>
      </c>
      <c r="BO104" s="26">
        <f t="shared" si="45"/>
        <v>217.48142857142855</v>
      </c>
      <c r="BP104" s="26">
        <f t="shared" si="50"/>
        <v>210.90846153846158</v>
      </c>
      <c r="BQ104" s="26">
        <f t="shared" si="53"/>
        <v>212.23060606060602</v>
      </c>
      <c r="BR104" s="26">
        <f t="shared" si="48"/>
        <v>214.52133333333333</v>
      </c>
      <c r="BS104" s="26">
        <f t="shared" si="42"/>
        <v>214.87251436662544</v>
      </c>
      <c r="BT104" s="26">
        <f t="shared" si="43"/>
        <v>215.24997152452633</v>
      </c>
    </row>
    <row r="105" spans="1:72" x14ac:dyDescent="0.2">
      <c r="A105" s="62"/>
      <c r="B105" s="24">
        <v>44299</v>
      </c>
      <c r="C105" s="25">
        <v>218.4</v>
      </c>
      <c r="D105" s="26">
        <f t="shared" si="44"/>
        <v>214.17666666666665</v>
      </c>
      <c r="E105" s="26">
        <f t="shared" si="46"/>
        <v>216.69400000000002</v>
      </c>
      <c r="F105" s="26">
        <f t="shared" si="49"/>
        <v>217.84142857142857</v>
      </c>
      <c r="G105" s="26">
        <f t="shared" si="51"/>
        <v>211.84769230769234</v>
      </c>
      <c r="H105" s="26">
        <f t="shared" si="56"/>
        <v>212.72060606060603</v>
      </c>
      <c r="I105" s="26">
        <f t="shared" si="47"/>
        <v>215.94266666666667</v>
      </c>
      <c r="J105" s="26">
        <f t="shared" si="40"/>
        <v>216.28350861997527</v>
      </c>
      <c r="K105" s="26">
        <f t="shared" si="41"/>
        <v>217.13998860981053</v>
      </c>
      <c r="L105" s="26">
        <f t="shared" si="36"/>
        <v>220.89793136524983</v>
      </c>
      <c r="V105" s="26">
        <f t="shared" si="52"/>
        <v>213.87783673820448</v>
      </c>
      <c r="W105" s="26">
        <f t="shared" si="55"/>
        <v>213.45150484820357</v>
      </c>
      <c r="X105" s="26">
        <f t="shared" si="54"/>
        <v>0.42633189000090965</v>
      </c>
      <c r="Y105" s="26">
        <f t="shared" si="57"/>
        <v>0.25172407307101374</v>
      </c>
      <c r="Z105" s="26">
        <v>12997.75</v>
      </c>
      <c r="AA105" s="26">
        <f t="shared" si="37"/>
        <v>217.93642100621247</v>
      </c>
      <c r="AB105" s="27">
        <f t="shared" si="38"/>
        <v>-2.1226144404191201E-3</v>
      </c>
      <c r="BK105" s="24">
        <v>44299</v>
      </c>
      <c r="BL105" s="25">
        <v>218.4</v>
      </c>
      <c r="BM105" s="26">
        <f t="shared" si="35"/>
        <v>214.17666666666665</v>
      </c>
      <c r="BN105" s="26">
        <f t="shared" si="39"/>
        <v>216.69400000000002</v>
      </c>
      <c r="BO105" s="26">
        <f t="shared" si="45"/>
        <v>217.84142857142857</v>
      </c>
      <c r="BP105" s="26">
        <f t="shared" si="50"/>
        <v>211.84769230769234</v>
      </c>
      <c r="BQ105" s="26">
        <f t="shared" si="53"/>
        <v>212.72060606060603</v>
      </c>
      <c r="BR105" s="26">
        <f t="shared" si="48"/>
        <v>215.94266666666667</v>
      </c>
      <c r="BS105" s="26">
        <f t="shared" si="42"/>
        <v>216.28350861997527</v>
      </c>
      <c r="BT105" s="26">
        <f t="shared" si="43"/>
        <v>217.13998860981053</v>
      </c>
    </row>
    <row r="106" spans="1:72" x14ac:dyDescent="0.2">
      <c r="A106" s="62"/>
      <c r="B106" s="24">
        <v>44300</v>
      </c>
      <c r="C106" s="25">
        <v>236.15</v>
      </c>
      <c r="D106" s="26">
        <f t="shared" si="44"/>
        <v>224.35</v>
      </c>
      <c r="E106" s="26">
        <f t="shared" si="46"/>
        <v>218.798</v>
      </c>
      <c r="F106" s="26">
        <f t="shared" si="49"/>
        <v>217.89000000000001</v>
      </c>
      <c r="G106" s="26">
        <f t="shared" si="51"/>
        <v>212.61230769230772</v>
      </c>
      <c r="H106" s="26">
        <f t="shared" si="56"/>
        <v>213.25454545454542</v>
      </c>
      <c r="I106" s="26">
        <f t="shared" si="47"/>
        <v>222.42799999999997</v>
      </c>
      <c r="J106" s="26">
        <f t="shared" si="40"/>
        <v>224.23010517198517</v>
      </c>
      <c r="K106" s="26">
        <f t="shared" si="41"/>
        <v>228.5459954439242</v>
      </c>
      <c r="L106" s="26">
        <f t="shared" si="36"/>
        <v>220.88309270324973</v>
      </c>
      <c r="V106" s="26">
        <f t="shared" si="52"/>
        <v>217.30432339386533</v>
      </c>
      <c r="W106" s="26">
        <f t="shared" si="55"/>
        <v>215.52762660944859</v>
      </c>
      <c r="X106" s="26">
        <f t="shared" si="54"/>
        <v>1.7766967844167425</v>
      </c>
      <c r="Y106" s="26">
        <f t="shared" si="57"/>
        <v>0.55671861534015954</v>
      </c>
      <c r="Z106" s="26">
        <v>13895.12</v>
      </c>
      <c r="AA106" s="26">
        <f t="shared" si="37"/>
        <v>218.33150552479316</v>
      </c>
      <c r="AB106" s="27">
        <f t="shared" si="38"/>
        <v>-7.5454137095942606E-2</v>
      </c>
      <c r="BK106" s="24">
        <v>44300</v>
      </c>
      <c r="BL106" s="25">
        <v>236.15</v>
      </c>
      <c r="BM106" s="26">
        <f t="shared" si="35"/>
        <v>224.35</v>
      </c>
      <c r="BN106" s="26">
        <f t="shared" si="39"/>
        <v>218.798</v>
      </c>
      <c r="BO106" s="26">
        <f t="shared" si="45"/>
        <v>217.89000000000001</v>
      </c>
      <c r="BP106" s="26">
        <f t="shared" si="50"/>
        <v>212.61230769230772</v>
      </c>
      <c r="BQ106" s="26">
        <f t="shared" si="53"/>
        <v>213.25454545454542</v>
      </c>
      <c r="BR106" s="26">
        <f t="shared" si="48"/>
        <v>222.42799999999997</v>
      </c>
      <c r="BS106" s="26">
        <f t="shared" si="42"/>
        <v>224.23010517198517</v>
      </c>
      <c r="BT106" s="26">
        <f t="shared" si="43"/>
        <v>228.5459954439242</v>
      </c>
    </row>
    <row r="107" spans="1:72" x14ac:dyDescent="0.2">
      <c r="A107" s="62"/>
      <c r="B107" s="24">
        <v>44301</v>
      </c>
      <c r="C107" s="25">
        <v>207.12</v>
      </c>
      <c r="D107" s="26">
        <f t="shared" si="44"/>
        <v>220.5566666666667</v>
      </c>
      <c r="E107" s="26">
        <f t="shared" si="46"/>
        <v>217.16</v>
      </c>
      <c r="F107" s="26">
        <f t="shared" si="49"/>
        <v>218.10571428571433</v>
      </c>
      <c r="G107" s="26">
        <f t="shared" si="51"/>
        <v>212.64230769230772</v>
      </c>
      <c r="H107" s="26">
        <f t="shared" si="56"/>
        <v>212.4854545454545</v>
      </c>
      <c r="I107" s="26">
        <f t="shared" si="47"/>
        <v>218.53533333333331</v>
      </c>
      <c r="J107" s="26">
        <f t="shared" si="40"/>
        <v>217.38606310319111</v>
      </c>
      <c r="K107" s="26">
        <f t="shared" si="41"/>
        <v>215.69039817756968</v>
      </c>
      <c r="L107" s="26">
        <f t="shared" si="36"/>
        <v>220.86825404124966</v>
      </c>
      <c r="V107" s="26">
        <f t="shared" si="52"/>
        <v>215.73750441019374</v>
      </c>
      <c r="W107" s="26">
        <f t="shared" si="55"/>
        <v>216.54992906839385</v>
      </c>
      <c r="X107" s="26">
        <f t="shared" si="54"/>
        <v>-0.81242465820011489</v>
      </c>
      <c r="Y107" s="26">
        <f t="shared" si="57"/>
        <v>0.2828899606321047</v>
      </c>
      <c r="Z107" s="26">
        <v>13614.51</v>
      </c>
      <c r="AA107" s="26">
        <f t="shared" si="37"/>
        <v>218.20796153874625</v>
      </c>
      <c r="AB107" s="27">
        <f t="shared" si="38"/>
        <v>5.3533997386762469E-2</v>
      </c>
      <c r="BK107" s="24">
        <v>44301</v>
      </c>
      <c r="BL107" s="25">
        <v>207.12</v>
      </c>
      <c r="BM107" s="26">
        <f t="shared" si="35"/>
        <v>220.5566666666667</v>
      </c>
      <c r="BN107" s="26">
        <f t="shared" si="39"/>
        <v>217.16</v>
      </c>
      <c r="BO107" s="26">
        <f t="shared" si="45"/>
        <v>218.10571428571433</v>
      </c>
      <c r="BP107" s="26">
        <f t="shared" si="50"/>
        <v>212.64230769230772</v>
      </c>
      <c r="BQ107" s="26">
        <f t="shared" si="53"/>
        <v>212.4854545454545</v>
      </c>
      <c r="BR107" s="26">
        <f t="shared" si="48"/>
        <v>218.53533333333331</v>
      </c>
      <c r="BS107" s="26">
        <f t="shared" si="42"/>
        <v>217.38606310319111</v>
      </c>
      <c r="BT107" s="26">
        <f t="shared" si="43"/>
        <v>215.69039817756968</v>
      </c>
    </row>
    <row r="108" spans="1:72" x14ac:dyDescent="0.2">
      <c r="A108" s="62"/>
      <c r="B108" s="24">
        <v>44302</v>
      </c>
      <c r="C108" s="25">
        <v>225.53</v>
      </c>
      <c r="D108" s="26">
        <f t="shared" si="44"/>
        <v>222.93333333333331</v>
      </c>
      <c r="E108" s="26">
        <f t="shared" si="46"/>
        <v>221.14000000000001</v>
      </c>
      <c r="F108" s="26">
        <f t="shared" si="49"/>
        <v>218.09142857142859</v>
      </c>
      <c r="G108" s="26">
        <f t="shared" si="51"/>
        <v>215.08153846153849</v>
      </c>
      <c r="H108" s="26">
        <f t="shared" si="56"/>
        <v>212.50272727272724</v>
      </c>
      <c r="I108" s="26">
        <f t="shared" si="47"/>
        <v>221.32533333333333</v>
      </c>
      <c r="J108" s="26">
        <f t="shared" si="40"/>
        <v>220.64363786191467</v>
      </c>
      <c r="K108" s="26">
        <f t="shared" si="41"/>
        <v>221.59415927102788</v>
      </c>
      <c r="L108" s="26">
        <f t="shared" si="36"/>
        <v>220.85341537924955</v>
      </c>
      <c r="V108" s="26">
        <f t="shared" si="52"/>
        <v>217.24404219324086</v>
      </c>
      <c r="W108" s="26">
        <f t="shared" si="55"/>
        <v>216.4628744538831</v>
      </c>
      <c r="X108" s="26">
        <f t="shared" si="54"/>
        <v>0.78116773935775541</v>
      </c>
      <c r="Y108" s="26">
        <f t="shared" si="57"/>
        <v>0.38254551637723488</v>
      </c>
      <c r="Z108" s="26">
        <v>14761.29</v>
      </c>
      <c r="AA108" s="26">
        <f t="shared" si="37"/>
        <v>218.71285363923764</v>
      </c>
      <c r="AB108" s="27">
        <f t="shared" si="38"/>
        <v>-3.02272263590758E-2</v>
      </c>
      <c r="BK108" s="24">
        <v>44302</v>
      </c>
      <c r="BL108" s="25">
        <v>225.53</v>
      </c>
      <c r="BM108" s="26">
        <f t="shared" si="35"/>
        <v>222.93333333333331</v>
      </c>
      <c r="BN108" s="26">
        <f t="shared" si="39"/>
        <v>221.14000000000001</v>
      </c>
      <c r="BO108" s="26">
        <f t="shared" si="45"/>
        <v>218.09142857142859</v>
      </c>
      <c r="BP108" s="26">
        <f t="shared" si="50"/>
        <v>215.08153846153849</v>
      </c>
      <c r="BQ108" s="26">
        <f t="shared" si="53"/>
        <v>212.50272727272724</v>
      </c>
      <c r="BR108" s="26">
        <f t="shared" si="48"/>
        <v>221.32533333333333</v>
      </c>
      <c r="BS108" s="26">
        <f t="shared" si="42"/>
        <v>220.64363786191467</v>
      </c>
      <c r="BT108" s="26">
        <f t="shared" si="43"/>
        <v>221.59415927102788</v>
      </c>
    </row>
    <row r="109" spans="1:72" x14ac:dyDescent="0.2">
      <c r="A109" s="62"/>
      <c r="B109" s="24">
        <v>44303</v>
      </c>
      <c r="C109" s="25">
        <v>217.72</v>
      </c>
      <c r="D109" s="26">
        <f t="shared" si="44"/>
        <v>216.79</v>
      </c>
      <c r="E109" s="26">
        <f t="shared" si="46"/>
        <v>220.98400000000001</v>
      </c>
      <c r="F109" s="26">
        <f t="shared" si="49"/>
        <v>218.43571428571428</v>
      </c>
      <c r="G109" s="26">
        <f t="shared" si="51"/>
        <v>218.08230769230769</v>
      </c>
      <c r="H109" s="26">
        <f t="shared" si="56"/>
        <v>212.37787878787879</v>
      </c>
      <c r="I109" s="26">
        <f t="shared" si="47"/>
        <v>220.18533333333335</v>
      </c>
      <c r="J109" s="26">
        <f t="shared" si="40"/>
        <v>219.47418271714878</v>
      </c>
      <c r="K109" s="26">
        <f t="shared" si="41"/>
        <v>219.26966370841114</v>
      </c>
      <c r="L109" s="26">
        <f t="shared" si="36"/>
        <v>220.83857671724945</v>
      </c>
      <c r="V109" s="26">
        <f t="shared" si="52"/>
        <v>217.31726647120379</v>
      </c>
      <c r="W109" s="26">
        <f t="shared" si="55"/>
        <v>217.27929832707488</v>
      </c>
      <c r="X109" s="26">
        <f t="shared" si="54"/>
        <v>3.7968144128910808E-2</v>
      </c>
      <c r="Y109" s="26">
        <f t="shared" si="57"/>
        <v>0.3136300419275701</v>
      </c>
      <c r="Z109" s="26">
        <v>15363.52</v>
      </c>
      <c r="AA109" s="26">
        <f t="shared" si="37"/>
        <v>218.97799705792207</v>
      </c>
      <c r="AB109" s="27">
        <f t="shared" si="38"/>
        <v>5.77805005475872E-3</v>
      </c>
      <c r="BK109" s="24">
        <v>44303</v>
      </c>
      <c r="BL109" s="25">
        <v>217.72</v>
      </c>
      <c r="BM109" s="26">
        <f t="shared" si="35"/>
        <v>216.79</v>
      </c>
      <c r="BN109" s="26">
        <f t="shared" si="39"/>
        <v>220.98400000000001</v>
      </c>
      <c r="BO109" s="26">
        <f t="shared" si="45"/>
        <v>218.43571428571428</v>
      </c>
      <c r="BP109" s="26">
        <f t="shared" si="50"/>
        <v>218.08230769230769</v>
      </c>
      <c r="BQ109" s="26">
        <f t="shared" si="53"/>
        <v>212.37787878787879</v>
      </c>
      <c r="BR109" s="26">
        <f t="shared" si="48"/>
        <v>220.18533333333335</v>
      </c>
      <c r="BS109" s="26">
        <f t="shared" si="42"/>
        <v>219.47418271714878</v>
      </c>
      <c r="BT109" s="26">
        <f t="shared" si="43"/>
        <v>219.26966370841114</v>
      </c>
    </row>
    <row r="110" spans="1:72" x14ac:dyDescent="0.2">
      <c r="A110" s="62"/>
      <c r="B110" s="24">
        <v>44304</v>
      </c>
      <c r="C110" s="25">
        <v>205.73</v>
      </c>
      <c r="D110" s="26">
        <f t="shared" si="44"/>
        <v>216.32666666666668</v>
      </c>
      <c r="E110" s="26">
        <f t="shared" si="46"/>
        <v>218.45</v>
      </c>
      <c r="F110" s="26">
        <f t="shared" si="49"/>
        <v>218.45000000000002</v>
      </c>
      <c r="G110" s="26">
        <f t="shared" si="51"/>
        <v>217.92461538461538</v>
      </c>
      <c r="H110" s="26">
        <f t="shared" si="56"/>
        <v>212.07242424242423</v>
      </c>
      <c r="I110" s="26">
        <f t="shared" si="47"/>
        <v>215.10066666666665</v>
      </c>
      <c r="J110" s="26">
        <f t="shared" si="40"/>
        <v>213.97650963028926</v>
      </c>
      <c r="K110" s="26">
        <f t="shared" si="41"/>
        <v>211.14586548336445</v>
      </c>
      <c r="L110" s="26">
        <f t="shared" si="36"/>
        <v>220.82373805524938</v>
      </c>
      <c r="V110" s="26">
        <f t="shared" si="52"/>
        <v>215.53461009101861</v>
      </c>
      <c r="W110" s="26">
        <f t="shared" si="55"/>
        <v>216.4589504362998</v>
      </c>
      <c r="X110" s="26">
        <f t="shared" si="54"/>
        <v>-0.92434034528119469</v>
      </c>
      <c r="Y110" s="26">
        <f t="shared" si="57"/>
        <v>6.6035964485817139E-2</v>
      </c>
      <c r="Z110" s="26">
        <v>15811.58</v>
      </c>
      <c r="AA110" s="26">
        <f t="shared" si="37"/>
        <v>219.17526414886032</v>
      </c>
      <c r="AB110" s="27">
        <f t="shared" si="38"/>
        <v>6.5353930631703361E-2</v>
      </c>
      <c r="BK110" s="24">
        <v>44304</v>
      </c>
      <c r="BL110" s="25">
        <v>205.73</v>
      </c>
      <c r="BM110" s="26">
        <f t="shared" si="35"/>
        <v>216.32666666666668</v>
      </c>
      <c r="BN110" s="26">
        <f t="shared" si="39"/>
        <v>218.45</v>
      </c>
      <c r="BO110" s="26">
        <f t="shared" si="45"/>
        <v>218.45000000000002</v>
      </c>
      <c r="BP110" s="26">
        <f t="shared" si="50"/>
        <v>217.92461538461538</v>
      </c>
      <c r="BQ110" s="26">
        <f t="shared" si="53"/>
        <v>212.07242424242423</v>
      </c>
      <c r="BR110" s="26">
        <f t="shared" si="48"/>
        <v>215.10066666666665</v>
      </c>
      <c r="BS110" s="26">
        <f t="shared" si="42"/>
        <v>213.97650963028926</v>
      </c>
      <c r="BT110" s="26">
        <f t="shared" si="43"/>
        <v>211.14586548336445</v>
      </c>
    </row>
    <row r="111" spans="1:72" x14ac:dyDescent="0.2">
      <c r="A111" s="62"/>
      <c r="B111" s="24">
        <v>44305</v>
      </c>
      <c r="C111" s="25">
        <v>220.2</v>
      </c>
      <c r="D111" s="26">
        <f t="shared" si="44"/>
        <v>214.54999999999998</v>
      </c>
      <c r="E111" s="26">
        <f t="shared" si="46"/>
        <v>215.26</v>
      </c>
      <c r="F111" s="26">
        <f t="shared" si="49"/>
        <v>218.69285714285715</v>
      </c>
      <c r="G111" s="26">
        <f t="shared" si="51"/>
        <v>218.25692307692304</v>
      </c>
      <c r="H111" s="26">
        <f t="shared" si="56"/>
        <v>212.81242424242421</v>
      </c>
      <c r="I111" s="26">
        <f t="shared" si="47"/>
        <v>215.684</v>
      </c>
      <c r="J111" s="26">
        <f t="shared" si="40"/>
        <v>216.46590577817352</v>
      </c>
      <c r="K111" s="26">
        <f t="shared" si="41"/>
        <v>216.57834619334577</v>
      </c>
      <c r="L111" s="26">
        <f t="shared" si="36"/>
        <v>220.80889939324928</v>
      </c>
      <c r="V111" s="26">
        <f t="shared" si="52"/>
        <v>216.25236238470805</v>
      </c>
      <c r="W111" s="26">
        <f t="shared" si="55"/>
        <v>215.88019452872092</v>
      </c>
      <c r="X111" s="26">
        <f t="shared" si="54"/>
        <v>0.37216785598712931</v>
      </c>
      <c r="Y111" s="26">
        <f t="shared" si="57"/>
        <v>0.12726234278607959</v>
      </c>
      <c r="Z111" s="26">
        <v>15085.47</v>
      </c>
      <c r="AA111" s="26">
        <f t="shared" si="37"/>
        <v>218.85558016144529</v>
      </c>
      <c r="AB111" s="27">
        <f t="shared" si="38"/>
        <v>-6.1054488581049034E-3</v>
      </c>
      <c r="BK111" s="24">
        <v>44305</v>
      </c>
      <c r="BL111" s="25">
        <v>220.2</v>
      </c>
      <c r="BM111" s="26">
        <f t="shared" si="35"/>
        <v>214.54999999999998</v>
      </c>
      <c r="BN111" s="26">
        <f t="shared" si="39"/>
        <v>215.26</v>
      </c>
      <c r="BO111" s="26">
        <f t="shared" si="45"/>
        <v>218.69285714285715</v>
      </c>
      <c r="BP111" s="26">
        <f t="shared" si="50"/>
        <v>218.25692307692304</v>
      </c>
      <c r="BQ111" s="26">
        <f t="shared" si="53"/>
        <v>212.81242424242421</v>
      </c>
      <c r="BR111" s="26">
        <f t="shared" si="48"/>
        <v>215.684</v>
      </c>
      <c r="BS111" s="26">
        <f t="shared" si="42"/>
        <v>216.46590577817352</v>
      </c>
      <c r="BT111" s="26">
        <f t="shared" si="43"/>
        <v>216.57834619334577</v>
      </c>
    </row>
    <row r="112" spans="1:72" x14ac:dyDescent="0.2">
      <c r="A112" s="62"/>
      <c r="B112" s="24">
        <v>44306</v>
      </c>
      <c r="C112" s="25">
        <v>206</v>
      </c>
      <c r="D112" s="26">
        <f t="shared" si="44"/>
        <v>210.64333333333332</v>
      </c>
      <c r="E112" s="26">
        <f t="shared" si="46"/>
        <v>215.036</v>
      </c>
      <c r="F112" s="26">
        <f t="shared" si="49"/>
        <v>216.92142857142858</v>
      </c>
      <c r="G112" s="26">
        <f t="shared" si="51"/>
        <v>215.96384615384613</v>
      </c>
      <c r="H112" s="26">
        <f t="shared" si="56"/>
        <v>213.51272727272726</v>
      </c>
      <c r="I112" s="26">
        <f t="shared" si="47"/>
        <v>212.59733333333332</v>
      </c>
      <c r="J112" s="26">
        <f t="shared" si="40"/>
        <v>212.2795434669041</v>
      </c>
      <c r="K112" s="26">
        <f t="shared" si="41"/>
        <v>210.23133847733831</v>
      </c>
      <c r="L112" s="26">
        <f t="shared" si="36"/>
        <v>220.79406073124917</v>
      </c>
      <c r="V112" s="26">
        <f t="shared" si="52"/>
        <v>214.67507586398375</v>
      </c>
      <c r="W112" s="26">
        <f t="shared" si="55"/>
        <v>215.49292813398895</v>
      </c>
      <c r="X112" s="26">
        <f t="shared" si="54"/>
        <v>-0.81785227000520422</v>
      </c>
      <c r="Y112" s="26">
        <f t="shared" si="57"/>
        <v>-6.1760579772177193E-2</v>
      </c>
      <c r="Z112" s="26">
        <v>12698.45</v>
      </c>
      <c r="AA112" s="26">
        <f t="shared" si="37"/>
        <v>217.80464838576472</v>
      </c>
      <c r="AB112" s="27">
        <f t="shared" si="38"/>
        <v>5.7304118377498652E-2</v>
      </c>
      <c r="BK112" s="24">
        <v>44306</v>
      </c>
      <c r="BL112" s="25">
        <v>206</v>
      </c>
      <c r="BM112" s="26">
        <f t="shared" si="35"/>
        <v>210.64333333333332</v>
      </c>
      <c r="BN112" s="26">
        <f t="shared" si="39"/>
        <v>215.036</v>
      </c>
      <c r="BO112" s="26">
        <f t="shared" si="45"/>
        <v>216.92142857142858</v>
      </c>
      <c r="BP112" s="26">
        <f t="shared" si="50"/>
        <v>215.96384615384613</v>
      </c>
      <c r="BQ112" s="26">
        <f t="shared" si="53"/>
        <v>213.51272727272726</v>
      </c>
      <c r="BR112" s="26">
        <f t="shared" si="48"/>
        <v>212.59733333333332</v>
      </c>
      <c r="BS112" s="26">
        <f t="shared" si="42"/>
        <v>212.2795434669041</v>
      </c>
      <c r="BT112" s="26">
        <f t="shared" si="43"/>
        <v>210.23133847733831</v>
      </c>
    </row>
    <row r="113" spans="1:72" x14ac:dyDescent="0.2">
      <c r="A113" s="62"/>
      <c r="B113" s="24">
        <v>44307</v>
      </c>
      <c r="C113" s="25">
        <v>221.5</v>
      </c>
      <c r="D113" s="26">
        <f t="shared" si="44"/>
        <v>215.9</v>
      </c>
      <c r="E113" s="26">
        <f t="shared" si="46"/>
        <v>214.23000000000002</v>
      </c>
      <c r="F113" s="26">
        <f t="shared" si="49"/>
        <v>214.82857142857142</v>
      </c>
      <c r="G113" s="26">
        <f t="shared" si="51"/>
        <v>217.18615384615384</v>
      </c>
      <c r="H113" s="26">
        <f t="shared" si="56"/>
        <v>213.66212121212121</v>
      </c>
      <c r="I113" s="26">
        <f t="shared" si="47"/>
        <v>214.75199999999998</v>
      </c>
      <c r="J113" s="26">
        <f t="shared" si="40"/>
        <v>215.96772608014248</v>
      </c>
      <c r="K113" s="26">
        <f t="shared" si="41"/>
        <v>216.99253539093533</v>
      </c>
      <c r="L113" s="26">
        <f t="shared" si="36"/>
        <v>220.7792220692491</v>
      </c>
      <c r="V113" s="26">
        <f t="shared" si="52"/>
        <v>215.72506419260162</v>
      </c>
      <c r="W113" s="26">
        <f t="shared" si="55"/>
        <v>215.18062579998497</v>
      </c>
      <c r="X113" s="26">
        <f t="shared" si="54"/>
        <v>0.54443839261665516</v>
      </c>
      <c r="Y113" s="26">
        <f t="shared" si="57"/>
        <v>5.9479214705589277E-2</v>
      </c>
      <c r="Z113" s="26">
        <v>13777.74</v>
      </c>
      <c r="AA113" s="26">
        <f t="shared" si="37"/>
        <v>218.27982670692427</v>
      </c>
      <c r="AB113" s="27">
        <f t="shared" si="38"/>
        <v>-1.4538028411177118E-2</v>
      </c>
      <c r="BK113" s="24">
        <v>44307</v>
      </c>
      <c r="BL113" s="25">
        <v>221.5</v>
      </c>
      <c r="BM113" s="26">
        <f t="shared" si="35"/>
        <v>215.9</v>
      </c>
      <c r="BN113" s="26">
        <f t="shared" si="39"/>
        <v>214.23000000000002</v>
      </c>
      <c r="BO113" s="26">
        <f t="shared" si="45"/>
        <v>214.82857142857142</v>
      </c>
      <c r="BP113" s="26">
        <f t="shared" si="50"/>
        <v>217.18615384615384</v>
      </c>
      <c r="BQ113" s="26">
        <f t="shared" si="53"/>
        <v>213.66212121212121</v>
      </c>
      <c r="BR113" s="26">
        <f t="shared" si="48"/>
        <v>214.75199999999998</v>
      </c>
      <c r="BS113" s="26">
        <f t="shared" si="42"/>
        <v>215.96772608014248</v>
      </c>
      <c r="BT113" s="26">
        <f t="shared" si="43"/>
        <v>216.99253539093533</v>
      </c>
    </row>
    <row r="114" spans="1:72" x14ac:dyDescent="0.2">
      <c r="A114" s="62"/>
      <c r="B114" s="24">
        <v>44308</v>
      </c>
      <c r="C114" s="25">
        <v>221.54</v>
      </c>
      <c r="D114" s="26">
        <f t="shared" si="44"/>
        <v>216.34666666666666</v>
      </c>
      <c r="E114" s="26">
        <f t="shared" si="46"/>
        <v>214.994</v>
      </c>
      <c r="F114" s="26">
        <f t="shared" si="49"/>
        <v>216.88857142857142</v>
      </c>
      <c r="G114" s="26">
        <f t="shared" si="51"/>
        <v>216.87153846153845</v>
      </c>
      <c r="H114" s="26">
        <f t="shared" si="56"/>
        <v>214.1330303030303</v>
      </c>
      <c r="I114" s="26">
        <f t="shared" si="47"/>
        <v>217.18866666666665</v>
      </c>
      <c r="J114" s="26">
        <f t="shared" si="40"/>
        <v>218.19663564808548</v>
      </c>
      <c r="K114" s="26">
        <f t="shared" si="41"/>
        <v>219.72101415637411</v>
      </c>
      <c r="L114" s="26">
        <f t="shared" si="36"/>
        <v>220.764383407249</v>
      </c>
      <c r="V114" s="26">
        <f t="shared" si="52"/>
        <v>216.61966970143214</v>
      </c>
      <c r="W114" s="26">
        <f t="shared" si="55"/>
        <v>216.15580017833483</v>
      </c>
      <c r="X114" s="26">
        <f t="shared" si="54"/>
        <v>0.46386952309731555</v>
      </c>
      <c r="Y114" s="26">
        <f t="shared" si="57"/>
        <v>0.14035727638393453</v>
      </c>
      <c r="Z114" s="26">
        <v>12723.47</v>
      </c>
      <c r="AA114" s="26">
        <f t="shared" si="37"/>
        <v>217.8156639252355</v>
      </c>
      <c r="AB114" s="27">
        <f t="shared" si="38"/>
        <v>-1.6811122482461381E-2</v>
      </c>
      <c r="BK114" s="24">
        <v>44308</v>
      </c>
      <c r="BL114" s="25">
        <v>221.54</v>
      </c>
      <c r="BM114" s="26">
        <f t="shared" si="35"/>
        <v>216.34666666666666</v>
      </c>
      <c r="BN114" s="26">
        <f t="shared" si="39"/>
        <v>214.994</v>
      </c>
      <c r="BO114" s="26">
        <f t="shared" si="45"/>
        <v>216.88857142857142</v>
      </c>
      <c r="BP114" s="26">
        <f t="shared" si="50"/>
        <v>216.87153846153845</v>
      </c>
      <c r="BQ114" s="26">
        <f t="shared" si="53"/>
        <v>214.1330303030303</v>
      </c>
      <c r="BR114" s="26">
        <f t="shared" si="48"/>
        <v>217.18866666666665</v>
      </c>
      <c r="BS114" s="26">
        <f t="shared" si="42"/>
        <v>218.19663564808548</v>
      </c>
      <c r="BT114" s="26">
        <f t="shared" si="43"/>
        <v>219.72101415637411</v>
      </c>
    </row>
    <row r="115" spans="1:72" x14ac:dyDescent="0.2">
      <c r="A115" s="62"/>
      <c r="B115" s="24">
        <v>44309</v>
      </c>
      <c r="C115" s="25">
        <v>210.83</v>
      </c>
      <c r="D115" s="26">
        <f t="shared" si="44"/>
        <v>217.95666666666668</v>
      </c>
      <c r="E115" s="26">
        <f t="shared" si="46"/>
        <v>216.01399999999998</v>
      </c>
      <c r="F115" s="26">
        <f t="shared" si="49"/>
        <v>214.78857142857143</v>
      </c>
      <c r="G115" s="26">
        <f t="shared" si="51"/>
        <v>216.52692307692308</v>
      </c>
      <c r="H115" s="26">
        <f t="shared" si="56"/>
        <v>213.39909090909089</v>
      </c>
      <c r="I115" s="26">
        <f t="shared" si="47"/>
        <v>215.80066666666664</v>
      </c>
      <c r="J115" s="26">
        <f t="shared" si="40"/>
        <v>215.24998138885127</v>
      </c>
      <c r="K115" s="26">
        <f t="shared" si="41"/>
        <v>214.38640566254963</v>
      </c>
      <c r="L115" s="26">
        <f t="shared" si="36"/>
        <v>220.7495447452489</v>
      </c>
      <c r="V115" s="26">
        <f t="shared" si="52"/>
        <v>215.72895128582718</v>
      </c>
      <c r="W115" s="26">
        <f t="shared" si="55"/>
        <v>216.19080527910381</v>
      </c>
      <c r="X115" s="26">
        <f t="shared" si="54"/>
        <v>-0.4618539932766339</v>
      </c>
      <c r="Y115" s="26">
        <f t="shared" si="57"/>
        <v>1.9915022451820849E-2</v>
      </c>
      <c r="Z115" s="26">
        <v>13633.5</v>
      </c>
      <c r="AA115" s="26">
        <f t="shared" si="37"/>
        <v>218.21632225395606</v>
      </c>
      <c r="AB115" s="27">
        <f t="shared" si="38"/>
        <v>3.5034493449490355E-2</v>
      </c>
      <c r="BK115" s="24">
        <v>44309</v>
      </c>
      <c r="BL115" s="25">
        <v>210.83</v>
      </c>
      <c r="BM115" s="26">
        <f t="shared" si="35"/>
        <v>217.95666666666668</v>
      </c>
      <c r="BN115" s="26">
        <f t="shared" si="39"/>
        <v>216.01399999999998</v>
      </c>
      <c r="BO115" s="26">
        <f t="shared" si="45"/>
        <v>214.78857142857143</v>
      </c>
      <c r="BP115" s="26">
        <f t="shared" si="50"/>
        <v>216.52692307692308</v>
      </c>
      <c r="BQ115" s="26">
        <f t="shared" si="53"/>
        <v>213.39909090909089</v>
      </c>
      <c r="BR115" s="26">
        <f t="shared" si="48"/>
        <v>215.80066666666664</v>
      </c>
      <c r="BS115" s="26">
        <f t="shared" si="42"/>
        <v>215.24998138885127</v>
      </c>
      <c r="BT115" s="26">
        <f t="shared" si="43"/>
        <v>214.38640566254963</v>
      </c>
    </row>
    <row r="116" spans="1:72" x14ac:dyDescent="0.2">
      <c r="A116" s="62"/>
      <c r="B116" s="24">
        <v>44310</v>
      </c>
      <c r="C116" s="25">
        <v>224.5</v>
      </c>
      <c r="D116" s="26">
        <f t="shared" si="44"/>
        <v>218.95666666666668</v>
      </c>
      <c r="E116" s="26">
        <f t="shared" si="46"/>
        <v>216.87399999999997</v>
      </c>
      <c r="F116" s="26">
        <f t="shared" si="49"/>
        <v>215.75714285714284</v>
      </c>
      <c r="G116" s="26">
        <f t="shared" si="51"/>
        <v>217.97846153846154</v>
      </c>
      <c r="H116" s="26">
        <f t="shared" si="56"/>
        <v>213.4612121212121</v>
      </c>
      <c r="I116" s="26">
        <f t="shared" si="47"/>
        <v>218.62933333333334</v>
      </c>
      <c r="J116" s="26">
        <f t="shared" si="40"/>
        <v>218.94998883331075</v>
      </c>
      <c r="K116" s="26">
        <f t="shared" si="41"/>
        <v>220.45456226501983</v>
      </c>
      <c r="L116" s="26">
        <f t="shared" si="36"/>
        <v>220.73470608324882</v>
      </c>
      <c r="V116" s="26">
        <f t="shared" si="52"/>
        <v>217.07834339569993</v>
      </c>
      <c r="W116" s="26">
        <f t="shared" si="55"/>
        <v>216.37865859798811</v>
      </c>
      <c r="X116" s="26">
        <f t="shared" si="54"/>
        <v>0.69968479771182501</v>
      </c>
      <c r="Y116" s="26">
        <f t="shared" si="57"/>
        <v>0.1558689775038217</v>
      </c>
      <c r="Z116" s="26">
        <v>13814.49</v>
      </c>
      <c r="AA116" s="26">
        <f t="shared" si="37"/>
        <v>218.29600660602702</v>
      </c>
      <c r="AB116" s="27">
        <f t="shared" si="38"/>
        <v>-2.7634714449768283E-2</v>
      </c>
      <c r="BK116" s="24">
        <v>44310</v>
      </c>
      <c r="BL116" s="25">
        <v>224.5</v>
      </c>
      <c r="BM116" s="26">
        <f t="shared" si="35"/>
        <v>218.95666666666668</v>
      </c>
      <c r="BN116" s="26">
        <f t="shared" si="39"/>
        <v>216.87399999999997</v>
      </c>
      <c r="BO116" s="26">
        <f t="shared" si="45"/>
        <v>215.75714285714284</v>
      </c>
      <c r="BP116" s="26">
        <f t="shared" si="50"/>
        <v>217.97846153846154</v>
      </c>
      <c r="BQ116" s="26">
        <f t="shared" si="53"/>
        <v>213.4612121212121</v>
      </c>
      <c r="BR116" s="26">
        <f t="shared" si="48"/>
        <v>218.62933333333334</v>
      </c>
      <c r="BS116" s="26">
        <f t="shared" si="42"/>
        <v>218.94998883331075</v>
      </c>
      <c r="BT116" s="26">
        <f t="shared" si="43"/>
        <v>220.45456226501983</v>
      </c>
    </row>
    <row r="117" spans="1:72" x14ac:dyDescent="0.2">
      <c r="A117" s="62"/>
      <c r="B117" s="24">
        <v>44311</v>
      </c>
      <c r="C117" s="25">
        <v>215.81</v>
      </c>
      <c r="D117" s="26">
        <f t="shared" si="44"/>
        <v>217.04666666666671</v>
      </c>
      <c r="E117" s="26">
        <f t="shared" si="46"/>
        <v>218.83600000000001</v>
      </c>
      <c r="F117" s="26">
        <f t="shared" si="49"/>
        <v>217.19714285714284</v>
      </c>
      <c r="G117" s="26">
        <f t="shared" si="51"/>
        <v>217.77153846153848</v>
      </c>
      <c r="H117" s="26">
        <f t="shared" si="56"/>
        <v>213.22151515151515</v>
      </c>
      <c r="I117" s="26">
        <f t="shared" si="47"/>
        <v>218.27466666666666</v>
      </c>
      <c r="J117" s="26">
        <f t="shared" si="40"/>
        <v>217.69399329998646</v>
      </c>
      <c r="K117" s="26">
        <f t="shared" si="41"/>
        <v>217.66782490600792</v>
      </c>
      <c r="L117" s="26">
        <f t="shared" si="36"/>
        <v>220.71986742124872</v>
      </c>
      <c r="V117" s="26">
        <f t="shared" si="52"/>
        <v>216.88321364251533</v>
      </c>
      <c r="W117" s="26">
        <f t="shared" si="55"/>
        <v>216.98439203305549</v>
      </c>
      <c r="X117" s="26">
        <f t="shared" si="54"/>
        <v>-0.10117839054015576</v>
      </c>
      <c r="Y117" s="26">
        <f t="shared" si="57"/>
        <v>0.1044595038950262</v>
      </c>
      <c r="Z117" s="26">
        <v>14780.53</v>
      </c>
      <c r="AA117" s="26">
        <f t="shared" si="37"/>
        <v>218.7213244217883</v>
      </c>
      <c r="AB117" s="27">
        <f t="shared" si="38"/>
        <v>1.3490220201975319E-2</v>
      </c>
      <c r="BK117" s="24">
        <v>44311</v>
      </c>
      <c r="BL117" s="25">
        <v>215.81</v>
      </c>
      <c r="BM117" s="26">
        <f t="shared" si="35"/>
        <v>217.04666666666671</v>
      </c>
      <c r="BN117" s="26">
        <f t="shared" si="39"/>
        <v>218.83600000000001</v>
      </c>
      <c r="BO117" s="26">
        <f t="shared" si="45"/>
        <v>217.19714285714284</v>
      </c>
      <c r="BP117" s="26">
        <f t="shared" si="50"/>
        <v>217.77153846153848</v>
      </c>
      <c r="BQ117" s="26">
        <f t="shared" si="53"/>
        <v>213.22151515151515</v>
      </c>
      <c r="BR117" s="26">
        <f t="shared" si="48"/>
        <v>218.27466666666666</v>
      </c>
      <c r="BS117" s="26">
        <f t="shared" si="42"/>
        <v>217.69399329998646</v>
      </c>
      <c r="BT117" s="26">
        <f t="shared" si="43"/>
        <v>217.66782490600792</v>
      </c>
    </row>
    <row r="118" spans="1:72" x14ac:dyDescent="0.2">
      <c r="A118" s="62"/>
      <c r="B118" s="24">
        <v>44312</v>
      </c>
      <c r="C118" s="25">
        <v>198.38</v>
      </c>
      <c r="D118" s="26">
        <f t="shared" si="44"/>
        <v>212.89666666666668</v>
      </c>
      <c r="E118" s="26">
        <f t="shared" si="46"/>
        <v>214.21199999999999</v>
      </c>
      <c r="F118" s="26">
        <f t="shared" si="49"/>
        <v>214.07999999999998</v>
      </c>
      <c r="G118" s="26">
        <f t="shared" si="51"/>
        <v>216.23153846153849</v>
      </c>
      <c r="H118" s="26">
        <f t="shared" si="56"/>
        <v>212.50575757575757</v>
      </c>
      <c r="I118" s="26">
        <f t="shared" si="47"/>
        <v>211.45599999999999</v>
      </c>
      <c r="J118" s="26">
        <f t="shared" si="40"/>
        <v>209.96839597999187</v>
      </c>
      <c r="K118" s="26">
        <f t="shared" si="41"/>
        <v>206.09512996240318</v>
      </c>
      <c r="L118" s="26">
        <f t="shared" si="36"/>
        <v>220.70502875924862</v>
      </c>
      <c r="V118" s="26">
        <f t="shared" si="52"/>
        <v>214.03656538982068</v>
      </c>
      <c r="W118" s="26">
        <f t="shared" si="55"/>
        <v>215.51260522455121</v>
      </c>
      <c r="X118" s="26">
        <f t="shared" si="54"/>
        <v>-1.4760398347305284</v>
      </c>
      <c r="Y118" s="26">
        <f t="shared" si="57"/>
        <v>-0.21164036383008472</v>
      </c>
      <c r="Z118" s="26">
        <v>14255.49</v>
      </c>
      <c r="AA118" s="26">
        <f t="shared" si="37"/>
        <v>218.49016539526011</v>
      </c>
      <c r="AB118" s="27">
        <f t="shared" si="38"/>
        <v>0.1013719396877715</v>
      </c>
      <c r="BK118" s="24">
        <v>44312</v>
      </c>
      <c r="BL118" s="25">
        <v>198.38</v>
      </c>
      <c r="BM118" s="26">
        <f t="shared" si="35"/>
        <v>212.89666666666668</v>
      </c>
      <c r="BN118" s="26">
        <f t="shared" si="39"/>
        <v>214.21199999999999</v>
      </c>
      <c r="BO118" s="26">
        <f t="shared" si="45"/>
        <v>214.07999999999998</v>
      </c>
      <c r="BP118" s="26">
        <f t="shared" si="50"/>
        <v>216.23153846153849</v>
      </c>
      <c r="BQ118" s="26">
        <f t="shared" si="53"/>
        <v>212.50575757575757</v>
      </c>
      <c r="BR118" s="26">
        <f t="shared" si="48"/>
        <v>211.45599999999999</v>
      </c>
      <c r="BS118" s="26">
        <f t="shared" si="42"/>
        <v>209.96839597999187</v>
      </c>
      <c r="BT118" s="26">
        <f t="shared" si="43"/>
        <v>206.09512996240318</v>
      </c>
    </row>
    <row r="119" spans="1:72" x14ac:dyDescent="0.2">
      <c r="A119" s="62"/>
      <c r="B119" s="24">
        <v>44313</v>
      </c>
      <c r="C119" s="25">
        <v>181.98</v>
      </c>
      <c r="D119" s="26">
        <f t="shared" si="44"/>
        <v>198.72333333333333</v>
      </c>
      <c r="E119" s="26">
        <f t="shared" si="46"/>
        <v>206.3</v>
      </c>
      <c r="F119" s="26">
        <f t="shared" si="49"/>
        <v>210.64857142857142</v>
      </c>
      <c r="G119" s="26">
        <f t="shared" si="51"/>
        <v>212.06461538461539</v>
      </c>
      <c r="H119" s="26">
        <f t="shared" si="56"/>
        <v>211.66545454545454</v>
      </c>
      <c r="I119" s="26">
        <f t="shared" si="47"/>
        <v>200.71200000000002</v>
      </c>
      <c r="J119" s="26">
        <f t="shared" si="40"/>
        <v>198.77303758799513</v>
      </c>
      <c r="K119" s="26">
        <f t="shared" si="41"/>
        <v>191.62605198496126</v>
      </c>
      <c r="L119" s="26">
        <f t="shared" si="36"/>
        <v>220.69019009724855</v>
      </c>
      <c r="V119" s="26">
        <f t="shared" si="52"/>
        <v>209.10478609907904</v>
      </c>
      <c r="W119" s="26">
        <f t="shared" si="55"/>
        <v>211.6620049905747</v>
      </c>
      <c r="X119" s="26">
        <f t="shared" si="54"/>
        <v>-2.5572188914956655</v>
      </c>
      <c r="Y119" s="26">
        <f t="shared" si="57"/>
        <v>-0.68075606936320088</v>
      </c>
      <c r="Z119" s="26">
        <v>15940.31</v>
      </c>
      <c r="AA119" s="26">
        <f t="shared" si="37"/>
        <v>219.23194002400311</v>
      </c>
      <c r="AB119" s="27">
        <f t="shared" si="38"/>
        <v>0.20470348403122937</v>
      </c>
      <c r="BK119" s="24">
        <v>44313</v>
      </c>
      <c r="BL119" s="25">
        <v>181.98</v>
      </c>
      <c r="BM119" s="26">
        <f t="shared" si="35"/>
        <v>198.72333333333333</v>
      </c>
      <c r="BN119" s="26">
        <f t="shared" si="39"/>
        <v>206.3</v>
      </c>
      <c r="BO119" s="26">
        <f t="shared" si="45"/>
        <v>210.64857142857142</v>
      </c>
      <c r="BP119" s="26">
        <f t="shared" si="50"/>
        <v>212.06461538461539</v>
      </c>
      <c r="BQ119" s="26">
        <f t="shared" si="53"/>
        <v>211.66545454545454</v>
      </c>
      <c r="BR119" s="26">
        <f t="shared" si="48"/>
        <v>200.71200000000002</v>
      </c>
      <c r="BS119" s="26">
        <f t="shared" si="42"/>
        <v>198.77303758799513</v>
      </c>
      <c r="BT119" s="26">
        <f t="shared" si="43"/>
        <v>191.62605198496126</v>
      </c>
    </row>
    <row r="120" spans="1:72" x14ac:dyDescent="0.2">
      <c r="A120" s="62"/>
      <c r="B120" s="24">
        <v>44314</v>
      </c>
      <c r="C120" s="25">
        <v>207.19</v>
      </c>
      <c r="D120" s="26">
        <f t="shared" si="44"/>
        <v>195.85</v>
      </c>
      <c r="E120" s="26">
        <f t="shared" si="46"/>
        <v>205.57200000000003</v>
      </c>
      <c r="F120" s="26">
        <f t="shared" si="49"/>
        <v>208.60428571428571</v>
      </c>
      <c r="G120" s="26">
        <f t="shared" si="51"/>
        <v>212.07000000000002</v>
      </c>
      <c r="H120" s="26">
        <f t="shared" si="56"/>
        <v>212.01303030303029</v>
      </c>
      <c r="I120" s="26">
        <f t="shared" si="47"/>
        <v>201.00866666666664</v>
      </c>
      <c r="J120" s="26">
        <f t="shared" si="40"/>
        <v>202.13982255279709</v>
      </c>
      <c r="K120" s="26">
        <f t="shared" si="41"/>
        <v>200.96442079398452</v>
      </c>
      <c r="L120" s="26">
        <f t="shared" si="36"/>
        <v>220.67535143524844</v>
      </c>
      <c r="V120" s="26">
        <f t="shared" si="52"/>
        <v>208.81020362229765</v>
      </c>
      <c r="W120" s="26">
        <f t="shared" si="55"/>
        <v>208.96295009173986</v>
      </c>
      <c r="X120" s="26">
        <f t="shared" si="54"/>
        <v>-0.15274646944220649</v>
      </c>
      <c r="Y120" s="26">
        <f t="shared" si="57"/>
        <v>-0.575154149379002</v>
      </c>
      <c r="Z120" s="26">
        <v>12818.96</v>
      </c>
      <c r="AA120" s="26">
        <f t="shared" si="37"/>
        <v>217.85770524674086</v>
      </c>
      <c r="AB120" s="27">
        <f t="shared" si="38"/>
        <v>5.1487548852458445E-2</v>
      </c>
      <c r="BK120" s="24">
        <v>44314</v>
      </c>
      <c r="BL120" s="25">
        <v>207.19</v>
      </c>
      <c r="BM120" s="26">
        <f t="shared" si="35"/>
        <v>195.85</v>
      </c>
      <c r="BN120" s="26">
        <f t="shared" si="39"/>
        <v>205.57200000000003</v>
      </c>
      <c r="BO120" s="26">
        <f t="shared" si="45"/>
        <v>208.60428571428571</v>
      </c>
      <c r="BP120" s="26">
        <f t="shared" si="50"/>
        <v>212.07000000000002</v>
      </c>
      <c r="BQ120" s="26">
        <f t="shared" si="53"/>
        <v>212.01303030303029</v>
      </c>
      <c r="BR120" s="26">
        <f t="shared" si="48"/>
        <v>201.00866666666664</v>
      </c>
      <c r="BS120" s="26">
        <f t="shared" si="42"/>
        <v>202.13982255279709</v>
      </c>
      <c r="BT120" s="26">
        <f t="shared" si="43"/>
        <v>200.96442079398452</v>
      </c>
    </row>
    <row r="121" spans="1:72" x14ac:dyDescent="0.2">
      <c r="A121" s="62"/>
      <c r="B121" s="24">
        <v>44315</v>
      </c>
      <c r="C121" s="25">
        <v>205.72</v>
      </c>
      <c r="D121" s="26">
        <f t="shared" si="44"/>
        <v>198.29666666666665</v>
      </c>
      <c r="E121" s="26">
        <f t="shared" si="46"/>
        <v>201.81599999999997</v>
      </c>
      <c r="F121" s="26">
        <f t="shared" si="49"/>
        <v>206.34428571428572</v>
      </c>
      <c r="G121" s="26">
        <f t="shared" si="51"/>
        <v>210.54615384615383</v>
      </c>
      <c r="H121" s="26">
        <f t="shared" si="56"/>
        <v>212.84878787878785</v>
      </c>
      <c r="I121" s="26">
        <f t="shared" si="47"/>
        <v>201.05799999999996</v>
      </c>
      <c r="J121" s="26">
        <f t="shared" si="40"/>
        <v>203.57189353167826</v>
      </c>
      <c r="K121" s="26">
        <f t="shared" si="41"/>
        <v>203.81776831759379</v>
      </c>
      <c r="L121" s="26">
        <f t="shared" si="36"/>
        <v>220.66051277324834</v>
      </c>
      <c r="V121" s="26">
        <f t="shared" si="52"/>
        <v>208.3347876804057</v>
      </c>
      <c r="W121" s="26">
        <f t="shared" si="55"/>
        <v>208.58129965027558</v>
      </c>
      <c r="X121" s="26">
        <f t="shared" si="54"/>
        <v>-0.24651196986988566</v>
      </c>
      <c r="Y121" s="26">
        <f t="shared" si="57"/>
        <v>-0.5094257134771788</v>
      </c>
      <c r="Z121" s="26">
        <v>13856.3</v>
      </c>
      <c r="AA121" s="26">
        <f t="shared" si="37"/>
        <v>218.31441426810829</v>
      </c>
      <c r="AB121" s="27">
        <f t="shared" si="38"/>
        <v>6.1221146549233399E-2</v>
      </c>
      <c r="BK121" s="24">
        <v>44315</v>
      </c>
      <c r="BL121" s="25">
        <v>205.72</v>
      </c>
      <c r="BM121" s="26">
        <f t="shared" si="35"/>
        <v>198.29666666666665</v>
      </c>
      <c r="BN121" s="26">
        <f t="shared" si="39"/>
        <v>201.81599999999997</v>
      </c>
      <c r="BO121" s="26">
        <f t="shared" si="45"/>
        <v>206.34428571428572</v>
      </c>
      <c r="BP121" s="26">
        <f t="shared" si="50"/>
        <v>210.54615384615383</v>
      </c>
      <c r="BQ121" s="26">
        <f t="shared" si="53"/>
        <v>212.84878787878785</v>
      </c>
      <c r="BR121" s="26">
        <f t="shared" si="48"/>
        <v>201.05799999999996</v>
      </c>
      <c r="BS121" s="26">
        <f t="shared" si="42"/>
        <v>203.57189353167826</v>
      </c>
      <c r="BT121" s="26">
        <f t="shared" si="43"/>
        <v>203.81776831759379</v>
      </c>
    </row>
    <row r="122" spans="1:72" x14ac:dyDescent="0.2">
      <c r="A122" s="63"/>
      <c r="B122" s="24">
        <v>44316</v>
      </c>
      <c r="C122" s="25">
        <v>219.66</v>
      </c>
      <c r="D122" s="26">
        <f t="shared" si="44"/>
        <v>210.85666666666665</v>
      </c>
      <c r="E122" s="26">
        <f t="shared" si="46"/>
        <v>202.58599999999998</v>
      </c>
      <c r="F122" s="26">
        <f t="shared" si="49"/>
        <v>207.60571428571433</v>
      </c>
      <c r="G122" s="26">
        <f t="shared" si="51"/>
        <v>210.69538461538457</v>
      </c>
      <c r="H122" s="26">
        <f t="shared" si="56"/>
        <v>212.95242424242423</v>
      </c>
      <c r="I122" s="26">
        <f t="shared" si="47"/>
        <v>207.006</v>
      </c>
      <c r="J122" s="26">
        <f t="shared" si="40"/>
        <v>210.00713611900696</v>
      </c>
      <c r="K122" s="26">
        <f t="shared" si="41"/>
        <v>213.32310732703752</v>
      </c>
      <c r="L122" s="26">
        <f t="shared" si="36"/>
        <v>220.64567411124827</v>
      </c>
      <c r="V122" s="26">
        <f t="shared" si="52"/>
        <v>210.07712803726636</v>
      </c>
      <c r="W122" s="26">
        <f t="shared" si="55"/>
        <v>209.17369229667193</v>
      </c>
      <c r="X122" s="26">
        <f t="shared" si="54"/>
        <v>0.90343574059443199</v>
      </c>
      <c r="Y122" s="26">
        <f t="shared" si="57"/>
        <v>-0.22685342266285663</v>
      </c>
      <c r="Z122" s="26">
        <v>12920.15</v>
      </c>
      <c r="AA122" s="26">
        <f t="shared" si="37"/>
        <v>217.90225610361728</v>
      </c>
      <c r="AB122" s="27">
        <f t="shared" si="38"/>
        <v>-8.0021118837417856E-3</v>
      </c>
      <c r="BK122" s="24">
        <v>44316</v>
      </c>
      <c r="BL122" s="25">
        <v>219.66</v>
      </c>
      <c r="BM122" s="26">
        <f t="shared" si="35"/>
        <v>210.85666666666665</v>
      </c>
      <c r="BN122" s="26">
        <f t="shared" si="39"/>
        <v>202.58599999999998</v>
      </c>
      <c r="BO122" s="26">
        <f t="shared" si="45"/>
        <v>207.60571428571433</v>
      </c>
      <c r="BP122" s="26">
        <f t="shared" si="50"/>
        <v>210.69538461538457</v>
      </c>
      <c r="BQ122" s="26">
        <f t="shared" si="53"/>
        <v>212.95242424242423</v>
      </c>
      <c r="BR122" s="26">
        <f t="shared" si="48"/>
        <v>207.006</v>
      </c>
      <c r="BS122" s="26">
        <f t="shared" si="42"/>
        <v>210.00713611900696</v>
      </c>
      <c r="BT122" s="26">
        <f t="shared" si="43"/>
        <v>213.32310732703752</v>
      </c>
    </row>
    <row r="123" spans="1:72" x14ac:dyDescent="0.2">
      <c r="A123" s="61">
        <v>44317</v>
      </c>
      <c r="B123" s="24">
        <v>44317</v>
      </c>
      <c r="C123" s="25">
        <v>224.04</v>
      </c>
      <c r="D123" s="26">
        <f t="shared" si="44"/>
        <v>216.47333333333333</v>
      </c>
      <c r="E123" s="26">
        <f t="shared" si="46"/>
        <v>207.71799999999999</v>
      </c>
      <c r="F123" s="26">
        <f t="shared" si="49"/>
        <v>207.54</v>
      </c>
      <c r="G123" s="26">
        <f t="shared" si="51"/>
        <v>212.10384615384612</v>
      </c>
      <c r="H123" s="26">
        <f t="shared" si="56"/>
        <v>213.4760606060606</v>
      </c>
      <c r="I123" s="26">
        <f t="shared" si="47"/>
        <v>214.15733333333336</v>
      </c>
      <c r="J123" s="26">
        <f t="shared" si="40"/>
        <v>215.62028167140417</v>
      </c>
      <c r="K123" s="26">
        <f t="shared" si="41"/>
        <v>219.75324293081499</v>
      </c>
      <c r="L123" s="26">
        <f t="shared" si="36"/>
        <v>220.63083544924817</v>
      </c>
      <c r="V123" s="26">
        <f t="shared" si="52"/>
        <v>212.22526218537925</v>
      </c>
      <c r="W123" s="26">
        <f t="shared" si="55"/>
        <v>211.11141484932071</v>
      </c>
      <c r="X123" s="26">
        <f t="shared" si="54"/>
        <v>1.1138473360585408</v>
      </c>
      <c r="Y123" s="26">
        <f t="shared" si="57"/>
        <v>4.1286729081422863E-2</v>
      </c>
      <c r="Z123" s="26">
        <v>13705.59</v>
      </c>
      <c r="AA123" s="26">
        <f t="shared" si="37"/>
        <v>218.24806127235928</v>
      </c>
      <c r="AB123" s="27">
        <f t="shared" si="38"/>
        <v>-2.585225284610209E-2</v>
      </c>
      <c r="BK123" s="24">
        <v>44317</v>
      </c>
      <c r="BL123" s="25">
        <v>224.04</v>
      </c>
      <c r="BM123" s="26">
        <f t="shared" si="35"/>
        <v>216.47333333333333</v>
      </c>
      <c r="BN123" s="26">
        <f t="shared" si="39"/>
        <v>207.71799999999999</v>
      </c>
      <c r="BO123" s="26">
        <f t="shared" si="45"/>
        <v>207.54</v>
      </c>
      <c r="BP123" s="26">
        <f t="shared" si="50"/>
        <v>212.10384615384612</v>
      </c>
      <c r="BQ123" s="26">
        <f t="shared" si="53"/>
        <v>213.4760606060606</v>
      </c>
      <c r="BR123" s="26">
        <f t="shared" si="48"/>
        <v>214.15733333333336</v>
      </c>
      <c r="BS123" s="26">
        <f t="shared" si="42"/>
        <v>215.62028167140417</v>
      </c>
      <c r="BT123" s="26">
        <f t="shared" si="43"/>
        <v>219.75324293081499</v>
      </c>
    </row>
    <row r="124" spans="1:72" x14ac:dyDescent="0.2">
      <c r="A124" s="62"/>
      <c r="B124" s="24">
        <v>44318</v>
      </c>
      <c r="C124" s="25">
        <v>210.4</v>
      </c>
      <c r="D124" s="26">
        <f t="shared" si="44"/>
        <v>218.03333333333333</v>
      </c>
      <c r="E124" s="26">
        <f t="shared" si="46"/>
        <v>213.40199999999999</v>
      </c>
      <c r="F124" s="26">
        <f t="shared" si="49"/>
        <v>206.76714285714289</v>
      </c>
      <c r="G124" s="26">
        <f t="shared" si="51"/>
        <v>211.34999999999997</v>
      </c>
      <c r="H124" s="26">
        <f t="shared" si="56"/>
        <v>212.73363636363638</v>
      </c>
      <c r="I124" s="26">
        <f t="shared" si="47"/>
        <v>215.05133333333333</v>
      </c>
      <c r="J124" s="26">
        <f t="shared" si="40"/>
        <v>213.53216900284252</v>
      </c>
      <c r="K124" s="26">
        <f t="shared" si="41"/>
        <v>214.14129717232601</v>
      </c>
      <c r="L124" s="26">
        <f t="shared" si="36"/>
        <v>220.61599678724806</v>
      </c>
      <c r="V124" s="26">
        <f t="shared" si="52"/>
        <v>211.94445261839783</v>
      </c>
      <c r="W124" s="26">
        <f t="shared" si="55"/>
        <v>212.09005757905487</v>
      </c>
      <c r="X124" s="26">
        <f t="shared" si="54"/>
        <v>-0.14560496065703887</v>
      </c>
      <c r="Y124" s="26">
        <f t="shared" si="57"/>
        <v>3.9083911337305134E-3</v>
      </c>
      <c r="Z124" s="26">
        <v>13582.42</v>
      </c>
      <c r="AA124" s="26">
        <f t="shared" si="37"/>
        <v>218.19383329487664</v>
      </c>
      <c r="AB124" s="27">
        <f t="shared" si="38"/>
        <v>3.7042933911010621E-2</v>
      </c>
      <c r="BK124" s="24">
        <v>44318</v>
      </c>
      <c r="BL124" s="25">
        <v>210.4</v>
      </c>
      <c r="BM124" s="26">
        <f t="shared" si="35"/>
        <v>218.03333333333333</v>
      </c>
      <c r="BN124" s="26">
        <f t="shared" si="39"/>
        <v>213.40199999999999</v>
      </c>
      <c r="BO124" s="26">
        <f t="shared" si="45"/>
        <v>206.76714285714289</v>
      </c>
      <c r="BP124" s="26">
        <f t="shared" si="50"/>
        <v>211.34999999999997</v>
      </c>
      <c r="BQ124" s="26">
        <f t="shared" si="53"/>
        <v>212.73363636363638</v>
      </c>
      <c r="BR124" s="26">
        <f t="shared" si="48"/>
        <v>215.05133333333333</v>
      </c>
      <c r="BS124" s="26">
        <f t="shared" si="42"/>
        <v>213.53216900284252</v>
      </c>
      <c r="BT124" s="26">
        <f t="shared" si="43"/>
        <v>214.14129717232601</v>
      </c>
    </row>
    <row r="125" spans="1:72" x14ac:dyDescent="0.2">
      <c r="A125" s="62"/>
      <c r="B125" s="24">
        <v>44319</v>
      </c>
      <c r="C125" s="25">
        <v>220.93</v>
      </c>
      <c r="D125" s="26">
        <f t="shared" si="44"/>
        <v>218.45666666666668</v>
      </c>
      <c r="E125" s="26">
        <f t="shared" si="46"/>
        <v>216.15</v>
      </c>
      <c r="F125" s="26">
        <f t="shared" si="49"/>
        <v>209.98857142857145</v>
      </c>
      <c r="G125" s="26">
        <f t="shared" si="51"/>
        <v>212.49846153846153</v>
      </c>
      <c r="H125" s="26">
        <f t="shared" si="56"/>
        <v>213.18030303030304</v>
      </c>
      <c r="I125" s="26">
        <f t="shared" si="47"/>
        <v>217.56066666666666</v>
      </c>
      <c r="J125" s="26">
        <f t="shared" si="40"/>
        <v>216.49130140170553</v>
      </c>
      <c r="K125" s="26">
        <f t="shared" si="41"/>
        <v>218.21451886893038</v>
      </c>
      <c r="L125" s="26">
        <f t="shared" si="36"/>
        <v>220.60115812524799</v>
      </c>
      <c r="V125" s="26">
        <f t="shared" si="52"/>
        <v>213.32684452325969</v>
      </c>
      <c r="W125" s="26">
        <f t="shared" si="55"/>
        <v>212.61004872073875</v>
      </c>
      <c r="X125" s="26">
        <f t="shared" si="54"/>
        <v>0.71679580252094866</v>
      </c>
      <c r="Y125" s="26">
        <f t="shared" si="57"/>
        <v>0.14648587341117414</v>
      </c>
      <c r="Z125" s="26">
        <v>14895.12</v>
      </c>
      <c r="AA125" s="26">
        <f t="shared" si="37"/>
        <v>218.77177488813348</v>
      </c>
      <c r="AB125" s="27">
        <f t="shared" si="38"/>
        <v>-9.7688186840471109E-3</v>
      </c>
      <c r="BK125" s="24">
        <v>44319</v>
      </c>
      <c r="BL125" s="25">
        <v>220.93</v>
      </c>
      <c r="BM125" s="26">
        <f t="shared" si="35"/>
        <v>218.45666666666668</v>
      </c>
      <c r="BN125" s="26">
        <f t="shared" si="39"/>
        <v>216.15</v>
      </c>
      <c r="BO125" s="26">
        <f t="shared" si="45"/>
        <v>209.98857142857145</v>
      </c>
      <c r="BP125" s="26">
        <f t="shared" si="50"/>
        <v>212.49846153846153</v>
      </c>
      <c r="BQ125" s="26">
        <f t="shared" si="53"/>
        <v>213.18030303030304</v>
      </c>
      <c r="BR125" s="26">
        <f t="shared" si="48"/>
        <v>217.56066666666666</v>
      </c>
      <c r="BS125" s="26">
        <f t="shared" si="42"/>
        <v>216.49130140170553</v>
      </c>
      <c r="BT125" s="26">
        <f t="shared" si="43"/>
        <v>218.21451886893038</v>
      </c>
    </row>
    <row r="126" spans="1:72" x14ac:dyDescent="0.2">
      <c r="A126" s="62"/>
      <c r="B126" s="24">
        <v>44320</v>
      </c>
      <c r="C126" s="25">
        <v>221.41</v>
      </c>
      <c r="D126" s="26">
        <f t="shared" si="44"/>
        <v>217.58</v>
      </c>
      <c r="E126" s="26">
        <f t="shared" si="46"/>
        <v>219.28800000000001</v>
      </c>
      <c r="F126" s="26">
        <f t="shared" si="49"/>
        <v>215.62142857142859</v>
      </c>
      <c r="G126" s="26">
        <f t="shared" si="51"/>
        <v>212.49153846153845</v>
      </c>
      <c r="H126" s="26">
        <f t="shared" si="56"/>
        <v>213.03484848484848</v>
      </c>
      <c r="I126" s="26">
        <f t="shared" si="47"/>
        <v>219.31399999999999</v>
      </c>
      <c r="J126" s="26">
        <f t="shared" si="40"/>
        <v>218.45878084102333</v>
      </c>
      <c r="K126" s="26">
        <f t="shared" si="41"/>
        <v>220.13180754757218</v>
      </c>
      <c r="L126" s="26">
        <f t="shared" si="36"/>
        <v>220.58631946324789</v>
      </c>
      <c r="V126" s="26">
        <f t="shared" si="52"/>
        <v>214.57040690429665</v>
      </c>
      <c r="W126" s="26">
        <f t="shared" si="55"/>
        <v>213.92559678079601</v>
      </c>
      <c r="X126" s="26">
        <f t="shared" si="54"/>
        <v>0.64481012350063338</v>
      </c>
      <c r="Y126" s="26">
        <f t="shared" si="57"/>
        <v>0.24615072342906602</v>
      </c>
      <c r="Z126" s="26">
        <v>14433.83</v>
      </c>
      <c r="AA126" s="26">
        <f t="shared" si="37"/>
        <v>218.56868303351823</v>
      </c>
      <c r="AB126" s="27">
        <f t="shared" si="38"/>
        <v>-1.2832830344075561E-2</v>
      </c>
      <c r="BK126" s="24">
        <v>44320</v>
      </c>
      <c r="BL126" s="25">
        <v>221.41</v>
      </c>
      <c r="BM126" s="26">
        <f t="shared" si="35"/>
        <v>217.58</v>
      </c>
      <c r="BN126" s="26">
        <f t="shared" si="39"/>
        <v>219.28800000000001</v>
      </c>
      <c r="BO126" s="26">
        <f t="shared" si="45"/>
        <v>215.62142857142859</v>
      </c>
      <c r="BP126" s="26">
        <f t="shared" si="50"/>
        <v>212.49153846153845</v>
      </c>
      <c r="BQ126" s="26">
        <f t="shared" si="53"/>
        <v>213.03484848484848</v>
      </c>
      <c r="BR126" s="26">
        <f t="shared" si="48"/>
        <v>219.31399999999999</v>
      </c>
      <c r="BS126" s="26">
        <f t="shared" si="42"/>
        <v>218.45878084102333</v>
      </c>
      <c r="BT126" s="26">
        <f t="shared" si="43"/>
        <v>220.13180754757218</v>
      </c>
    </row>
    <row r="127" spans="1:72" x14ac:dyDescent="0.2">
      <c r="A127" s="62"/>
      <c r="B127" s="24">
        <v>44321</v>
      </c>
      <c r="C127" s="25">
        <v>203.49</v>
      </c>
      <c r="D127" s="26">
        <f t="shared" si="44"/>
        <v>215.27666666666667</v>
      </c>
      <c r="E127" s="26">
        <f t="shared" si="46"/>
        <v>216.054</v>
      </c>
      <c r="F127" s="26">
        <f t="shared" si="49"/>
        <v>215.09285714285716</v>
      </c>
      <c r="G127" s="26">
        <f t="shared" si="51"/>
        <v>211.10307692307694</v>
      </c>
      <c r="H127" s="26">
        <f t="shared" si="56"/>
        <v>212.93666666666667</v>
      </c>
      <c r="I127" s="26">
        <f t="shared" si="47"/>
        <v>214.04800000000003</v>
      </c>
      <c r="J127" s="26">
        <f t="shared" si="40"/>
        <v>212.47126850461402</v>
      </c>
      <c r="K127" s="26">
        <f t="shared" si="41"/>
        <v>210.14672301902885</v>
      </c>
      <c r="L127" s="26">
        <f t="shared" si="36"/>
        <v>220.57148080124779</v>
      </c>
      <c r="V127" s="26">
        <f t="shared" si="52"/>
        <v>212.86572891902023</v>
      </c>
      <c r="W127" s="26">
        <f t="shared" si="55"/>
        <v>213.74963602249687</v>
      </c>
      <c r="X127" s="26">
        <f t="shared" si="54"/>
        <v>-0.88390710347664481</v>
      </c>
      <c r="Y127" s="26">
        <f t="shared" si="57"/>
        <v>2.013915804792385E-2</v>
      </c>
      <c r="Z127" s="26">
        <v>15971.59</v>
      </c>
      <c r="AA127" s="26">
        <f t="shared" si="37"/>
        <v>219.24571164968842</v>
      </c>
      <c r="AB127" s="27">
        <f t="shared" si="38"/>
        <v>7.7427449258874667E-2</v>
      </c>
      <c r="BK127" s="24">
        <v>44321</v>
      </c>
      <c r="BL127" s="25">
        <v>203.49</v>
      </c>
      <c r="BM127" s="26">
        <f t="shared" si="35"/>
        <v>215.27666666666667</v>
      </c>
      <c r="BN127" s="26">
        <f t="shared" si="39"/>
        <v>216.054</v>
      </c>
      <c r="BO127" s="26">
        <f t="shared" si="45"/>
        <v>215.09285714285716</v>
      </c>
      <c r="BP127" s="26">
        <f t="shared" si="50"/>
        <v>211.10307692307694</v>
      </c>
      <c r="BQ127" s="26">
        <f t="shared" si="53"/>
        <v>212.93666666666667</v>
      </c>
      <c r="BR127" s="26">
        <f t="shared" si="48"/>
        <v>214.04800000000003</v>
      </c>
      <c r="BS127" s="26">
        <f t="shared" si="42"/>
        <v>212.47126850461402</v>
      </c>
      <c r="BT127" s="26">
        <f t="shared" si="43"/>
        <v>210.14672301902885</v>
      </c>
    </row>
    <row r="128" spans="1:72" x14ac:dyDescent="0.2">
      <c r="A128" s="62"/>
      <c r="B128" s="24">
        <v>44322</v>
      </c>
      <c r="C128" s="25">
        <v>186.7</v>
      </c>
      <c r="D128" s="26">
        <f t="shared" si="44"/>
        <v>203.86666666666665</v>
      </c>
      <c r="E128" s="26">
        <f t="shared" si="46"/>
        <v>208.58600000000001</v>
      </c>
      <c r="F128" s="26">
        <f t="shared" si="49"/>
        <v>212.37571428571431</v>
      </c>
      <c r="G128" s="26">
        <f t="shared" si="51"/>
        <v>209.24692307692308</v>
      </c>
      <c r="H128" s="26">
        <f t="shared" si="56"/>
        <v>212.72090909090906</v>
      </c>
      <c r="I128" s="26">
        <f t="shared" si="47"/>
        <v>204.26333333333335</v>
      </c>
      <c r="J128" s="26">
        <f t="shared" si="40"/>
        <v>202.1627611027684</v>
      </c>
      <c r="K128" s="26">
        <f t="shared" si="41"/>
        <v>196.07868920761155</v>
      </c>
      <c r="L128" s="26">
        <f t="shared" si="36"/>
        <v>220.55664213924771</v>
      </c>
      <c r="V128" s="26">
        <f t="shared" si="52"/>
        <v>208.84023216224787</v>
      </c>
      <c r="W128" s="26">
        <f t="shared" si="55"/>
        <v>210.92752677687059</v>
      </c>
      <c r="X128" s="26">
        <f t="shared" si="54"/>
        <v>-2.0872946146227207</v>
      </c>
      <c r="Y128" s="26">
        <f t="shared" si="57"/>
        <v>-0.4013475964862051</v>
      </c>
      <c r="Z128" s="26">
        <v>12740.79</v>
      </c>
      <c r="AA128" s="26">
        <f t="shared" si="37"/>
        <v>217.82328939060855</v>
      </c>
      <c r="AB128" s="27">
        <f t="shared" si="38"/>
        <v>0.166702139210544</v>
      </c>
      <c r="BK128" s="24">
        <v>44322</v>
      </c>
      <c r="BL128" s="25">
        <v>186.7</v>
      </c>
      <c r="BM128" s="26">
        <f t="shared" si="35"/>
        <v>203.86666666666665</v>
      </c>
      <c r="BN128" s="26">
        <f t="shared" si="39"/>
        <v>208.58600000000001</v>
      </c>
      <c r="BO128" s="26">
        <f t="shared" si="45"/>
        <v>212.37571428571431</v>
      </c>
      <c r="BP128" s="26">
        <f t="shared" si="50"/>
        <v>209.24692307692308</v>
      </c>
      <c r="BQ128" s="26">
        <f t="shared" si="53"/>
        <v>212.72090909090906</v>
      </c>
      <c r="BR128" s="26">
        <f t="shared" si="48"/>
        <v>204.26333333333335</v>
      </c>
      <c r="BS128" s="26">
        <f t="shared" si="42"/>
        <v>202.1627611027684</v>
      </c>
      <c r="BT128" s="26">
        <f t="shared" si="43"/>
        <v>196.07868920761155</v>
      </c>
    </row>
    <row r="129" spans="1:72" x14ac:dyDescent="0.2">
      <c r="A129" s="62"/>
      <c r="B129" s="24">
        <v>44323</v>
      </c>
      <c r="C129" s="25">
        <v>206.66</v>
      </c>
      <c r="D129" s="26">
        <f t="shared" si="44"/>
        <v>198.95000000000002</v>
      </c>
      <c r="E129" s="26">
        <f t="shared" si="46"/>
        <v>207.83800000000002</v>
      </c>
      <c r="F129" s="26">
        <f t="shared" si="49"/>
        <v>210.51857142857145</v>
      </c>
      <c r="G129" s="26">
        <f t="shared" si="51"/>
        <v>207.87461538461537</v>
      </c>
      <c r="H129" s="26">
        <f t="shared" si="56"/>
        <v>213.56787878787875</v>
      </c>
      <c r="I129" s="26">
        <f t="shared" si="47"/>
        <v>203.62133333333333</v>
      </c>
      <c r="J129" s="26">
        <f t="shared" si="40"/>
        <v>203.96165666166104</v>
      </c>
      <c r="K129" s="26">
        <f t="shared" si="41"/>
        <v>202.42747568304463</v>
      </c>
      <c r="L129" s="26">
        <f t="shared" si="36"/>
        <v>220.54180347724761</v>
      </c>
      <c r="V129" s="26">
        <f t="shared" si="52"/>
        <v>208.50481182959433</v>
      </c>
      <c r="W129" s="26">
        <f t="shared" si="55"/>
        <v>208.67873348356284</v>
      </c>
      <c r="X129" s="26">
        <f t="shared" si="54"/>
        <v>-0.17392165396850601</v>
      </c>
      <c r="Y129" s="26">
        <f t="shared" si="57"/>
        <v>-0.35586240798266527</v>
      </c>
      <c r="Z129" s="26">
        <v>13698.38</v>
      </c>
      <c r="AA129" s="26">
        <f t="shared" si="37"/>
        <v>218.24488693024958</v>
      </c>
      <c r="AB129" s="27">
        <f t="shared" si="38"/>
        <v>5.6057712814524249E-2</v>
      </c>
      <c r="BK129" s="24">
        <v>44323</v>
      </c>
      <c r="BL129" s="25">
        <v>206.66</v>
      </c>
      <c r="BM129" s="26">
        <f t="shared" si="35"/>
        <v>198.95000000000002</v>
      </c>
      <c r="BN129" s="26">
        <f t="shared" si="39"/>
        <v>207.83800000000002</v>
      </c>
      <c r="BO129" s="26">
        <f t="shared" si="45"/>
        <v>210.51857142857145</v>
      </c>
      <c r="BP129" s="26">
        <f t="shared" si="50"/>
        <v>207.87461538461537</v>
      </c>
      <c r="BQ129" s="26">
        <f t="shared" si="53"/>
        <v>213.56787878787875</v>
      </c>
      <c r="BR129" s="26">
        <f t="shared" si="48"/>
        <v>203.62133333333333</v>
      </c>
      <c r="BS129" s="26">
        <f t="shared" si="42"/>
        <v>203.96165666166104</v>
      </c>
      <c r="BT129" s="26">
        <f t="shared" si="43"/>
        <v>202.42747568304463</v>
      </c>
    </row>
    <row r="130" spans="1:72" x14ac:dyDescent="0.2">
      <c r="A130" s="62"/>
      <c r="B130" s="24">
        <v>44324</v>
      </c>
      <c r="C130" s="25">
        <v>204.93</v>
      </c>
      <c r="D130" s="26">
        <f t="shared" si="44"/>
        <v>199.42999999999998</v>
      </c>
      <c r="E130" s="26">
        <f t="shared" si="46"/>
        <v>204.63799999999998</v>
      </c>
      <c r="F130" s="26">
        <f t="shared" si="49"/>
        <v>207.78857142857146</v>
      </c>
      <c r="G130" s="26">
        <f t="shared" si="51"/>
        <v>207.03769230769228</v>
      </c>
      <c r="H130" s="26">
        <f t="shared" si="56"/>
        <v>213.48151515151514</v>
      </c>
      <c r="I130" s="26">
        <f t="shared" si="47"/>
        <v>202.65199999999999</v>
      </c>
      <c r="J130" s="26">
        <f t="shared" si="40"/>
        <v>204.34899399699663</v>
      </c>
      <c r="K130" s="26">
        <f t="shared" si="41"/>
        <v>203.92899027321786</v>
      </c>
      <c r="L130" s="26">
        <f t="shared" si="36"/>
        <v>220.52696481524751</v>
      </c>
      <c r="V130" s="26">
        <f t="shared" si="52"/>
        <v>207.95484077888753</v>
      </c>
      <c r="W130" s="26">
        <f t="shared" si="55"/>
        <v>208.2400109533281</v>
      </c>
      <c r="X130" s="26">
        <f t="shared" si="54"/>
        <v>-0.28517017444056592</v>
      </c>
      <c r="Y130" s="26">
        <f t="shared" si="57"/>
        <v>-0.34172396127424542</v>
      </c>
      <c r="Z130" s="26">
        <v>13632.84</v>
      </c>
      <c r="AA130" s="26">
        <f t="shared" si="37"/>
        <v>218.21603167617627</v>
      </c>
      <c r="AB130" s="27">
        <f t="shared" si="38"/>
        <v>6.4832048388114308E-2</v>
      </c>
      <c r="BK130" s="24">
        <v>44324</v>
      </c>
      <c r="BL130" s="25">
        <v>204.93</v>
      </c>
      <c r="BM130" s="26">
        <f t="shared" si="35"/>
        <v>199.42999999999998</v>
      </c>
      <c r="BN130" s="26">
        <f t="shared" si="39"/>
        <v>204.63799999999998</v>
      </c>
      <c r="BO130" s="26">
        <f t="shared" si="45"/>
        <v>207.78857142857146</v>
      </c>
      <c r="BP130" s="26">
        <f t="shared" si="50"/>
        <v>207.03769230769228</v>
      </c>
      <c r="BQ130" s="26">
        <f t="shared" si="53"/>
        <v>213.48151515151514</v>
      </c>
      <c r="BR130" s="26">
        <f t="shared" si="48"/>
        <v>202.65199999999999</v>
      </c>
      <c r="BS130" s="26">
        <f t="shared" si="42"/>
        <v>204.34899399699663</v>
      </c>
      <c r="BT130" s="26">
        <f t="shared" si="43"/>
        <v>203.92899027321786</v>
      </c>
    </row>
    <row r="131" spans="1:72" x14ac:dyDescent="0.2">
      <c r="A131" s="62"/>
      <c r="B131" s="24">
        <v>44325</v>
      </c>
      <c r="C131" s="25">
        <v>220.77</v>
      </c>
      <c r="D131" s="26">
        <f t="shared" si="44"/>
        <v>210.78666666666666</v>
      </c>
      <c r="E131" s="26">
        <f t="shared" si="46"/>
        <v>204.51</v>
      </c>
      <c r="F131" s="26">
        <f t="shared" si="49"/>
        <v>209.27</v>
      </c>
      <c r="G131" s="26">
        <f t="shared" si="51"/>
        <v>208.75999999999996</v>
      </c>
      <c r="H131" s="26">
        <f t="shared" si="56"/>
        <v>213.62969696969694</v>
      </c>
      <c r="I131" s="26">
        <f t="shared" si="47"/>
        <v>208.02933333333337</v>
      </c>
      <c r="J131" s="26">
        <f t="shared" si="40"/>
        <v>210.91739639819798</v>
      </c>
      <c r="K131" s="26">
        <f t="shared" si="41"/>
        <v>214.03359610928715</v>
      </c>
      <c r="L131" s="26">
        <f t="shared" si="36"/>
        <v>220.51212615324744</v>
      </c>
      <c r="V131" s="26">
        <f t="shared" si="52"/>
        <v>209.92640373598175</v>
      </c>
      <c r="W131" s="26">
        <f t="shared" si="55"/>
        <v>208.90411183230327</v>
      </c>
      <c r="X131" s="26">
        <f t="shared" si="54"/>
        <v>1.0222919036784788</v>
      </c>
      <c r="Y131" s="26">
        <f t="shared" si="57"/>
        <v>-6.8920788283700574E-2</v>
      </c>
      <c r="Z131" s="26">
        <v>14663.64</v>
      </c>
      <c r="AA131" s="26">
        <f t="shared" si="37"/>
        <v>218.66986133590746</v>
      </c>
      <c r="AB131" s="27">
        <f t="shared" si="38"/>
        <v>-9.5127900715339699E-3</v>
      </c>
      <c r="BK131" s="24">
        <v>44325</v>
      </c>
      <c r="BL131" s="25">
        <v>220.77</v>
      </c>
      <c r="BM131" s="26">
        <f t="shared" ref="BM131:BM194" si="58">AVERAGE(BL129:BL131)</f>
        <v>210.78666666666666</v>
      </c>
      <c r="BN131" s="26">
        <f t="shared" si="39"/>
        <v>204.51</v>
      </c>
      <c r="BO131" s="26">
        <f t="shared" si="45"/>
        <v>209.27</v>
      </c>
      <c r="BP131" s="26">
        <f t="shared" si="50"/>
        <v>208.75999999999996</v>
      </c>
      <c r="BQ131" s="26">
        <f t="shared" si="53"/>
        <v>213.62969696969694</v>
      </c>
      <c r="BR131" s="26">
        <f t="shared" si="48"/>
        <v>208.02933333333337</v>
      </c>
      <c r="BS131" s="26">
        <f t="shared" si="42"/>
        <v>210.91739639819798</v>
      </c>
      <c r="BT131" s="26">
        <f t="shared" si="43"/>
        <v>214.03359610928715</v>
      </c>
    </row>
    <row r="132" spans="1:72" x14ac:dyDescent="0.2">
      <c r="A132" s="62"/>
      <c r="B132" s="24">
        <v>44326</v>
      </c>
      <c r="C132" s="25">
        <v>236.38</v>
      </c>
      <c r="D132" s="26">
        <f t="shared" si="44"/>
        <v>220.69333333333336</v>
      </c>
      <c r="E132" s="26">
        <f t="shared" si="46"/>
        <v>211.08800000000002</v>
      </c>
      <c r="F132" s="26">
        <f t="shared" si="49"/>
        <v>211.47714285714281</v>
      </c>
      <c r="G132" s="26">
        <f t="shared" si="51"/>
        <v>212.94461538461539</v>
      </c>
      <c r="H132" s="26">
        <f t="shared" si="56"/>
        <v>213.64696969696965</v>
      </c>
      <c r="I132" s="26">
        <f t="shared" si="47"/>
        <v>218.65266666666668</v>
      </c>
      <c r="J132" s="26">
        <f t="shared" si="40"/>
        <v>221.10243783891877</v>
      </c>
      <c r="K132" s="26">
        <f t="shared" si="41"/>
        <v>227.44143844371487</v>
      </c>
      <c r="L132" s="26">
        <f t="shared" ref="L132:L195" si="59">$N$20+$N$21*A739</f>
        <v>220.49728749124733</v>
      </c>
      <c r="V132" s="26">
        <f t="shared" si="52"/>
        <v>213.99618777659995</v>
      </c>
      <c r="W132" s="26">
        <f t="shared" si="55"/>
        <v>211.88592938516831</v>
      </c>
      <c r="X132" s="26">
        <f t="shared" si="54"/>
        <v>2.1102583914316426</v>
      </c>
      <c r="Y132" s="26">
        <f t="shared" si="57"/>
        <v>0.36691504765936811</v>
      </c>
      <c r="Z132" s="26">
        <v>14835.76</v>
      </c>
      <c r="AA132" s="26">
        <f t="shared" ref="AA132:AA195" si="60">$AD$20+$AD$21*Z132</f>
        <v>218.74564049872558</v>
      </c>
      <c r="AB132" s="27">
        <f t="shared" si="38"/>
        <v>-7.4601740846410095E-2</v>
      </c>
      <c r="BK132" s="24">
        <v>44326</v>
      </c>
      <c r="BL132" s="25">
        <v>236.38</v>
      </c>
      <c r="BM132" s="26">
        <f t="shared" si="58"/>
        <v>220.69333333333336</v>
      </c>
      <c r="BN132" s="26">
        <f t="shared" si="39"/>
        <v>211.08800000000002</v>
      </c>
      <c r="BO132" s="26">
        <f t="shared" si="45"/>
        <v>211.47714285714281</v>
      </c>
      <c r="BP132" s="26">
        <f t="shared" si="50"/>
        <v>212.94461538461539</v>
      </c>
      <c r="BQ132" s="26">
        <f t="shared" si="53"/>
        <v>213.64696969696965</v>
      </c>
      <c r="BR132" s="26">
        <f t="shared" si="48"/>
        <v>218.65266666666668</v>
      </c>
      <c r="BS132" s="26">
        <f t="shared" si="42"/>
        <v>221.10243783891877</v>
      </c>
      <c r="BT132" s="26">
        <f t="shared" si="43"/>
        <v>227.44143844371487</v>
      </c>
    </row>
    <row r="133" spans="1:72" x14ac:dyDescent="0.2">
      <c r="A133" s="62"/>
      <c r="B133" s="24">
        <v>44327</v>
      </c>
      <c r="C133" s="25">
        <v>220.14</v>
      </c>
      <c r="D133" s="26">
        <f t="shared" si="44"/>
        <v>225.76333333333332</v>
      </c>
      <c r="E133" s="26">
        <f t="shared" si="46"/>
        <v>217.77600000000001</v>
      </c>
      <c r="F133" s="26">
        <f t="shared" si="49"/>
        <v>211.29571428571424</v>
      </c>
      <c r="G133" s="26">
        <f t="shared" si="51"/>
        <v>213.94076923076923</v>
      </c>
      <c r="H133" s="26">
        <f t="shared" si="56"/>
        <v>214.08727272727273</v>
      </c>
      <c r="I133" s="26">
        <f t="shared" si="47"/>
        <v>221.67</v>
      </c>
      <c r="J133" s="26">
        <f t="shared" si="40"/>
        <v>220.71746270335126</v>
      </c>
      <c r="K133" s="26">
        <f t="shared" si="41"/>
        <v>223.06057537748592</v>
      </c>
      <c r="L133" s="26">
        <f t="shared" si="59"/>
        <v>220.48244882924723</v>
      </c>
      <c r="V133" s="26">
        <f t="shared" si="52"/>
        <v>214.94138965712301</v>
      </c>
      <c r="W133" s="26">
        <f t="shared" si="55"/>
        <v>214.45128497833329</v>
      </c>
      <c r="X133" s="26">
        <f t="shared" si="54"/>
        <v>0.49010467878972008</v>
      </c>
      <c r="Y133" s="26">
        <f t="shared" si="57"/>
        <v>0.39155297388543853</v>
      </c>
      <c r="Z133" s="26">
        <v>14501.91</v>
      </c>
      <c r="AA133" s="26">
        <f t="shared" si="60"/>
        <v>218.59865657177443</v>
      </c>
      <c r="AB133" s="27">
        <f t="shared" ref="AB133:AB196" si="61">(AA133-C133)/C133</f>
        <v>-7.0016508959096918E-3</v>
      </c>
      <c r="BK133" s="24">
        <v>44327</v>
      </c>
      <c r="BL133" s="25">
        <v>220.14</v>
      </c>
      <c r="BM133" s="26">
        <f t="shared" si="58"/>
        <v>225.76333333333332</v>
      </c>
      <c r="BN133" s="26">
        <f t="shared" ref="BN133:BN196" si="62">AVERAGE(BL129:BL133)</f>
        <v>217.77600000000001</v>
      </c>
      <c r="BO133" s="26">
        <f t="shared" si="45"/>
        <v>211.29571428571424</v>
      </c>
      <c r="BP133" s="26">
        <f t="shared" si="50"/>
        <v>213.94076923076923</v>
      </c>
      <c r="BQ133" s="26">
        <f t="shared" si="53"/>
        <v>214.08727272727273</v>
      </c>
      <c r="BR133" s="26">
        <f t="shared" si="48"/>
        <v>221.67</v>
      </c>
      <c r="BS133" s="26">
        <f t="shared" si="42"/>
        <v>220.71746270335126</v>
      </c>
      <c r="BT133" s="26">
        <f t="shared" si="43"/>
        <v>223.06057537748592</v>
      </c>
    </row>
    <row r="134" spans="1:72" x14ac:dyDescent="0.2">
      <c r="A134" s="62"/>
      <c r="B134" s="24">
        <v>44328</v>
      </c>
      <c r="C134" s="25">
        <v>220.18</v>
      </c>
      <c r="D134" s="26">
        <f t="shared" si="44"/>
        <v>225.56666666666669</v>
      </c>
      <c r="E134" s="26">
        <f t="shared" si="46"/>
        <v>220.48000000000002</v>
      </c>
      <c r="F134" s="26">
        <f t="shared" si="49"/>
        <v>213.68</v>
      </c>
      <c r="G134" s="26">
        <f t="shared" si="51"/>
        <v>215.05307692307693</v>
      </c>
      <c r="H134" s="26">
        <f t="shared" si="56"/>
        <v>213.92212121212123</v>
      </c>
      <c r="I134" s="26">
        <f t="shared" si="47"/>
        <v>222.47133333333332</v>
      </c>
      <c r="J134" s="26">
        <f t="shared" ref="J134:J197" si="63">C134*$J$3+J133*(1-$J$3)</f>
        <v>220.50247762201076</v>
      </c>
      <c r="K134" s="26">
        <f t="shared" ref="K134:K197" si="64">C134*$K$3+K133*(1-$K$3)</f>
        <v>221.33223015099438</v>
      </c>
      <c r="L134" s="26">
        <f t="shared" si="59"/>
        <v>220.46761016724716</v>
      </c>
      <c r="V134" s="26">
        <f t="shared" si="52"/>
        <v>215.74732970987333</v>
      </c>
      <c r="W134" s="26">
        <f t="shared" si="55"/>
        <v>215.32943486770648</v>
      </c>
      <c r="X134" s="26">
        <f t="shared" si="54"/>
        <v>0.41789484216684514</v>
      </c>
      <c r="Y134" s="26">
        <f t="shared" si="57"/>
        <v>0.39682134754171988</v>
      </c>
      <c r="Z134" s="26">
        <v>15225.15</v>
      </c>
      <c r="AA134" s="26">
        <f t="shared" si="60"/>
        <v>218.91707698611668</v>
      </c>
      <c r="AB134" s="27">
        <f t="shared" si="61"/>
        <v>-5.7358661726011608E-3</v>
      </c>
      <c r="BK134" s="24">
        <v>44328</v>
      </c>
      <c r="BL134" s="25">
        <v>220.18</v>
      </c>
      <c r="BM134" s="26">
        <f t="shared" si="58"/>
        <v>225.56666666666669</v>
      </c>
      <c r="BN134" s="26">
        <f t="shared" si="62"/>
        <v>220.48000000000002</v>
      </c>
      <c r="BO134" s="26">
        <f t="shared" si="45"/>
        <v>213.68</v>
      </c>
      <c r="BP134" s="26">
        <f t="shared" si="50"/>
        <v>215.05307692307693</v>
      </c>
      <c r="BQ134" s="26">
        <f t="shared" si="53"/>
        <v>213.92212121212123</v>
      </c>
      <c r="BR134" s="26">
        <f t="shared" si="48"/>
        <v>222.47133333333332</v>
      </c>
      <c r="BS134" s="26">
        <f t="shared" ref="BS134:BS197" si="65">BL134*$J$3+BS133*(1-$J$3)</f>
        <v>220.50247762201076</v>
      </c>
      <c r="BT134" s="26">
        <f t="shared" ref="BT134:BT197" si="66">BL134*$K$3+BT133*(1-$K$3)</f>
        <v>221.33223015099438</v>
      </c>
    </row>
    <row r="135" spans="1:72" x14ac:dyDescent="0.2">
      <c r="A135" s="62"/>
      <c r="B135" s="24">
        <v>44329</v>
      </c>
      <c r="C135" s="25">
        <v>222.33</v>
      </c>
      <c r="D135" s="26">
        <f t="shared" ref="D135:D198" si="67">AVERAGE(C133:C135)</f>
        <v>220.88333333333333</v>
      </c>
      <c r="E135" s="26">
        <f t="shared" si="46"/>
        <v>223.95999999999998</v>
      </c>
      <c r="F135" s="26">
        <f t="shared" si="49"/>
        <v>218.77</v>
      </c>
      <c r="G135" s="26">
        <f t="shared" si="51"/>
        <v>215.25846153846152</v>
      </c>
      <c r="H135" s="26">
        <f t="shared" si="56"/>
        <v>214.1348484848485</v>
      </c>
      <c r="I135" s="26">
        <f t="shared" si="47"/>
        <v>223.08800000000002</v>
      </c>
      <c r="J135" s="26">
        <f t="shared" si="63"/>
        <v>221.23348657320648</v>
      </c>
      <c r="K135" s="26">
        <f t="shared" si="64"/>
        <v>221.93089206039775</v>
      </c>
      <c r="L135" s="26">
        <f t="shared" si="59"/>
        <v>220.45277150524706</v>
      </c>
      <c r="V135" s="26">
        <f t="shared" si="52"/>
        <v>216.76004821604664</v>
      </c>
      <c r="W135" s="26">
        <f t="shared" si="55"/>
        <v>216.23493491654938</v>
      </c>
      <c r="X135" s="26">
        <f t="shared" si="54"/>
        <v>0.5251132994972636</v>
      </c>
      <c r="Y135" s="26">
        <f t="shared" si="57"/>
        <v>0.42247973793282867</v>
      </c>
      <c r="Z135" s="26">
        <v>13067.48</v>
      </c>
      <c r="AA135" s="26">
        <f t="shared" si="60"/>
        <v>217.9671209889182</v>
      </c>
      <c r="AB135" s="27">
        <f t="shared" si="61"/>
        <v>-1.9623438182349729E-2</v>
      </c>
      <c r="BK135" s="24">
        <v>44329</v>
      </c>
      <c r="BL135" s="25">
        <v>222.33</v>
      </c>
      <c r="BM135" s="26">
        <f t="shared" si="58"/>
        <v>220.88333333333333</v>
      </c>
      <c r="BN135" s="26">
        <f t="shared" si="62"/>
        <v>223.95999999999998</v>
      </c>
      <c r="BO135" s="26">
        <f t="shared" ref="BO135:BO198" si="68">AVERAGE(BL129:BL135)</f>
        <v>218.77</v>
      </c>
      <c r="BP135" s="26">
        <f t="shared" si="50"/>
        <v>215.25846153846152</v>
      </c>
      <c r="BQ135" s="26">
        <f t="shared" si="53"/>
        <v>214.1348484848485</v>
      </c>
      <c r="BR135" s="26">
        <f t="shared" si="48"/>
        <v>223.08800000000002</v>
      </c>
      <c r="BS135" s="26">
        <f t="shared" si="65"/>
        <v>221.23348657320648</v>
      </c>
      <c r="BT135" s="26">
        <f t="shared" si="66"/>
        <v>221.93089206039775</v>
      </c>
    </row>
    <row r="136" spans="1:72" x14ac:dyDescent="0.2">
      <c r="A136" s="62"/>
      <c r="B136" s="24">
        <v>44330</v>
      </c>
      <c r="C136" s="25">
        <v>201.32</v>
      </c>
      <c r="D136" s="26">
        <f t="shared" si="67"/>
        <v>214.60999999999999</v>
      </c>
      <c r="E136" s="26">
        <f t="shared" si="46"/>
        <v>220.07000000000002</v>
      </c>
      <c r="F136" s="26">
        <f t="shared" si="49"/>
        <v>218.00714285714284</v>
      </c>
      <c r="G136" s="26">
        <f t="shared" si="51"/>
        <v>213.51076923076923</v>
      </c>
      <c r="H136" s="26">
        <f t="shared" si="56"/>
        <v>214.00424242424242</v>
      </c>
      <c r="I136" s="26">
        <f t="shared" si="47"/>
        <v>215.54133333333331</v>
      </c>
      <c r="J136" s="26">
        <f t="shared" si="63"/>
        <v>213.26809194392388</v>
      </c>
      <c r="K136" s="26">
        <f t="shared" si="64"/>
        <v>209.56435682415909</v>
      </c>
      <c r="L136" s="26">
        <f t="shared" si="59"/>
        <v>220.43793284324695</v>
      </c>
      <c r="V136" s="26">
        <f t="shared" si="52"/>
        <v>214.38465618280867</v>
      </c>
      <c r="W136" s="26">
        <f t="shared" si="55"/>
        <v>215.61634094078394</v>
      </c>
      <c r="X136" s="26">
        <f t="shared" si="54"/>
        <v>-1.2316847579752732</v>
      </c>
      <c r="Y136" s="26">
        <f t="shared" si="57"/>
        <v>9.1646838751208326E-2</v>
      </c>
      <c r="Z136" s="26">
        <v>13688.84</v>
      </c>
      <c r="AA136" s="26">
        <f t="shared" si="60"/>
        <v>218.24068676052332</v>
      </c>
      <c r="AB136" s="27">
        <f t="shared" si="61"/>
        <v>8.40487123014272E-2</v>
      </c>
      <c r="BK136" s="24">
        <v>44330</v>
      </c>
      <c r="BL136" s="25">
        <v>201.32</v>
      </c>
      <c r="BM136" s="26">
        <f t="shared" si="58"/>
        <v>214.60999999999999</v>
      </c>
      <c r="BN136" s="26">
        <f t="shared" si="62"/>
        <v>220.07000000000002</v>
      </c>
      <c r="BO136" s="26">
        <f t="shared" si="68"/>
        <v>218.00714285714284</v>
      </c>
      <c r="BP136" s="26">
        <f t="shared" si="50"/>
        <v>213.51076923076923</v>
      </c>
      <c r="BQ136" s="26">
        <f t="shared" si="53"/>
        <v>214.00424242424242</v>
      </c>
      <c r="BR136" s="26">
        <f t="shared" si="48"/>
        <v>215.54133333333331</v>
      </c>
      <c r="BS136" s="26">
        <f t="shared" si="65"/>
        <v>213.26809194392388</v>
      </c>
      <c r="BT136" s="26">
        <f t="shared" si="66"/>
        <v>209.56435682415909</v>
      </c>
    </row>
    <row r="137" spans="1:72" x14ac:dyDescent="0.2">
      <c r="A137" s="62"/>
      <c r="B137" s="24">
        <v>44331</v>
      </c>
      <c r="C137" s="25">
        <v>187.55</v>
      </c>
      <c r="D137" s="26">
        <f t="shared" si="67"/>
        <v>203.73333333333335</v>
      </c>
      <c r="E137" s="26">
        <f t="shared" ref="E137:E200" si="69">AVERAGE(C133:C137)</f>
        <v>210.304</v>
      </c>
      <c r="F137" s="26">
        <f t="shared" si="49"/>
        <v>215.5242857142857</v>
      </c>
      <c r="G137" s="26">
        <f t="shared" si="51"/>
        <v>211.75307692307692</v>
      </c>
      <c r="H137" s="26">
        <f t="shared" si="56"/>
        <v>213.06636363636366</v>
      </c>
      <c r="I137" s="26">
        <f t="shared" ref="I137:I175" si="70">(C137*5+C136*4+C135*3+C134*2+C133)/(5+4+3+2+1)</f>
        <v>204.70133333333334</v>
      </c>
      <c r="J137" s="26">
        <f t="shared" si="63"/>
        <v>202.98085516635433</v>
      </c>
      <c r="K137" s="26">
        <f t="shared" si="64"/>
        <v>196.35574272966363</v>
      </c>
      <c r="L137" s="26">
        <f t="shared" si="59"/>
        <v>220.42309418124688</v>
      </c>
      <c r="V137" s="26">
        <f t="shared" si="52"/>
        <v>210.25624753929964</v>
      </c>
      <c r="W137" s="26">
        <f t="shared" si="55"/>
        <v>212.396903872971</v>
      </c>
      <c r="X137" s="26">
        <f t="shared" si="54"/>
        <v>-2.1406563336713589</v>
      </c>
      <c r="Y137" s="26">
        <f t="shared" si="57"/>
        <v>-0.35481379573330518</v>
      </c>
      <c r="Z137" s="26">
        <v>13752.24</v>
      </c>
      <c r="AA137" s="26">
        <f t="shared" si="60"/>
        <v>218.2685998381591</v>
      </c>
      <c r="AB137" s="27">
        <f t="shared" si="61"/>
        <v>0.16378885544206392</v>
      </c>
      <c r="BK137" s="24">
        <v>44331</v>
      </c>
      <c r="BL137" s="25">
        <v>187.55</v>
      </c>
      <c r="BM137" s="26">
        <f t="shared" si="58"/>
        <v>203.73333333333335</v>
      </c>
      <c r="BN137" s="26">
        <f t="shared" si="62"/>
        <v>210.304</v>
      </c>
      <c r="BO137" s="26">
        <f t="shared" si="68"/>
        <v>215.5242857142857</v>
      </c>
      <c r="BP137" s="26">
        <f t="shared" si="50"/>
        <v>211.75307692307692</v>
      </c>
      <c r="BQ137" s="26">
        <f t="shared" si="53"/>
        <v>213.06636363636366</v>
      </c>
      <c r="BR137" s="26">
        <f t="shared" ref="BR137:BR175" si="71">(BL137*5+BL136*4+BL135*3+BL134*2+BL133)/(5+4+3+2+1)</f>
        <v>204.70133333333334</v>
      </c>
      <c r="BS137" s="26">
        <f t="shared" si="65"/>
        <v>202.98085516635433</v>
      </c>
      <c r="BT137" s="26">
        <f t="shared" si="66"/>
        <v>196.35574272966363</v>
      </c>
    </row>
    <row r="138" spans="1:72" x14ac:dyDescent="0.2">
      <c r="A138" s="62"/>
      <c r="B138" s="24">
        <v>44332</v>
      </c>
      <c r="C138" s="25">
        <v>218.86</v>
      </c>
      <c r="D138" s="26">
        <f t="shared" si="67"/>
        <v>202.57666666666668</v>
      </c>
      <c r="E138" s="26">
        <f t="shared" si="69"/>
        <v>210.04799999999994</v>
      </c>
      <c r="F138" s="26">
        <f t="shared" si="49"/>
        <v>215.25142857142859</v>
      </c>
      <c r="G138" s="26">
        <f t="shared" si="51"/>
        <v>211.59384615384619</v>
      </c>
      <c r="H138" s="26">
        <f t="shared" si="56"/>
        <v>213.08030303030304</v>
      </c>
      <c r="I138" s="26">
        <f t="shared" si="70"/>
        <v>207.55333333333331</v>
      </c>
      <c r="J138" s="26">
        <f t="shared" si="63"/>
        <v>209.33251309981262</v>
      </c>
      <c r="K138" s="26">
        <f t="shared" si="64"/>
        <v>209.85829709186547</v>
      </c>
      <c r="L138" s="26">
        <f t="shared" si="59"/>
        <v>220.40825551924678</v>
      </c>
      <c r="V138" s="26">
        <f t="shared" si="52"/>
        <v>211.57990176402276</v>
      </c>
      <c r="W138" s="26">
        <f t="shared" si="55"/>
        <v>210.89356253638857</v>
      </c>
      <c r="X138" s="26">
        <f t="shared" si="54"/>
        <v>0.68633922763419264</v>
      </c>
      <c r="Y138" s="26">
        <f t="shared" si="57"/>
        <v>-0.14658319105980563</v>
      </c>
      <c r="Z138" s="26">
        <v>13881.72</v>
      </c>
      <c r="AA138" s="26">
        <f t="shared" si="60"/>
        <v>218.32560591532442</v>
      </c>
      <c r="AB138" s="27">
        <f t="shared" si="61"/>
        <v>-2.4417165524791965E-3</v>
      </c>
      <c r="BK138" s="24">
        <v>44332</v>
      </c>
      <c r="BL138" s="25">
        <v>218.86</v>
      </c>
      <c r="BM138" s="26">
        <f t="shared" si="58"/>
        <v>202.57666666666668</v>
      </c>
      <c r="BN138" s="26">
        <f t="shared" si="62"/>
        <v>210.04799999999994</v>
      </c>
      <c r="BO138" s="26">
        <f t="shared" si="68"/>
        <v>215.25142857142859</v>
      </c>
      <c r="BP138" s="26">
        <f t="shared" si="50"/>
        <v>211.59384615384619</v>
      </c>
      <c r="BQ138" s="26">
        <f t="shared" si="53"/>
        <v>213.08030303030304</v>
      </c>
      <c r="BR138" s="26">
        <f t="shared" si="71"/>
        <v>207.55333333333331</v>
      </c>
      <c r="BS138" s="26">
        <f t="shared" si="65"/>
        <v>209.33251309981262</v>
      </c>
      <c r="BT138" s="26">
        <f t="shared" si="66"/>
        <v>209.85829709186547</v>
      </c>
    </row>
    <row r="139" spans="1:72" x14ac:dyDescent="0.2">
      <c r="A139" s="62"/>
      <c r="B139" s="24">
        <v>44333</v>
      </c>
      <c r="C139" s="25">
        <v>206.45</v>
      </c>
      <c r="D139" s="26">
        <f t="shared" si="67"/>
        <v>204.28666666666666</v>
      </c>
      <c r="E139" s="26">
        <f t="shared" si="69"/>
        <v>207.30199999999999</v>
      </c>
      <c r="F139" s="26">
        <f t="shared" ref="F139:F202" si="72">AVERAGE(C133:C139)</f>
        <v>210.9757142857143</v>
      </c>
      <c r="G139" s="26">
        <f t="shared" si="51"/>
        <v>210.44307692307692</v>
      </c>
      <c r="H139" s="26">
        <f t="shared" si="56"/>
        <v>212.18030303030304</v>
      </c>
      <c r="I139" s="26">
        <f t="shared" si="70"/>
        <v>206.35399999999998</v>
      </c>
      <c r="J139" s="26">
        <f t="shared" si="63"/>
        <v>208.17950785988756</v>
      </c>
      <c r="K139" s="26">
        <f t="shared" si="64"/>
        <v>207.81331883674619</v>
      </c>
      <c r="L139" s="26">
        <f t="shared" si="59"/>
        <v>220.39341685724668</v>
      </c>
      <c r="V139" s="26">
        <f t="shared" si="52"/>
        <v>210.79068610801926</v>
      </c>
      <c r="W139" s="26">
        <f t="shared" si="55"/>
        <v>211.19990904076184</v>
      </c>
      <c r="X139" s="26">
        <f t="shared" si="54"/>
        <v>-0.40922293274257981</v>
      </c>
      <c r="Y139" s="26">
        <f t="shared" si="57"/>
        <v>-0.19911113939636049</v>
      </c>
      <c r="Z139" s="26">
        <v>14665.06</v>
      </c>
      <c r="AA139" s="26">
        <f t="shared" si="60"/>
        <v>218.67048651840341</v>
      </c>
      <c r="AB139" s="27">
        <f t="shared" si="61"/>
        <v>5.9193444022297988E-2</v>
      </c>
      <c r="BK139" s="24">
        <v>44333</v>
      </c>
      <c r="BL139" s="25">
        <v>206.45</v>
      </c>
      <c r="BM139" s="26">
        <f t="shared" si="58"/>
        <v>204.28666666666666</v>
      </c>
      <c r="BN139" s="26">
        <f t="shared" si="62"/>
        <v>207.30199999999999</v>
      </c>
      <c r="BO139" s="26">
        <f t="shared" si="68"/>
        <v>210.9757142857143</v>
      </c>
      <c r="BP139" s="26">
        <f t="shared" si="50"/>
        <v>210.44307692307692</v>
      </c>
      <c r="BQ139" s="26">
        <f t="shared" si="53"/>
        <v>212.18030303030304</v>
      </c>
      <c r="BR139" s="26">
        <f t="shared" si="71"/>
        <v>206.35399999999998</v>
      </c>
      <c r="BS139" s="26">
        <f t="shared" si="65"/>
        <v>208.17950785988756</v>
      </c>
      <c r="BT139" s="26">
        <f t="shared" si="66"/>
        <v>207.81331883674619</v>
      </c>
    </row>
    <row r="140" spans="1:72" x14ac:dyDescent="0.2">
      <c r="A140" s="62"/>
      <c r="B140" s="24">
        <v>44334</v>
      </c>
      <c r="C140" s="25">
        <v>238.22</v>
      </c>
      <c r="D140" s="26">
        <f t="shared" si="67"/>
        <v>221.17666666666665</v>
      </c>
      <c r="E140" s="26">
        <f t="shared" si="69"/>
        <v>210.48000000000002</v>
      </c>
      <c r="F140" s="26">
        <f t="shared" si="72"/>
        <v>213.55857142857141</v>
      </c>
      <c r="G140" s="26">
        <f t="shared" si="51"/>
        <v>213.11461538461538</v>
      </c>
      <c r="H140" s="26">
        <f t="shared" si="56"/>
        <v>213.12272727272727</v>
      </c>
      <c r="I140" s="26">
        <f t="shared" si="70"/>
        <v>216.66</v>
      </c>
      <c r="J140" s="26">
        <f t="shared" si="63"/>
        <v>220.19570471593255</v>
      </c>
      <c r="K140" s="26">
        <f t="shared" si="64"/>
        <v>226.05732753469846</v>
      </c>
      <c r="L140" s="26">
        <f t="shared" si="59"/>
        <v>220.3785781952466</v>
      </c>
      <c r="V140" s="26">
        <f t="shared" si="52"/>
        <v>215.01058055293936</v>
      </c>
      <c r="W140" s="26">
        <f t="shared" si="55"/>
        <v>212.82248713705488</v>
      </c>
      <c r="X140" s="26">
        <f t="shared" si="54"/>
        <v>2.1880934158844809</v>
      </c>
      <c r="Y140" s="26">
        <f t="shared" si="57"/>
        <v>0.27832977165980782</v>
      </c>
      <c r="Z140" s="26">
        <v>15374.33</v>
      </c>
      <c r="AA140" s="26">
        <f t="shared" si="60"/>
        <v>218.98275636973977</v>
      </c>
      <c r="AB140" s="27">
        <f t="shared" si="61"/>
        <v>-8.0754108094451452E-2</v>
      </c>
      <c r="BK140" s="24">
        <v>44334</v>
      </c>
      <c r="BL140" s="25">
        <v>238.22</v>
      </c>
      <c r="BM140" s="26">
        <f t="shared" si="58"/>
        <v>221.17666666666665</v>
      </c>
      <c r="BN140" s="26">
        <f t="shared" si="62"/>
        <v>210.48000000000002</v>
      </c>
      <c r="BO140" s="26">
        <f t="shared" si="68"/>
        <v>213.55857142857141</v>
      </c>
      <c r="BP140" s="26">
        <f t="shared" si="50"/>
        <v>213.11461538461538</v>
      </c>
      <c r="BQ140" s="26">
        <f t="shared" si="53"/>
        <v>213.12272727272727</v>
      </c>
      <c r="BR140" s="26">
        <f t="shared" si="71"/>
        <v>216.66</v>
      </c>
      <c r="BS140" s="26">
        <f t="shared" si="65"/>
        <v>220.19570471593255</v>
      </c>
      <c r="BT140" s="26">
        <f t="shared" si="66"/>
        <v>226.05732753469846</v>
      </c>
    </row>
    <row r="141" spans="1:72" x14ac:dyDescent="0.2">
      <c r="A141" s="62"/>
      <c r="B141" s="24">
        <v>44335</v>
      </c>
      <c r="C141" s="25">
        <v>218.05</v>
      </c>
      <c r="D141" s="26">
        <f t="shared" si="67"/>
        <v>220.90666666666667</v>
      </c>
      <c r="E141" s="26">
        <f t="shared" si="69"/>
        <v>213.82600000000002</v>
      </c>
      <c r="F141" s="26">
        <f t="shared" si="72"/>
        <v>213.25428571428571</v>
      </c>
      <c r="G141" s="26">
        <f t="shared" si="51"/>
        <v>215.52615384615382</v>
      </c>
      <c r="H141" s="26">
        <f t="shared" si="56"/>
        <v>212.89606060606062</v>
      </c>
      <c r="I141" s="26">
        <f t="shared" si="70"/>
        <v>219.18333333333334</v>
      </c>
      <c r="J141" s="26">
        <f t="shared" si="63"/>
        <v>219.33742282955956</v>
      </c>
      <c r="K141" s="26">
        <f t="shared" si="64"/>
        <v>221.25293101387939</v>
      </c>
      <c r="L141" s="26">
        <f t="shared" si="59"/>
        <v>220.3637395332465</v>
      </c>
      <c r="V141" s="26">
        <f t="shared" si="52"/>
        <v>215.47818354479486</v>
      </c>
      <c r="W141" s="26">
        <f t="shared" si="55"/>
        <v>215.23572273420311</v>
      </c>
      <c r="X141" s="26">
        <f t="shared" si="54"/>
        <v>0.2424608105917514</v>
      </c>
      <c r="Y141" s="26">
        <f t="shared" si="57"/>
        <v>0.27115597944619652</v>
      </c>
      <c r="Z141" s="26">
        <v>14654.02</v>
      </c>
      <c r="AA141" s="26">
        <f t="shared" si="60"/>
        <v>218.66562594463213</v>
      </c>
      <c r="AB141" s="27">
        <f t="shared" si="61"/>
        <v>2.8233246715529208E-3</v>
      </c>
      <c r="BK141" s="24">
        <v>44335</v>
      </c>
      <c r="BL141" s="25">
        <v>218.05</v>
      </c>
      <c r="BM141" s="26">
        <f t="shared" si="58"/>
        <v>220.90666666666667</v>
      </c>
      <c r="BN141" s="26">
        <f t="shared" si="62"/>
        <v>213.82600000000002</v>
      </c>
      <c r="BO141" s="26">
        <f t="shared" si="68"/>
        <v>213.25428571428571</v>
      </c>
      <c r="BP141" s="26">
        <f t="shared" ref="BP141:BP204" si="73">AVERAGE(BL129:BL141)</f>
        <v>215.52615384615382</v>
      </c>
      <c r="BQ141" s="26">
        <f t="shared" si="53"/>
        <v>212.89606060606062</v>
      </c>
      <c r="BR141" s="26">
        <f t="shared" si="71"/>
        <v>219.18333333333334</v>
      </c>
      <c r="BS141" s="26">
        <f t="shared" si="65"/>
        <v>219.33742282955956</v>
      </c>
      <c r="BT141" s="26">
        <f t="shared" si="66"/>
        <v>221.25293101387939</v>
      </c>
    </row>
    <row r="142" spans="1:72" x14ac:dyDescent="0.2">
      <c r="A142" s="62"/>
      <c r="B142" s="24">
        <v>44336</v>
      </c>
      <c r="C142" s="25">
        <v>220.77</v>
      </c>
      <c r="D142" s="26">
        <f t="shared" si="67"/>
        <v>225.67999999999998</v>
      </c>
      <c r="E142" s="26">
        <f t="shared" si="69"/>
        <v>220.46999999999997</v>
      </c>
      <c r="F142" s="26">
        <f t="shared" si="72"/>
        <v>213.03142857142856</v>
      </c>
      <c r="G142" s="26">
        <f t="shared" si="51"/>
        <v>216.61153846153846</v>
      </c>
      <c r="H142" s="26">
        <f t="shared" si="56"/>
        <v>212.98848484848486</v>
      </c>
      <c r="I142" s="26">
        <f t="shared" si="70"/>
        <v>221.49800000000002</v>
      </c>
      <c r="J142" s="26">
        <f t="shared" si="63"/>
        <v>219.91045369773576</v>
      </c>
      <c r="K142" s="26">
        <f t="shared" si="64"/>
        <v>220.96317240555175</v>
      </c>
      <c r="L142" s="26">
        <f t="shared" si="59"/>
        <v>220.3489008712464</v>
      </c>
      <c r="V142" s="26">
        <f t="shared" si="52"/>
        <v>216.29230915328793</v>
      </c>
      <c r="W142" s="26">
        <f t="shared" si="55"/>
        <v>215.87016994888413</v>
      </c>
      <c r="X142" s="26">
        <f t="shared" si="54"/>
        <v>0.42213920440380548</v>
      </c>
      <c r="Y142" s="26">
        <f t="shared" si="57"/>
        <v>0.30135262443771832</v>
      </c>
      <c r="Z142" s="26">
        <v>15686.92</v>
      </c>
      <c r="AA142" s="26">
        <f t="shared" si="60"/>
        <v>219.12038017002632</v>
      </c>
      <c r="AB142" s="27">
        <f t="shared" si="61"/>
        <v>-7.4721195360496779E-3</v>
      </c>
      <c r="BK142" s="24">
        <v>44336</v>
      </c>
      <c r="BL142" s="25">
        <v>220.77</v>
      </c>
      <c r="BM142" s="26">
        <f t="shared" si="58"/>
        <v>225.67999999999998</v>
      </c>
      <c r="BN142" s="26">
        <f t="shared" si="62"/>
        <v>220.46999999999997</v>
      </c>
      <c r="BO142" s="26">
        <f t="shared" si="68"/>
        <v>213.03142857142856</v>
      </c>
      <c r="BP142" s="26">
        <f t="shared" si="73"/>
        <v>216.61153846153846</v>
      </c>
      <c r="BQ142" s="26">
        <f t="shared" si="53"/>
        <v>212.98848484848486</v>
      </c>
      <c r="BR142" s="26">
        <f t="shared" si="71"/>
        <v>221.49800000000002</v>
      </c>
      <c r="BS142" s="26">
        <f t="shared" si="65"/>
        <v>219.91045369773576</v>
      </c>
      <c r="BT142" s="26">
        <f t="shared" si="66"/>
        <v>220.96317240555175</v>
      </c>
    </row>
    <row r="143" spans="1:72" x14ac:dyDescent="0.2">
      <c r="A143" s="62"/>
      <c r="B143" s="24">
        <v>44337</v>
      </c>
      <c r="C143" s="25">
        <v>222.4</v>
      </c>
      <c r="D143" s="26">
        <f t="shared" si="67"/>
        <v>220.40666666666667</v>
      </c>
      <c r="E143" s="26">
        <f t="shared" si="69"/>
        <v>221.17800000000003</v>
      </c>
      <c r="F143" s="26">
        <f t="shared" si="72"/>
        <v>216.04285714285717</v>
      </c>
      <c r="G143" s="26">
        <f t="shared" si="51"/>
        <v>217.95538461538462</v>
      </c>
      <c r="H143" s="26">
        <f t="shared" si="56"/>
        <v>213.49363636363637</v>
      </c>
      <c r="I143" s="26">
        <f t="shared" si="70"/>
        <v>222.14133333333334</v>
      </c>
      <c r="J143" s="26">
        <f t="shared" si="63"/>
        <v>220.90627221864145</v>
      </c>
      <c r="K143" s="26">
        <f t="shared" si="64"/>
        <v>221.82526896222072</v>
      </c>
      <c r="L143" s="26">
        <f t="shared" si="59"/>
        <v>220.33406220924633</v>
      </c>
      <c r="V143" s="26">
        <f t="shared" si="52"/>
        <v>217.23195389893593</v>
      </c>
      <c r="W143" s="26">
        <f t="shared" si="55"/>
        <v>216.74473069748885</v>
      </c>
      <c r="X143" s="26">
        <f t="shared" si="54"/>
        <v>0.48722320144707965</v>
      </c>
      <c r="Y143" s="26">
        <f t="shared" si="57"/>
        <v>0.33852673983959058</v>
      </c>
      <c r="Z143" s="26">
        <v>13201.97</v>
      </c>
      <c r="AA143" s="26">
        <f t="shared" si="60"/>
        <v>218.02633281559383</v>
      </c>
      <c r="AB143" s="27">
        <f t="shared" si="61"/>
        <v>-1.9665769714056532E-2</v>
      </c>
      <c r="BK143" s="24">
        <v>44337</v>
      </c>
      <c r="BL143" s="25">
        <v>222.4</v>
      </c>
      <c r="BM143" s="26">
        <f t="shared" si="58"/>
        <v>220.40666666666667</v>
      </c>
      <c r="BN143" s="26">
        <f t="shared" si="62"/>
        <v>221.17800000000003</v>
      </c>
      <c r="BO143" s="26">
        <f t="shared" si="68"/>
        <v>216.04285714285717</v>
      </c>
      <c r="BP143" s="26">
        <f t="shared" si="73"/>
        <v>217.95538461538462</v>
      </c>
      <c r="BQ143" s="26">
        <f t="shared" si="53"/>
        <v>213.49363636363637</v>
      </c>
      <c r="BR143" s="26">
        <f t="shared" si="71"/>
        <v>222.14133333333334</v>
      </c>
      <c r="BS143" s="26">
        <f t="shared" si="65"/>
        <v>220.90627221864145</v>
      </c>
      <c r="BT143" s="26">
        <f t="shared" si="66"/>
        <v>221.82526896222072</v>
      </c>
    </row>
    <row r="144" spans="1:72" x14ac:dyDescent="0.2">
      <c r="A144" s="62"/>
      <c r="B144" s="24">
        <v>44338</v>
      </c>
      <c r="C144" s="25">
        <v>215.26</v>
      </c>
      <c r="D144" s="26">
        <f t="shared" si="67"/>
        <v>219.47666666666669</v>
      </c>
      <c r="E144" s="26">
        <f t="shared" si="69"/>
        <v>222.93999999999997</v>
      </c>
      <c r="F144" s="26">
        <f t="shared" si="72"/>
        <v>220.00142857142856</v>
      </c>
      <c r="G144" s="26">
        <f t="shared" si="51"/>
        <v>217.53153846153853</v>
      </c>
      <c r="H144" s="26">
        <f t="shared" si="56"/>
        <v>213.34393939393937</v>
      </c>
      <c r="I144" s="26">
        <f t="shared" si="70"/>
        <v>220.16866666666664</v>
      </c>
      <c r="J144" s="26">
        <f t="shared" si="63"/>
        <v>218.64776333118488</v>
      </c>
      <c r="K144" s="26">
        <f t="shared" si="64"/>
        <v>217.88610758488826</v>
      </c>
      <c r="L144" s="26">
        <f t="shared" si="59"/>
        <v>220.31922354724622</v>
      </c>
      <c r="V144" s="26">
        <f t="shared" si="52"/>
        <v>216.9285763760227</v>
      </c>
      <c r="W144" s="26">
        <f t="shared" si="55"/>
        <v>217.08588323975547</v>
      </c>
      <c r="X144" s="26">
        <f t="shared" si="54"/>
        <v>-0.15730686373277081</v>
      </c>
      <c r="Y144" s="26">
        <f t="shared" si="57"/>
        <v>0.23936001912511831</v>
      </c>
      <c r="Z144" s="26">
        <v>13987.64</v>
      </c>
      <c r="AA144" s="26">
        <f t="shared" si="60"/>
        <v>218.37223924628941</v>
      </c>
      <c r="AB144" s="27">
        <f t="shared" si="61"/>
        <v>1.4458047227954194E-2</v>
      </c>
      <c r="BK144" s="24">
        <v>44338</v>
      </c>
      <c r="BL144" s="25">
        <v>215.26</v>
      </c>
      <c r="BM144" s="26">
        <f t="shared" si="58"/>
        <v>219.47666666666669</v>
      </c>
      <c r="BN144" s="26">
        <f t="shared" si="62"/>
        <v>222.93999999999997</v>
      </c>
      <c r="BO144" s="26">
        <f t="shared" si="68"/>
        <v>220.00142857142856</v>
      </c>
      <c r="BP144" s="26">
        <f t="shared" si="73"/>
        <v>217.53153846153853</v>
      </c>
      <c r="BQ144" s="26">
        <f t="shared" si="53"/>
        <v>213.34393939393937</v>
      </c>
      <c r="BR144" s="26">
        <f t="shared" si="71"/>
        <v>220.16866666666664</v>
      </c>
      <c r="BS144" s="26">
        <f t="shared" si="65"/>
        <v>218.64776333118488</v>
      </c>
      <c r="BT144" s="26">
        <f t="shared" si="66"/>
        <v>217.88610758488826</v>
      </c>
    </row>
    <row r="145" spans="1:72" x14ac:dyDescent="0.2">
      <c r="A145" s="62"/>
      <c r="B145" s="24">
        <v>44339</v>
      </c>
      <c r="C145" s="25">
        <v>200.04</v>
      </c>
      <c r="D145" s="26">
        <f t="shared" si="67"/>
        <v>212.56666666666663</v>
      </c>
      <c r="E145" s="26">
        <f t="shared" si="69"/>
        <v>215.304</v>
      </c>
      <c r="F145" s="26">
        <f t="shared" si="72"/>
        <v>217.31285714285715</v>
      </c>
      <c r="G145" s="26">
        <f t="shared" ref="G145:G208" si="74">AVERAGE(C133:C145)</f>
        <v>214.73615384615388</v>
      </c>
      <c r="H145" s="26">
        <f t="shared" si="56"/>
        <v>213.16333333333336</v>
      </c>
      <c r="I145" s="26">
        <f t="shared" si="70"/>
        <v>212.53533333333331</v>
      </c>
      <c r="J145" s="26">
        <f t="shared" si="63"/>
        <v>211.2046579987109</v>
      </c>
      <c r="K145" s="26">
        <f t="shared" si="64"/>
        <v>207.17844303395532</v>
      </c>
      <c r="L145" s="26">
        <f t="shared" si="59"/>
        <v>220.30438488524612</v>
      </c>
      <c r="V145" s="26">
        <f t="shared" ref="V145:V208" si="75">C145*(2/(12+1))+V144*(1-(2/(12+1)))</f>
        <v>214.33033385663458</v>
      </c>
      <c r="W145" s="26">
        <f t="shared" si="55"/>
        <v>215.67757071853953</v>
      </c>
      <c r="X145" s="26">
        <f t="shared" si="54"/>
        <v>-1.3472368619049462</v>
      </c>
      <c r="Y145" s="26">
        <f t="shared" si="57"/>
        <v>-7.7959357080894603E-2</v>
      </c>
      <c r="Z145" s="26">
        <v>12609.16</v>
      </c>
      <c r="AA145" s="26">
        <f t="shared" si="60"/>
        <v>217.76533673431206</v>
      </c>
      <c r="AB145" s="27">
        <f t="shared" si="61"/>
        <v>8.8608961879184489E-2</v>
      </c>
      <c r="BK145" s="24">
        <v>44339</v>
      </c>
      <c r="BL145" s="25">
        <v>200.04</v>
      </c>
      <c r="BM145" s="26">
        <f t="shared" si="58"/>
        <v>212.56666666666663</v>
      </c>
      <c r="BN145" s="26">
        <f t="shared" si="62"/>
        <v>215.304</v>
      </c>
      <c r="BO145" s="26">
        <f t="shared" si="68"/>
        <v>217.31285714285715</v>
      </c>
      <c r="BP145" s="26">
        <f t="shared" si="73"/>
        <v>214.73615384615388</v>
      </c>
      <c r="BQ145" s="26">
        <f t="shared" si="53"/>
        <v>213.16333333333336</v>
      </c>
      <c r="BR145" s="26">
        <f t="shared" si="71"/>
        <v>212.53533333333331</v>
      </c>
      <c r="BS145" s="26">
        <f t="shared" si="65"/>
        <v>211.2046579987109</v>
      </c>
      <c r="BT145" s="26">
        <f t="shared" si="66"/>
        <v>207.17844303395532</v>
      </c>
    </row>
    <row r="146" spans="1:72" x14ac:dyDescent="0.2">
      <c r="A146" s="62"/>
      <c r="B146" s="24">
        <v>44340</v>
      </c>
      <c r="C146" s="25">
        <v>189.67</v>
      </c>
      <c r="D146" s="26">
        <f t="shared" si="67"/>
        <v>201.65666666666664</v>
      </c>
      <c r="E146" s="26">
        <f t="shared" si="69"/>
        <v>209.62800000000001</v>
      </c>
      <c r="F146" s="26">
        <f t="shared" si="72"/>
        <v>214.91571428571427</v>
      </c>
      <c r="G146" s="26">
        <f t="shared" si="74"/>
        <v>212.39230769230764</v>
      </c>
      <c r="H146" s="26">
        <f t="shared" si="56"/>
        <v>212.1987878787879</v>
      </c>
      <c r="I146" s="26">
        <f t="shared" si="70"/>
        <v>203.99066666666667</v>
      </c>
      <c r="J146" s="26">
        <f t="shared" si="63"/>
        <v>202.59079479922653</v>
      </c>
      <c r="K146" s="26">
        <f t="shared" si="64"/>
        <v>196.67337721358211</v>
      </c>
      <c r="L146" s="26">
        <f t="shared" si="59"/>
        <v>220.28954622324605</v>
      </c>
      <c r="V146" s="26">
        <f t="shared" si="75"/>
        <v>210.53643634022927</v>
      </c>
      <c r="W146" s="26">
        <f t="shared" si="55"/>
        <v>212.50364245984684</v>
      </c>
      <c r="X146" s="26">
        <f t="shared" si="54"/>
        <v>-1.9672061196175719</v>
      </c>
      <c r="Y146" s="26">
        <f t="shared" si="57"/>
        <v>-0.45580870958823005</v>
      </c>
      <c r="Z146" s="26">
        <v>13829.31</v>
      </c>
      <c r="AA146" s="26">
        <f t="shared" si="60"/>
        <v>218.30253139799174</v>
      </c>
      <c r="AB146" s="27">
        <f t="shared" si="61"/>
        <v>0.1509597268834911</v>
      </c>
      <c r="BK146" s="24">
        <v>44340</v>
      </c>
      <c r="BL146" s="25">
        <v>189.67</v>
      </c>
      <c r="BM146" s="26">
        <f t="shared" si="58"/>
        <v>201.65666666666664</v>
      </c>
      <c r="BN146" s="26">
        <f t="shared" si="62"/>
        <v>209.62800000000001</v>
      </c>
      <c r="BO146" s="26">
        <f t="shared" si="68"/>
        <v>214.91571428571427</v>
      </c>
      <c r="BP146" s="26">
        <f t="shared" si="73"/>
        <v>212.39230769230764</v>
      </c>
      <c r="BQ146" s="26">
        <f t="shared" si="53"/>
        <v>212.1987878787879</v>
      </c>
      <c r="BR146" s="26">
        <f t="shared" si="71"/>
        <v>203.99066666666667</v>
      </c>
      <c r="BS146" s="26">
        <f t="shared" si="65"/>
        <v>202.59079479922653</v>
      </c>
      <c r="BT146" s="26">
        <f t="shared" si="66"/>
        <v>196.67337721358211</v>
      </c>
    </row>
    <row r="147" spans="1:72" x14ac:dyDescent="0.2">
      <c r="A147" s="62"/>
      <c r="B147" s="24">
        <v>44341</v>
      </c>
      <c r="C147" s="25">
        <v>213.9</v>
      </c>
      <c r="D147" s="26">
        <f t="shared" si="67"/>
        <v>201.20333333333335</v>
      </c>
      <c r="E147" s="26">
        <f t="shared" si="69"/>
        <v>208.25399999999999</v>
      </c>
      <c r="F147" s="26">
        <f t="shared" si="72"/>
        <v>211.44142857142859</v>
      </c>
      <c r="G147" s="26">
        <f t="shared" si="74"/>
        <v>211.90923076923079</v>
      </c>
      <c r="H147" s="26">
        <f t="shared" si="56"/>
        <v>211.9672727272727</v>
      </c>
      <c r="I147" s="26">
        <f t="shared" si="70"/>
        <v>205.41466666666665</v>
      </c>
      <c r="J147" s="26">
        <f t="shared" si="63"/>
        <v>207.11447687953591</v>
      </c>
      <c r="K147" s="26">
        <f t="shared" si="64"/>
        <v>207.00935088543287</v>
      </c>
      <c r="L147" s="26">
        <f t="shared" si="59"/>
        <v>220.27470756124595</v>
      </c>
      <c r="V147" s="26">
        <f t="shared" si="75"/>
        <v>211.05390767250171</v>
      </c>
      <c r="W147" s="26">
        <f t="shared" si="55"/>
        <v>210.78558920391598</v>
      </c>
      <c r="X147" s="26">
        <f t="shared" si="54"/>
        <v>0.26831846858573272</v>
      </c>
      <c r="Y147" s="26">
        <f t="shared" si="57"/>
        <v>-0.3109832739534375</v>
      </c>
      <c r="Z147" s="26">
        <v>13924.91</v>
      </c>
      <c r="AA147" s="26">
        <f t="shared" si="60"/>
        <v>218.34462114912708</v>
      </c>
      <c r="AB147" s="27">
        <f t="shared" si="61"/>
        <v>2.0778967504100389E-2</v>
      </c>
      <c r="BK147" s="24">
        <v>44341</v>
      </c>
      <c r="BL147" s="25">
        <v>213.9</v>
      </c>
      <c r="BM147" s="26">
        <f t="shared" si="58"/>
        <v>201.20333333333335</v>
      </c>
      <c r="BN147" s="26">
        <f t="shared" si="62"/>
        <v>208.25399999999999</v>
      </c>
      <c r="BO147" s="26">
        <f t="shared" si="68"/>
        <v>211.44142857142859</v>
      </c>
      <c r="BP147" s="26">
        <f t="shared" si="73"/>
        <v>211.90923076923079</v>
      </c>
      <c r="BQ147" s="26">
        <f t="shared" si="53"/>
        <v>211.9672727272727</v>
      </c>
      <c r="BR147" s="26">
        <f t="shared" si="71"/>
        <v>205.41466666666665</v>
      </c>
      <c r="BS147" s="26">
        <f t="shared" si="65"/>
        <v>207.11447687953591</v>
      </c>
      <c r="BT147" s="26">
        <f t="shared" si="66"/>
        <v>207.00935088543287</v>
      </c>
    </row>
    <row r="148" spans="1:72" x14ac:dyDescent="0.2">
      <c r="A148" s="62"/>
      <c r="B148" s="24">
        <v>44342</v>
      </c>
      <c r="C148" s="25">
        <v>209.31</v>
      </c>
      <c r="D148" s="26">
        <f t="shared" si="67"/>
        <v>204.29333333333332</v>
      </c>
      <c r="E148" s="26">
        <f t="shared" si="69"/>
        <v>205.63599999999997</v>
      </c>
      <c r="F148" s="26">
        <f t="shared" si="72"/>
        <v>210.19285714285715</v>
      </c>
      <c r="G148" s="26">
        <f t="shared" si="74"/>
        <v>210.90769230769232</v>
      </c>
      <c r="H148" s="26">
        <f t="shared" si="56"/>
        <v>211.92121212121211</v>
      </c>
      <c r="I148" s="26">
        <f t="shared" si="70"/>
        <v>205.76666666666668</v>
      </c>
      <c r="J148" s="26">
        <f t="shared" si="63"/>
        <v>207.99268612772153</v>
      </c>
      <c r="K148" s="26">
        <f t="shared" si="64"/>
        <v>208.38974035417317</v>
      </c>
      <c r="L148" s="26">
        <f t="shared" si="59"/>
        <v>220.25986889924584</v>
      </c>
      <c r="V148" s="26">
        <f t="shared" si="75"/>
        <v>210.78561418442453</v>
      </c>
      <c r="W148" s="26">
        <f t="shared" si="55"/>
        <v>210.92472932639046</v>
      </c>
      <c r="X148" s="26">
        <f t="shared" si="54"/>
        <v>-0.13911514196593089</v>
      </c>
      <c r="Y148" s="26">
        <f t="shared" si="57"/>
        <v>-0.2766096475559362</v>
      </c>
      <c r="Z148" s="26">
        <v>14559.79</v>
      </c>
      <c r="AA148" s="26">
        <f t="shared" si="60"/>
        <v>218.62413936252457</v>
      </c>
      <c r="AB148" s="27">
        <f t="shared" si="61"/>
        <v>4.4499256425992888E-2</v>
      </c>
      <c r="BK148" s="24">
        <v>44342</v>
      </c>
      <c r="BL148" s="25">
        <v>209.31</v>
      </c>
      <c r="BM148" s="26">
        <f t="shared" si="58"/>
        <v>204.29333333333332</v>
      </c>
      <c r="BN148" s="26">
        <f t="shared" si="62"/>
        <v>205.63599999999997</v>
      </c>
      <c r="BO148" s="26">
        <f t="shared" si="68"/>
        <v>210.19285714285715</v>
      </c>
      <c r="BP148" s="26">
        <f t="shared" si="73"/>
        <v>210.90769230769232</v>
      </c>
      <c r="BQ148" s="26">
        <f t="shared" si="53"/>
        <v>211.92121212121211</v>
      </c>
      <c r="BR148" s="26">
        <f t="shared" si="71"/>
        <v>205.76666666666668</v>
      </c>
      <c r="BS148" s="26">
        <f t="shared" si="65"/>
        <v>207.99268612772153</v>
      </c>
      <c r="BT148" s="26">
        <f t="shared" si="66"/>
        <v>208.38974035417317</v>
      </c>
    </row>
    <row r="149" spans="1:72" x14ac:dyDescent="0.2">
      <c r="A149" s="62"/>
      <c r="B149" s="24">
        <v>44343</v>
      </c>
      <c r="C149" s="25">
        <v>238</v>
      </c>
      <c r="D149" s="26">
        <f t="shared" si="67"/>
        <v>220.40333333333334</v>
      </c>
      <c r="E149" s="26">
        <f t="shared" si="69"/>
        <v>210.18400000000003</v>
      </c>
      <c r="F149" s="26">
        <f t="shared" si="72"/>
        <v>212.65428571428569</v>
      </c>
      <c r="G149" s="26">
        <f t="shared" si="74"/>
        <v>213.72923076923078</v>
      </c>
      <c r="H149" s="26">
        <f t="shared" si="56"/>
        <v>212.33030303030301</v>
      </c>
      <c r="I149" s="26">
        <f t="shared" si="70"/>
        <v>216.55466666666669</v>
      </c>
      <c r="J149" s="26">
        <f t="shared" si="63"/>
        <v>219.9956116766329</v>
      </c>
      <c r="K149" s="26">
        <f t="shared" si="64"/>
        <v>226.15589614166925</v>
      </c>
      <c r="L149" s="26">
        <f t="shared" si="59"/>
        <v>220.24503023724577</v>
      </c>
      <c r="V149" s="26">
        <f t="shared" si="75"/>
        <v>214.97244277143614</v>
      </c>
      <c r="W149" s="26">
        <f t="shared" si="55"/>
        <v>212.8014946152079</v>
      </c>
      <c r="X149" s="26">
        <f t="shared" si="54"/>
        <v>2.1709481562282349</v>
      </c>
      <c r="Y149" s="26">
        <f t="shared" si="57"/>
        <v>0.21290191320089805</v>
      </c>
      <c r="Z149" s="26">
        <v>15286.64</v>
      </c>
      <c r="AA149" s="26">
        <f t="shared" si="60"/>
        <v>218.94414914926847</v>
      </c>
      <c r="AB149" s="27">
        <f t="shared" si="61"/>
        <v>-8.0066600213157688E-2</v>
      </c>
      <c r="BK149" s="24">
        <v>44343</v>
      </c>
      <c r="BL149" s="25">
        <v>238</v>
      </c>
      <c r="BM149" s="26">
        <f t="shared" si="58"/>
        <v>220.40333333333334</v>
      </c>
      <c r="BN149" s="26">
        <f t="shared" si="62"/>
        <v>210.18400000000003</v>
      </c>
      <c r="BO149" s="26">
        <f t="shared" si="68"/>
        <v>212.65428571428569</v>
      </c>
      <c r="BP149" s="26">
        <f t="shared" si="73"/>
        <v>213.72923076923078</v>
      </c>
      <c r="BQ149" s="26">
        <f t="shared" si="53"/>
        <v>212.33030303030301</v>
      </c>
      <c r="BR149" s="26">
        <f t="shared" si="71"/>
        <v>216.55466666666669</v>
      </c>
      <c r="BS149" s="26">
        <f t="shared" si="65"/>
        <v>219.9956116766329</v>
      </c>
      <c r="BT149" s="26">
        <f t="shared" si="66"/>
        <v>226.15589614166925</v>
      </c>
    </row>
    <row r="150" spans="1:72" x14ac:dyDescent="0.2">
      <c r="A150" s="62"/>
      <c r="B150" s="24">
        <v>44344</v>
      </c>
      <c r="C150" s="25">
        <v>209.79</v>
      </c>
      <c r="D150" s="26">
        <f t="shared" si="67"/>
        <v>219.03333333333333</v>
      </c>
      <c r="E150" s="26">
        <f t="shared" si="69"/>
        <v>212.13400000000001</v>
      </c>
      <c r="F150" s="26">
        <f t="shared" si="72"/>
        <v>210.85285714285712</v>
      </c>
      <c r="G150" s="26">
        <f t="shared" si="74"/>
        <v>215.44</v>
      </c>
      <c r="H150" s="26">
        <f t="shared" si="56"/>
        <v>212.1478787878788</v>
      </c>
      <c r="I150" s="26">
        <f t="shared" si="70"/>
        <v>216.42333333333335</v>
      </c>
      <c r="J150" s="26">
        <f t="shared" si="63"/>
        <v>215.91336700597972</v>
      </c>
      <c r="K150" s="26">
        <f t="shared" si="64"/>
        <v>216.33635845666771</v>
      </c>
      <c r="L150" s="26">
        <f t="shared" si="59"/>
        <v>220.23019157524567</v>
      </c>
      <c r="V150" s="26">
        <f t="shared" si="75"/>
        <v>214.17514388352288</v>
      </c>
      <c r="W150" s="26">
        <f t="shared" si="55"/>
        <v>214.58855812170012</v>
      </c>
      <c r="X150" s="26">
        <f t="shared" si="54"/>
        <v>-0.41341423817723921</v>
      </c>
      <c r="Y150" s="26">
        <f t="shared" si="57"/>
        <v>8.7638682925270592E-2</v>
      </c>
      <c r="Z150" s="26">
        <v>14579.54</v>
      </c>
      <c r="AA150" s="26">
        <f t="shared" si="60"/>
        <v>218.63283468245052</v>
      </c>
      <c r="AB150" s="27">
        <f t="shared" si="61"/>
        <v>4.2150887470568332E-2</v>
      </c>
      <c r="BK150" s="24">
        <v>44344</v>
      </c>
      <c r="BL150" s="25">
        <v>209.79</v>
      </c>
      <c r="BM150" s="26">
        <f t="shared" si="58"/>
        <v>219.03333333333333</v>
      </c>
      <c r="BN150" s="26">
        <f t="shared" si="62"/>
        <v>212.13400000000001</v>
      </c>
      <c r="BO150" s="26">
        <f t="shared" si="68"/>
        <v>210.85285714285712</v>
      </c>
      <c r="BP150" s="26">
        <f t="shared" si="73"/>
        <v>215.44</v>
      </c>
      <c r="BQ150" s="26">
        <f t="shared" ref="BQ150:BQ213" si="76">AVERAGE(BL118:BL150)</f>
        <v>212.1478787878788</v>
      </c>
      <c r="BR150" s="26">
        <f t="shared" si="71"/>
        <v>216.42333333333335</v>
      </c>
      <c r="BS150" s="26">
        <f t="shared" si="65"/>
        <v>215.91336700597972</v>
      </c>
      <c r="BT150" s="26">
        <f t="shared" si="66"/>
        <v>216.33635845666771</v>
      </c>
    </row>
    <row r="151" spans="1:72" x14ac:dyDescent="0.2">
      <c r="A151" s="62"/>
      <c r="B151" s="24">
        <v>44345</v>
      </c>
      <c r="C151" s="25">
        <v>221.28</v>
      </c>
      <c r="D151" s="26">
        <f t="shared" si="67"/>
        <v>223.02333333333331</v>
      </c>
      <c r="E151" s="26">
        <f t="shared" si="69"/>
        <v>218.45599999999999</v>
      </c>
      <c r="F151" s="26">
        <f t="shared" si="72"/>
        <v>211.71285714285713</v>
      </c>
      <c r="G151" s="26">
        <f t="shared" si="74"/>
        <v>215.62615384615387</v>
      </c>
      <c r="H151" s="26">
        <f t="shared" si="56"/>
        <v>212.84181818181818</v>
      </c>
      <c r="I151" s="26">
        <f t="shared" si="70"/>
        <v>219.47200000000001</v>
      </c>
      <c r="J151" s="26">
        <f t="shared" si="63"/>
        <v>218.06002020358784</v>
      </c>
      <c r="K151" s="26">
        <f t="shared" si="64"/>
        <v>219.3025433826671</v>
      </c>
      <c r="L151" s="26">
        <f t="shared" si="59"/>
        <v>220.21535291324557</v>
      </c>
      <c r="V151" s="26">
        <f t="shared" si="75"/>
        <v>215.2681986706732</v>
      </c>
      <c r="W151" s="26">
        <f t="shared" si="55"/>
        <v>214.70142952178045</v>
      </c>
      <c r="X151" s="26">
        <f t="shared" si="54"/>
        <v>0.56676914889274599</v>
      </c>
      <c r="Y151" s="26">
        <f t="shared" si="57"/>
        <v>0.18346477611876566</v>
      </c>
      <c r="Z151" s="26">
        <v>15982.36</v>
      </c>
      <c r="AA151" s="26">
        <f t="shared" si="60"/>
        <v>219.25045335073159</v>
      </c>
      <c r="AB151" s="27">
        <f t="shared" si="61"/>
        <v>-9.1718485596005567E-3</v>
      </c>
      <c r="BK151" s="24">
        <v>44345</v>
      </c>
      <c r="BL151" s="25">
        <v>221.28</v>
      </c>
      <c r="BM151" s="26">
        <f t="shared" si="58"/>
        <v>223.02333333333331</v>
      </c>
      <c r="BN151" s="26">
        <f t="shared" si="62"/>
        <v>218.45599999999999</v>
      </c>
      <c r="BO151" s="26">
        <f t="shared" si="68"/>
        <v>211.71285714285713</v>
      </c>
      <c r="BP151" s="26">
        <f t="shared" si="73"/>
        <v>215.62615384615387</v>
      </c>
      <c r="BQ151" s="26">
        <f t="shared" si="76"/>
        <v>212.84181818181818</v>
      </c>
      <c r="BR151" s="26">
        <f t="shared" si="71"/>
        <v>219.47200000000001</v>
      </c>
      <c r="BS151" s="26">
        <f t="shared" si="65"/>
        <v>218.06002020358784</v>
      </c>
      <c r="BT151" s="26">
        <f t="shared" si="66"/>
        <v>219.3025433826671</v>
      </c>
    </row>
    <row r="152" spans="1:72" x14ac:dyDescent="0.2">
      <c r="A152" s="62"/>
      <c r="B152" s="24">
        <v>44346</v>
      </c>
      <c r="C152" s="25">
        <v>218.38</v>
      </c>
      <c r="D152" s="26">
        <f t="shared" si="67"/>
        <v>216.48333333333335</v>
      </c>
      <c r="E152" s="26">
        <f t="shared" si="69"/>
        <v>219.352</v>
      </c>
      <c r="F152" s="26">
        <f t="shared" si="72"/>
        <v>214.33285714285714</v>
      </c>
      <c r="G152" s="26">
        <f t="shared" si="74"/>
        <v>216.54384615384618</v>
      </c>
      <c r="H152" s="26">
        <f t="shared" si="56"/>
        <v>213.94484848484854</v>
      </c>
      <c r="I152" s="26">
        <f t="shared" si="70"/>
        <v>219.44666666666666</v>
      </c>
      <c r="J152" s="26">
        <f t="shared" si="63"/>
        <v>218.18801212215271</v>
      </c>
      <c r="K152" s="26">
        <f t="shared" si="64"/>
        <v>218.74901735306685</v>
      </c>
      <c r="L152" s="26">
        <f t="shared" si="59"/>
        <v>220.20051425124549</v>
      </c>
      <c r="V152" s="26">
        <f t="shared" si="75"/>
        <v>215.74693733672348</v>
      </c>
      <c r="W152" s="26">
        <f t="shared" si="55"/>
        <v>215.49870247284557</v>
      </c>
      <c r="X152" s="26">
        <f t="shared" si="54"/>
        <v>0.24823486387791149</v>
      </c>
      <c r="Y152" s="26">
        <f t="shared" si="57"/>
        <v>0.19641879367059484</v>
      </c>
      <c r="Z152" s="26">
        <v>15786.99</v>
      </c>
      <c r="AA152" s="26">
        <f t="shared" si="60"/>
        <v>219.16443792521579</v>
      </c>
      <c r="AB152" s="27">
        <f t="shared" si="61"/>
        <v>3.5920776866736779E-3</v>
      </c>
      <c r="BK152" s="24">
        <v>44346</v>
      </c>
      <c r="BL152" s="25">
        <v>218.38</v>
      </c>
      <c r="BM152" s="26">
        <f t="shared" si="58"/>
        <v>216.48333333333335</v>
      </c>
      <c r="BN152" s="26">
        <f t="shared" si="62"/>
        <v>219.352</v>
      </c>
      <c r="BO152" s="26">
        <f t="shared" si="68"/>
        <v>214.33285714285714</v>
      </c>
      <c r="BP152" s="26">
        <f t="shared" si="73"/>
        <v>216.54384615384618</v>
      </c>
      <c r="BQ152" s="26">
        <f t="shared" si="76"/>
        <v>213.94484848484854</v>
      </c>
      <c r="BR152" s="26">
        <f t="shared" si="71"/>
        <v>219.44666666666666</v>
      </c>
      <c r="BS152" s="26">
        <f t="shared" si="65"/>
        <v>218.18801212215271</v>
      </c>
      <c r="BT152" s="26">
        <f t="shared" si="66"/>
        <v>218.74901735306685</v>
      </c>
    </row>
    <row r="153" spans="1:72" x14ac:dyDescent="0.2">
      <c r="A153" s="63"/>
      <c r="B153" s="24">
        <v>44347</v>
      </c>
      <c r="C153" s="25">
        <v>198.6</v>
      </c>
      <c r="D153" s="26">
        <f t="shared" si="67"/>
        <v>212.75333333333333</v>
      </c>
      <c r="E153" s="26">
        <f t="shared" si="69"/>
        <v>217.20999999999998</v>
      </c>
      <c r="F153" s="26">
        <f t="shared" si="72"/>
        <v>215.60857142857139</v>
      </c>
      <c r="G153" s="26">
        <f t="shared" si="74"/>
        <v>213.49615384615387</v>
      </c>
      <c r="H153" s="26">
        <f t="shared" si="56"/>
        <v>213.68454545454549</v>
      </c>
      <c r="I153" s="26">
        <f t="shared" si="70"/>
        <v>212.52933333333334</v>
      </c>
      <c r="J153" s="26">
        <f t="shared" si="63"/>
        <v>210.35280727329163</v>
      </c>
      <c r="K153" s="26">
        <f t="shared" si="64"/>
        <v>206.65960694122674</v>
      </c>
      <c r="L153" s="26">
        <f t="shared" si="59"/>
        <v>220.18567558924539</v>
      </c>
      <c r="V153" s="26">
        <f t="shared" si="75"/>
        <v>213.10894697722756</v>
      </c>
      <c r="W153" s="26">
        <f t="shared" si="55"/>
        <v>214.47679383029953</v>
      </c>
      <c r="X153" s="26">
        <f t="shared" si="54"/>
        <v>-1.367846853071967</v>
      </c>
      <c r="Y153" s="26">
        <f t="shared" si="57"/>
        <v>-0.11643433567791753</v>
      </c>
      <c r="Z153" s="26">
        <v>14007.7</v>
      </c>
      <c r="AA153" s="26">
        <f t="shared" si="60"/>
        <v>218.381071049718</v>
      </c>
      <c r="AB153" s="27">
        <f t="shared" si="61"/>
        <v>9.9602573261419983E-2</v>
      </c>
      <c r="BK153" s="24">
        <v>44347</v>
      </c>
      <c r="BL153" s="25">
        <v>198.6</v>
      </c>
      <c r="BM153" s="26">
        <f t="shared" si="58"/>
        <v>212.75333333333333</v>
      </c>
      <c r="BN153" s="26">
        <f t="shared" si="62"/>
        <v>217.20999999999998</v>
      </c>
      <c r="BO153" s="26">
        <f t="shared" si="68"/>
        <v>215.60857142857139</v>
      </c>
      <c r="BP153" s="26">
        <f t="shared" si="73"/>
        <v>213.49615384615387</v>
      </c>
      <c r="BQ153" s="26">
        <f t="shared" si="76"/>
        <v>213.68454545454549</v>
      </c>
      <c r="BR153" s="26">
        <f t="shared" si="71"/>
        <v>212.52933333333334</v>
      </c>
      <c r="BS153" s="26">
        <f t="shared" si="65"/>
        <v>210.35280727329163</v>
      </c>
      <c r="BT153" s="26">
        <f t="shared" si="66"/>
        <v>206.65960694122674</v>
      </c>
    </row>
    <row r="154" spans="1:72" x14ac:dyDescent="0.2">
      <c r="A154" s="61">
        <v>44348</v>
      </c>
      <c r="B154" s="24">
        <v>44348</v>
      </c>
      <c r="C154" s="25">
        <v>191.96</v>
      </c>
      <c r="D154" s="26">
        <f t="shared" si="67"/>
        <v>202.98000000000002</v>
      </c>
      <c r="E154" s="26">
        <f t="shared" si="69"/>
        <v>208.00200000000001</v>
      </c>
      <c r="F154" s="26">
        <f t="shared" si="72"/>
        <v>212.47428571428571</v>
      </c>
      <c r="G154" s="26">
        <f t="shared" si="74"/>
        <v>211.48923076923077</v>
      </c>
      <c r="H154" s="26">
        <f t="shared" si="56"/>
        <v>213.26757575757577</v>
      </c>
      <c r="I154" s="26">
        <f t="shared" si="70"/>
        <v>204.11266666666668</v>
      </c>
      <c r="J154" s="26">
        <f t="shared" si="63"/>
        <v>202.99568436397499</v>
      </c>
      <c r="K154" s="26">
        <f t="shared" si="64"/>
        <v>197.83984277649068</v>
      </c>
      <c r="L154" s="26">
        <f t="shared" si="59"/>
        <v>220.17083692724529</v>
      </c>
      <c r="V154" s="26">
        <f t="shared" si="75"/>
        <v>209.85526282688488</v>
      </c>
      <c r="W154" s="26">
        <f t="shared" si="55"/>
        <v>211.54235831224773</v>
      </c>
      <c r="X154" s="26">
        <f t="shared" si="54"/>
        <v>-1.6870954853628461</v>
      </c>
      <c r="Y154" s="26">
        <f t="shared" si="57"/>
        <v>-0.43056656561490325</v>
      </c>
      <c r="Z154" s="26">
        <v>13073.82</v>
      </c>
      <c r="AA154" s="26">
        <f t="shared" si="60"/>
        <v>217.96991229668177</v>
      </c>
      <c r="AB154" s="27">
        <f t="shared" si="61"/>
        <v>0.13549652165389539</v>
      </c>
      <c r="BK154" s="24">
        <v>44348</v>
      </c>
      <c r="BL154" s="25">
        <v>191.96</v>
      </c>
      <c r="BM154" s="26">
        <f t="shared" si="58"/>
        <v>202.98000000000002</v>
      </c>
      <c r="BN154" s="26">
        <f t="shared" si="62"/>
        <v>208.00200000000001</v>
      </c>
      <c r="BO154" s="26">
        <f t="shared" si="68"/>
        <v>212.47428571428571</v>
      </c>
      <c r="BP154" s="26">
        <f t="shared" si="73"/>
        <v>211.48923076923077</v>
      </c>
      <c r="BQ154" s="26">
        <f t="shared" si="76"/>
        <v>213.26757575757577</v>
      </c>
      <c r="BR154" s="26">
        <f t="shared" si="71"/>
        <v>204.11266666666668</v>
      </c>
      <c r="BS154" s="26">
        <f t="shared" si="65"/>
        <v>202.99568436397499</v>
      </c>
      <c r="BT154" s="26">
        <f t="shared" si="66"/>
        <v>197.83984277649068</v>
      </c>
    </row>
    <row r="155" spans="1:72" x14ac:dyDescent="0.2">
      <c r="A155" s="62"/>
      <c r="B155" s="24">
        <v>44349</v>
      </c>
      <c r="C155" s="25">
        <v>209.04</v>
      </c>
      <c r="D155" s="26">
        <f t="shared" si="67"/>
        <v>199.86666666666667</v>
      </c>
      <c r="E155" s="26">
        <f t="shared" si="69"/>
        <v>207.852</v>
      </c>
      <c r="F155" s="26">
        <f t="shared" si="72"/>
        <v>212.43571428571428</v>
      </c>
      <c r="G155" s="26">
        <f t="shared" si="74"/>
        <v>210.58692307692306</v>
      </c>
      <c r="H155" s="26">
        <f t="shared" si="56"/>
        <v>212.94575757575757</v>
      </c>
      <c r="I155" s="26">
        <f t="shared" si="70"/>
        <v>204.45866666666672</v>
      </c>
      <c r="J155" s="26">
        <f t="shared" si="63"/>
        <v>205.413410618385</v>
      </c>
      <c r="K155" s="26">
        <f t="shared" si="64"/>
        <v>204.55993711059625</v>
      </c>
      <c r="L155" s="26">
        <f t="shared" si="59"/>
        <v>220.15599826524522</v>
      </c>
      <c r="V155" s="26">
        <f t="shared" si="75"/>
        <v>209.72983777659491</v>
      </c>
      <c r="W155" s="26">
        <f t="shared" si="55"/>
        <v>209.79487298785637</v>
      </c>
      <c r="X155" s="26">
        <f t="shared" si="54"/>
        <v>-6.5035211261459835E-2</v>
      </c>
      <c r="Y155" s="26">
        <f t="shared" si="57"/>
        <v>-0.35746029474421459</v>
      </c>
      <c r="Z155" s="26">
        <v>13900.19</v>
      </c>
      <c r="AA155" s="26">
        <f t="shared" si="60"/>
        <v>218.33373769046531</v>
      </c>
      <c r="AB155" s="27">
        <f t="shared" si="61"/>
        <v>4.4459135526527561E-2</v>
      </c>
      <c r="BK155" s="24">
        <v>44349</v>
      </c>
      <c r="BL155" s="25">
        <v>209.04</v>
      </c>
      <c r="BM155" s="26">
        <f t="shared" si="58"/>
        <v>199.86666666666667</v>
      </c>
      <c r="BN155" s="26">
        <f t="shared" si="62"/>
        <v>207.852</v>
      </c>
      <c r="BO155" s="26">
        <f t="shared" si="68"/>
        <v>212.43571428571428</v>
      </c>
      <c r="BP155" s="26">
        <f t="shared" si="73"/>
        <v>210.58692307692306</v>
      </c>
      <c r="BQ155" s="26">
        <f t="shared" si="76"/>
        <v>212.94575757575757</v>
      </c>
      <c r="BR155" s="26">
        <f t="shared" si="71"/>
        <v>204.45866666666672</v>
      </c>
      <c r="BS155" s="26">
        <f t="shared" si="65"/>
        <v>205.413410618385</v>
      </c>
      <c r="BT155" s="26">
        <f t="shared" si="66"/>
        <v>204.55993711059625</v>
      </c>
    </row>
    <row r="156" spans="1:72" x14ac:dyDescent="0.2">
      <c r="A156" s="62"/>
      <c r="B156" s="24">
        <v>44350</v>
      </c>
      <c r="C156" s="25">
        <v>205.87</v>
      </c>
      <c r="D156" s="26">
        <f t="shared" si="67"/>
        <v>202.29</v>
      </c>
      <c r="E156" s="26">
        <f t="shared" si="69"/>
        <v>204.77</v>
      </c>
      <c r="F156" s="26">
        <f t="shared" si="72"/>
        <v>207.84571428571431</v>
      </c>
      <c r="G156" s="26">
        <f t="shared" si="74"/>
        <v>209.31538461538457</v>
      </c>
      <c r="H156" s="26">
        <f t="shared" si="56"/>
        <v>212.39515151515153</v>
      </c>
      <c r="I156" s="26">
        <f t="shared" si="70"/>
        <v>203.79799999999997</v>
      </c>
      <c r="J156" s="26">
        <f t="shared" si="63"/>
        <v>205.59604637103101</v>
      </c>
      <c r="K156" s="26">
        <f t="shared" si="64"/>
        <v>205.3459748442385</v>
      </c>
      <c r="L156" s="26">
        <f t="shared" si="59"/>
        <v>220.14115960324511</v>
      </c>
      <c r="V156" s="26">
        <f t="shared" si="75"/>
        <v>209.1360165801957</v>
      </c>
      <c r="W156" s="26">
        <f t="shared" si="55"/>
        <v>209.44392386721751</v>
      </c>
      <c r="X156" s="26">
        <f t="shared" si="54"/>
        <v>-0.30790728702180559</v>
      </c>
      <c r="Y156" s="26">
        <f t="shared" si="57"/>
        <v>-0.34754969319973278</v>
      </c>
      <c r="Z156" s="26">
        <v>13911.75</v>
      </c>
      <c r="AA156" s="26">
        <f t="shared" si="60"/>
        <v>218.33882720430552</v>
      </c>
      <c r="AB156" s="27">
        <f t="shared" si="61"/>
        <v>6.0566508982880032E-2</v>
      </c>
      <c r="BK156" s="24">
        <v>44350</v>
      </c>
      <c r="BL156" s="25">
        <v>205.87</v>
      </c>
      <c r="BM156" s="26">
        <f t="shared" si="58"/>
        <v>202.29</v>
      </c>
      <c r="BN156" s="26">
        <f t="shared" si="62"/>
        <v>204.77</v>
      </c>
      <c r="BO156" s="26">
        <f t="shared" si="68"/>
        <v>207.84571428571431</v>
      </c>
      <c r="BP156" s="26">
        <f t="shared" si="73"/>
        <v>209.31538461538457</v>
      </c>
      <c r="BQ156" s="26">
        <f t="shared" si="76"/>
        <v>212.39515151515153</v>
      </c>
      <c r="BR156" s="26">
        <f t="shared" si="71"/>
        <v>203.79799999999997</v>
      </c>
      <c r="BS156" s="26">
        <f t="shared" si="65"/>
        <v>205.59604637103101</v>
      </c>
      <c r="BT156" s="26">
        <f t="shared" si="66"/>
        <v>205.3459748442385</v>
      </c>
    </row>
    <row r="157" spans="1:72" x14ac:dyDescent="0.2">
      <c r="A157" s="62"/>
      <c r="B157" s="24">
        <v>44351</v>
      </c>
      <c r="C157" s="25">
        <v>219.46</v>
      </c>
      <c r="D157" s="26">
        <f t="shared" si="67"/>
        <v>211.45666666666668</v>
      </c>
      <c r="E157" s="26">
        <f t="shared" si="69"/>
        <v>204.98600000000002</v>
      </c>
      <c r="F157" s="26">
        <f t="shared" si="72"/>
        <v>209.22714285714287</v>
      </c>
      <c r="G157" s="26">
        <f t="shared" si="74"/>
        <v>209.63846153846151</v>
      </c>
      <c r="H157" s="26">
        <f t="shared" si="56"/>
        <v>212.66969696969699</v>
      </c>
      <c r="I157" s="26">
        <f t="shared" si="70"/>
        <v>208.69466666666668</v>
      </c>
      <c r="J157" s="26">
        <f t="shared" si="63"/>
        <v>211.1416278226186</v>
      </c>
      <c r="K157" s="26">
        <f t="shared" si="64"/>
        <v>213.81438993769541</v>
      </c>
      <c r="L157" s="26">
        <f t="shared" si="59"/>
        <v>220.12632094124501</v>
      </c>
      <c r="V157" s="26">
        <f t="shared" si="75"/>
        <v>210.72432172170403</v>
      </c>
      <c r="W157" s="26">
        <f t="shared" si="55"/>
        <v>209.90075609277378</v>
      </c>
      <c r="X157" s="26">
        <f t="shared" si="54"/>
        <v>0.82356562893025398</v>
      </c>
      <c r="Y157" s="26">
        <f t="shared" si="57"/>
        <v>-0.11332662877373545</v>
      </c>
      <c r="Z157" s="26">
        <v>14701.92</v>
      </c>
      <c r="AA157" s="26">
        <f t="shared" si="60"/>
        <v>218.68671484713613</v>
      </c>
      <c r="AB157" s="27">
        <f t="shared" si="61"/>
        <v>-3.5235813034898275E-3</v>
      </c>
      <c r="BK157" s="24">
        <v>44351</v>
      </c>
      <c r="BL157" s="25">
        <v>219.46</v>
      </c>
      <c r="BM157" s="26">
        <f t="shared" si="58"/>
        <v>211.45666666666668</v>
      </c>
      <c r="BN157" s="26">
        <f t="shared" si="62"/>
        <v>204.98600000000002</v>
      </c>
      <c r="BO157" s="26">
        <f t="shared" si="68"/>
        <v>209.22714285714287</v>
      </c>
      <c r="BP157" s="26">
        <f t="shared" si="73"/>
        <v>209.63846153846151</v>
      </c>
      <c r="BQ157" s="26">
        <f t="shared" si="76"/>
        <v>212.66969696969699</v>
      </c>
      <c r="BR157" s="26">
        <f t="shared" si="71"/>
        <v>208.69466666666668</v>
      </c>
      <c r="BS157" s="26">
        <f t="shared" si="65"/>
        <v>211.1416278226186</v>
      </c>
      <c r="BT157" s="26">
        <f t="shared" si="66"/>
        <v>213.81438993769541</v>
      </c>
    </row>
    <row r="158" spans="1:72" x14ac:dyDescent="0.2">
      <c r="A158" s="62"/>
      <c r="B158" s="24">
        <v>44352</v>
      </c>
      <c r="C158" s="25">
        <v>236.28</v>
      </c>
      <c r="D158" s="26">
        <f t="shared" si="67"/>
        <v>220.53666666666666</v>
      </c>
      <c r="E158" s="26">
        <f t="shared" si="69"/>
        <v>212.52200000000002</v>
      </c>
      <c r="F158" s="26">
        <f t="shared" si="72"/>
        <v>211.36999999999998</v>
      </c>
      <c r="G158" s="26">
        <f t="shared" si="74"/>
        <v>212.42615384615385</v>
      </c>
      <c r="H158" s="26">
        <f t="shared" si="56"/>
        <v>213.13484848484848</v>
      </c>
      <c r="I158" s="26">
        <f t="shared" si="70"/>
        <v>219.12600000000003</v>
      </c>
      <c r="J158" s="26">
        <f t="shared" si="63"/>
        <v>221.19697669357117</v>
      </c>
      <c r="K158" s="26">
        <f t="shared" si="64"/>
        <v>227.29375597507817</v>
      </c>
      <c r="L158" s="26">
        <f t="shared" si="59"/>
        <v>220.11148227924494</v>
      </c>
      <c r="V158" s="26">
        <f t="shared" si="75"/>
        <v>214.65596453374957</v>
      </c>
      <c r="W158" s="26">
        <f t="shared" si="55"/>
        <v>212.61733492750375</v>
      </c>
      <c r="X158" s="26">
        <f t="shared" ref="X158:X221" si="77">V158-W158</f>
        <v>2.03862960624582</v>
      </c>
      <c r="Y158" s="26">
        <f t="shared" si="57"/>
        <v>0.31706461823017562</v>
      </c>
      <c r="Z158" s="26">
        <v>14860.18</v>
      </c>
      <c r="AA158" s="26">
        <f t="shared" si="60"/>
        <v>218.75639187657836</v>
      </c>
      <c r="AB158" s="27">
        <f t="shared" si="61"/>
        <v>-7.4164584913753342E-2</v>
      </c>
      <c r="BK158" s="24">
        <v>44352</v>
      </c>
      <c r="BL158" s="25">
        <v>236.28</v>
      </c>
      <c r="BM158" s="26">
        <f t="shared" si="58"/>
        <v>220.53666666666666</v>
      </c>
      <c r="BN158" s="26">
        <f t="shared" si="62"/>
        <v>212.52200000000002</v>
      </c>
      <c r="BO158" s="26">
        <f t="shared" si="68"/>
        <v>211.36999999999998</v>
      </c>
      <c r="BP158" s="26">
        <f t="shared" si="73"/>
        <v>212.42615384615385</v>
      </c>
      <c r="BQ158" s="26">
        <f t="shared" si="76"/>
        <v>213.13484848484848</v>
      </c>
      <c r="BR158" s="26">
        <f t="shared" si="71"/>
        <v>219.12600000000003</v>
      </c>
      <c r="BS158" s="26">
        <f t="shared" si="65"/>
        <v>221.19697669357117</v>
      </c>
      <c r="BT158" s="26">
        <f t="shared" si="66"/>
        <v>227.29375597507817</v>
      </c>
    </row>
    <row r="159" spans="1:72" x14ac:dyDescent="0.2">
      <c r="A159" s="62"/>
      <c r="B159" s="24">
        <v>44353</v>
      </c>
      <c r="C159" s="25">
        <v>208.26</v>
      </c>
      <c r="D159" s="26">
        <f t="shared" si="67"/>
        <v>221.33333333333334</v>
      </c>
      <c r="E159" s="26">
        <f t="shared" si="69"/>
        <v>215.78199999999998</v>
      </c>
      <c r="F159" s="26">
        <f t="shared" si="72"/>
        <v>209.92428571428573</v>
      </c>
      <c r="G159" s="26">
        <f t="shared" si="74"/>
        <v>213.85615384615386</v>
      </c>
      <c r="H159" s="26">
        <f t="shared" si="56"/>
        <v>212.73636363636365</v>
      </c>
      <c r="I159" s="26">
        <f t="shared" si="70"/>
        <v>217.70533333333333</v>
      </c>
      <c r="J159" s="26">
        <f t="shared" si="63"/>
        <v>216.02218601614271</v>
      </c>
      <c r="K159" s="26">
        <f t="shared" si="64"/>
        <v>215.87350239003126</v>
      </c>
      <c r="L159" s="26">
        <f t="shared" si="59"/>
        <v>220.09664361724484</v>
      </c>
      <c r="V159" s="26">
        <f t="shared" si="75"/>
        <v>213.67196999009579</v>
      </c>
      <c r="W159" s="26">
        <f t="shared" ref="W159:W222" si="78">C159*(2/(26+1))+V158*(1-(2/(26+1)))</f>
        <v>214.18218938310147</v>
      </c>
      <c r="X159" s="26">
        <f t="shared" si="77"/>
        <v>-0.5102193930056842</v>
      </c>
      <c r="Y159" s="26">
        <f t="shared" si="57"/>
        <v>0.15160781598300366</v>
      </c>
      <c r="Z159" s="26">
        <v>15248.25</v>
      </c>
      <c r="AA159" s="26">
        <f t="shared" si="60"/>
        <v>218.92724720840982</v>
      </c>
      <c r="AB159" s="27">
        <f t="shared" si="61"/>
        <v>5.1220816327714559E-2</v>
      </c>
      <c r="BK159" s="24">
        <v>44353</v>
      </c>
      <c r="BL159" s="25">
        <v>208.26</v>
      </c>
      <c r="BM159" s="26">
        <f t="shared" si="58"/>
        <v>221.33333333333334</v>
      </c>
      <c r="BN159" s="26">
        <f t="shared" si="62"/>
        <v>215.78199999999998</v>
      </c>
      <c r="BO159" s="26">
        <f t="shared" si="68"/>
        <v>209.92428571428573</v>
      </c>
      <c r="BP159" s="26">
        <f t="shared" si="73"/>
        <v>213.85615384615386</v>
      </c>
      <c r="BQ159" s="26">
        <f t="shared" si="76"/>
        <v>212.73636363636365</v>
      </c>
      <c r="BR159" s="26">
        <f t="shared" si="71"/>
        <v>217.70533333333333</v>
      </c>
      <c r="BS159" s="26">
        <f t="shared" si="65"/>
        <v>216.02218601614271</v>
      </c>
      <c r="BT159" s="26">
        <f t="shared" si="66"/>
        <v>215.87350239003126</v>
      </c>
    </row>
    <row r="160" spans="1:72" x14ac:dyDescent="0.2">
      <c r="A160" s="62"/>
      <c r="B160" s="24">
        <v>44354</v>
      </c>
      <c r="C160" s="25">
        <v>225</v>
      </c>
      <c r="D160" s="26">
        <f t="shared" si="67"/>
        <v>223.17999999999998</v>
      </c>
      <c r="E160" s="26">
        <f t="shared" si="69"/>
        <v>218.97399999999999</v>
      </c>
      <c r="F160" s="26">
        <f t="shared" si="72"/>
        <v>213.6957142857143</v>
      </c>
      <c r="G160" s="26">
        <f t="shared" si="74"/>
        <v>214.71000000000004</v>
      </c>
      <c r="H160" s="26">
        <f t="shared" si="56"/>
        <v>213.38818181818183</v>
      </c>
      <c r="I160" s="26">
        <f t="shared" si="70"/>
        <v>220.77799999999999</v>
      </c>
      <c r="J160" s="26">
        <f t="shared" si="63"/>
        <v>219.61331160968561</v>
      </c>
      <c r="K160" s="26">
        <f t="shared" si="64"/>
        <v>221.34940095601252</v>
      </c>
      <c r="L160" s="26">
        <f t="shared" si="59"/>
        <v>220.08180495524473</v>
      </c>
      <c r="V160" s="26">
        <f t="shared" si="75"/>
        <v>215.41474383777336</v>
      </c>
      <c r="W160" s="26">
        <f t="shared" si="78"/>
        <v>214.51108332416277</v>
      </c>
      <c r="X160" s="26">
        <f t="shared" si="77"/>
        <v>0.90366051361058908</v>
      </c>
      <c r="Y160" s="26">
        <f t="shared" si="57"/>
        <v>0.30201835550852074</v>
      </c>
      <c r="Z160" s="26">
        <v>15886.54</v>
      </c>
      <c r="AA160" s="26">
        <f t="shared" si="60"/>
        <v>219.20826674033631</v>
      </c>
      <c r="AB160" s="27">
        <f t="shared" si="61"/>
        <v>-2.5741036709616385E-2</v>
      </c>
      <c r="BK160" s="24">
        <v>44354</v>
      </c>
      <c r="BL160" s="25">
        <v>225</v>
      </c>
      <c r="BM160" s="26">
        <f t="shared" si="58"/>
        <v>223.17999999999998</v>
      </c>
      <c r="BN160" s="26">
        <f t="shared" si="62"/>
        <v>218.97399999999999</v>
      </c>
      <c r="BO160" s="26">
        <f t="shared" si="68"/>
        <v>213.6957142857143</v>
      </c>
      <c r="BP160" s="26">
        <f t="shared" si="73"/>
        <v>214.71000000000004</v>
      </c>
      <c r="BQ160" s="26">
        <f t="shared" si="76"/>
        <v>213.38818181818183</v>
      </c>
      <c r="BR160" s="26">
        <f t="shared" si="71"/>
        <v>220.77799999999999</v>
      </c>
      <c r="BS160" s="26">
        <f t="shared" si="65"/>
        <v>219.61331160968561</v>
      </c>
      <c r="BT160" s="26">
        <f t="shared" si="66"/>
        <v>221.34940095601252</v>
      </c>
    </row>
    <row r="161" spans="1:72" x14ac:dyDescent="0.2">
      <c r="A161" s="62"/>
      <c r="B161" s="24">
        <v>44355</v>
      </c>
      <c r="C161" s="25">
        <v>209.12</v>
      </c>
      <c r="D161" s="26">
        <f t="shared" si="67"/>
        <v>214.12666666666667</v>
      </c>
      <c r="E161" s="26">
        <f t="shared" si="69"/>
        <v>219.62399999999997</v>
      </c>
      <c r="F161" s="26">
        <f t="shared" si="72"/>
        <v>216.14714285714282</v>
      </c>
      <c r="G161" s="26">
        <f t="shared" si="74"/>
        <v>214.69538461538463</v>
      </c>
      <c r="H161" s="26">
        <f t="shared" si="56"/>
        <v>214.06757575757575</v>
      </c>
      <c r="I161" s="26">
        <f t="shared" si="70"/>
        <v>217.49333333333334</v>
      </c>
      <c r="J161" s="26">
        <f t="shared" si="63"/>
        <v>215.41598696581138</v>
      </c>
      <c r="K161" s="26">
        <f t="shared" si="64"/>
        <v>214.01176038240499</v>
      </c>
      <c r="L161" s="26">
        <f t="shared" si="59"/>
        <v>220.06696629324466</v>
      </c>
      <c r="V161" s="26">
        <f t="shared" si="75"/>
        <v>214.44632170888516</v>
      </c>
      <c r="W161" s="26">
        <f t="shared" si="78"/>
        <v>214.94846651645679</v>
      </c>
      <c r="X161" s="26">
        <f t="shared" si="77"/>
        <v>-0.50214480757162505</v>
      </c>
      <c r="Y161" s="26">
        <f t="shared" si="57"/>
        <v>0.14118572289249159</v>
      </c>
      <c r="Z161" s="26">
        <v>15517.37</v>
      </c>
      <c r="AA161" s="26">
        <f t="shared" si="60"/>
        <v>219.04573249947197</v>
      </c>
      <c r="AB161" s="27">
        <f t="shared" si="61"/>
        <v>4.7464290835271435E-2</v>
      </c>
      <c r="BK161" s="24">
        <v>44355</v>
      </c>
      <c r="BL161" s="25">
        <v>209.12</v>
      </c>
      <c r="BM161" s="26">
        <f t="shared" si="58"/>
        <v>214.12666666666667</v>
      </c>
      <c r="BN161" s="26">
        <f t="shared" si="62"/>
        <v>219.62399999999997</v>
      </c>
      <c r="BO161" s="26">
        <f t="shared" si="68"/>
        <v>216.14714285714282</v>
      </c>
      <c r="BP161" s="26">
        <f t="shared" si="73"/>
        <v>214.69538461538463</v>
      </c>
      <c r="BQ161" s="26">
        <f t="shared" si="76"/>
        <v>214.06757575757575</v>
      </c>
      <c r="BR161" s="26">
        <f t="shared" si="71"/>
        <v>217.49333333333334</v>
      </c>
      <c r="BS161" s="26">
        <f t="shared" si="65"/>
        <v>215.41598696581138</v>
      </c>
      <c r="BT161" s="26">
        <f t="shared" si="66"/>
        <v>214.01176038240499</v>
      </c>
    </row>
    <row r="162" spans="1:72" x14ac:dyDescent="0.2">
      <c r="A162" s="62"/>
      <c r="B162" s="24">
        <v>44356</v>
      </c>
      <c r="C162" s="25">
        <v>201.05</v>
      </c>
      <c r="D162" s="26">
        <f t="shared" si="67"/>
        <v>211.72333333333336</v>
      </c>
      <c r="E162" s="26">
        <f t="shared" si="69"/>
        <v>215.94200000000001</v>
      </c>
      <c r="F162" s="26">
        <f t="shared" si="72"/>
        <v>215.00571428571425</v>
      </c>
      <c r="G162" s="26">
        <f t="shared" si="74"/>
        <v>211.85307692307694</v>
      </c>
      <c r="H162" s="26">
        <f t="shared" si="56"/>
        <v>213.89757575757577</v>
      </c>
      <c r="I162" s="26">
        <f t="shared" si="70"/>
        <v>211.30200000000002</v>
      </c>
      <c r="J162" s="26">
        <f t="shared" si="63"/>
        <v>209.66959217948684</v>
      </c>
      <c r="K162" s="26">
        <f t="shared" si="64"/>
        <v>206.234704152962</v>
      </c>
      <c r="L162" s="26">
        <f t="shared" si="59"/>
        <v>220.05212763124456</v>
      </c>
      <c r="V162" s="26">
        <f t="shared" si="75"/>
        <v>212.38534913828747</v>
      </c>
      <c r="W162" s="26">
        <f t="shared" si="78"/>
        <v>213.45400158230109</v>
      </c>
      <c r="X162" s="26">
        <f t="shared" si="77"/>
        <v>-1.0686524440136225</v>
      </c>
      <c r="Y162" s="26">
        <f t="shared" si="57"/>
        <v>-0.10078191048873121</v>
      </c>
      <c r="Z162" s="26">
        <v>13972.53</v>
      </c>
      <c r="AA162" s="26">
        <f t="shared" si="60"/>
        <v>218.36558677620934</v>
      </c>
      <c r="AB162" s="27">
        <f t="shared" si="61"/>
        <v>8.6125773569805164E-2</v>
      </c>
      <c r="BK162" s="24">
        <v>44356</v>
      </c>
      <c r="BL162" s="25">
        <v>201.05</v>
      </c>
      <c r="BM162" s="26">
        <f t="shared" si="58"/>
        <v>211.72333333333336</v>
      </c>
      <c r="BN162" s="26">
        <f t="shared" si="62"/>
        <v>215.94200000000001</v>
      </c>
      <c r="BO162" s="26">
        <f t="shared" si="68"/>
        <v>215.00571428571425</v>
      </c>
      <c r="BP162" s="26">
        <f t="shared" si="73"/>
        <v>211.85307692307694</v>
      </c>
      <c r="BQ162" s="26">
        <f t="shared" si="76"/>
        <v>213.89757575757577</v>
      </c>
      <c r="BR162" s="26">
        <f t="shared" si="71"/>
        <v>211.30200000000002</v>
      </c>
      <c r="BS162" s="26">
        <f t="shared" si="65"/>
        <v>209.66959217948684</v>
      </c>
      <c r="BT162" s="26">
        <f t="shared" si="66"/>
        <v>206.234704152962</v>
      </c>
    </row>
    <row r="163" spans="1:72" x14ac:dyDescent="0.2">
      <c r="A163" s="62"/>
      <c r="B163" s="24">
        <v>44357</v>
      </c>
      <c r="C163" s="25">
        <v>226.3</v>
      </c>
      <c r="D163" s="26">
        <f t="shared" si="67"/>
        <v>212.15666666666667</v>
      </c>
      <c r="E163" s="26">
        <f t="shared" si="69"/>
        <v>213.946</v>
      </c>
      <c r="F163" s="26">
        <f t="shared" si="72"/>
        <v>217.92428571428567</v>
      </c>
      <c r="G163" s="26">
        <f t="shared" si="74"/>
        <v>213.12307692307695</v>
      </c>
      <c r="H163" s="26">
        <f t="shared" si="56"/>
        <v>214.54515151515153</v>
      </c>
      <c r="I163" s="26">
        <f t="shared" si="70"/>
        <v>214.75466666666665</v>
      </c>
      <c r="J163" s="26">
        <f t="shared" si="63"/>
        <v>216.32175530769211</v>
      </c>
      <c r="K163" s="26">
        <f t="shared" si="64"/>
        <v>218.27388166118482</v>
      </c>
      <c r="L163" s="26">
        <f t="shared" si="59"/>
        <v>220.03728896924446</v>
      </c>
      <c r="V163" s="26">
        <f t="shared" si="75"/>
        <v>214.52606465547399</v>
      </c>
      <c r="W163" s="26">
        <f t="shared" si="78"/>
        <v>213.41606401693286</v>
      </c>
      <c r="X163" s="26">
        <f t="shared" si="77"/>
        <v>1.1100006385411234</v>
      </c>
      <c r="Y163" s="26">
        <f t="shared" si="57"/>
        <v>0.14137459931723972</v>
      </c>
      <c r="Z163" s="26">
        <v>13068.83</v>
      </c>
      <c r="AA163" s="26">
        <f t="shared" si="60"/>
        <v>217.96771535255871</v>
      </c>
      <c r="AB163" s="27">
        <f t="shared" si="61"/>
        <v>-3.6819640510125047E-2</v>
      </c>
      <c r="BK163" s="24">
        <v>44357</v>
      </c>
      <c r="BL163" s="25">
        <v>226.3</v>
      </c>
      <c r="BM163" s="26">
        <f t="shared" si="58"/>
        <v>212.15666666666667</v>
      </c>
      <c r="BN163" s="26">
        <f t="shared" si="62"/>
        <v>213.946</v>
      </c>
      <c r="BO163" s="26">
        <f t="shared" si="68"/>
        <v>217.92428571428567</v>
      </c>
      <c r="BP163" s="26">
        <f t="shared" si="73"/>
        <v>213.12307692307695</v>
      </c>
      <c r="BQ163" s="26">
        <f t="shared" si="76"/>
        <v>214.54515151515153</v>
      </c>
      <c r="BR163" s="26">
        <f t="shared" si="71"/>
        <v>214.75466666666665</v>
      </c>
      <c r="BS163" s="26">
        <f t="shared" si="65"/>
        <v>216.32175530769211</v>
      </c>
      <c r="BT163" s="26">
        <f t="shared" si="66"/>
        <v>218.27388166118482</v>
      </c>
    </row>
    <row r="164" spans="1:72" x14ac:dyDescent="0.2">
      <c r="A164" s="62"/>
      <c r="B164" s="24">
        <v>44358</v>
      </c>
      <c r="C164" s="25">
        <v>218.82</v>
      </c>
      <c r="D164" s="26">
        <f t="shared" si="67"/>
        <v>215.39000000000001</v>
      </c>
      <c r="E164" s="26">
        <f t="shared" si="69"/>
        <v>216.05799999999999</v>
      </c>
      <c r="F164" s="26">
        <f t="shared" si="72"/>
        <v>217.83285714285714</v>
      </c>
      <c r="G164" s="26">
        <f t="shared" si="74"/>
        <v>212.93384615384619</v>
      </c>
      <c r="H164" s="26">
        <f t="shared" si="56"/>
        <v>214.48606060606062</v>
      </c>
      <c r="I164" s="26">
        <f t="shared" si="70"/>
        <v>216.37933333333331</v>
      </c>
      <c r="J164" s="26">
        <f t="shared" si="63"/>
        <v>217.32105318461527</v>
      </c>
      <c r="K164" s="26">
        <f t="shared" si="64"/>
        <v>218.60155266447393</v>
      </c>
      <c r="L164" s="26">
        <f t="shared" si="59"/>
        <v>220.02245030724438</v>
      </c>
      <c r="V164" s="26">
        <f t="shared" si="75"/>
        <v>215.18667009309337</v>
      </c>
      <c r="W164" s="26">
        <f t="shared" si="78"/>
        <v>214.84413394025367</v>
      </c>
      <c r="X164" s="26">
        <f t="shared" si="77"/>
        <v>0.34253615283969907</v>
      </c>
      <c r="Y164" s="26">
        <f t="shared" si="57"/>
        <v>0.18160691002173163</v>
      </c>
      <c r="Z164" s="26">
        <v>13401.86</v>
      </c>
      <c r="AA164" s="26">
        <f t="shared" si="60"/>
        <v>218.11433825863193</v>
      </c>
      <c r="AB164" s="27">
        <f t="shared" si="61"/>
        <v>-3.2248502941598632E-3</v>
      </c>
      <c r="BK164" s="24">
        <v>44358</v>
      </c>
      <c r="BL164" s="25">
        <v>218.82</v>
      </c>
      <c r="BM164" s="26">
        <f t="shared" si="58"/>
        <v>215.39000000000001</v>
      </c>
      <c r="BN164" s="26">
        <f t="shared" si="62"/>
        <v>216.05799999999999</v>
      </c>
      <c r="BO164" s="26">
        <f t="shared" si="68"/>
        <v>217.83285714285714</v>
      </c>
      <c r="BP164" s="26">
        <f t="shared" si="73"/>
        <v>212.93384615384619</v>
      </c>
      <c r="BQ164" s="26">
        <f t="shared" si="76"/>
        <v>214.48606060606062</v>
      </c>
      <c r="BR164" s="26">
        <f t="shared" si="71"/>
        <v>216.37933333333331</v>
      </c>
      <c r="BS164" s="26">
        <f t="shared" si="65"/>
        <v>217.32105318461527</v>
      </c>
      <c r="BT164" s="26">
        <f t="shared" si="66"/>
        <v>218.60155266447393</v>
      </c>
    </row>
    <row r="165" spans="1:72" x14ac:dyDescent="0.2">
      <c r="A165" s="62"/>
      <c r="B165" s="24">
        <v>44359</v>
      </c>
      <c r="C165" s="25">
        <v>246.35</v>
      </c>
      <c r="D165" s="26">
        <f t="shared" si="67"/>
        <v>230.49</v>
      </c>
      <c r="E165" s="26">
        <f t="shared" si="69"/>
        <v>220.32799999999997</v>
      </c>
      <c r="F165" s="26">
        <f t="shared" si="72"/>
        <v>219.27142857142854</v>
      </c>
      <c r="G165" s="26">
        <f t="shared" si="74"/>
        <v>215.08538461538467</v>
      </c>
      <c r="H165" s="26">
        <f t="shared" ref="H165:H228" si="79">AVERAGE(C133:C165)</f>
        <v>214.78818181818184</v>
      </c>
      <c r="I165" s="26">
        <f t="shared" si="70"/>
        <v>226.47666666666663</v>
      </c>
      <c r="J165" s="26">
        <f t="shared" si="63"/>
        <v>228.93263191076915</v>
      </c>
      <c r="K165" s="26">
        <f t="shared" si="64"/>
        <v>235.25062106578957</v>
      </c>
      <c r="L165" s="26">
        <f t="shared" si="59"/>
        <v>220.00761164524428</v>
      </c>
      <c r="V165" s="26">
        <f t="shared" si="75"/>
        <v>219.98102854030978</v>
      </c>
      <c r="W165" s="26">
        <f t="shared" si="78"/>
        <v>217.49506490101237</v>
      </c>
      <c r="X165" s="26">
        <f t="shared" si="77"/>
        <v>2.4859636392974096</v>
      </c>
      <c r="Y165" s="26">
        <f t="shared" si="57"/>
        <v>0.64247825587686724</v>
      </c>
      <c r="Z165" s="26">
        <v>14020.33</v>
      </c>
      <c r="AA165" s="26">
        <f t="shared" si="60"/>
        <v>218.38663165177701</v>
      </c>
      <c r="AB165" s="27">
        <f t="shared" si="61"/>
        <v>-0.11351073005164597</v>
      </c>
      <c r="BK165" s="24">
        <v>44359</v>
      </c>
      <c r="BL165" s="25">
        <v>246.35</v>
      </c>
      <c r="BM165" s="26">
        <f t="shared" si="58"/>
        <v>230.49</v>
      </c>
      <c r="BN165" s="26">
        <f t="shared" si="62"/>
        <v>220.32799999999997</v>
      </c>
      <c r="BO165" s="26">
        <f t="shared" si="68"/>
        <v>219.27142857142854</v>
      </c>
      <c r="BP165" s="26">
        <f t="shared" si="73"/>
        <v>215.08538461538467</v>
      </c>
      <c r="BQ165" s="26">
        <f t="shared" si="76"/>
        <v>214.78818181818184</v>
      </c>
      <c r="BR165" s="26">
        <f t="shared" si="71"/>
        <v>226.47666666666663</v>
      </c>
      <c r="BS165" s="26">
        <f t="shared" si="65"/>
        <v>228.93263191076915</v>
      </c>
      <c r="BT165" s="26">
        <f t="shared" si="66"/>
        <v>235.25062106578957</v>
      </c>
    </row>
    <row r="166" spans="1:72" x14ac:dyDescent="0.2">
      <c r="A166" s="62"/>
      <c r="B166" s="24">
        <v>44360</v>
      </c>
      <c r="C166" s="25">
        <v>252.08</v>
      </c>
      <c r="D166" s="26">
        <f t="shared" si="67"/>
        <v>239.08333333333334</v>
      </c>
      <c r="E166" s="26">
        <f t="shared" si="69"/>
        <v>228.92000000000002</v>
      </c>
      <c r="F166" s="26">
        <f t="shared" si="72"/>
        <v>225.53142857142853</v>
      </c>
      <c r="G166" s="26">
        <f t="shared" si="74"/>
        <v>219.19923076923078</v>
      </c>
      <c r="H166" s="26">
        <f t="shared" si="79"/>
        <v>215.7560606060606</v>
      </c>
      <c r="I166" s="26">
        <f t="shared" si="70"/>
        <v>237.06066666666669</v>
      </c>
      <c r="J166" s="26">
        <f t="shared" si="63"/>
        <v>238.19157914646149</v>
      </c>
      <c r="K166" s="26">
        <f t="shared" si="64"/>
        <v>245.34824842631582</v>
      </c>
      <c r="L166" s="26">
        <f t="shared" si="59"/>
        <v>219.99277298324418</v>
      </c>
      <c r="V166" s="26">
        <f t="shared" si="75"/>
        <v>224.91933184180058</v>
      </c>
      <c r="W166" s="26">
        <f t="shared" si="78"/>
        <v>222.35873012991647</v>
      </c>
      <c r="X166" s="26">
        <f t="shared" si="77"/>
        <v>2.560601711884118</v>
      </c>
      <c r="Y166" s="26">
        <f t="shared" si="57"/>
        <v>1.0261029470783174</v>
      </c>
      <c r="Z166" s="26">
        <v>14788.09</v>
      </c>
      <c r="AA166" s="26">
        <f t="shared" si="60"/>
        <v>218.72465285817515</v>
      </c>
      <c r="AB166" s="27">
        <f t="shared" si="61"/>
        <v>-0.1323204821557635</v>
      </c>
      <c r="BK166" s="24">
        <v>44360</v>
      </c>
      <c r="BL166" s="25">
        <v>252.08</v>
      </c>
      <c r="BM166" s="26">
        <f t="shared" si="58"/>
        <v>239.08333333333334</v>
      </c>
      <c r="BN166" s="26">
        <f t="shared" si="62"/>
        <v>228.92000000000002</v>
      </c>
      <c r="BO166" s="26">
        <f t="shared" si="68"/>
        <v>225.53142857142853</v>
      </c>
      <c r="BP166" s="26">
        <f t="shared" si="73"/>
        <v>219.19923076923078</v>
      </c>
      <c r="BQ166" s="26">
        <f t="shared" si="76"/>
        <v>215.7560606060606</v>
      </c>
      <c r="BR166" s="26">
        <f t="shared" si="71"/>
        <v>237.06066666666669</v>
      </c>
      <c r="BS166" s="26">
        <f t="shared" si="65"/>
        <v>238.19157914646149</v>
      </c>
      <c r="BT166" s="26">
        <f t="shared" si="66"/>
        <v>245.34824842631582</v>
      </c>
    </row>
    <row r="167" spans="1:72" x14ac:dyDescent="0.2">
      <c r="A167" s="62"/>
      <c r="B167" s="24">
        <v>44361</v>
      </c>
      <c r="C167" s="25">
        <v>242.77</v>
      </c>
      <c r="D167" s="26">
        <f t="shared" si="67"/>
        <v>247.06666666666669</v>
      </c>
      <c r="E167" s="26">
        <f t="shared" si="69"/>
        <v>237.26400000000004</v>
      </c>
      <c r="F167" s="26">
        <f t="shared" si="72"/>
        <v>228.06999999999996</v>
      </c>
      <c r="G167" s="26">
        <f t="shared" si="74"/>
        <v>223.10769230769228</v>
      </c>
      <c r="H167" s="26">
        <f t="shared" si="79"/>
        <v>216.44060606060609</v>
      </c>
      <c r="I167" s="26">
        <f t="shared" si="70"/>
        <v>241.67733333333337</v>
      </c>
      <c r="J167" s="26">
        <f t="shared" si="63"/>
        <v>240.02294748787691</v>
      </c>
      <c r="K167" s="26">
        <f t="shared" si="64"/>
        <v>243.80129937052635</v>
      </c>
      <c r="L167" s="26">
        <f t="shared" si="59"/>
        <v>219.97793432124411</v>
      </c>
      <c r="V167" s="26">
        <f t="shared" si="75"/>
        <v>227.66558848152357</v>
      </c>
      <c r="W167" s="26">
        <f t="shared" si="78"/>
        <v>226.24160355722276</v>
      </c>
      <c r="X167" s="26">
        <f t="shared" si="77"/>
        <v>1.4239849243008109</v>
      </c>
      <c r="Y167" s="26">
        <f t="shared" ref="Y167:Y230" si="80">X167*(2/(9+1))+Y166*(1-(2/(9+1)))</f>
        <v>1.1056793425228162</v>
      </c>
      <c r="Z167" s="26">
        <v>15115.49</v>
      </c>
      <c r="AA167" s="26">
        <f t="shared" si="60"/>
        <v>218.86879704773278</v>
      </c>
      <c r="AB167" s="27">
        <f t="shared" si="61"/>
        <v>-9.8452044948993803E-2</v>
      </c>
      <c r="BK167" s="24">
        <v>44361</v>
      </c>
      <c r="BL167" s="25">
        <v>242.77</v>
      </c>
      <c r="BM167" s="26">
        <f t="shared" si="58"/>
        <v>247.06666666666669</v>
      </c>
      <c r="BN167" s="26">
        <f t="shared" si="62"/>
        <v>237.26400000000004</v>
      </c>
      <c r="BO167" s="26">
        <f t="shared" si="68"/>
        <v>228.06999999999996</v>
      </c>
      <c r="BP167" s="26">
        <f t="shared" si="73"/>
        <v>223.10769230769228</v>
      </c>
      <c r="BQ167" s="26">
        <f t="shared" si="76"/>
        <v>216.44060606060609</v>
      </c>
      <c r="BR167" s="26">
        <f t="shared" si="71"/>
        <v>241.67733333333337</v>
      </c>
      <c r="BS167" s="26">
        <f t="shared" si="65"/>
        <v>240.02294748787691</v>
      </c>
      <c r="BT167" s="26">
        <f t="shared" si="66"/>
        <v>243.80129937052635</v>
      </c>
    </row>
    <row r="168" spans="1:72" x14ac:dyDescent="0.2">
      <c r="A168" s="62"/>
      <c r="B168" s="24">
        <v>44362</v>
      </c>
      <c r="C168" s="25">
        <v>254.14</v>
      </c>
      <c r="D168" s="26">
        <f t="shared" si="67"/>
        <v>249.66333333333333</v>
      </c>
      <c r="E168" s="26">
        <f t="shared" si="69"/>
        <v>242.83199999999997</v>
      </c>
      <c r="F168" s="26">
        <f t="shared" si="72"/>
        <v>234.50142857142859</v>
      </c>
      <c r="G168" s="26">
        <f t="shared" si="74"/>
        <v>226.57692307692304</v>
      </c>
      <c r="H168" s="26">
        <f t="shared" si="79"/>
        <v>217.40454545454548</v>
      </c>
      <c r="I168" s="26">
        <f t="shared" si="70"/>
        <v>247.30266666666662</v>
      </c>
      <c r="J168" s="26">
        <f t="shared" si="63"/>
        <v>245.66976849272615</v>
      </c>
      <c r="K168" s="26">
        <f t="shared" si="64"/>
        <v>250.00451974821053</v>
      </c>
      <c r="L168" s="26">
        <f t="shared" si="59"/>
        <v>219.963095659244</v>
      </c>
      <c r="V168" s="26">
        <f t="shared" si="75"/>
        <v>231.73857486898146</v>
      </c>
      <c r="W168" s="26">
        <f t="shared" si="78"/>
        <v>229.62665600141071</v>
      </c>
      <c r="X168" s="26">
        <f t="shared" si="77"/>
        <v>2.1119188675707505</v>
      </c>
      <c r="Y168" s="26">
        <f t="shared" si="80"/>
        <v>1.306927247532403</v>
      </c>
      <c r="Z168" s="26">
        <v>15622.71</v>
      </c>
      <c r="AA168" s="26">
        <f t="shared" si="60"/>
        <v>219.09211047420624</v>
      </c>
      <c r="AB168" s="27">
        <f t="shared" si="61"/>
        <v>-0.13790780485477985</v>
      </c>
      <c r="BK168" s="24">
        <v>44362</v>
      </c>
      <c r="BL168" s="25">
        <v>254.14</v>
      </c>
      <c r="BM168" s="26">
        <f t="shared" si="58"/>
        <v>249.66333333333333</v>
      </c>
      <c r="BN168" s="26">
        <f t="shared" si="62"/>
        <v>242.83199999999997</v>
      </c>
      <c r="BO168" s="26">
        <f t="shared" si="68"/>
        <v>234.50142857142859</v>
      </c>
      <c r="BP168" s="26">
        <f t="shared" si="73"/>
        <v>226.57692307692304</v>
      </c>
      <c r="BQ168" s="26">
        <f t="shared" si="76"/>
        <v>217.40454545454548</v>
      </c>
      <c r="BR168" s="26">
        <f t="shared" si="71"/>
        <v>247.30266666666662</v>
      </c>
      <c r="BS168" s="26">
        <f t="shared" si="65"/>
        <v>245.66976849272615</v>
      </c>
      <c r="BT168" s="26">
        <f t="shared" si="66"/>
        <v>250.00451974821053</v>
      </c>
    </row>
    <row r="169" spans="1:72" x14ac:dyDescent="0.2">
      <c r="A169" s="62"/>
      <c r="B169" s="24">
        <v>44363</v>
      </c>
      <c r="C169" s="25">
        <v>206.69</v>
      </c>
      <c r="D169" s="26">
        <f t="shared" si="67"/>
        <v>234.5333333333333</v>
      </c>
      <c r="E169" s="26">
        <f t="shared" si="69"/>
        <v>240.40600000000001</v>
      </c>
      <c r="F169" s="26">
        <f t="shared" si="72"/>
        <v>235.30714285714288</v>
      </c>
      <c r="G169" s="26">
        <f t="shared" si="74"/>
        <v>226.64</v>
      </c>
      <c r="H169" s="26">
        <f t="shared" si="79"/>
        <v>217.56727272727275</v>
      </c>
      <c r="I169" s="26">
        <f t="shared" si="70"/>
        <v>235.25533333333334</v>
      </c>
      <c r="J169" s="26">
        <f t="shared" si="63"/>
        <v>230.07786109563568</v>
      </c>
      <c r="K169" s="26">
        <f t="shared" si="64"/>
        <v>224.0158078992842</v>
      </c>
      <c r="L169" s="26">
        <f t="shared" si="59"/>
        <v>219.9482569972439</v>
      </c>
      <c r="V169" s="26">
        <f t="shared" si="75"/>
        <v>227.88494796606122</v>
      </c>
      <c r="W169" s="26">
        <f t="shared" si="78"/>
        <v>229.88312487868654</v>
      </c>
      <c r="X169" s="26">
        <f t="shared" si="77"/>
        <v>-1.9981769126253255</v>
      </c>
      <c r="Y169" s="26">
        <f t="shared" si="80"/>
        <v>0.64590641550085737</v>
      </c>
      <c r="Z169" s="26">
        <v>15630.6</v>
      </c>
      <c r="AA169" s="26">
        <f t="shared" si="60"/>
        <v>219.095584199483</v>
      </c>
      <c r="AB169" s="27">
        <f t="shared" si="61"/>
        <v>6.0020243840935711E-2</v>
      </c>
      <c r="BK169" s="24">
        <v>44363</v>
      </c>
      <c r="BL169" s="25">
        <v>206.69</v>
      </c>
      <c r="BM169" s="26">
        <f t="shared" si="58"/>
        <v>234.5333333333333</v>
      </c>
      <c r="BN169" s="26">
        <f t="shared" si="62"/>
        <v>240.40600000000001</v>
      </c>
      <c r="BO169" s="26">
        <f t="shared" si="68"/>
        <v>235.30714285714288</v>
      </c>
      <c r="BP169" s="26">
        <f t="shared" si="73"/>
        <v>226.64</v>
      </c>
      <c r="BQ169" s="26">
        <f t="shared" si="76"/>
        <v>217.56727272727275</v>
      </c>
      <c r="BR169" s="26">
        <f t="shared" si="71"/>
        <v>235.25533333333334</v>
      </c>
      <c r="BS169" s="26">
        <f t="shared" si="65"/>
        <v>230.07786109563568</v>
      </c>
      <c r="BT169" s="26">
        <f t="shared" si="66"/>
        <v>224.0158078992842</v>
      </c>
    </row>
    <row r="170" spans="1:72" x14ac:dyDescent="0.2">
      <c r="A170" s="62"/>
      <c r="B170" s="24">
        <v>44364</v>
      </c>
      <c r="C170" s="25">
        <v>205.41</v>
      </c>
      <c r="D170" s="26">
        <f t="shared" si="67"/>
        <v>222.08</v>
      </c>
      <c r="E170" s="26">
        <f t="shared" si="69"/>
        <v>232.21800000000002</v>
      </c>
      <c r="F170" s="26">
        <f t="shared" si="72"/>
        <v>232.32285714285715</v>
      </c>
      <c r="G170" s="26">
        <f t="shared" si="74"/>
        <v>225.55923076923074</v>
      </c>
      <c r="H170" s="26">
        <f t="shared" si="79"/>
        <v>218.10848484848484</v>
      </c>
      <c r="I170" s="26">
        <f t="shared" si="70"/>
        <v>223.59</v>
      </c>
      <c r="J170" s="26">
        <f t="shared" si="63"/>
        <v>220.2107166573814</v>
      </c>
      <c r="K170" s="26">
        <f t="shared" si="64"/>
        <v>212.85232315971368</v>
      </c>
      <c r="L170" s="26">
        <f t="shared" si="59"/>
        <v>219.93341833524383</v>
      </c>
      <c r="V170" s="26">
        <f t="shared" si="75"/>
        <v>224.42726366359025</v>
      </c>
      <c r="W170" s="26">
        <f t="shared" si="78"/>
        <v>226.22013700561223</v>
      </c>
      <c r="X170" s="26">
        <f t="shared" si="77"/>
        <v>-1.7928733420219771</v>
      </c>
      <c r="Y170" s="26">
        <f t="shared" si="80"/>
        <v>0.15815046399629051</v>
      </c>
      <c r="Z170" s="26">
        <v>13036.43</v>
      </c>
      <c r="AA170" s="26">
        <f t="shared" si="60"/>
        <v>217.95345062518646</v>
      </c>
      <c r="AB170" s="27">
        <f t="shared" si="61"/>
        <v>6.1065433158981872E-2</v>
      </c>
      <c r="BK170" s="24">
        <v>44364</v>
      </c>
      <c r="BL170" s="25">
        <v>205.41</v>
      </c>
      <c r="BM170" s="26">
        <f t="shared" si="58"/>
        <v>222.08</v>
      </c>
      <c r="BN170" s="26">
        <f t="shared" si="62"/>
        <v>232.21800000000002</v>
      </c>
      <c r="BO170" s="26">
        <f t="shared" si="68"/>
        <v>232.32285714285715</v>
      </c>
      <c r="BP170" s="26">
        <f t="shared" si="73"/>
        <v>225.55923076923074</v>
      </c>
      <c r="BQ170" s="26">
        <f t="shared" si="76"/>
        <v>218.10848484848484</v>
      </c>
      <c r="BR170" s="26">
        <f t="shared" si="71"/>
        <v>223.59</v>
      </c>
      <c r="BS170" s="26">
        <f t="shared" si="65"/>
        <v>220.2107166573814</v>
      </c>
      <c r="BT170" s="26">
        <f t="shared" si="66"/>
        <v>212.85232315971368</v>
      </c>
    </row>
    <row r="171" spans="1:72" x14ac:dyDescent="0.2">
      <c r="A171" s="62"/>
      <c r="B171" s="24">
        <v>44365</v>
      </c>
      <c r="C171" s="25">
        <v>236.17</v>
      </c>
      <c r="D171" s="26">
        <f t="shared" si="67"/>
        <v>216.09</v>
      </c>
      <c r="E171" s="26">
        <f t="shared" si="69"/>
        <v>229.03599999999997</v>
      </c>
      <c r="F171" s="26">
        <f t="shared" si="72"/>
        <v>234.8014285714286</v>
      </c>
      <c r="G171" s="26">
        <f t="shared" si="74"/>
        <v>225.55076923076922</v>
      </c>
      <c r="H171" s="26">
        <f t="shared" si="79"/>
        <v>218.63303030303035</v>
      </c>
      <c r="I171" s="26">
        <f t="shared" si="70"/>
        <v>224.90733333333327</v>
      </c>
      <c r="J171" s="26">
        <f t="shared" si="63"/>
        <v>226.59442999442882</v>
      </c>
      <c r="K171" s="26">
        <f t="shared" si="64"/>
        <v>226.84292926388548</v>
      </c>
      <c r="L171" s="26">
        <f t="shared" si="59"/>
        <v>219.91857967324373</v>
      </c>
      <c r="V171" s="26">
        <f t="shared" si="75"/>
        <v>226.23383848457638</v>
      </c>
      <c r="W171" s="26">
        <f t="shared" si="78"/>
        <v>225.29709598480579</v>
      </c>
      <c r="X171" s="26">
        <f t="shared" si="77"/>
        <v>0.93674249977058821</v>
      </c>
      <c r="Y171" s="26">
        <f t="shared" si="80"/>
        <v>0.31386887115115003</v>
      </c>
      <c r="Z171" s="26">
        <v>14025.77</v>
      </c>
      <c r="AA171" s="26">
        <f t="shared" si="60"/>
        <v>218.38902671711358</v>
      </c>
      <c r="AB171" s="27">
        <f t="shared" si="61"/>
        <v>-7.5288873620215982E-2</v>
      </c>
      <c r="BK171" s="24">
        <v>44365</v>
      </c>
      <c r="BL171" s="25">
        <v>236.17</v>
      </c>
      <c r="BM171" s="26">
        <f t="shared" si="58"/>
        <v>216.09</v>
      </c>
      <c r="BN171" s="26">
        <f t="shared" si="62"/>
        <v>229.03599999999997</v>
      </c>
      <c r="BO171" s="26">
        <f t="shared" si="68"/>
        <v>234.8014285714286</v>
      </c>
      <c r="BP171" s="26">
        <f t="shared" si="73"/>
        <v>225.55076923076922</v>
      </c>
      <c r="BQ171" s="26">
        <f t="shared" si="76"/>
        <v>218.63303030303035</v>
      </c>
      <c r="BR171" s="26">
        <f t="shared" si="71"/>
        <v>224.90733333333327</v>
      </c>
      <c r="BS171" s="26">
        <f t="shared" si="65"/>
        <v>226.59442999442882</v>
      </c>
      <c r="BT171" s="26">
        <f t="shared" si="66"/>
        <v>226.84292926388548</v>
      </c>
    </row>
    <row r="172" spans="1:72" x14ac:dyDescent="0.2">
      <c r="A172" s="62"/>
      <c r="B172" s="24">
        <v>44366</v>
      </c>
      <c r="C172" s="25">
        <v>224.72</v>
      </c>
      <c r="D172" s="26">
        <f t="shared" si="67"/>
        <v>222.1</v>
      </c>
      <c r="E172" s="26">
        <f t="shared" si="69"/>
        <v>225.42599999999999</v>
      </c>
      <c r="F172" s="26">
        <f t="shared" si="72"/>
        <v>231.7114285714286</v>
      </c>
      <c r="G172" s="26">
        <f t="shared" si="74"/>
        <v>226.81692307692305</v>
      </c>
      <c r="H172" s="26">
        <f t="shared" si="79"/>
        <v>219.1866666666667</v>
      </c>
      <c r="I172" s="26">
        <f t="shared" si="70"/>
        <v>223.46866666666665</v>
      </c>
      <c r="J172" s="26">
        <f t="shared" si="63"/>
        <v>225.8446579966573</v>
      </c>
      <c r="K172" s="26">
        <f t="shared" si="64"/>
        <v>225.5691717055542</v>
      </c>
      <c r="L172" s="26">
        <f t="shared" si="59"/>
        <v>219.90374101124362</v>
      </c>
      <c r="V172" s="26">
        <f t="shared" si="75"/>
        <v>226.00094025618003</v>
      </c>
      <c r="W172" s="26">
        <f t="shared" si="78"/>
        <v>226.12170230053368</v>
      </c>
      <c r="X172" s="26">
        <f t="shared" si="77"/>
        <v>-0.12076204435365412</v>
      </c>
      <c r="Y172" s="26">
        <f t="shared" si="80"/>
        <v>0.22694268805018919</v>
      </c>
      <c r="Z172" s="26">
        <v>13398.67</v>
      </c>
      <c r="AA172" s="26">
        <f t="shared" si="60"/>
        <v>218.11293379936288</v>
      </c>
      <c r="AB172" s="27">
        <f t="shared" si="61"/>
        <v>-2.9401326987527239E-2</v>
      </c>
      <c r="BK172" s="24">
        <v>44366</v>
      </c>
      <c r="BL172" s="25">
        <v>224.72</v>
      </c>
      <c r="BM172" s="26">
        <f t="shared" si="58"/>
        <v>222.1</v>
      </c>
      <c r="BN172" s="26">
        <f t="shared" si="62"/>
        <v>225.42599999999999</v>
      </c>
      <c r="BO172" s="26">
        <f t="shared" si="68"/>
        <v>231.7114285714286</v>
      </c>
      <c r="BP172" s="26">
        <f t="shared" si="73"/>
        <v>226.81692307692305</v>
      </c>
      <c r="BQ172" s="26">
        <f t="shared" si="76"/>
        <v>219.1866666666667</v>
      </c>
      <c r="BR172" s="26">
        <f t="shared" si="71"/>
        <v>223.46866666666665</v>
      </c>
      <c r="BS172" s="26">
        <f t="shared" si="65"/>
        <v>225.8446579966573</v>
      </c>
      <c r="BT172" s="26">
        <f t="shared" si="66"/>
        <v>225.5691717055542</v>
      </c>
    </row>
    <row r="173" spans="1:72" x14ac:dyDescent="0.2">
      <c r="A173" s="62"/>
      <c r="B173" s="24">
        <v>44367</v>
      </c>
      <c r="C173" s="25">
        <v>250.62</v>
      </c>
      <c r="D173" s="26">
        <f t="shared" si="67"/>
        <v>237.17</v>
      </c>
      <c r="E173" s="26">
        <f t="shared" si="69"/>
        <v>224.72200000000004</v>
      </c>
      <c r="F173" s="26">
        <f t="shared" si="72"/>
        <v>231.50285714285715</v>
      </c>
      <c r="G173" s="26">
        <f t="shared" si="74"/>
        <v>228.78769230769225</v>
      </c>
      <c r="H173" s="26">
        <f t="shared" si="79"/>
        <v>219.56242424242427</v>
      </c>
      <c r="I173" s="26">
        <f t="shared" si="70"/>
        <v>231.86666666666667</v>
      </c>
      <c r="J173" s="26">
        <f t="shared" si="63"/>
        <v>235.75479479799441</v>
      </c>
      <c r="K173" s="26">
        <f t="shared" si="64"/>
        <v>240.59966868222168</v>
      </c>
      <c r="L173" s="26">
        <f t="shared" si="59"/>
        <v>219.88890234924355</v>
      </c>
      <c r="V173" s="26">
        <f t="shared" si="75"/>
        <v>229.78848790907543</v>
      </c>
      <c r="W173" s="26">
        <f t="shared" si="78"/>
        <v>227.82457431127779</v>
      </c>
      <c r="X173" s="26">
        <f t="shared" si="77"/>
        <v>1.9639135977976423</v>
      </c>
      <c r="Y173" s="26">
        <f t="shared" si="80"/>
        <v>0.57433686999967981</v>
      </c>
      <c r="Z173" s="26">
        <v>13389.43</v>
      </c>
      <c r="AA173" s="26">
        <f t="shared" si="60"/>
        <v>218.1088657104456</v>
      </c>
      <c r="AB173" s="27">
        <f t="shared" si="61"/>
        <v>-0.12972282455332537</v>
      </c>
      <c r="BK173" s="24">
        <v>44367</v>
      </c>
      <c r="BL173" s="25">
        <v>250.62</v>
      </c>
      <c r="BM173" s="26">
        <f t="shared" si="58"/>
        <v>237.17</v>
      </c>
      <c r="BN173" s="26">
        <f t="shared" si="62"/>
        <v>224.72200000000004</v>
      </c>
      <c r="BO173" s="26">
        <f t="shared" si="68"/>
        <v>231.50285714285715</v>
      </c>
      <c r="BP173" s="26">
        <f t="shared" si="73"/>
        <v>228.78769230769225</v>
      </c>
      <c r="BQ173" s="26">
        <f t="shared" si="76"/>
        <v>219.56242424242427</v>
      </c>
      <c r="BR173" s="26">
        <f t="shared" si="71"/>
        <v>231.86666666666667</v>
      </c>
      <c r="BS173" s="26">
        <f t="shared" si="65"/>
        <v>235.75479479799441</v>
      </c>
      <c r="BT173" s="26">
        <f t="shared" si="66"/>
        <v>240.59966868222168</v>
      </c>
    </row>
    <row r="174" spans="1:72" x14ac:dyDescent="0.2">
      <c r="A174" s="62"/>
      <c r="B174" s="24">
        <v>44368</v>
      </c>
      <c r="C174" s="25">
        <v>242.6</v>
      </c>
      <c r="D174" s="26">
        <f t="shared" si="67"/>
        <v>239.31333333333336</v>
      </c>
      <c r="E174" s="26">
        <f t="shared" si="69"/>
        <v>231.904</v>
      </c>
      <c r="F174" s="26">
        <f t="shared" si="72"/>
        <v>231.47857142857143</v>
      </c>
      <c r="G174" s="26">
        <f t="shared" si="74"/>
        <v>231.3630769230769</v>
      </c>
      <c r="H174" s="26">
        <f t="shared" si="79"/>
        <v>220.30636363636367</v>
      </c>
      <c r="I174" s="26">
        <f t="shared" si="70"/>
        <v>237.82599999999999</v>
      </c>
      <c r="J174" s="26">
        <f t="shared" si="63"/>
        <v>238.49287687879666</v>
      </c>
      <c r="K174" s="26">
        <f t="shared" si="64"/>
        <v>241.79986747288868</v>
      </c>
      <c r="L174" s="26">
        <f t="shared" si="59"/>
        <v>219.87406368724345</v>
      </c>
      <c r="V174" s="26">
        <f t="shared" si="75"/>
        <v>231.75948976921768</v>
      </c>
      <c r="W174" s="26">
        <f t="shared" si="78"/>
        <v>230.73748880469947</v>
      </c>
      <c r="X174" s="26">
        <f t="shared" si="77"/>
        <v>1.0220009645182131</v>
      </c>
      <c r="Y174" s="26">
        <f t="shared" si="80"/>
        <v>0.66386968890338649</v>
      </c>
      <c r="Z174" s="26">
        <v>14069.42</v>
      </c>
      <c r="AA174" s="26">
        <f t="shared" si="60"/>
        <v>218.40824447482339</v>
      </c>
      <c r="AB174" s="27">
        <f t="shared" si="61"/>
        <v>-9.9718695487125322E-2</v>
      </c>
      <c r="BK174" s="24">
        <v>44368</v>
      </c>
      <c r="BL174" s="25">
        <v>242.6</v>
      </c>
      <c r="BM174" s="26">
        <f t="shared" si="58"/>
        <v>239.31333333333336</v>
      </c>
      <c r="BN174" s="26">
        <f t="shared" si="62"/>
        <v>231.904</v>
      </c>
      <c r="BO174" s="26">
        <f t="shared" si="68"/>
        <v>231.47857142857143</v>
      </c>
      <c r="BP174" s="26">
        <f t="shared" si="73"/>
        <v>231.3630769230769</v>
      </c>
      <c r="BQ174" s="26">
        <f t="shared" si="76"/>
        <v>220.30636363636367</v>
      </c>
      <c r="BR174" s="26">
        <f t="shared" si="71"/>
        <v>237.82599999999999</v>
      </c>
      <c r="BS174" s="26">
        <f t="shared" si="65"/>
        <v>238.49287687879666</v>
      </c>
      <c r="BT174" s="26">
        <f t="shared" si="66"/>
        <v>241.79986747288868</v>
      </c>
    </row>
    <row r="175" spans="1:72" x14ac:dyDescent="0.2">
      <c r="A175" s="62"/>
      <c r="B175" s="24">
        <v>44369</v>
      </c>
      <c r="C175" s="25">
        <v>235.48</v>
      </c>
      <c r="D175" s="26">
        <f t="shared" si="67"/>
        <v>242.9</v>
      </c>
      <c r="E175" s="26">
        <f t="shared" si="69"/>
        <v>237.91799999999998</v>
      </c>
      <c r="F175" s="26">
        <f t="shared" si="72"/>
        <v>228.81285714285715</v>
      </c>
      <c r="G175" s="26">
        <f t="shared" si="74"/>
        <v>234.01153846153844</v>
      </c>
      <c r="H175" s="26">
        <f t="shared" si="79"/>
        <v>220.75212121212124</v>
      </c>
      <c r="I175" s="26">
        <f t="shared" si="70"/>
        <v>239.018</v>
      </c>
      <c r="J175" s="26">
        <f t="shared" si="63"/>
        <v>237.28772612727801</v>
      </c>
      <c r="K175" s="26">
        <f t="shared" si="64"/>
        <v>238.00794698915547</v>
      </c>
      <c r="L175" s="26">
        <f t="shared" si="59"/>
        <v>219.85922502524335</v>
      </c>
      <c r="V175" s="26">
        <f t="shared" si="75"/>
        <v>232.33187595856882</v>
      </c>
      <c r="W175" s="26">
        <f t="shared" si="78"/>
        <v>232.035083119646</v>
      </c>
      <c r="X175" s="26">
        <f t="shared" si="77"/>
        <v>0.29679283892281205</v>
      </c>
      <c r="Y175" s="26">
        <f t="shared" si="80"/>
        <v>0.59045431890727162</v>
      </c>
      <c r="Z175" s="26">
        <v>14765.13</v>
      </c>
      <c r="AA175" s="26">
        <f t="shared" si="60"/>
        <v>218.71454427359285</v>
      </c>
      <c r="AB175" s="27">
        <f t="shared" si="61"/>
        <v>-7.119694125363997E-2</v>
      </c>
      <c r="BK175" s="24">
        <v>44369</v>
      </c>
      <c r="BL175" s="25">
        <v>235.48</v>
      </c>
      <c r="BM175" s="26">
        <f t="shared" si="58"/>
        <v>242.9</v>
      </c>
      <c r="BN175" s="26">
        <f t="shared" si="62"/>
        <v>237.91799999999998</v>
      </c>
      <c r="BO175" s="26">
        <f t="shared" si="68"/>
        <v>228.81285714285715</v>
      </c>
      <c r="BP175" s="26">
        <f t="shared" si="73"/>
        <v>234.01153846153844</v>
      </c>
      <c r="BQ175" s="26">
        <f t="shared" si="76"/>
        <v>220.75212121212124</v>
      </c>
      <c r="BR175" s="26">
        <f t="shared" si="71"/>
        <v>239.018</v>
      </c>
      <c r="BS175" s="26">
        <f t="shared" si="65"/>
        <v>237.28772612727801</v>
      </c>
      <c r="BT175" s="26">
        <f t="shared" si="66"/>
        <v>238.00794698915547</v>
      </c>
    </row>
    <row r="176" spans="1:72" x14ac:dyDescent="0.2">
      <c r="A176" s="62"/>
      <c r="B176" s="24">
        <v>44370</v>
      </c>
      <c r="C176" s="25">
        <v>205.37</v>
      </c>
      <c r="D176" s="26">
        <f t="shared" si="67"/>
        <v>227.81666666666669</v>
      </c>
      <c r="E176" s="26">
        <f t="shared" si="69"/>
        <v>231.75799999999998</v>
      </c>
      <c r="F176" s="26">
        <f t="shared" si="72"/>
        <v>228.62428571428569</v>
      </c>
      <c r="G176" s="26">
        <f t="shared" si="74"/>
        <v>232.40153846153845</v>
      </c>
      <c r="H176" s="26">
        <f t="shared" si="79"/>
        <v>220.23606060606062</v>
      </c>
      <c r="I176" s="26">
        <f>(C176*5+C175*4+C174*3+C173*2+C172)/(5+4+3+2+1)</f>
        <v>228.16866666666661</v>
      </c>
      <c r="J176" s="26">
        <f t="shared" si="63"/>
        <v>224.52063567636679</v>
      </c>
      <c r="K176" s="26">
        <f t="shared" si="64"/>
        <v>218.42517879566219</v>
      </c>
      <c r="L176" s="26">
        <f t="shared" si="59"/>
        <v>219.84438636324327</v>
      </c>
      <c r="V176" s="26">
        <f t="shared" si="75"/>
        <v>228.18389504186592</v>
      </c>
      <c r="W176" s="26">
        <f t="shared" si="78"/>
        <v>230.3346999616378</v>
      </c>
      <c r="X176" s="26">
        <f t="shared" si="77"/>
        <v>-2.1508049197718719</v>
      </c>
      <c r="Y176" s="26">
        <f t="shared" si="80"/>
        <v>4.2202471171442935E-2</v>
      </c>
      <c r="Z176" s="26">
        <v>14486.2</v>
      </c>
      <c r="AA176" s="26">
        <f t="shared" si="60"/>
        <v>218.59173994007637</v>
      </c>
      <c r="AB176" s="27">
        <f t="shared" si="61"/>
        <v>6.4380094171867172E-2</v>
      </c>
      <c r="BK176" s="24">
        <v>44370</v>
      </c>
      <c r="BL176" s="25">
        <v>205.37</v>
      </c>
      <c r="BM176" s="26">
        <f t="shared" si="58"/>
        <v>227.81666666666669</v>
      </c>
      <c r="BN176" s="26">
        <f t="shared" si="62"/>
        <v>231.75799999999998</v>
      </c>
      <c r="BO176" s="26">
        <f t="shared" si="68"/>
        <v>228.62428571428569</v>
      </c>
      <c r="BP176" s="26">
        <f t="shared" si="73"/>
        <v>232.40153846153845</v>
      </c>
      <c r="BQ176" s="26">
        <f t="shared" si="76"/>
        <v>220.23606060606062</v>
      </c>
      <c r="BR176" s="26">
        <f>(BL176*5+BL175*4+BL174*3+BL173*2+BL172)/(5+4+3+2+1)</f>
        <v>228.16866666666661</v>
      </c>
      <c r="BS176" s="26">
        <f t="shared" si="65"/>
        <v>224.52063567636679</v>
      </c>
      <c r="BT176" s="26">
        <f t="shared" si="66"/>
        <v>218.42517879566219</v>
      </c>
    </row>
    <row r="177" spans="1:72" x14ac:dyDescent="0.2">
      <c r="A177" s="62"/>
      <c r="B177" s="24">
        <v>44371</v>
      </c>
      <c r="C177" s="25">
        <v>206.29</v>
      </c>
      <c r="D177" s="26">
        <f t="shared" si="67"/>
        <v>215.71333333333334</v>
      </c>
      <c r="E177" s="26">
        <f t="shared" si="69"/>
        <v>228.07200000000003</v>
      </c>
      <c r="F177" s="26">
        <f t="shared" si="72"/>
        <v>228.75</v>
      </c>
      <c r="G177" s="26">
        <f t="shared" si="74"/>
        <v>231.43769230769232</v>
      </c>
      <c r="H177" s="26">
        <f t="shared" si="79"/>
        <v>219.96424242424246</v>
      </c>
      <c r="I177" s="26">
        <f t="shared" ref="I177:I240" si="81">(C177*5+C176*4+C175*3+C174*2+C173)/(5+4+3+2+1)</f>
        <v>219.67933333333332</v>
      </c>
      <c r="J177" s="26">
        <f t="shared" si="63"/>
        <v>217.22838140582007</v>
      </c>
      <c r="K177" s="26">
        <f t="shared" si="64"/>
        <v>211.14407151826487</v>
      </c>
      <c r="L177" s="26">
        <f t="shared" si="59"/>
        <v>219.82954770124317</v>
      </c>
      <c r="V177" s="26">
        <f t="shared" si="75"/>
        <v>224.81560349696349</v>
      </c>
      <c r="W177" s="26">
        <f t="shared" si="78"/>
        <v>226.56212503876475</v>
      </c>
      <c r="X177" s="26">
        <f t="shared" si="77"/>
        <v>-1.7465215418012576</v>
      </c>
      <c r="Y177" s="26">
        <f t="shared" si="80"/>
        <v>-0.31554233142309723</v>
      </c>
      <c r="Z177" s="26">
        <v>15704.28</v>
      </c>
      <c r="AA177" s="26">
        <f t="shared" si="60"/>
        <v>219.12802324617391</v>
      </c>
      <c r="AB177" s="27">
        <f t="shared" si="61"/>
        <v>6.2232891784254785E-2</v>
      </c>
      <c r="BK177" s="24">
        <v>44371</v>
      </c>
      <c r="BL177" s="25">
        <v>206.29</v>
      </c>
      <c r="BM177" s="26">
        <f t="shared" si="58"/>
        <v>215.71333333333334</v>
      </c>
      <c r="BN177" s="26">
        <f t="shared" si="62"/>
        <v>228.07200000000003</v>
      </c>
      <c r="BO177" s="26">
        <f t="shared" si="68"/>
        <v>228.75</v>
      </c>
      <c r="BP177" s="26">
        <f t="shared" si="73"/>
        <v>231.43769230769232</v>
      </c>
      <c r="BQ177" s="26">
        <f t="shared" si="76"/>
        <v>219.96424242424246</v>
      </c>
      <c r="BR177" s="26">
        <f t="shared" ref="BR177:BR240" si="82">(BL177*5+BL176*4+BL175*3+BL174*2+BL173)/(5+4+3+2+1)</f>
        <v>219.67933333333332</v>
      </c>
      <c r="BS177" s="26">
        <f t="shared" si="65"/>
        <v>217.22838140582007</v>
      </c>
      <c r="BT177" s="26">
        <f t="shared" si="66"/>
        <v>211.14407151826487</v>
      </c>
    </row>
    <row r="178" spans="1:72" x14ac:dyDescent="0.2">
      <c r="A178" s="62"/>
      <c r="B178" s="24">
        <v>44372</v>
      </c>
      <c r="C178" s="25">
        <v>236.96</v>
      </c>
      <c r="D178" s="26">
        <f t="shared" si="67"/>
        <v>216.20666666666668</v>
      </c>
      <c r="E178" s="26">
        <f t="shared" si="69"/>
        <v>225.34</v>
      </c>
      <c r="F178" s="26">
        <f t="shared" si="72"/>
        <v>228.86285714285714</v>
      </c>
      <c r="G178" s="26">
        <f t="shared" si="74"/>
        <v>230.71538461538464</v>
      </c>
      <c r="H178" s="26">
        <f t="shared" si="79"/>
        <v>221.08303030303031</v>
      </c>
      <c r="I178" s="26">
        <f t="shared" si="81"/>
        <v>222.642</v>
      </c>
      <c r="J178" s="26">
        <f t="shared" si="63"/>
        <v>225.12102884349207</v>
      </c>
      <c r="K178" s="26">
        <f t="shared" si="64"/>
        <v>226.63362860730592</v>
      </c>
      <c r="L178" s="26">
        <f t="shared" si="59"/>
        <v>219.81470903924307</v>
      </c>
      <c r="V178" s="26">
        <f t="shared" si="75"/>
        <v>226.68397218973834</v>
      </c>
      <c r="W178" s="26">
        <f t="shared" si="78"/>
        <v>225.71518842311434</v>
      </c>
      <c r="X178" s="26">
        <f t="shared" si="77"/>
        <v>0.96878376662400001</v>
      </c>
      <c r="Y178" s="26">
        <f t="shared" si="80"/>
        <v>-5.8677111813677796E-2</v>
      </c>
      <c r="Z178" s="26">
        <v>13072.43</v>
      </c>
      <c r="AA178" s="26">
        <f t="shared" si="60"/>
        <v>217.96930032226672</v>
      </c>
      <c r="AB178" s="27">
        <f t="shared" si="61"/>
        <v>-8.0143060760184376E-2</v>
      </c>
      <c r="BK178" s="24">
        <v>44372</v>
      </c>
      <c r="BL178" s="25">
        <v>236.96</v>
      </c>
      <c r="BM178" s="26">
        <f t="shared" si="58"/>
        <v>216.20666666666668</v>
      </c>
      <c r="BN178" s="26">
        <f t="shared" si="62"/>
        <v>225.34</v>
      </c>
      <c r="BO178" s="26">
        <f t="shared" si="68"/>
        <v>228.86285714285714</v>
      </c>
      <c r="BP178" s="26">
        <f t="shared" si="73"/>
        <v>230.71538461538464</v>
      </c>
      <c r="BQ178" s="26">
        <f t="shared" si="76"/>
        <v>221.08303030303031</v>
      </c>
      <c r="BR178" s="26">
        <f t="shared" si="82"/>
        <v>222.642</v>
      </c>
      <c r="BS178" s="26">
        <f t="shared" si="65"/>
        <v>225.12102884349207</v>
      </c>
      <c r="BT178" s="26">
        <f t="shared" si="66"/>
        <v>226.63362860730592</v>
      </c>
    </row>
    <row r="179" spans="1:72" x14ac:dyDescent="0.2">
      <c r="A179" s="62"/>
      <c r="B179" s="24">
        <v>44373</v>
      </c>
      <c r="C179" s="25">
        <v>226.95</v>
      </c>
      <c r="D179" s="26">
        <f t="shared" si="67"/>
        <v>223.4</v>
      </c>
      <c r="E179" s="26">
        <f t="shared" si="69"/>
        <v>222.20999999999998</v>
      </c>
      <c r="F179" s="26">
        <f t="shared" si="72"/>
        <v>229.1814285714286</v>
      </c>
      <c r="G179" s="26">
        <f t="shared" si="74"/>
        <v>228.78230769230765</v>
      </c>
      <c r="H179" s="26">
        <f t="shared" si="79"/>
        <v>222.21272727272728</v>
      </c>
      <c r="I179" s="26">
        <f t="shared" si="81"/>
        <v>223.17866666666666</v>
      </c>
      <c r="J179" s="26">
        <f t="shared" si="63"/>
        <v>225.85261730609523</v>
      </c>
      <c r="K179" s="26">
        <f t="shared" si="64"/>
        <v>226.82345144292236</v>
      </c>
      <c r="L179" s="26">
        <f t="shared" si="59"/>
        <v>219.799870377243</v>
      </c>
      <c r="V179" s="26">
        <f t="shared" si="75"/>
        <v>226.72489954516323</v>
      </c>
      <c r="W179" s="26">
        <f t="shared" si="78"/>
        <v>226.70367795346141</v>
      </c>
      <c r="X179" s="26">
        <f t="shared" si="77"/>
        <v>2.1221591701817033E-2</v>
      </c>
      <c r="Y179" s="26">
        <f t="shared" si="80"/>
        <v>-4.2697371110578829E-2</v>
      </c>
      <c r="Z179" s="26">
        <v>14095.47</v>
      </c>
      <c r="AA179" s="26">
        <f t="shared" si="60"/>
        <v>218.41971349173841</v>
      </c>
      <c r="AB179" s="27">
        <f t="shared" si="61"/>
        <v>-3.758663365614269E-2</v>
      </c>
      <c r="BK179" s="24">
        <v>44373</v>
      </c>
      <c r="BL179" s="25">
        <v>226.95</v>
      </c>
      <c r="BM179" s="26">
        <f t="shared" si="58"/>
        <v>223.4</v>
      </c>
      <c r="BN179" s="26">
        <f t="shared" si="62"/>
        <v>222.20999999999998</v>
      </c>
      <c r="BO179" s="26">
        <f t="shared" si="68"/>
        <v>229.1814285714286</v>
      </c>
      <c r="BP179" s="26">
        <f t="shared" si="73"/>
        <v>228.78230769230765</v>
      </c>
      <c r="BQ179" s="26">
        <f t="shared" si="76"/>
        <v>222.21272727272728</v>
      </c>
      <c r="BR179" s="26">
        <f t="shared" si="82"/>
        <v>223.17866666666666</v>
      </c>
      <c r="BS179" s="26">
        <f t="shared" si="65"/>
        <v>225.85261730609523</v>
      </c>
      <c r="BT179" s="26">
        <f t="shared" si="66"/>
        <v>226.82345144292236</v>
      </c>
    </row>
    <row r="180" spans="1:72" x14ac:dyDescent="0.2">
      <c r="A180" s="62"/>
      <c r="B180" s="24">
        <v>44374</v>
      </c>
      <c r="C180" s="25">
        <v>251.99</v>
      </c>
      <c r="D180" s="26">
        <f t="shared" si="67"/>
        <v>238.63333333333333</v>
      </c>
      <c r="E180" s="26">
        <f t="shared" si="69"/>
        <v>225.512</v>
      </c>
      <c r="F180" s="26">
        <f t="shared" si="72"/>
        <v>229.37714285714287</v>
      </c>
      <c r="G180" s="26">
        <f t="shared" si="74"/>
        <v>229.49153846153843</v>
      </c>
      <c r="H180" s="26">
        <f t="shared" si="79"/>
        <v>223.3669696969697</v>
      </c>
      <c r="I180" s="26">
        <f t="shared" si="81"/>
        <v>233.10533333333333</v>
      </c>
      <c r="J180" s="26">
        <f t="shared" si="63"/>
        <v>236.30757038365715</v>
      </c>
      <c r="K180" s="26">
        <f t="shared" si="64"/>
        <v>241.92338057716893</v>
      </c>
      <c r="L180" s="26">
        <f t="shared" si="59"/>
        <v>219.78503171524289</v>
      </c>
      <c r="V180" s="26">
        <f t="shared" si="75"/>
        <v>230.61183807667658</v>
      </c>
      <c r="W180" s="26">
        <f t="shared" si="78"/>
        <v>228.59638846774374</v>
      </c>
      <c r="X180" s="26">
        <f t="shared" si="77"/>
        <v>2.0154496089328404</v>
      </c>
      <c r="Y180" s="26">
        <f t="shared" si="80"/>
        <v>0.36893202489810506</v>
      </c>
      <c r="Z180" s="26">
        <v>13319.86</v>
      </c>
      <c r="AA180" s="26">
        <f t="shared" si="60"/>
        <v>218.07823617083801</v>
      </c>
      <c r="AB180" s="27">
        <f t="shared" si="61"/>
        <v>-0.13457583169634507</v>
      </c>
      <c r="BK180" s="24">
        <v>44374</v>
      </c>
      <c r="BL180" s="25">
        <v>251.99</v>
      </c>
      <c r="BM180" s="26">
        <f t="shared" si="58"/>
        <v>238.63333333333333</v>
      </c>
      <c r="BN180" s="26">
        <f t="shared" si="62"/>
        <v>225.512</v>
      </c>
      <c r="BO180" s="26">
        <f t="shared" si="68"/>
        <v>229.37714285714287</v>
      </c>
      <c r="BP180" s="26">
        <f t="shared" si="73"/>
        <v>229.49153846153843</v>
      </c>
      <c r="BQ180" s="26">
        <f t="shared" si="76"/>
        <v>223.3669696969697</v>
      </c>
      <c r="BR180" s="26">
        <f t="shared" si="82"/>
        <v>233.10533333333333</v>
      </c>
      <c r="BS180" s="26">
        <f t="shared" si="65"/>
        <v>236.30757038365715</v>
      </c>
      <c r="BT180" s="26">
        <f t="shared" si="66"/>
        <v>241.92338057716893</v>
      </c>
    </row>
    <row r="181" spans="1:72" x14ac:dyDescent="0.2">
      <c r="A181" s="62"/>
      <c r="B181" s="24">
        <v>44375</v>
      </c>
      <c r="C181" s="25">
        <v>246.48</v>
      </c>
      <c r="D181" s="26">
        <f t="shared" si="67"/>
        <v>241.80666666666664</v>
      </c>
      <c r="E181" s="26">
        <f t="shared" si="69"/>
        <v>233.73400000000001</v>
      </c>
      <c r="F181" s="26">
        <f t="shared" si="72"/>
        <v>229.93142857142857</v>
      </c>
      <c r="G181" s="26">
        <f t="shared" si="74"/>
        <v>228.90230769230769</v>
      </c>
      <c r="H181" s="26">
        <f t="shared" si="79"/>
        <v>224.49333333333334</v>
      </c>
      <c r="I181" s="26">
        <f t="shared" si="81"/>
        <v>240.09466666666665</v>
      </c>
      <c r="J181" s="26">
        <f t="shared" si="63"/>
        <v>240.37654223019427</v>
      </c>
      <c r="K181" s="26">
        <f t="shared" si="64"/>
        <v>244.65735223086756</v>
      </c>
      <c r="L181" s="26">
        <f t="shared" si="59"/>
        <v>219.77019305324279</v>
      </c>
      <c r="V181" s="26">
        <f t="shared" si="75"/>
        <v>233.05309375718787</v>
      </c>
      <c r="W181" s="26">
        <f t="shared" si="78"/>
        <v>231.78725747840423</v>
      </c>
      <c r="X181" s="26">
        <f t="shared" si="77"/>
        <v>1.2658362787836381</v>
      </c>
      <c r="Y181" s="26">
        <f t="shared" si="80"/>
        <v>0.5483128756752117</v>
      </c>
      <c r="Z181" s="26">
        <v>13850</v>
      </c>
      <c r="AA181" s="26">
        <f t="shared" si="60"/>
        <v>218.31164057111926</v>
      </c>
      <c r="AB181" s="27">
        <f t="shared" si="61"/>
        <v>-0.11428253581986667</v>
      </c>
      <c r="BK181" s="24">
        <v>44375</v>
      </c>
      <c r="BL181" s="25">
        <v>246.48</v>
      </c>
      <c r="BM181" s="26">
        <f t="shared" si="58"/>
        <v>241.80666666666664</v>
      </c>
      <c r="BN181" s="26">
        <f t="shared" si="62"/>
        <v>233.73400000000001</v>
      </c>
      <c r="BO181" s="26">
        <f t="shared" si="68"/>
        <v>229.93142857142857</v>
      </c>
      <c r="BP181" s="26">
        <f t="shared" si="73"/>
        <v>228.90230769230769</v>
      </c>
      <c r="BQ181" s="26">
        <f t="shared" si="76"/>
        <v>224.49333333333334</v>
      </c>
      <c r="BR181" s="26">
        <f t="shared" si="82"/>
        <v>240.09466666666665</v>
      </c>
      <c r="BS181" s="26">
        <f t="shared" si="65"/>
        <v>240.37654223019427</v>
      </c>
      <c r="BT181" s="26">
        <f t="shared" si="66"/>
        <v>244.65735223086756</v>
      </c>
    </row>
    <row r="182" spans="1:72" x14ac:dyDescent="0.2">
      <c r="A182" s="62"/>
      <c r="B182" s="24">
        <v>44376</v>
      </c>
      <c r="C182" s="25">
        <v>233.7</v>
      </c>
      <c r="D182" s="26">
        <f t="shared" si="67"/>
        <v>244.0566666666667</v>
      </c>
      <c r="E182" s="26">
        <f t="shared" si="69"/>
        <v>239.21599999999998</v>
      </c>
      <c r="F182" s="26">
        <f t="shared" si="72"/>
        <v>229.67714285714285</v>
      </c>
      <c r="G182" s="26">
        <f t="shared" si="74"/>
        <v>230.97999999999996</v>
      </c>
      <c r="H182" s="26">
        <f t="shared" si="79"/>
        <v>224.36303030303026</v>
      </c>
      <c r="I182" s="26">
        <f t="shared" si="81"/>
        <v>240.08333333333337</v>
      </c>
      <c r="J182" s="26">
        <f t="shared" si="63"/>
        <v>237.70592533811657</v>
      </c>
      <c r="K182" s="26">
        <f t="shared" si="64"/>
        <v>238.08294089234704</v>
      </c>
      <c r="L182" s="26">
        <f t="shared" si="59"/>
        <v>219.75535439124272</v>
      </c>
      <c r="V182" s="26">
        <f t="shared" si="75"/>
        <v>233.15261779454357</v>
      </c>
      <c r="W182" s="26">
        <f t="shared" si="78"/>
        <v>233.10101273813692</v>
      </c>
      <c r="X182" s="26">
        <f t="shared" si="77"/>
        <v>5.1605056406657468E-2</v>
      </c>
      <c r="Y182" s="26">
        <f t="shared" si="80"/>
        <v>0.44897131182150091</v>
      </c>
      <c r="Z182" s="26">
        <v>13031.68</v>
      </c>
      <c r="AA182" s="26">
        <f t="shared" si="60"/>
        <v>217.95135934571061</v>
      </c>
      <c r="AB182" s="27">
        <f t="shared" si="61"/>
        <v>-6.7388278366664001E-2</v>
      </c>
      <c r="BK182" s="24">
        <v>44376</v>
      </c>
      <c r="BL182" s="25">
        <v>233.7</v>
      </c>
      <c r="BM182" s="26">
        <f t="shared" si="58"/>
        <v>244.0566666666667</v>
      </c>
      <c r="BN182" s="26">
        <f t="shared" si="62"/>
        <v>239.21599999999998</v>
      </c>
      <c r="BO182" s="26">
        <f t="shared" si="68"/>
        <v>229.67714285714285</v>
      </c>
      <c r="BP182" s="26">
        <f t="shared" si="73"/>
        <v>230.97999999999996</v>
      </c>
      <c r="BQ182" s="26">
        <f t="shared" si="76"/>
        <v>224.36303030303026</v>
      </c>
      <c r="BR182" s="26">
        <f t="shared" si="82"/>
        <v>240.08333333333337</v>
      </c>
      <c r="BS182" s="26">
        <f t="shared" si="65"/>
        <v>237.70592533811657</v>
      </c>
      <c r="BT182" s="26">
        <f t="shared" si="66"/>
        <v>238.08294089234704</v>
      </c>
    </row>
    <row r="183" spans="1:72" x14ac:dyDescent="0.2">
      <c r="A183" s="62"/>
      <c r="B183" s="24">
        <v>44377</v>
      </c>
      <c r="C183" s="25">
        <v>202.36</v>
      </c>
      <c r="D183" s="26">
        <f t="shared" si="67"/>
        <v>227.51333333333332</v>
      </c>
      <c r="E183" s="26">
        <f t="shared" si="69"/>
        <v>232.29599999999999</v>
      </c>
      <c r="F183" s="26">
        <f t="shared" si="72"/>
        <v>229.24714285714285</v>
      </c>
      <c r="G183" s="26">
        <f t="shared" si="74"/>
        <v>230.74538461538458</v>
      </c>
      <c r="H183" s="26">
        <f t="shared" si="79"/>
        <v>224.13787878787875</v>
      </c>
      <c r="I183" s="26">
        <f t="shared" si="81"/>
        <v>227.79799999999997</v>
      </c>
      <c r="J183" s="26">
        <f t="shared" si="63"/>
        <v>223.56755520286995</v>
      </c>
      <c r="K183" s="26">
        <f t="shared" si="64"/>
        <v>216.64917635693882</v>
      </c>
      <c r="L183" s="26">
        <f t="shared" si="59"/>
        <v>219.74051572924262</v>
      </c>
      <c r="V183" s="26">
        <f t="shared" si="75"/>
        <v>228.41529197999841</v>
      </c>
      <c r="W183" s="26">
        <f t="shared" si="78"/>
        <v>230.87168314309591</v>
      </c>
      <c r="X183" s="26">
        <f t="shared" si="77"/>
        <v>-2.4563911630974928</v>
      </c>
      <c r="Y183" s="26">
        <f t="shared" si="80"/>
        <v>-0.13210118316229785</v>
      </c>
      <c r="Z183" s="26">
        <v>14733.24</v>
      </c>
      <c r="AA183" s="26">
        <f t="shared" si="60"/>
        <v>218.70050408359594</v>
      </c>
      <c r="AB183" s="27">
        <f t="shared" si="61"/>
        <v>8.074967426169169E-2</v>
      </c>
      <c r="BK183" s="24">
        <v>44377</v>
      </c>
      <c r="BL183" s="25">
        <v>202.36</v>
      </c>
      <c r="BM183" s="26">
        <f t="shared" si="58"/>
        <v>227.51333333333332</v>
      </c>
      <c r="BN183" s="26">
        <f t="shared" si="62"/>
        <v>232.29599999999999</v>
      </c>
      <c r="BO183" s="26">
        <f t="shared" si="68"/>
        <v>229.24714285714285</v>
      </c>
      <c r="BP183" s="26">
        <f t="shared" si="73"/>
        <v>230.74538461538458</v>
      </c>
      <c r="BQ183" s="26">
        <f t="shared" si="76"/>
        <v>224.13787878787875</v>
      </c>
      <c r="BR183" s="26">
        <f t="shared" si="82"/>
        <v>227.79799999999997</v>
      </c>
      <c r="BS183" s="26">
        <f t="shared" si="65"/>
        <v>223.56755520286995</v>
      </c>
      <c r="BT183" s="26">
        <f t="shared" si="66"/>
        <v>216.64917635693882</v>
      </c>
    </row>
    <row r="184" spans="1:72" x14ac:dyDescent="0.2">
      <c r="A184" s="61">
        <v>44378</v>
      </c>
      <c r="B184" s="24">
        <v>44378</v>
      </c>
      <c r="C184" s="25">
        <v>210.98</v>
      </c>
      <c r="D184" s="26">
        <f t="shared" si="67"/>
        <v>215.67999999999998</v>
      </c>
      <c r="E184" s="26">
        <f t="shared" si="69"/>
        <v>229.102</v>
      </c>
      <c r="F184" s="26">
        <f t="shared" si="72"/>
        <v>229.91714285714286</v>
      </c>
      <c r="G184" s="26">
        <f t="shared" si="74"/>
        <v>228.80769230769232</v>
      </c>
      <c r="H184" s="26">
        <f t="shared" si="79"/>
        <v>223.82575757575751</v>
      </c>
      <c r="I184" s="26">
        <f t="shared" si="81"/>
        <v>220.69266666666664</v>
      </c>
      <c r="J184" s="26">
        <f t="shared" si="63"/>
        <v>218.53253312172197</v>
      </c>
      <c r="K184" s="26">
        <f t="shared" si="64"/>
        <v>213.24767054277552</v>
      </c>
      <c r="L184" s="26">
        <f t="shared" si="59"/>
        <v>219.72567706724251</v>
      </c>
      <c r="V184" s="26">
        <f t="shared" si="75"/>
        <v>225.73293936769096</v>
      </c>
      <c r="W184" s="26">
        <f t="shared" si="78"/>
        <v>227.12378887036888</v>
      </c>
      <c r="X184" s="26">
        <f t="shared" si="77"/>
        <v>-1.3908495026779235</v>
      </c>
      <c r="Y184" s="26">
        <f t="shared" si="80"/>
        <v>-0.383850847065423</v>
      </c>
      <c r="Z184" s="26">
        <v>14816.26</v>
      </c>
      <c r="AA184" s="26">
        <f t="shared" si="60"/>
        <v>218.73705524614044</v>
      </c>
      <c r="AB184" s="27">
        <f t="shared" si="61"/>
        <v>3.6766780008249379E-2</v>
      </c>
      <c r="BK184" s="24">
        <v>44378</v>
      </c>
      <c r="BL184" s="25">
        <v>210.98</v>
      </c>
      <c r="BM184" s="26">
        <f t="shared" si="58"/>
        <v>215.67999999999998</v>
      </c>
      <c r="BN184" s="26">
        <f t="shared" si="62"/>
        <v>229.102</v>
      </c>
      <c r="BO184" s="26">
        <f t="shared" si="68"/>
        <v>229.91714285714286</v>
      </c>
      <c r="BP184" s="26">
        <f t="shared" si="73"/>
        <v>228.80769230769232</v>
      </c>
      <c r="BQ184" s="26">
        <f t="shared" si="76"/>
        <v>223.82575757575751</v>
      </c>
      <c r="BR184" s="26">
        <f t="shared" si="82"/>
        <v>220.69266666666664</v>
      </c>
      <c r="BS184" s="26">
        <f t="shared" si="65"/>
        <v>218.53253312172197</v>
      </c>
      <c r="BT184" s="26">
        <f t="shared" si="66"/>
        <v>213.24767054277552</v>
      </c>
    </row>
    <row r="185" spans="1:72" x14ac:dyDescent="0.2">
      <c r="A185" s="62"/>
      <c r="B185" s="24">
        <v>44379</v>
      </c>
      <c r="C185" s="25">
        <v>226.27</v>
      </c>
      <c r="D185" s="26">
        <f t="shared" si="67"/>
        <v>213.20333333333335</v>
      </c>
      <c r="E185" s="26">
        <f t="shared" si="69"/>
        <v>223.958</v>
      </c>
      <c r="F185" s="26">
        <f t="shared" si="72"/>
        <v>228.39000000000001</v>
      </c>
      <c r="G185" s="26">
        <f t="shared" si="74"/>
        <v>228.92692307692309</v>
      </c>
      <c r="H185" s="26">
        <f t="shared" si="79"/>
        <v>224.06484848484843</v>
      </c>
      <c r="I185" s="26">
        <f t="shared" si="81"/>
        <v>219.74866666666668</v>
      </c>
      <c r="J185" s="26">
        <f t="shared" si="63"/>
        <v>221.62751987303318</v>
      </c>
      <c r="K185" s="26">
        <f t="shared" si="64"/>
        <v>221.06106821711023</v>
      </c>
      <c r="L185" s="26">
        <f t="shared" si="59"/>
        <v>219.71083840524244</v>
      </c>
      <c r="V185" s="26">
        <f t="shared" si="75"/>
        <v>225.81556408035391</v>
      </c>
      <c r="W185" s="26">
        <f t="shared" si="78"/>
        <v>225.7727216367509</v>
      </c>
      <c r="X185" s="26">
        <f t="shared" si="77"/>
        <v>4.2842443603007041E-2</v>
      </c>
      <c r="Y185" s="26">
        <f t="shared" si="80"/>
        <v>-0.29851218893173703</v>
      </c>
      <c r="Z185" s="26">
        <v>14465.92</v>
      </c>
      <c r="AA185" s="26">
        <f t="shared" si="60"/>
        <v>218.5828112773878</v>
      </c>
      <c r="AB185" s="27">
        <f t="shared" si="61"/>
        <v>-3.3973521556601431E-2</v>
      </c>
      <c r="BK185" s="24">
        <v>44379</v>
      </c>
      <c r="BL185" s="25">
        <v>226.27</v>
      </c>
      <c r="BM185" s="26">
        <f t="shared" si="58"/>
        <v>213.20333333333335</v>
      </c>
      <c r="BN185" s="26">
        <f t="shared" si="62"/>
        <v>223.958</v>
      </c>
      <c r="BO185" s="26">
        <f t="shared" si="68"/>
        <v>228.39000000000001</v>
      </c>
      <c r="BP185" s="26">
        <f t="shared" si="73"/>
        <v>228.92692307692309</v>
      </c>
      <c r="BQ185" s="26">
        <f t="shared" si="76"/>
        <v>224.06484848484843</v>
      </c>
      <c r="BR185" s="26">
        <f t="shared" si="82"/>
        <v>219.74866666666668</v>
      </c>
      <c r="BS185" s="26">
        <f t="shared" si="65"/>
        <v>221.62751987303318</v>
      </c>
      <c r="BT185" s="26">
        <f t="shared" si="66"/>
        <v>221.06106821711023</v>
      </c>
    </row>
    <row r="186" spans="1:72" x14ac:dyDescent="0.2">
      <c r="A186" s="62"/>
      <c r="B186" s="24">
        <v>44380</v>
      </c>
      <c r="C186" s="25">
        <v>241.91</v>
      </c>
      <c r="D186" s="26">
        <f t="shared" si="67"/>
        <v>226.38666666666666</v>
      </c>
      <c r="E186" s="26">
        <f t="shared" si="69"/>
        <v>223.04400000000001</v>
      </c>
      <c r="F186" s="26">
        <f t="shared" si="72"/>
        <v>230.52714285714288</v>
      </c>
      <c r="G186" s="26">
        <f t="shared" si="74"/>
        <v>228.2569230769231</v>
      </c>
      <c r="H186" s="26">
        <f t="shared" si="79"/>
        <v>225.37727272727267</v>
      </c>
      <c r="I186" s="26">
        <f t="shared" si="81"/>
        <v>225.73266666666666</v>
      </c>
      <c r="J186" s="26">
        <f t="shared" si="63"/>
        <v>229.74051192381992</v>
      </c>
      <c r="K186" s="26">
        <f t="shared" si="64"/>
        <v>233.57042728684408</v>
      </c>
      <c r="L186" s="26">
        <f t="shared" si="59"/>
        <v>219.69599974324234</v>
      </c>
      <c r="V186" s="26">
        <f t="shared" si="75"/>
        <v>228.29163114491485</v>
      </c>
      <c r="W186" s="26">
        <f t="shared" si="78"/>
        <v>227.00774451884621</v>
      </c>
      <c r="X186" s="26">
        <f t="shared" si="77"/>
        <v>1.2838866260686359</v>
      </c>
      <c r="Y186" s="26">
        <f t="shared" si="80"/>
        <v>1.7967574068337572E-2</v>
      </c>
      <c r="Z186" s="26">
        <v>15860.96</v>
      </c>
      <c r="AA186" s="26">
        <f t="shared" si="60"/>
        <v>219.19700465002208</v>
      </c>
      <c r="AB186" s="27">
        <f t="shared" si="61"/>
        <v>-9.389027055507386E-2</v>
      </c>
      <c r="BK186" s="24">
        <v>44380</v>
      </c>
      <c r="BL186" s="25">
        <v>241.91</v>
      </c>
      <c r="BM186" s="26">
        <f t="shared" si="58"/>
        <v>226.38666666666666</v>
      </c>
      <c r="BN186" s="26">
        <f t="shared" si="62"/>
        <v>223.04400000000001</v>
      </c>
      <c r="BO186" s="26">
        <f t="shared" si="68"/>
        <v>230.52714285714288</v>
      </c>
      <c r="BP186" s="26">
        <f t="shared" si="73"/>
        <v>228.2569230769231</v>
      </c>
      <c r="BQ186" s="26">
        <f t="shared" si="76"/>
        <v>225.37727272727267</v>
      </c>
      <c r="BR186" s="26">
        <f t="shared" si="82"/>
        <v>225.73266666666666</v>
      </c>
      <c r="BS186" s="26">
        <f t="shared" si="65"/>
        <v>229.74051192381992</v>
      </c>
      <c r="BT186" s="26">
        <f t="shared" si="66"/>
        <v>233.57042728684408</v>
      </c>
    </row>
    <row r="187" spans="1:72" x14ac:dyDescent="0.2">
      <c r="A187" s="62"/>
      <c r="B187" s="24">
        <v>44381</v>
      </c>
      <c r="C187" s="25">
        <v>251.28</v>
      </c>
      <c r="D187" s="26">
        <f t="shared" si="67"/>
        <v>239.82000000000002</v>
      </c>
      <c r="E187" s="26">
        <f t="shared" si="69"/>
        <v>226.56</v>
      </c>
      <c r="F187" s="26">
        <f t="shared" si="72"/>
        <v>230.42571428571429</v>
      </c>
      <c r="G187" s="26">
        <f t="shared" si="74"/>
        <v>228.92461538461538</v>
      </c>
      <c r="H187" s="26">
        <f t="shared" si="79"/>
        <v>227.17484848484841</v>
      </c>
      <c r="I187" s="26">
        <f t="shared" si="81"/>
        <v>235.14466666666667</v>
      </c>
      <c r="J187" s="26">
        <f t="shared" si="63"/>
        <v>238.35630715429195</v>
      </c>
      <c r="K187" s="26">
        <f t="shared" si="64"/>
        <v>244.19617091473765</v>
      </c>
      <c r="L187" s="26">
        <f t="shared" si="59"/>
        <v>219.68116108124224</v>
      </c>
      <c r="V187" s="26">
        <f t="shared" si="75"/>
        <v>231.82830327646639</v>
      </c>
      <c r="W187" s="26">
        <f t="shared" si="78"/>
        <v>229.99447328232858</v>
      </c>
      <c r="X187" s="26">
        <f t="shared" si="77"/>
        <v>1.8338299941378011</v>
      </c>
      <c r="Y187" s="26">
        <f t="shared" si="80"/>
        <v>0.38114005808223028</v>
      </c>
      <c r="Z187" s="26">
        <v>14346</v>
      </c>
      <c r="AA187" s="26">
        <f t="shared" si="60"/>
        <v>218.53001417533605</v>
      </c>
      <c r="AB187" s="27">
        <f t="shared" si="61"/>
        <v>-0.13033264018092944</v>
      </c>
      <c r="BK187" s="24">
        <v>44381</v>
      </c>
      <c r="BL187" s="25">
        <v>251.28</v>
      </c>
      <c r="BM187" s="26">
        <f t="shared" si="58"/>
        <v>239.82000000000002</v>
      </c>
      <c r="BN187" s="26">
        <f t="shared" si="62"/>
        <v>226.56</v>
      </c>
      <c r="BO187" s="26">
        <f t="shared" si="68"/>
        <v>230.42571428571429</v>
      </c>
      <c r="BP187" s="26">
        <f t="shared" si="73"/>
        <v>228.92461538461538</v>
      </c>
      <c r="BQ187" s="26">
        <f t="shared" si="76"/>
        <v>227.17484848484841</v>
      </c>
      <c r="BR187" s="26">
        <f t="shared" si="82"/>
        <v>235.14466666666667</v>
      </c>
      <c r="BS187" s="26">
        <f t="shared" si="65"/>
        <v>238.35630715429195</v>
      </c>
      <c r="BT187" s="26">
        <f t="shared" si="66"/>
        <v>244.19617091473765</v>
      </c>
    </row>
    <row r="188" spans="1:72" x14ac:dyDescent="0.2">
      <c r="A188" s="62"/>
      <c r="B188" s="24">
        <v>44382</v>
      </c>
      <c r="C188" s="25">
        <v>245.11</v>
      </c>
      <c r="D188" s="26">
        <f t="shared" si="67"/>
        <v>246.1</v>
      </c>
      <c r="E188" s="26">
        <f t="shared" si="69"/>
        <v>235.10999999999999</v>
      </c>
      <c r="F188" s="26">
        <f t="shared" si="72"/>
        <v>230.23000000000002</v>
      </c>
      <c r="G188" s="26">
        <f t="shared" si="74"/>
        <v>229.66538461538462</v>
      </c>
      <c r="H188" s="26">
        <f t="shared" si="79"/>
        <v>228.26787878787869</v>
      </c>
      <c r="I188" s="26">
        <f t="shared" si="81"/>
        <v>241.328</v>
      </c>
      <c r="J188" s="26">
        <f t="shared" si="63"/>
        <v>241.05778429257518</v>
      </c>
      <c r="K188" s="26">
        <f t="shared" si="64"/>
        <v>244.74446836589507</v>
      </c>
      <c r="L188" s="26">
        <f t="shared" si="59"/>
        <v>219.66632241924216</v>
      </c>
      <c r="V188" s="26">
        <f t="shared" si="75"/>
        <v>233.8716412339331</v>
      </c>
      <c r="W188" s="26">
        <f t="shared" si="78"/>
        <v>232.81213266339481</v>
      </c>
      <c r="X188" s="26">
        <f t="shared" si="77"/>
        <v>1.0595085705382985</v>
      </c>
      <c r="Y188" s="26">
        <f t="shared" si="80"/>
        <v>0.51681376057344397</v>
      </c>
      <c r="Z188" s="26">
        <v>13532.46</v>
      </c>
      <c r="AA188" s="26">
        <f t="shared" si="60"/>
        <v>218.17183743748416</v>
      </c>
      <c r="AB188" s="27">
        <f t="shared" si="61"/>
        <v>-0.10990234002087167</v>
      </c>
      <c r="BK188" s="24">
        <v>44382</v>
      </c>
      <c r="BL188" s="25">
        <v>245.11</v>
      </c>
      <c r="BM188" s="26">
        <f t="shared" si="58"/>
        <v>246.1</v>
      </c>
      <c r="BN188" s="26">
        <f t="shared" si="62"/>
        <v>235.10999999999999</v>
      </c>
      <c r="BO188" s="26">
        <f t="shared" si="68"/>
        <v>230.23000000000002</v>
      </c>
      <c r="BP188" s="26">
        <f t="shared" si="73"/>
        <v>229.66538461538462</v>
      </c>
      <c r="BQ188" s="26">
        <f t="shared" si="76"/>
        <v>228.26787878787869</v>
      </c>
      <c r="BR188" s="26">
        <f t="shared" si="82"/>
        <v>241.328</v>
      </c>
      <c r="BS188" s="26">
        <f t="shared" si="65"/>
        <v>241.05778429257518</v>
      </c>
      <c r="BT188" s="26">
        <f t="shared" si="66"/>
        <v>244.74446836589507</v>
      </c>
    </row>
    <row r="189" spans="1:72" x14ac:dyDescent="0.2">
      <c r="A189" s="62"/>
      <c r="B189" s="24">
        <v>44383</v>
      </c>
      <c r="C189" s="25">
        <v>233.8</v>
      </c>
      <c r="D189" s="26">
        <f t="shared" si="67"/>
        <v>243.39666666666668</v>
      </c>
      <c r="E189" s="26">
        <f t="shared" si="69"/>
        <v>239.67400000000004</v>
      </c>
      <c r="F189" s="26">
        <f t="shared" si="72"/>
        <v>230.2442857142857</v>
      </c>
      <c r="G189" s="26">
        <f t="shared" si="74"/>
        <v>231.85230769230773</v>
      </c>
      <c r="H189" s="26">
        <f t="shared" si="79"/>
        <v>229.11424242424232</v>
      </c>
      <c r="I189" s="26">
        <f t="shared" si="81"/>
        <v>240.89133333333336</v>
      </c>
      <c r="J189" s="26">
        <f t="shared" si="63"/>
        <v>238.15467057554511</v>
      </c>
      <c r="K189" s="26">
        <f t="shared" si="64"/>
        <v>238.17778734635803</v>
      </c>
      <c r="L189" s="26">
        <f t="shared" si="59"/>
        <v>219.65148375724206</v>
      </c>
      <c r="V189" s="26">
        <f t="shared" si="75"/>
        <v>233.86061950563573</v>
      </c>
      <c r="W189" s="26">
        <f t="shared" si="78"/>
        <v>233.86633447586399</v>
      </c>
      <c r="X189" s="26">
        <f t="shared" si="77"/>
        <v>-5.7149702282686121E-3</v>
      </c>
      <c r="Y189" s="26">
        <f t="shared" si="80"/>
        <v>0.4123080144131015</v>
      </c>
      <c r="Z189" s="26">
        <v>14261.5</v>
      </c>
      <c r="AA189" s="26">
        <f t="shared" si="60"/>
        <v>218.4928114141338</v>
      </c>
      <c r="AB189" s="27">
        <f t="shared" si="61"/>
        <v>-6.5471294208153175E-2</v>
      </c>
      <c r="BK189" s="24">
        <v>44383</v>
      </c>
      <c r="BL189" s="25">
        <v>233.8</v>
      </c>
      <c r="BM189" s="26">
        <f t="shared" si="58"/>
        <v>243.39666666666668</v>
      </c>
      <c r="BN189" s="26">
        <f t="shared" si="62"/>
        <v>239.67400000000004</v>
      </c>
      <c r="BO189" s="26">
        <f t="shared" si="68"/>
        <v>230.2442857142857</v>
      </c>
      <c r="BP189" s="26">
        <f t="shared" si="73"/>
        <v>231.85230769230773</v>
      </c>
      <c r="BQ189" s="26">
        <f t="shared" si="76"/>
        <v>229.11424242424232</v>
      </c>
      <c r="BR189" s="26">
        <f t="shared" si="82"/>
        <v>240.89133333333336</v>
      </c>
      <c r="BS189" s="26">
        <f t="shared" si="65"/>
        <v>238.15467057554511</v>
      </c>
      <c r="BT189" s="26">
        <f t="shared" si="66"/>
        <v>238.17778734635803</v>
      </c>
    </row>
    <row r="190" spans="1:72" x14ac:dyDescent="0.2">
      <c r="A190" s="62"/>
      <c r="B190" s="24">
        <v>44384</v>
      </c>
      <c r="C190" s="25">
        <v>229.36</v>
      </c>
      <c r="D190" s="26">
        <f t="shared" si="67"/>
        <v>236.09</v>
      </c>
      <c r="E190" s="26">
        <f t="shared" si="69"/>
        <v>240.292</v>
      </c>
      <c r="F190" s="26">
        <f t="shared" si="72"/>
        <v>234.10142857142858</v>
      </c>
      <c r="G190" s="26">
        <f t="shared" si="74"/>
        <v>233.62692307692311</v>
      </c>
      <c r="H190" s="26">
        <f t="shared" si="79"/>
        <v>229.4142424242423</v>
      </c>
      <c r="I190" s="26">
        <f t="shared" si="81"/>
        <v>237.45333333333332</v>
      </c>
      <c r="J190" s="26">
        <f t="shared" si="63"/>
        <v>234.63680234532706</v>
      </c>
      <c r="K190" s="26">
        <f t="shared" si="64"/>
        <v>232.88711493854322</v>
      </c>
      <c r="L190" s="26">
        <f t="shared" si="59"/>
        <v>219.63664509524196</v>
      </c>
      <c r="V190" s="26">
        <f t="shared" si="75"/>
        <v>233.16821650476868</v>
      </c>
      <c r="W190" s="26">
        <f t="shared" si="78"/>
        <v>233.52724028299605</v>
      </c>
      <c r="X190" s="26">
        <f t="shared" si="77"/>
        <v>-0.35902377822736753</v>
      </c>
      <c r="Y190" s="26">
        <f t="shared" si="80"/>
        <v>0.25804165588500771</v>
      </c>
      <c r="Z190" s="26">
        <v>11994.46</v>
      </c>
      <c r="AA190" s="26">
        <f t="shared" si="60"/>
        <v>217.49470315666679</v>
      </c>
      <c r="AB190" s="27">
        <f t="shared" si="61"/>
        <v>-5.1732197607835831E-2</v>
      </c>
      <c r="BK190" s="24">
        <v>44384</v>
      </c>
      <c r="BL190" s="25">
        <v>229.36</v>
      </c>
      <c r="BM190" s="26">
        <f t="shared" si="58"/>
        <v>236.09</v>
      </c>
      <c r="BN190" s="26">
        <f t="shared" si="62"/>
        <v>240.292</v>
      </c>
      <c r="BO190" s="26">
        <f t="shared" si="68"/>
        <v>234.10142857142858</v>
      </c>
      <c r="BP190" s="26">
        <f t="shared" si="73"/>
        <v>233.62692307692311</v>
      </c>
      <c r="BQ190" s="26">
        <f t="shared" si="76"/>
        <v>229.4142424242423</v>
      </c>
      <c r="BR190" s="26">
        <f t="shared" si="82"/>
        <v>237.45333333333332</v>
      </c>
      <c r="BS190" s="26">
        <f t="shared" si="65"/>
        <v>234.63680234532706</v>
      </c>
      <c r="BT190" s="26">
        <f t="shared" si="66"/>
        <v>232.88711493854322</v>
      </c>
    </row>
    <row r="191" spans="1:72" x14ac:dyDescent="0.2">
      <c r="A191" s="62"/>
      <c r="B191" s="24">
        <v>44385</v>
      </c>
      <c r="C191" s="25">
        <v>233.64</v>
      </c>
      <c r="D191" s="26">
        <f t="shared" si="67"/>
        <v>232.26666666666665</v>
      </c>
      <c r="E191" s="26">
        <f t="shared" si="69"/>
        <v>238.63800000000001</v>
      </c>
      <c r="F191" s="26">
        <f t="shared" si="72"/>
        <v>237.33857142857141</v>
      </c>
      <c r="G191" s="26">
        <f t="shared" si="74"/>
        <v>233.37153846153848</v>
      </c>
      <c r="H191" s="26">
        <f t="shared" si="79"/>
        <v>229.33424242424235</v>
      </c>
      <c r="I191" s="26">
        <f t="shared" si="81"/>
        <v>235.23600000000002</v>
      </c>
      <c r="J191" s="26">
        <f t="shared" si="63"/>
        <v>234.2380814071962</v>
      </c>
      <c r="K191" s="26">
        <f t="shared" si="64"/>
        <v>233.33884597541729</v>
      </c>
      <c r="L191" s="26">
        <f t="shared" si="59"/>
        <v>219.62180643324189</v>
      </c>
      <c r="V191" s="26">
        <f t="shared" si="75"/>
        <v>233.24079858095811</v>
      </c>
      <c r="W191" s="26">
        <f t="shared" si="78"/>
        <v>233.20316343034136</v>
      </c>
      <c r="X191" s="26">
        <f t="shared" si="77"/>
        <v>3.7635150616750934E-2</v>
      </c>
      <c r="Y191" s="26">
        <f t="shared" si="80"/>
        <v>0.21396035483135636</v>
      </c>
      <c r="Z191" s="26">
        <v>11127.84</v>
      </c>
      <c r="AA191" s="26">
        <f t="shared" si="60"/>
        <v>217.11315692100879</v>
      </c>
      <c r="AB191" s="27">
        <f t="shared" si="61"/>
        <v>-7.0736359694363954E-2</v>
      </c>
      <c r="BK191" s="24">
        <v>44385</v>
      </c>
      <c r="BL191" s="25">
        <v>233.64</v>
      </c>
      <c r="BM191" s="26">
        <f t="shared" si="58"/>
        <v>232.26666666666665</v>
      </c>
      <c r="BN191" s="26">
        <f t="shared" si="62"/>
        <v>238.63800000000001</v>
      </c>
      <c r="BO191" s="26">
        <f t="shared" si="68"/>
        <v>237.33857142857141</v>
      </c>
      <c r="BP191" s="26">
        <f t="shared" si="73"/>
        <v>233.37153846153848</v>
      </c>
      <c r="BQ191" s="26">
        <f t="shared" si="76"/>
        <v>229.33424242424235</v>
      </c>
      <c r="BR191" s="26">
        <f t="shared" si="82"/>
        <v>235.23600000000002</v>
      </c>
      <c r="BS191" s="26">
        <f t="shared" si="65"/>
        <v>234.2380814071962</v>
      </c>
      <c r="BT191" s="26">
        <f t="shared" si="66"/>
        <v>233.33884597541729</v>
      </c>
    </row>
    <row r="192" spans="1:72" x14ac:dyDescent="0.2">
      <c r="A192" s="62"/>
      <c r="B192" s="24">
        <v>44386</v>
      </c>
      <c r="C192" s="25">
        <v>250.05</v>
      </c>
      <c r="D192" s="26">
        <f t="shared" si="67"/>
        <v>237.68333333333331</v>
      </c>
      <c r="E192" s="26">
        <f t="shared" si="69"/>
        <v>238.392</v>
      </c>
      <c r="F192" s="26">
        <f t="shared" si="72"/>
        <v>240.73571428571427</v>
      </c>
      <c r="G192" s="26">
        <f t="shared" si="74"/>
        <v>235.14846153846156</v>
      </c>
      <c r="H192" s="26">
        <f t="shared" si="79"/>
        <v>230.60060606060597</v>
      </c>
      <c r="I192" s="26">
        <f t="shared" si="81"/>
        <v>239.04</v>
      </c>
      <c r="J192" s="26">
        <f t="shared" si="63"/>
        <v>240.56284884431773</v>
      </c>
      <c r="K192" s="26">
        <f t="shared" si="64"/>
        <v>243.36553839016693</v>
      </c>
      <c r="L192" s="26">
        <f t="shared" si="59"/>
        <v>219.60696777124178</v>
      </c>
      <c r="V192" s="26">
        <f t="shared" si="75"/>
        <v>235.826829568503</v>
      </c>
      <c r="W192" s="26">
        <f t="shared" si="78"/>
        <v>234.48592461199826</v>
      </c>
      <c r="X192" s="26">
        <f t="shared" si="77"/>
        <v>1.340904956504744</v>
      </c>
      <c r="Y192" s="26">
        <f t="shared" si="80"/>
        <v>0.43934927516603389</v>
      </c>
      <c r="Z192" s="26">
        <v>12368.98</v>
      </c>
      <c r="AA192" s="26">
        <f t="shared" si="60"/>
        <v>217.659592838625</v>
      </c>
      <c r="AB192" s="27">
        <f t="shared" si="61"/>
        <v>-0.1295357215011998</v>
      </c>
      <c r="BK192" s="24">
        <v>44386</v>
      </c>
      <c r="BL192" s="25">
        <v>250.05</v>
      </c>
      <c r="BM192" s="26">
        <f t="shared" si="58"/>
        <v>237.68333333333331</v>
      </c>
      <c r="BN192" s="26">
        <f t="shared" si="62"/>
        <v>238.392</v>
      </c>
      <c r="BO192" s="26">
        <f t="shared" si="68"/>
        <v>240.73571428571427</v>
      </c>
      <c r="BP192" s="26">
        <f t="shared" si="73"/>
        <v>235.14846153846156</v>
      </c>
      <c r="BQ192" s="26">
        <f t="shared" si="76"/>
        <v>230.60060606060597</v>
      </c>
      <c r="BR192" s="26">
        <f t="shared" si="82"/>
        <v>239.04</v>
      </c>
      <c r="BS192" s="26">
        <f t="shared" si="65"/>
        <v>240.56284884431773</v>
      </c>
      <c r="BT192" s="26">
        <f t="shared" si="66"/>
        <v>243.36553839016693</v>
      </c>
    </row>
    <row r="193" spans="1:72" x14ac:dyDescent="0.2">
      <c r="A193" s="62"/>
      <c r="B193" s="24">
        <v>44387</v>
      </c>
      <c r="C193" s="25">
        <v>253.08</v>
      </c>
      <c r="D193" s="26">
        <f t="shared" si="67"/>
        <v>245.59</v>
      </c>
      <c r="E193" s="26">
        <f t="shared" si="69"/>
        <v>239.98599999999996</v>
      </c>
      <c r="F193" s="26">
        <f t="shared" si="72"/>
        <v>242.33142857142857</v>
      </c>
      <c r="G193" s="26">
        <f t="shared" si="74"/>
        <v>235.23230769230773</v>
      </c>
      <c r="H193" s="26">
        <f t="shared" si="79"/>
        <v>231.45151515151505</v>
      </c>
      <c r="I193" s="26">
        <f t="shared" si="81"/>
        <v>243.93600000000006</v>
      </c>
      <c r="J193" s="26">
        <f t="shared" si="63"/>
        <v>245.56970930659065</v>
      </c>
      <c r="K193" s="26">
        <f t="shared" si="64"/>
        <v>249.19421535606679</v>
      </c>
      <c r="L193" s="26">
        <f t="shared" si="59"/>
        <v>219.59212910924168</v>
      </c>
      <c r="V193" s="26">
        <f t="shared" si="75"/>
        <v>238.48116348104099</v>
      </c>
      <c r="W193" s="26">
        <f t="shared" si="78"/>
        <v>237.10484219305835</v>
      </c>
      <c r="X193" s="26">
        <f t="shared" si="77"/>
        <v>1.3763212879826483</v>
      </c>
      <c r="Y193" s="26">
        <f t="shared" si="80"/>
        <v>0.6267436777293568</v>
      </c>
      <c r="Z193" s="26">
        <v>11785.13</v>
      </c>
      <c r="AA193" s="26">
        <f t="shared" si="60"/>
        <v>217.40254157083876</v>
      </c>
      <c r="AB193" s="27">
        <f t="shared" si="61"/>
        <v>-0.1409730457924816</v>
      </c>
      <c r="BK193" s="24">
        <v>44387</v>
      </c>
      <c r="BL193" s="25">
        <v>253.08</v>
      </c>
      <c r="BM193" s="26">
        <f t="shared" si="58"/>
        <v>245.59</v>
      </c>
      <c r="BN193" s="26">
        <f t="shared" si="62"/>
        <v>239.98599999999996</v>
      </c>
      <c r="BO193" s="26">
        <f t="shared" si="68"/>
        <v>242.33142857142857</v>
      </c>
      <c r="BP193" s="26">
        <f t="shared" si="73"/>
        <v>235.23230769230773</v>
      </c>
      <c r="BQ193" s="26">
        <f t="shared" si="76"/>
        <v>231.45151515151505</v>
      </c>
      <c r="BR193" s="26">
        <f t="shared" si="82"/>
        <v>243.93600000000006</v>
      </c>
      <c r="BS193" s="26">
        <f t="shared" si="65"/>
        <v>245.56970930659065</v>
      </c>
      <c r="BT193" s="26">
        <f t="shared" si="66"/>
        <v>249.19421535606679</v>
      </c>
    </row>
    <row r="194" spans="1:72" x14ac:dyDescent="0.2">
      <c r="A194" s="62"/>
      <c r="B194" s="24">
        <v>44388</v>
      </c>
      <c r="C194" s="25">
        <v>242.7</v>
      </c>
      <c r="D194" s="26">
        <f t="shared" si="67"/>
        <v>248.60999999999999</v>
      </c>
      <c r="E194" s="26">
        <f t="shared" si="69"/>
        <v>241.76599999999999</v>
      </c>
      <c r="F194" s="26">
        <f t="shared" si="72"/>
        <v>241.1057142857143</v>
      </c>
      <c r="G194" s="26">
        <f t="shared" si="74"/>
        <v>234.94153846153844</v>
      </c>
      <c r="H194" s="26">
        <f t="shared" si="79"/>
        <v>232.46909090909085</v>
      </c>
      <c r="I194" s="26">
        <f t="shared" si="81"/>
        <v>244.84066666666666</v>
      </c>
      <c r="J194" s="26">
        <f t="shared" si="63"/>
        <v>244.42182558395439</v>
      </c>
      <c r="K194" s="26">
        <f t="shared" si="64"/>
        <v>245.2976861424267</v>
      </c>
      <c r="L194" s="26">
        <f t="shared" si="59"/>
        <v>219.57729044724161</v>
      </c>
      <c r="V194" s="26">
        <f t="shared" si="75"/>
        <v>239.13021525318851</v>
      </c>
      <c r="W194" s="26">
        <f t="shared" si="78"/>
        <v>238.79366988985277</v>
      </c>
      <c r="X194" s="26">
        <f t="shared" si="77"/>
        <v>0.3365453633357447</v>
      </c>
      <c r="Y194" s="26">
        <f t="shared" si="80"/>
        <v>0.56870401485063438</v>
      </c>
      <c r="Z194" s="26">
        <v>10890.84</v>
      </c>
      <c r="AA194" s="26">
        <f t="shared" si="60"/>
        <v>217.00881308189716</v>
      </c>
      <c r="AB194" s="27">
        <f t="shared" si="61"/>
        <v>-0.10585573513845419</v>
      </c>
      <c r="BK194" s="24">
        <v>44388</v>
      </c>
      <c r="BL194" s="25">
        <v>242.7</v>
      </c>
      <c r="BM194" s="26">
        <f t="shared" si="58"/>
        <v>248.60999999999999</v>
      </c>
      <c r="BN194" s="26">
        <f t="shared" si="62"/>
        <v>241.76599999999999</v>
      </c>
      <c r="BO194" s="26">
        <f t="shared" si="68"/>
        <v>241.1057142857143</v>
      </c>
      <c r="BP194" s="26">
        <f t="shared" si="73"/>
        <v>234.94153846153844</v>
      </c>
      <c r="BQ194" s="26">
        <f t="shared" si="76"/>
        <v>232.46909090909085</v>
      </c>
      <c r="BR194" s="26">
        <f t="shared" si="82"/>
        <v>244.84066666666666</v>
      </c>
      <c r="BS194" s="26">
        <f t="shared" si="65"/>
        <v>244.42182558395439</v>
      </c>
      <c r="BT194" s="26">
        <f t="shared" si="66"/>
        <v>245.2976861424267</v>
      </c>
    </row>
    <row r="195" spans="1:72" x14ac:dyDescent="0.2">
      <c r="A195" s="62"/>
      <c r="B195" s="24">
        <v>44389</v>
      </c>
      <c r="C195" s="25">
        <v>235.8</v>
      </c>
      <c r="D195" s="26">
        <f t="shared" si="67"/>
        <v>243.85999999999999</v>
      </c>
      <c r="E195" s="26">
        <f t="shared" si="69"/>
        <v>243.054</v>
      </c>
      <c r="F195" s="26">
        <f t="shared" si="72"/>
        <v>239.77571428571426</v>
      </c>
      <c r="G195" s="26">
        <f t="shared" si="74"/>
        <v>235.10307692307691</v>
      </c>
      <c r="H195" s="26">
        <f t="shared" si="79"/>
        <v>233.52212121212114</v>
      </c>
      <c r="I195" s="26">
        <f t="shared" si="81"/>
        <v>242.85199999999998</v>
      </c>
      <c r="J195" s="26">
        <f t="shared" si="63"/>
        <v>240.97309535037266</v>
      </c>
      <c r="K195" s="26">
        <f t="shared" si="64"/>
        <v>239.59907445697067</v>
      </c>
      <c r="L195" s="26">
        <f t="shared" si="59"/>
        <v>219.56245178524151</v>
      </c>
      <c r="V195" s="26">
        <f t="shared" si="75"/>
        <v>238.61787444500567</v>
      </c>
      <c r="W195" s="26">
        <f t="shared" si="78"/>
        <v>238.88353264184121</v>
      </c>
      <c r="X195" s="26">
        <f t="shared" si="77"/>
        <v>-0.26565819683554537</v>
      </c>
      <c r="Y195" s="26">
        <f t="shared" si="80"/>
        <v>0.40183157251339846</v>
      </c>
      <c r="Z195" s="26">
        <v>14417.55</v>
      </c>
      <c r="AA195" s="26">
        <f t="shared" si="60"/>
        <v>218.56151544828305</v>
      </c>
      <c r="AB195" s="27">
        <f t="shared" si="61"/>
        <v>-7.3106380626450224E-2</v>
      </c>
      <c r="BK195" s="24">
        <v>44389</v>
      </c>
      <c r="BL195" s="25">
        <v>235.8</v>
      </c>
      <c r="BM195" s="26">
        <f t="shared" ref="BM195:BM258" si="83">AVERAGE(BL193:BL195)</f>
        <v>243.85999999999999</v>
      </c>
      <c r="BN195" s="26">
        <f t="shared" si="62"/>
        <v>243.054</v>
      </c>
      <c r="BO195" s="26">
        <f t="shared" si="68"/>
        <v>239.77571428571426</v>
      </c>
      <c r="BP195" s="26">
        <f t="shared" si="73"/>
        <v>235.10307692307691</v>
      </c>
      <c r="BQ195" s="26">
        <f t="shared" si="76"/>
        <v>233.52212121212114</v>
      </c>
      <c r="BR195" s="26">
        <f t="shared" si="82"/>
        <v>242.85199999999998</v>
      </c>
      <c r="BS195" s="26">
        <f t="shared" si="65"/>
        <v>240.97309535037266</v>
      </c>
      <c r="BT195" s="26">
        <f t="shared" si="66"/>
        <v>239.59907445697067</v>
      </c>
    </row>
    <row r="196" spans="1:72" x14ac:dyDescent="0.2">
      <c r="A196" s="62"/>
      <c r="B196" s="24">
        <v>44390</v>
      </c>
      <c r="C196" s="25">
        <v>239</v>
      </c>
      <c r="D196" s="26">
        <f t="shared" si="67"/>
        <v>239.16666666666666</v>
      </c>
      <c r="E196" s="26">
        <f t="shared" si="69"/>
        <v>244.12599999999998</v>
      </c>
      <c r="F196" s="26">
        <f t="shared" si="72"/>
        <v>240.51857142857142</v>
      </c>
      <c r="G196" s="26">
        <f t="shared" si="74"/>
        <v>237.92153846153846</v>
      </c>
      <c r="H196" s="26">
        <f t="shared" si="79"/>
        <v>233.90696969696964</v>
      </c>
      <c r="I196" s="26">
        <f t="shared" si="81"/>
        <v>241.50066666666666</v>
      </c>
      <c r="J196" s="26">
        <f t="shared" si="63"/>
        <v>240.18385721022361</v>
      </c>
      <c r="K196" s="26">
        <f t="shared" si="64"/>
        <v>239.23962978278828</v>
      </c>
      <c r="L196" s="26">
        <f t="shared" ref="L196:L259" si="84">$N$20+$N$21*A803</f>
        <v>219.5476131232414</v>
      </c>
      <c r="V196" s="26">
        <f t="shared" si="75"/>
        <v>238.67666299192788</v>
      </c>
      <c r="W196" s="26">
        <f t="shared" si="78"/>
        <v>238.6461800416719</v>
      </c>
      <c r="X196" s="26">
        <f t="shared" si="77"/>
        <v>3.0482950255986907E-2</v>
      </c>
      <c r="Y196" s="26">
        <f t="shared" si="80"/>
        <v>0.32756184806191618</v>
      </c>
      <c r="Z196" s="26">
        <v>13752.02</v>
      </c>
      <c r="AA196" s="26">
        <f t="shared" ref="AA196:AA259" si="85">$AD$20+$AD$21*Z196</f>
        <v>218.26850297889916</v>
      </c>
      <c r="AB196" s="27">
        <f t="shared" si="61"/>
        <v>-8.6742665360254545E-2</v>
      </c>
      <c r="BK196" s="24">
        <v>44390</v>
      </c>
      <c r="BL196" s="25">
        <v>239</v>
      </c>
      <c r="BM196" s="26">
        <f t="shared" si="83"/>
        <v>239.16666666666666</v>
      </c>
      <c r="BN196" s="26">
        <f t="shared" si="62"/>
        <v>244.12599999999998</v>
      </c>
      <c r="BO196" s="26">
        <f t="shared" si="68"/>
        <v>240.51857142857142</v>
      </c>
      <c r="BP196" s="26">
        <f t="shared" si="73"/>
        <v>237.92153846153846</v>
      </c>
      <c r="BQ196" s="26">
        <f t="shared" si="76"/>
        <v>233.90696969696964</v>
      </c>
      <c r="BR196" s="26">
        <f t="shared" si="82"/>
        <v>241.50066666666666</v>
      </c>
      <c r="BS196" s="26">
        <f t="shared" si="65"/>
        <v>240.18385721022361</v>
      </c>
      <c r="BT196" s="26">
        <f t="shared" si="66"/>
        <v>239.23962978278828</v>
      </c>
    </row>
    <row r="197" spans="1:72" x14ac:dyDescent="0.2">
      <c r="A197" s="62"/>
      <c r="B197" s="24">
        <v>44391</v>
      </c>
      <c r="C197" s="25">
        <v>233.56</v>
      </c>
      <c r="D197" s="26">
        <f t="shared" si="67"/>
        <v>236.12</v>
      </c>
      <c r="E197" s="26">
        <f t="shared" si="69"/>
        <v>240.82799999999997</v>
      </c>
      <c r="F197" s="26">
        <f t="shared" si="72"/>
        <v>241.11857142857141</v>
      </c>
      <c r="G197" s="26">
        <f t="shared" si="74"/>
        <v>239.65846153846152</v>
      </c>
      <c r="H197" s="26">
        <f t="shared" si="79"/>
        <v>234.35363636363635</v>
      </c>
      <c r="I197" s="26">
        <f t="shared" si="81"/>
        <v>237.9786666666667</v>
      </c>
      <c r="J197" s="26">
        <f t="shared" si="63"/>
        <v>237.53431432613417</v>
      </c>
      <c r="K197" s="26">
        <f t="shared" si="64"/>
        <v>235.83185191311532</v>
      </c>
      <c r="L197" s="26">
        <f t="shared" si="84"/>
        <v>219.53277446124133</v>
      </c>
      <c r="V197" s="26">
        <f t="shared" si="75"/>
        <v>237.88948407009281</v>
      </c>
      <c r="W197" s="26">
        <f t="shared" si="78"/>
        <v>238.29765091845175</v>
      </c>
      <c r="X197" s="26">
        <f t="shared" si="77"/>
        <v>-0.40816684835894534</v>
      </c>
      <c r="Y197" s="26">
        <f t="shared" si="80"/>
        <v>0.18041610877774389</v>
      </c>
      <c r="Z197" s="26">
        <v>12536.02</v>
      </c>
      <c r="AA197" s="26">
        <f t="shared" si="85"/>
        <v>217.73313543307736</v>
      </c>
      <c r="AB197" s="27">
        <f t="shared" ref="AB197:AB260" si="86">(AA197-C197)/C197</f>
        <v>-6.7763592083073462E-2</v>
      </c>
      <c r="BK197" s="24">
        <v>44391</v>
      </c>
      <c r="BL197" s="25">
        <v>233.56</v>
      </c>
      <c r="BM197" s="26">
        <f t="shared" si="83"/>
        <v>236.12</v>
      </c>
      <c r="BN197" s="26">
        <f t="shared" ref="BN197:BN260" si="87">AVERAGE(BL193:BL197)</f>
        <v>240.82799999999997</v>
      </c>
      <c r="BO197" s="26">
        <f t="shared" si="68"/>
        <v>241.11857142857141</v>
      </c>
      <c r="BP197" s="26">
        <f t="shared" si="73"/>
        <v>239.65846153846152</v>
      </c>
      <c r="BQ197" s="26">
        <f t="shared" si="76"/>
        <v>234.35363636363635</v>
      </c>
      <c r="BR197" s="26">
        <f t="shared" si="82"/>
        <v>237.9786666666667</v>
      </c>
      <c r="BS197" s="26">
        <f t="shared" si="65"/>
        <v>237.53431432613417</v>
      </c>
      <c r="BT197" s="26">
        <f t="shared" si="66"/>
        <v>235.83185191311532</v>
      </c>
    </row>
    <row r="198" spans="1:72" x14ac:dyDescent="0.2">
      <c r="A198" s="62"/>
      <c r="B198" s="24">
        <v>44392</v>
      </c>
      <c r="C198" s="25">
        <v>232.47</v>
      </c>
      <c r="D198" s="26">
        <f t="shared" si="67"/>
        <v>235.01</v>
      </c>
      <c r="E198" s="26">
        <f t="shared" si="69"/>
        <v>236.70599999999999</v>
      </c>
      <c r="F198" s="26">
        <f t="shared" si="72"/>
        <v>240.95142857142855</v>
      </c>
      <c r="G198" s="26">
        <f t="shared" si="74"/>
        <v>240.1353846153846</v>
      </c>
      <c r="H198" s="26">
        <f t="shared" si="79"/>
        <v>233.93303030303031</v>
      </c>
      <c r="I198" s="26">
        <f t="shared" si="81"/>
        <v>235.19266666666667</v>
      </c>
      <c r="J198" s="26">
        <f t="shared" ref="J198:J261" si="88">C198*$J$3+J197*(1-$J$3)</f>
        <v>235.50858859568049</v>
      </c>
      <c r="K198" s="26">
        <f t="shared" ref="K198:K261" si="89">C198*$K$3+K197*(1-$K$3)</f>
        <v>233.81474076524614</v>
      </c>
      <c r="L198" s="26">
        <f t="shared" si="84"/>
        <v>219.51793579924123</v>
      </c>
      <c r="V198" s="26">
        <f t="shared" si="75"/>
        <v>237.05571729007852</v>
      </c>
      <c r="W198" s="26">
        <f t="shared" si="78"/>
        <v>237.48804080564148</v>
      </c>
      <c r="X198" s="26">
        <f t="shared" si="77"/>
        <v>-0.43232351556295612</v>
      </c>
      <c r="Y198" s="26">
        <f t="shared" si="80"/>
        <v>5.7868183909603896E-2</v>
      </c>
      <c r="Z198" s="26">
        <v>12316.9</v>
      </c>
      <c r="AA198" s="26">
        <f t="shared" si="85"/>
        <v>217.63666361018224</v>
      </c>
      <c r="AB198" s="27">
        <f t="shared" si="86"/>
        <v>-6.3807529529908202E-2</v>
      </c>
      <c r="BK198" s="24">
        <v>44392</v>
      </c>
      <c r="BL198" s="25">
        <v>232.47</v>
      </c>
      <c r="BM198" s="26">
        <f t="shared" si="83"/>
        <v>235.01</v>
      </c>
      <c r="BN198" s="26">
        <f t="shared" si="87"/>
        <v>236.70599999999999</v>
      </c>
      <c r="BO198" s="26">
        <f t="shared" si="68"/>
        <v>240.95142857142855</v>
      </c>
      <c r="BP198" s="26">
        <f t="shared" si="73"/>
        <v>240.1353846153846</v>
      </c>
      <c r="BQ198" s="26">
        <f t="shared" si="76"/>
        <v>233.93303030303031</v>
      </c>
      <c r="BR198" s="26">
        <f t="shared" si="82"/>
        <v>235.19266666666667</v>
      </c>
      <c r="BS198" s="26">
        <f t="shared" ref="BS198:BS261" si="90">BL198*$J$3+BS197*(1-$J$3)</f>
        <v>235.50858859568049</v>
      </c>
      <c r="BT198" s="26">
        <f t="shared" ref="BT198:BT261" si="91">BL198*$K$3+BT197*(1-$K$3)</f>
        <v>233.81474076524614</v>
      </c>
    </row>
    <row r="199" spans="1:72" x14ac:dyDescent="0.2">
      <c r="A199" s="62"/>
      <c r="B199" s="24">
        <v>44393</v>
      </c>
      <c r="C199" s="25">
        <v>253.18</v>
      </c>
      <c r="D199" s="26">
        <f t="shared" ref="D199:D262" si="92">AVERAGE(C197:C199)</f>
        <v>239.73666666666668</v>
      </c>
      <c r="E199" s="26">
        <f t="shared" si="69"/>
        <v>238.80199999999999</v>
      </c>
      <c r="F199" s="26">
        <f t="shared" si="72"/>
        <v>241.39857142857142</v>
      </c>
      <c r="G199" s="26">
        <f t="shared" si="74"/>
        <v>241.00230769230768</v>
      </c>
      <c r="H199" s="26">
        <f t="shared" si="79"/>
        <v>233.96636363636364</v>
      </c>
      <c r="I199" s="26">
        <f t="shared" si="81"/>
        <v>240.68400000000003</v>
      </c>
      <c r="J199" s="26">
        <f t="shared" si="88"/>
        <v>242.5771531574083</v>
      </c>
      <c r="K199" s="26">
        <f t="shared" si="89"/>
        <v>245.43389630609846</v>
      </c>
      <c r="L199" s="26">
        <f t="shared" si="84"/>
        <v>219.50309713724113</v>
      </c>
      <c r="V199" s="26">
        <f t="shared" si="75"/>
        <v>239.53637616852797</v>
      </c>
      <c r="W199" s="26">
        <f t="shared" si="78"/>
        <v>238.25010860192455</v>
      </c>
      <c r="X199" s="26">
        <f t="shared" si="77"/>
        <v>1.2862675666034136</v>
      </c>
      <c r="Y199" s="26">
        <f t="shared" si="80"/>
        <v>0.30354806044836585</v>
      </c>
      <c r="Z199" s="26">
        <v>12348.76</v>
      </c>
      <c r="AA199" s="26">
        <f t="shared" si="85"/>
        <v>217.65069059209824</v>
      </c>
      <c r="AB199" s="27">
        <f t="shared" si="86"/>
        <v>-0.14033221189628628</v>
      </c>
      <c r="BK199" s="24">
        <v>44393</v>
      </c>
      <c r="BL199" s="25">
        <v>253.18</v>
      </c>
      <c r="BM199" s="26">
        <f t="shared" si="83"/>
        <v>239.73666666666668</v>
      </c>
      <c r="BN199" s="26">
        <f t="shared" si="87"/>
        <v>238.80199999999999</v>
      </c>
      <c r="BO199" s="26">
        <f t="shared" ref="BO199:BO262" si="93">AVERAGE(BL193:BL199)</f>
        <v>241.39857142857142</v>
      </c>
      <c r="BP199" s="26">
        <f t="shared" si="73"/>
        <v>241.00230769230768</v>
      </c>
      <c r="BQ199" s="26">
        <f t="shared" si="76"/>
        <v>233.96636363636364</v>
      </c>
      <c r="BR199" s="26">
        <f t="shared" si="82"/>
        <v>240.68400000000003</v>
      </c>
      <c r="BS199" s="26">
        <f t="shared" si="90"/>
        <v>242.5771531574083</v>
      </c>
      <c r="BT199" s="26">
        <f t="shared" si="91"/>
        <v>245.43389630609846</v>
      </c>
    </row>
    <row r="200" spans="1:72" x14ac:dyDescent="0.2">
      <c r="A200" s="62"/>
      <c r="B200" s="24">
        <v>44394</v>
      </c>
      <c r="C200" s="25">
        <v>239.81</v>
      </c>
      <c r="D200" s="26">
        <f t="shared" si="92"/>
        <v>241.82000000000002</v>
      </c>
      <c r="E200" s="26">
        <f t="shared" si="69"/>
        <v>239.60399999999998</v>
      </c>
      <c r="F200" s="26">
        <f t="shared" si="72"/>
        <v>239.50285714285715</v>
      </c>
      <c r="G200" s="26">
        <f t="shared" si="74"/>
        <v>240.11999999999995</v>
      </c>
      <c r="H200" s="26">
        <f t="shared" si="79"/>
        <v>233.87666666666667</v>
      </c>
      <c r="I200" s="26">
        <f t="shared" si="81"/>
        <v>241.01999999999998</v>
      </c>
      <c r="J200" s="26">
        <f t="shared" si="88"/>
        <v>241.47029189444498</v>
      </c>
      <c r="K200" s="26">
        <f t="shared" si="89"/>
        <v>242.05955852243937</v>
      </c>
      <c r="L200" s="26">
        <f t="shared" si="84"/>
        <v>219.48825847524105</v>
      </c>
      <c r="V200" s="26">
        <f t="shared" si="75"/>
        <v>239.57847214260056</v>
      </c>
      <c r="W200" s="26">
        <f t="shared" si="78"/>
        <v>239.55664460048885</v>
      </c>
      <c r="X200" s="26">
        <f t="shared" si="77"/>
        <v>2.1827542111708453E-2</v>
      </c>
      <c r="Y200" s="26">
        <f t="shared" si="80"/>
        <v>0.24720395678103438</v>
      </c>
      <c r="Z200" s="26">
        <v>11630.86</v>
      </c>
      <c r="AA200" s="26">
        <f t="shared" si="85"/>
        <v>217.33462121615625</v>
      </c>
      <c r="AB200" s="27">
        <f t="shared" si="86"/>
        <v>-9.3721607872247828E-2</v>
      </c>
      <c r="BK200" s="24">
        <v>44394</v>
      </c>
      <c r="BL200" s="25">
        <v>239.81</v>
      </c>
      <c r="BM200" s="26">
        <f t="shared" si="83"/>
        <v>241.82000000000002</v>
      </c>
      <c r="BN200" s="26">
        <f t="shared" si="87"/>
        <v>239.60399999999998</v>
      </c>
      <c r="BO200" s="26">
        <f t="shared" si="93"/>
        <v>239.50285714285715</v>
      </c>
      <c r="BP200" s="26">
        <f t="shared" si="73"/>
        <v>240.11999999999995</v>
      </c>
      <c r="BQ200" s="26">
        <f t="shared" si="76"/>
        <v>233.87666666666667</v>
      </c>
      <c r="BR200" s="26">
        <f t="shared" si="82"/>
        <v>241.01999999999998</v>
      </c>
      <c r="BS200" s="26">
        <f t="shared" si="90"/>
        <v>241.47029189444498</v>
      </c>
      <c r="BT200" s="26">
        <f t="shared" si="91"/>
        <v>242.05955852243937</v>
      </c>
    </row>
    <row r="201" spans="1:72" x14ac:dyDescent="0.2">
      <c r="A201" s="62"/>
      <c r="B201" s="24">
        <v>44395</v>
      </c>
      <c r="C201" s="25">
        <v>241.67</v>
      </c>
      <c r="D201" s="26">
        <f t="shared" si="92"/>
        <v>244.88666666666666</v>
      </c>
      <c r="E201" s="26">
        <f t="shared" ref="E201:E264" si="94">AVERAGE(C197:C201)</f>
        <v>240.13800000000001</v>
      </c>
      <c r="F201" s="26">
        <f t="shared" si="72"/>
        <v>239.3557142857143</v>
      </c>
      <c r="G201" s="26">
        <f t="shared" si="74"/>
        <v>239.85538461538457</v>
      </c>
      <c r="H201" s="26">
        <f t="shared" si="79"/>
        <v>233.49878787878791</v>
      </c>
      <c r="I201" s="26">
        <f t="shared" si="81"/>
        <v>241.70866666666669</v>
      </c>
      <c r="J201" s="26">
        <f t="shared" si="88"/>
        <v>241.55017513666698</v>
      </c>
      <c r="K201" s="26">
        <f t="shared" si="89"/>
        <v>241.82582340897574</v>
      </c>
      <c r="L201" s="26">
        <f t="shared" si="84"/>
        <v>219.47341981324095</v>
      </c>
      <c r="V201" s="26">
        <f t="shared" si="75"/>
        <v>239.90024565912356</v>
      </c>
      <c r="W201" s="26">
        <f t="shared" si="78"/>
        <v>239.73340013203756</v>
      </c>
      <c r="X201" s="26">
        <f t="shared" si="77"/>
        <v>0.16684552708599654</v>
      </c>
      <c r="Y201" s="26">
        <f t="shared" si="80"/>
        <v>0.23113227084202684</v>
      </c>
      <c r="Z201" s="26">
        <v>10524.8</v>
      </c>
      <c r="AA201" s="26">
        <f t="shared" si="85"/>
        <v>216.84765688414006</v>
      </c>
      <c r="AB201" s="27">
        <f t="shared" si="86"/>
        <v>-0.10271172721421742</v>
      </c>
      <c r="BK201" s="24">
        <v>44395</v>
      </c>
      <c r="BL201" s="25">
        <v>241.67</v>
      </c>
      <c r="BM201" s="26">
        <f t="shared" si="83"/>
        <v>244.88666666666666</v>
      </c>
      <c r="BN201" s="26">
        <f t="shared" si="87"/>
        <v>240.13800000000001</v>
      </c>
      <c r="BO201" s="26">
        <f t="shared" si="93"/>
        <v>239.3557142857143</v>
      </c>
      <c r="BP201" s="26">
        <f t="shared" si="73"/>
        <v>239.85538461538457</v>
      </c>
      <c r="BQ201" s="26">
        <f t="shared" si="76"/>
        <v>233.49878787878791</v>
      </c>
      <c r="BR201" s="26">
        <f t="shared" si="82"/>
        <v>241.70866666666669</v>
      </c>
      <c r="BS201" s="26">
        <f t="shared" si="90"/>
        <v>241.55017513666698</v>
      </c>
      <c r="BT201" s="26">
        <f t="shared" si="91"/>
        <v>241.82582340897574</v>
      </c>
    </row>
    <row r="202" spans="1:72" x14ac:dyDescent="0.2">
      <c r="A202" s="62"/>
      <c r="B202" s="24">
        <v>44396</v>
      </c>
      <c r="C202" s="25">
        <v>238.27</v>
      </c>
      <c r="D202" s="26">
        <f t="shared" si="92"/>
        <v>239.91666666666666</v>
      </c>
      <c r="E202" s="26">
        <f t="shared" si="94"/>
        <v>241.08</v>
      </c>
      <c r="F202" s="26">
        <f t="shared" si="72"/>
        <v>239.70857142857145</v>
      </c>
      <c r="G202" s="26">
        <f t="shared" si="74"/>
        <v>240.19923076923075</v>
      </c>
      <c r="H202" s="26">
        <f t="shared" si="79"/>
        <v>234.45575757575762</v>
      </c>
      <c r="I202" s="26">
        <f t="shared" si="81"/>
        <v>241.08599999999998</v>
      </c>
      <c r="J202" s="26">
        <f t="shared" si="88"/>
        <v>240.23810508200017</v>
      </c>
      <c r="K202" s="26">
        <f t="shared" si="89"/>
        <v>239.69232936359029</v>
      </c>
      <c r="L202" s="26">
        <f t="shared" si="84"/>
        <v>219.45858115124085</v>
      </c>
      <c r="V202" s="26">
        <f t="shared" si="75"/>
        <v>239.64943863464302</v>
      </c>
      <c r="W202" s="26">
        <f t="shared" si="78"/>
        <v>239.77948672141071</v>
      </c>
      <c r="X202" s="26">
        <f t="shared" si="77"/>
        <v>-0.13004808676768675</v>
      </c>
      <c r="Y202" s="26">
        <f t="shared" si="80"/>
        <v>0.15889619932008414</v>
      </c>
      <c r="Z202" s="26">
        <v>15832.8</v>
      </c>
      <c r="AA202" s="26">
        <f t="shared" si="85"/>
        <v>219.18460666475042</v>
      </c>
      <c r="AB202" s="27">
        <f t="shared" si="86"/>
        <v>-8.009985871175386E-2</v>
      </c>
      <c r="BK202" s="24">
        <v>44396</v>
      </c>
      <c r="BL202" s="25">
        <v>238.27</v>
      </c>
      <c r="BM202" s="26">
        <f t="shared" si="83"/>
        <v>239.91666666666666</v>
      </c>
      <c r="BN202" s="26">
        <f t="shared" si="87"/>
        <v>241.08</v>
      </c>
      <c r="BO202" s="26">
        <f t="shared" si="93"/>
        <v>239.70857142857145</v>
      </c>
      <c r="BP202" s="26">
        <f t="shared" si="73"/>
        <v>240.19923076923075</v>
      </c>
      <c r="BQ202" s="26">
        <f t="shared" si="76"/>
        <v>234.45575757575762</v>
      </c>
      <c r="BR202" s="26">
        <f t="shared" si="82"/>
        <v>241.08599999999998</v>
      </c>
      <c r="BS202" s="26">
        <f t="shared" si="90"/>
        <v>240.23810508200017</v>
      </c>
      <c r="BT202" s="26">
        <f t="shared" si="91"/>
        <v>239.69232936359029</v>
      </c>
    </row>
    <row r="203" spans="1:72" x14ac:dyDescent="0.2">
      <c r="A203" s="62"/>
      <c r="B203" s="24">
        <v>44397</v>
      </c>
      <c r="C203" s="25">
        <v>200.59</v>
      </c>
      <c r="D203" s="26">
        <f t="shared" si="92"/>
        <v>226.84333333333333</v>
      </c>
      <c r="E203" s="26">
        <f t="shared" si="94"/>
        <v>234.70400000000001</v>
      </c>
      <c r="F203" s="26">
        <f t="shared" ref="F203:F266" si="95">AVERAGE(C197:C203)</f>
        <v>234.22142857142856</v>
      </c>
      <c r="G203" s="26">
        <f t="shared" si="74"/>
        <v>237.98615384615385</v>
      </c>
      <c r="H203" s="26">
        <f t="shared" si="79"/>
        <v>234.30969696969703</v>
      </c>
      <c r="I203" s="26">
        <f t="shared" si="81"/>
        <v>227.58933333333331</v>
      </c>
      <c r="J203" s="26">
        <f t="shared" si="88"/>
        <v>224.37886304920011</v>
      </c>
      <c r="K203" s="26">
        <f t="shared" si="89"/>
        <v>216.23093174543612</v>
      </c>
      <c r="L203" s="26">
        <f t="shared" si="84"/>
        <v>219.44374248924078</v>
      </c>
      <c r="V203" s="26">
        <f t="shared" si="75"/>
        <v>233.64029422931333</v>
      </c>
      <c r="W203" s="26">
        <f t="shared" si="78"/>
        <v>236.75614688392872</v>
      </c>
      <c r="X203" s="26">
        <f t="shared" si="77"/>
        <v>-3.1158526546153951</v>
      </c>
      <c r="Y203" s="26">
        <f t="shared" si="80"/>
        <v>-0.49605357146701173</v>
      </c>
      <c r="Z203" s="26">
        <v>13878.82</v>
      </c>
      <c r="AA203" s="26">
        <f t="shared" si="85"/>
        <v>218.32432913417071</v>
      </c>
      <c r="AB203" s="27">
        <f t="shared" si="86"/>
        <v>8.8410833711404888E-2</v>
      </c>
      <c r="BK203" s="24">
        <v>44397</v>
      </c>
      <c r="BL203" s="25">
        <v>200.59</v>
      </c>
      <c r="BM203" s="26">
        <f t="shared" si="83"/>
        <v>226.84333333333333</v>
      </c>
      <c r="BN203" s="26">
        <f t="shared" si="87"/>
        <v>234.70400000000001</v>
      </c>
      <c r="BO203" s="26">
        <f t="shared" si="93"/>
        <v>234.22142857142856</v>
      </c>
      <c r="BP203" s="26">
        <f t="shared" si="73"/>
        <v>237.98615384615385</v>
      </c>
      <c r="BQ203" s="26">
        <f t="shared" si="76"/>
        <v>234.30969696969703</v>
      </c>
      <c r="BR203" s="26">
        <f t="shared" si="82"/>
        <v>227.58933333333331</v>
      </c>
      <c r="BS203" s="26">
        <f t="shared" si="90"/>
        <v>224.37886304920011</v>
      </c>
      <c r="BT203" s="26">
        <f t="shared" si="91"/>
        <v>216.23093174543612</v>
      </c>
    </row>
    <row r="204" spans="1:72" x14ac:dyDescent="0.2">
      <c r="A204" s="62"/>
      <c r="B204" s="24">
        <v>44398</v>
      </c>
      <c r="C204" s="25">
        <v>203.72</v>
      </c>
      <c r="D204" s="26">
        <f t="shared" si="92"/>
        <v>214.19333333333336</v>
      </c>
      <c r="E204" s="26">
        <f t="shared" si="94"/>
        <v>224.81199999999998</v>
      </c>
      <c r="F204" s="26">
        <f t="shared" si="95"/>
        <v>229.95857142857145</v>
      </c>
      <c r="G204" s="26">
        <f t="shared" si="74"/>
        <v>235.6846153846154</v>
      </c>
      <c r="H204" s="26">
        <f t="shared" si="79"/>
        <v>233.32636363636371</v>
      </c>
      <c r="I204" s="26">
        <f t="shared" si="81"/>
        <v>217.26133333333334</v>
      </c>
      <c r="J204" s="26">
        <f t="shared" si="88"/>
        <v>216.11531782952005</v>
      </c>
      <c r="K204" s="26">
        <f t="shared" si="89"/>
        <v>208.72437269817445</v>
      </c>
      <c r="L204" s="26">
        <f t="shared" si="84"/>
        <v>219.42890382724067</v>
      </c>
      <c r="V204" s="26">
        <f t="shared" si="75"/>
        <v>229.03717204018818</v>
      </c>
      <c r="W204" s="26">
        <f t="shared" si="78"/>
        <v>231.4239761382531</v>
      </c>
      <c r="X204" s="26">
        <f t="shared" si="77"/>
        <v>-2.3868040980649141</v>
      </c>
      <c r="Y204" s="26">
        <f t="shared" si="80"/>
        <v>-0.87420367678659217</v>
      </c>
      <c r="Z204" s="26">
        <v>13537.94</v>
      </c>
      <c r="AA204" s="26">
        <f t="shared" si="85"/>
        <v>218.17425011359526</v>
      </c>
      <c r="AB204" s="27">
        <f t="shared" si="86"/>
        <v>7.0951551706240262E-2</v>
      </c>
      <c r="BK204" s="24">
        <v>44398</v>
      </c>
      <c r="BL204" s="25">
        <v>203.72</v>
      </c>
      <c r="BM204" s="26">
        <f t="shared" si="83"/>
        <v>214.19333333333336</v>
      </c>
      <c r="BN204" s="26">
        <f t="shared" si="87"/>
        <v>224.81199999999998</v>
      </c>
      <c r="BO204" s="26">
        <f t="shared" si="93"/>
        <v>229.95857142857145</v>
      </c>
      <c r="BP204" s="26">
        <f t="shared" si="73"/>
        <v>235.6846153846154</v>
      </c>
      <c r="BQ204" s="26">
        <f t="shared" si="76"/>
        <v>233.32636363636371</v>
      </c>
      <c r="BR204" s="26">
        <f t="shared" si="82"/>
        <v>217.26133333333334</v>
      </c>
      <c r="BS204" s="26">
        <f t="shared" si="90"/>
        <v>216.11531782952005</v>
      </c>
      <c r="BT204" s="26">
        <f t="shared" si="91"/>
        <v>208.72437269817445</v>
      </c>
    </row>
    <row r="205" spans="1:72" x14ac:dyDescent="0.2">
      <c r="A205" s="62"/>
      <c r="B205" s="24">
        <v>44399</v>
      </c>
      <c r="C205" s="25">
        <v>241.69</v>
      </c>
      <c r="D205" s="26">
        <f t="shared" si="92"/>
        <v>215.33333333333334</v>
      </c>
      <c r="E205" s="26">
        <f t="shared" si="94"/>
        <v>225.18800000000002</v>
      </c>
      <c r="F205" s="26">
        <f t="shared" si="95"/>
        <v>231.27571428571429</v>
      </c>
      <c r="G205" s="26">
        <f t="shared" si="74"/>
        <v>235.04153846153847</v>
      </c>
      <c r="H205" s="26">
        <f t="shared" si="79"/>
        <v>233.84060606060615</v>
      </c>
      <c r="I205" s="26">
        <f t="shared" si="81"/>
        <v>222.88733333333332</v>
      </c>
      <c r="J205" s="26">
        <f t="shared" si="88"/>
        <v>226.34519069771204</v>
      </c>
      <c r="K205" s="26">
        <f t="shared" si="89"/>
        <v>228.50374907926977</v>
      </c>
      <c r="L205" s="26">
        <f t="shared" si="84"/>
        <v>219.41406516524057</v>
      </c>
      <c r="V205" s="26">
        <f t="shared" si="75"/>
        <v>230.9837609570823</v>
      </c>
      <c r="W205" s="26">
        <f t="shared" si="78"/>
        <v>229.97441855572978</v>
      </c>
      <c r="X205" s="26">
        <f t="shared" si="77"/>
        <v>1.0093424013525123</v>
      </c>
      <c r="Y205" s="26">
        <f t="shared" si="80"/>
        <v>-0.49749446115877133</v>
      </c>
      <c r="Z205" s="26">
        <v>12563.76</v>
      </c>
      <c r="AA205" s="26">
        <f t="shared" si="85"/>
        <v>217.74534850521641</v>
      </c>
      <c r="AB205" s="27">
        <f t="shared" si="86"/>
        <v>-9.907175098176832E-2</v>
      </c>
      <c r="BK205" s="24">
        <v>44399</v>
      </c>
      <c r="BL205" s="25">
        <v>241.69</v>
      </c>
      <c r="BM205" s="26">
        <f t="shared" si="83"/>
        <v>215.33333333333334</v>
      </c>
      <c r="BN205" s="26">
        <f t="shared" si="87"/>
        <v>225.18800000000002</v>
      </c>
      <c r="BO205" s="26">
        <f t="shared" si="93"/>
        <v>231.27571428571429</v>
      </c>
      <c r="BP205" s="26">
        <f t="shared" ref="BP205:BP268" si="96">AVERAGE(BL193:BL205)</f>
        <v>235.04153846153847</v>
      </c>
      <c r="BQ205" s="26">
        <f t="shared" si="76"/>
        <v>233.84060606060615</v>
      </c>
      <c r="BR205" s="26">
        <f t="shared" si="82"/>
        <v>222.88733333333332</v>
      </c>
      <c r="BS205" s="26">
        <f t="shared" si="90"/>
        <v>226.34519069771204</v>
      </c>
      <c r="BT205" s="26">
        <f t="shared" si="91"/>
        <v>228.50374907926977</v>
      </c>
    </row>
    <row r="206" spans="1:72" x14ac:dyDescent="0.2">
      <c r="A206" s="62"/>
      <c r="B206" s="24">
        <v>44400</v>
      </c>
      <c r="C206" s="25">
        <v>234.32</v>
      </c>
      <c r="D206" s="26">
        <f t="shared" si="92"/>
        <v>226.57666666666668</v>
      </c>
      <c r="E206" s="26">
        <f t="shared" si="94"/>
        <v>223.71799999999999</v>
      </c>
      <c r="F206" s="26">
        <f t="shared" si="95"/>
        <v>228.58142857142857</v>
      </c>
      <c r="G206" s="26">
        <f t="shared" si="74"/>
        <v>233.59846153846155</v>
      </c>
      <c r="H206" s="26">
        <f t="shared" si="79"/>
        <v>233.34666666666675</v>
      </c>
      <c r="I206" s="26">
        <f t="shared" si="81"/>
        <v>225.9313333333333</v>
      </c>
      <c r="J206" s="26">
        <f t="shared" si="88"/>
        <v>229.53511441862722</v>
      </c>
      <c r="K206" s="26">
        <f t="shared" si="89"/>
        <v>231.99349963170789</v>
      </c>
      <c r="L206" s="26">
        <f t="shared" si="84"/>
        <v>219.3992265032405</v>
      </c>
      <c r="V206" s="26">
        <f t="shared" si="75"/>
        <v>231.49702850214655</v>
      </c>
      <c r="W206" s="26">
        <f t="shared" si="78"/>
        <v>231.23088977507621</v>
      </c>
      <c r="X206" s="26">
        <f t="shared" si="77"/>
        <v>0.26613872707034147</v>
      </c>
      <c r="Y206" s="26">
        <f t="shared" si="80"/>
        <v>-0.34476782351294877</v>
      </c>
      <c r="Z206" s="26">
        <v>12012.73</v>
      </c>
      <c r="AA206" s="26">
        <f t="shared" si="85"/>
        <v>217.50274687793501</v>
      </c>
      <c r="AB206" s="27">
        <f t="shared" si="86"/>
        <v>-7.1770455454357215E-2</v>
      </c>
      <c r="BK206" s="24">
        <v>44400</v>
      </c>
      <c r="BL206" s="25">
        <v>234.32</v>
      </c>
      <c r="BM206" s="26">
        <f t="shared" si="83"/>
        <v>226.57666666666668</v>
      </c>
      <c r="BN206" s="26">
        <f t="shared" si="87"/>
        <v>223.71799999999999</v>
      </c>
      <c r="BO206" s="26">
        <f t="shared" si="93"/>
        <v>228.58142857142857</v>
      </c>
      <c r="BP206" s="26">
        <f t="shared" si="96"/>
        <v>233.59846153846155</v>
      </c>
      <c r="BQ206" s="26">
        <f t="shared" si="76"/>
        <v>233.34666666666675</v>
      </c>
      <c r="BR206" s="26">
        <f t="shared" si="82"/>
        <v>225.9313333333333</v>
      </c>
      <c r="BS206" s="26">
        <f t="shared" si="90"/>
        <v>229.53511441862722</v>
      </c>
      <c r="BT206" s="26">
        <f t="shared" si="91"/>
        <v>231.99349963170789</v>
      </c>
    </row>
    <row r="207" spans="1:72" x14ac:dyDescent="0.2">
      <c r="A207" s="62"/>
      <c r="B207" s="24">
        <v>44401</v>
      </c>
      <c r="C207" s="25">
        <v>254.86</v>
      </c>
      <c r="D207" s="26">
        <f t="shared" si="92"/>
        <v>243.62333333333333</v>
      </c>
      <c r="E207" s="26">
        <f t="shared" si="94"/>
        <v>227.03599999999997</v>
      </c>
      <c r="F207" s="26">
        <f t="shared" si="95"/>
        <v>230.73142857142855</v>
      </c>
      <c r="G207" s="26">
        <f t="shared" si="74"/>
        <v>234.53384615384616</v>
      </c>
      <c r="H207" s="26">
        <f t="shared" si="79"/>
        <v>233.71818181818188</v>
      </c>
      <c r="I207" s="26">
        <f t="shared" si="81"/>
        <v>236.31199999999998</v>
      </c>
      <c r="J207" s="26">
        <f t="shared" si="88"/>
        <v>239.66506865117634</v>
      </c>
      <c r="K207" s="26">
        <f t="shared" si="89"/>
        <v>245.71339985268315</v>
      </c>
      <c r="L207" s="26">
        <f t="shared" si="84"/>
        <v>219.3843878412404</v>
      </c>
      <c r="V207" s="26">
        <f t="shared" si="75"/>
        <v>235.09133180950863</v>
      </c>
      <c r="W207" s="26">
        <f t="shared" si="78"/>
        <v>233.22761898346903</v>
      </c>
      <c r="X207" s="26">
        <f t="shared" si="77"/>
        <v>1.8637128260396025</v>
      </c>
      <c r="Y207" s="26">
        <f t="shared" si="80"/>
        <v>9.6928306397561503E-2</v>
      </c>
      <c r="Z207" s="26">
        <v>12668.16</v>
      </c>
      <c r="AA207" s="26">
        <f t="shared" si="85"/>
        <v>217.79131262674915</v>
      </c>
      <c r="AB207" s="27">
        <f t="shared" si="86"/>
        <v>-0.1454472548585532</v>
      </c>
      <c r="BK207" s="24">
        <v>44401</v>
      </c>
      <c r="BL207" s="25">
        <v>254.86</v>
      </c>
      <c r="BM207" s="26">
        <f t="shared" si="83"/>
        <v>243.62333333333333</v>
      </c>
      <c r="BN207" s="26">
        <f t="shared" si="87"/>
        <v>227.03599999999997</v>
      </c>
      <c r="BO207" s="26">
        <f t="shared" si="93"/>
        <v>230.73142857142855</v>
      </c>
      <c r="BP207" s="26">
        <f t="shared" si="96"/>
        <v>234.53384615384616</v>
      </c>
      <c r="BQ207" s="26">
        <f t="shared" si="76"/>
        <v>233.71818181818188</v>
      </c>
      <c r="BR207" s="26">
        <f t="shared" si="82"/>
        <v>236.31199999999998</v>
      </c>
      <c r="BS207" s="26">
        <f t="shared" si="90"/>
        <v>239.66506865117634</v>
      </c>
      <c r="BT207" s="26">
        <f t="shared" si="91"/>
        <v>245.71339985268315</v>
      </c>
    </row>
    <row r="208" spans="1:72" x14ac:dyDescent="0.2">
      <c r="A208" s="62"/>
      <c r="B208" s="24">
        <v>44402</v>
      </c>
      <c r="C208" s="25">
        <v>245.89</v>
      </c>
      <c r="D208" s="26">
        <f t="shared" si="92"/>
        <v>245.02333333333331</v>
      </c>
      <c r="E208" s="26">
        <f t="shared" si="94"/>
        <v>236.096</v>
      </c>
      <c r="F208" s="26">
        <f t="shared" si="95"/>
        <v>231.33428571428567</v>
      </c>
      <c r="G208" s="26">
        <f t="shared" si="74"/>
        <v>235.31</v>
      </c>
      <c r="H208" s="26">
        <f t="shared" si="79"/>
        <v>234.03363636363645</v>
      </c>
      <c r="I208" s="26">
        <f t="shared" si="81"/>
        <v>242.59666666666666</v>
      </c>
      <c r="J208" s="26">
        <f t="shared" si="88"/>
        <v>242.15504119070579</v>
      </c>
      <c r="K208" s="26">
        <f t="shared" si="89"/>
        <v>245.81935994107326</v>
      </c>
      <c r="L208" s="26">
        <f t="shared" si="84"/>
        <v>219.36954917924029</v>
      </c>
      <c r="V208" s="26">
        <f t="shared" si="75"/>
        <v>236.75266537727654</v>
      </c>
      <c r="W208" s="26">
        <f t="shared" si="78"/>
        <v>235.89123315695244</v>
      </c>
      <c r="X208" s="26">
        <f t="shared" si="77"/>
        <v>0.86143222032410449</v>
      </c>
      <c r="Y208" s="26">
        <f t="shared" si="80"/>
        <v>0.24982908918287011</v>
      </c>
      <c r="Z208" s="26">
        <v>10815.43</v>
      </c>
      <c r="AA208" s="26">
        <f t="shared" si="85"/>
        <v>216.97561236920765</v>
      </c>
      <c r="AB208" s="27">
        <f t="shared" si="86"/>
        <v>-0.11759074232702564</v>
      </c>
      <c r="BK208" s="24">
        <v>44402</v>
      </c>
      <c r="BL208" s="25">
        <v>245.89</v>
      </c>
      <c r="BM208" s="26">
        <f t="shared" si="83"/>
        <v>245.02333333333331</v>
      </c>
      <c r="BN208" s="26">
        <f t="shared" si="87"/>
        <v>236.096</v>
      </c>
      <c r="BO208" s="26">
        <f t="shared" si="93"/>
        <v>231.33428571428567</v>
      </c>
      <c r="BP208" s="26">
        <f t="shared" si="96"/>
        <v>235.31</v>
      </c>
      <c r="BQ208" s="26">
        <f t="shared" si="76"/>
        <v>234.03363636363645</v>
      </c>
      <c r="BR208" s="26">
        <f t="shared" si="82"/>
        <v>242.59666666666666</v>
      </c>
      <c r="BS208" s="26">
        <f t="shared" si="90"/>
        <v>242.15504119070579</v>
      </c>
      <c r="BT208" s="26">
        <f t="shared" si="91"/>
        <v>245.81935994107326</v>
      </c>
    </row>
    <row r="209" spans="1:72" x14ac:dyDescent="0.2">
      <c r="A209" s="62"/>
      <c r="B209" s="24">
        <v>44403</v>
      </c>
      <c r="C209" s="25">
        <v>239.5</v>
      </c>
      <c r="D209" s="26">
        <f t="shared" si="92"/>
        <v>246.75</v>
      </c>
      <c r="E209" s="26">
        <f t="shared" si="94"/>
        <v>243.25200000000001</v>
      </c>
      <c r="F209" s="26">
        <f t="shared" si="95"/>
        <v>231.50999999999996</v>
      </c>
      <c r="G209" s="26">
        <f t="shared" ref="G209:G272" si="97">AVERAGE(C197:C209)</f>
        <v>235.34846153846155</v>
      </c>
      <c r="H209" s="26">
        <f t="shared" si="79"/>
        <v>235.06787878787887</v>
      </c>
      <c r="I209" s="26">
        <f t="shared" si="81"/>
        <v>243.73133333333331</v>
      </c>
      <c r="J209" s="26">
        <f t="shared" si="88"/>
        <v>241.09302471442348</v>
      </c>
      <c r="K209" s="26">
        <f t="shared" si="89"/>
        <v>242.02774397642929</v>
      </c>
      <c r="L209" s="26">
        <f t="shared" si="84"/>
        <v>219.35471051724022</v>
      </c>
      <c r="V209" s="26">
        <f t="shared" ref="V209:V272" si="98">C209*(2/(12+1))+V208*(1-(2/(12+1)))</f>
        <v>237.1753322423109</v>
      </c>
      <c r="W209" s="26">
        <f t="shared" si="78"/>
        <v>236.95617164562643</v>
      </c>
      <c r="X209" s="26">
        <f t="shared" si="77"/>
        <v>0.21916059668447474</v>
      </c>
      <c r="Y209" s="26">
        <f t="shared" si="80"/>
        <v>0.24369539068319107</v>
      </c>
      <c r="Z209" s="26">
        <v>15622.72</v>
      </c>
      <c r="AA209" s="26">
        <f t="shared" si="85"/>
        <v>219.09211487689987</v>
      </c>
      <c r="AB209" s="27">
        <f t="shared" si="86"/>
        <v>-8.521037629686902E-2</v>
      </c>
      <c r="BK209" s="24">
        <v>44403</v>
      </c>
      <c r="BL209" s="25">
        <v>239.5</v>
      </c>
      <c r="BM209" s="26">
        <f t="shared" si="83"/>
        <v>246.75</v>
      </c>
      <c r="BN209" s="26">
        <f t="shared" si="87"/>
        <v>243.25200000000001</v>
      </c>
      <c r="BO209" s="26">
        <f t="shared" si="93"/>
        <v>231.50999999999996</v>
      </c>
      <c r="BP209" s="26">
        <f t="shared" si="96"/>
        <v>235.34846153846155</v>
      </c>
      <c r="BQ209" s="26">
        <f t="shared" si="76"/>
        <v>235.06787878787887</v>
      </c>
      <c r="BR209" s="26">
        <f t="shared" si="82"/>
        <v>243.73133333333331</v>
      </c>
      <c r="BS209" s="26">
        <f t="shared" si="90"/>
        <v>241.09302471442348</v>
      </c>
      <c r="BT209" s="26">
        <f t="shared" si="91"/>
        <v>242.02774397642929</v>
      </c>
    </row>
    <row r="210" spans="1:72" x14ac:dyDescent="0.2">
      <c r="A210" s="62"/>
      <c r="B210" s="24">
        <v>44404</v>
      </c>
      <c r="C210" s="25">
        <v>202.77</v>
      </c>
      <c r="D210" s="26">
        <f t="shared" si="92"/>
        <v>229.38666666666666</v>
      </c>
      <c r="E210" s="26">
        <f t="shared" si="94"/>
        <v>235.46799999999999</v>
      </c>
      <c r="F210" s="26">
        <f t="shared" si="95"/>
        <v>231.82142857142858</v>
      </c>
      <c r="G210" s="26">
        <f t="shared" si="97"/>
        <v>232.98000000000002</v>
      </c>
      <c r="H210" s="26">
        <f t="shared" si="79"/>
        <v>234.96121212121218</v>
      </c>
      <c r="I210" s="26">
        <f t="shared" si="81"/>
        <v>230.23733333333334</v>
      </c>
      <c r="J210" s="26">
        <f t="shared" si="88"/>
        <v>225.76381482865409</v>
      </c>
      <c r="K210" s="26">
        <f t="shared" si="89"/>
        <v>218.47309759057174</v>
      </c>
      <c r="L210" s="26">
        <f t="shared" si="84"/>
        <v>219.33987185524012</v>
      </c>
      <c r="V210" s="26">
        <f t="shared" si="98"/>
        <v>231.88220420503231</v>
      </c>
      <c r="W210" s="26">
        <f t="shared" si="78"/>
        <v>234.62678911325085</v>
      </c>
      <c r="X210" s="26">
        <f t="shared" si="77"/>
        <v>-2.7445849082185418</v>
      </c>
      <c r="Y210" s="26">
        <f t="shared" si="80"/>
        <v>-0.35396066909715551</v>
      </c>
      <c r="Z210" s="26">
        <v>14098.01</v>
      </c>
      <c r="AA210" s="26">
        <f t="shared" si="85"/>
        <v>218.42083177592127</v>
      </c>
      <c r="AB210" s="27">
        <f t="shared" si="86"/>
        <v>7.7185144626528882E-2</v>
      </c>
      <c r="BK210" s="24">
        <v>44404</v>
      </c>
      <c r="BL210" s="25">
        <v>202.77</v>
      </c>
      <c r="BM210" s="26">
        <f t="shared" si="83"/>
        <v>229.38666666666666</v>
      </c>
      <c r="BN210" s="26">
        <f t="shared" si="87"/>
        <v>235.46799999999999</v>
      </c>
      <c r="BO210" s="26">
        <f t="shared" si="93"/>
        <v>231.82142857142858</v>
      </c>
      <c r="BP210" s="26">
        <f t="shared" si="96"/>
        <v>232.98000000000002</v>
      </c>
      <c r="BQ210" s="26">
        <f t="shared" si="76"/>
        <v>234.96121212121218</v>
      </c>
      <c r="BR210" s="26">
        <f t="shared" si="82"/>
        <v>230.23733333333334</v>
      </c>
      <c r="BS210" s="26">
        <f t="shared" si="90"/>
        <v>225.76381482865409</v>
      </c>
      <c r="BT210" s="26">
        <f t="shared" si="91"/>
        <v>218.47309759057174</v>
      </c>
    </row>
    <row r="211" spans="1:72" x14ac:dyDescent="0.2">
      <c r="A211" s="62"/>
      <c r="B211" s="24">
        <v>44405</v>
      </c>
      <c r="C211" s="25">
        <v>199.26</v>
      </c>
      <c r="D211" s="26">
        <f t="shared" si="92"/>
        <v>213.84333333333333</v>
      </c>
      <c r="E211" s="26">
        <f t="shared" si="94"/>
        <v>228.45599999999999</v>
      </c>
      <c r="F211" s="26">
        <f t="shared" si="95"/>
        <v>231.18428571428572</v>
      </c>
      <c r="G211" s="26">
        <f t="shared" si="97"/>
        <v>230.42538461538459</v>
      </c>
      <c r="H211" s="26">
        <f t="shared" si="79"/>
        <v>233.81878787878799</v>
      </c>
      <c r="I211" s="26">
        <f t="shared" si="81"/>
        <v>218.16800000000001</v>
      </c>
      <c r="J211" s="26">
        <f t="shared" si="88"/>
        <v>215.16228889719247</v>
      </c>
      <c r="K211" s="26">
        <f t="shared" si="89"/>
        <v>206.94523903622868</v>
      </c>
      <c r="L211" s="26">
        <f t="shared" si="84"/>
        <v>219.32503319324002</v>
      </c>
      <c r="V211" s="26">
        <f t="shared" si="98"/>
        <v>226.86340355810424</v>
      </c>
      <c r="W211" s="26">
        <f t="shared" si="78"/>
        <v>229.46574463428917</v>
      </c>
      <c r="X211" s="26">
        <f t="shared" si="77"/>
        <v>-2.6023410761849277</v>
      </c>
      <c r="Y211" s="26">
        <f t="shared" si="80"/>
        <v>-0.80363675051470995</v>
      </c>
      <c r="Z211" s="26">
        <v>13313.44</v>
      </c>
      <c r="AA211" s="26">
        <f t="shared" si="85"/>
        <v>218.07540964152537</v>
      </c>
      <c r="AB211" s="27">
        <f t="shared" si="86"/>
        <v>9.4426425983766826E-2</v>
      </c>
      <c r="BK211" s="24">
        <v>44405</v>
      </c>
      <c r="BL211" s="25">
        <v>199.26</v>
      </c>
      <c r="BM211" s="26">
        <f t="shared" si="83"/>
        <v>213.84333333333333</v>
      </c>
      <c r="BN211" s="26">
        <f t="shared" si="87"/>
        <v>228.45599999999999</v>
      </c>
      <c r="BO211" s="26">
        <f t="shared" si="93"/>
        <v>231.18428571428572</v>
      </c>
      <c r="BP211" s="26">
        <f t="shared" si="96"/>
        <v>230.42538461538459</v>
      </c>
      <c r="BQ211" s="26">
        <f t="shared" si="76"/>
        <v>233.81878787878799</v>
      </c>
      <c r="BR211" s="26">
        <f t="shared" si="82"/>
        <v>218.16800000000001</v>
      </c>
      <c r="BS211" s="26">
        <f t="shared" si="90"/>
        <v>215.16228889719247</v>
      </c>
      <c r="BT211" s="26">
        <f t="shared" si="91"/>
        <v>206.94523903622868</v>
      </c>
    </row>
    <row r="212" spans="1:72" x14ac:dyDescent="0.2">
      <c r="A212" s="62"/>
      <c r="B212" s="24">
        <v>44406</v>
      </c>
      <c r="C212" s="25">
        <v>245.8</v>
      </c>
      <c r="D212" s="26">
        <f t="shared" si="92"/>
        <v>215.9433333333333</v>
      </c>
      <c r="E212" s="26">
        <f t="shared" si="94"/>
        <v>226.64400000000001</v>
      </c>
      <c r="F212" s="26">
        <f t="shared" si="95"/>
        <v>231.77142857142854</v>
      </c>
      <c r="G212" s="26">
        <f t="shared" si="97"/>
        <v>229.85769230769228</v>
      </c>
      <c r="H212" s="26">
        <f t="shared" si="79"/>
        <v>234.39000000000007</v>
      </c>
      <c r="I212" s="26">
        <f t="shared" si="81"/>
        <v>223.94933333333333</v>
      </c>
      <c r="J212" s="26">
        <f t="shared" si="88"/>
        <v>227.41737333831549</v>
      </c>
      <c r="K212" s="26">
        <f t="shared" si="89"/>
        <v>230.25809561449148</v>
      </c>
      <c r="L212" s="26">
        <f t="shared" si="84"/>
        <v>219.31019453123994</v>
      </c>
      <c r="V212" s="26">
        <f t="shared" si="98"/>
        <v>229.77672608762668</v>
      </c>
      <c r="W212" s="26">
        <f t="shared" si="78"/>
        <v>228.26611440565208</v>
      </c>
      <c r="X212" s="26">
        <f t="shared" si="77"/>
        <v>1.5106116819746092</v>
      </c>
      <c r="Y212" s="26">
        <f t="shared" si="80"/>
        <v>-0.34078706401684616</v>
      </c>
      <c r="Z212" s="26">
        <v>14532.55</v>
      </c>
      <c r="AA212" s="26">
        <f t="shared" si="85"/>
        <v>218.61214642506718</v>
      </c>
      <c r="AB212" s="27">
        <f t="shared" si="86"/>
        <v>-0.11060965652942567</v>
      </c>
      <c r="BK212" s="24">
        <v>44406</v>
      </c>
      <c r="BL212" s="25">
        <v>245.8</v>
      </c>
      <c r="BM212" s="26">
        <f t="shared" si="83"/>
        <v>215.9433333333333</v>
      </c>
      <c r="BN212" s="26">
        <f t="shared" si="87"/>
        <v>226.64400000000001</v>
      </c>
      <c r="BO212" s="26">
        <f t="shared" si="93"/>
        <v>231.77142857142854</v>
      </c>
      <c r="BP212" s="26">
        <f t="shared" si="96"/>
        <v>229.85769230769228</v>
      </c>
      <c r="BQ212" s="26">
        <f t="shared" si="76"/>
        <v>234.39000000000007</v>
      </c>
      <c r="BR212" s="26">
        <f t="shared" si="82"/>
        <v>223.94933333333333</v>
      </c>
      <c r="BS212" s="26">
        <f t="shared" si="90"/>
        <v>227.41737333831549</v>
      </c>
      <c r="BT212" s="26">
        <f t="shared" si="91"/>
        <v>230.25809561449148</v>
      </c>
    </row>
    <row r="213" spans="1:72" x14ac:dyDescent="0.2">
      <c r="A213" s="62"/>
      <c r="B213" s="24">
        <v>44407</v>
      </c>
      <c r="C213" s="25">
        <v>233.73</v>
      </c>
      <c r="D213" s="26">
        <f t="shared" si="92"/>
        <v>226.26333333333332</v>
      </c>
      <c r="E213" s="26">
        <f t="shared" si="94"/>
        <v>224.21199999999999</v>
      </c>
      <c r="F213" s="26">
        <f t="shared" si="95"/>
        <v>231.68714285714285</v>
      </c>
      <c r="G213" s="26">
        <f t="shared" si="97"/>
        <v>229.39000000000001</v>
      </c>
      <c r="H213" s="26">
        <f t="shared" si="79"/>
        <v>233.8366666666667</v>
      </c>
      <c r="I213" s="26">
        <f t="shared" si="81"/>
        <v>226.31133333333335</v>
      </c>
      <c r="J213" s="26">
        <f t="shared" si="88"/>
        <v>229.9424240029893</v>
      </c>
      <c r="K213" s="26">
        <f t="shared" si="89"/>
        <v>232.3412382457966</v>
      </c>
      <c r="L213" s="26">
        <f t="shared" si="84"/>
        <v>219.29535586923984</v>
      </c>
      <c r="V213" s="26">
        <f t="shared" si="98"/>
        <v>230.38492207414566</v>
      </c>
      <c r="W213" s="26">
        <f t="shared" si="78"/>
        <v>230.06956119224694</v>
      </c>
      <c r="X213" s="26">
        <f t="shared" si="77"/>
        <v>0.31536088189872657</v>
      </c>
      <c r="Y213" s="26">
        <f t="shared" si="80"/>
        <v>-0.20955747483373161</v>
      </c>
      <c r="Z213" s="26">
        <v>12964.86</v>
      </c>
      <c r="AA213" s="26">
        <f t="shared" si="85"/>
        <v>217.9219405468522</v>
      </c>
      <c r="AB213" s="27">
        <f t="shared" si="86"/>
        <v>-6.7633848685011738E-2</v>
      </c>
      <c r="BK213" s="24">
        <v>44407</v>
      </c>
      <c r="BL213" s="25">
        <v>233.73</v>
      </c>
      <c r="BM213" s="26">
        <f t="shared" si="83"/>
        <v>226.26333333333332</v>
      </c>
      <c r="BN213" s="26">
        <f t="shared" si="87"/>
        <v>224.21199999999999</v>
      </c>
      <c r="BO213" s="26">
        <f t="shared" si="93"/>
        <v>231.68714285714285</v>
      </c>
      <c r="BP213" s="26">
        <f t="shared" si="96"/>
        <v>229.39000000000001</v>
      </c>
      <c r="BQ213" s="26">
        <f t="shared" si="76"/>
        <v>233.8366666666667</v>
      </c>
      <c r="BR213" s="26">
        <f t="shared" si="82"/>
        <v>226.31133333333335</v>
      </c>
      <c r="BS213" s="26">
        <f t="shared" si="90"/>
        <v>229.9424240029893</v>
      </c>
      <c r="BT213" s="26">
        <f t="shared" si="91"/>
        <v>232.3412382457966</v>
      </c>
    </row>
    <row r="214" spans="1:72" x14ac:dyDescent="0.2">
      <c r="A214" s="63"/>
      <c r="B214" s="24">
        <v>44408</v>
      </c>
      <c r="C214" s="25">
        <v>252.88</v>
      </c>
      <c r="D214" s="26">
        <f t="shared" si="92"/>
        <v>244.13666666666666</v>
      </c>
      <c r="E214" s="26">
        <f t="shared" si="94"/>
        <v>226.88800000000001</v>
      </c>
      <c r="F214" s="26">
        <f t="shared" si="95"/>
        <v>231.40428571428569</v>
      </c>
      <c r="G214" s="26">
        <f t="shared" si="97"/>
        <v>230.25230769230771</v>
      </c>
      <c r="H214" s="26">
        <f t="shared" si="79"/>
        <v>234.03060606060609</v>
      </c>
      <c r="I214" s="26">
        <f t="shared" si="81"/>
        <v>235.86733333333333</v>
      </c>
      <c r="J214" s="26">
        <f t="shared" si="88"/>
        <v>239.11745440179357</v>
      </c>
      <c r="K214" s="26">
        <f t="shared" si="89"/>
        <v>244.66449529831863</v>
      </c>
      <c r="L214" s="26">
        <f t="shared" si="84"/>
        <v>219.28051720723977</v>
      </c>
      <c r="V214" s="26">
        <f t="shared" si="98"/>
        <v>233.84570329350788</v>
      </c>
      <c r="W214" s="26">
        <f t="shared" si="78"/>
        <v>232.05122414272745</v>
      </c>
      <c r="X214" s="26">
        <f t="shared" si="77"/>
        <v>1.7944791507804325</v>
      </c>
      <c r="Y214" s="26">
        <f t="shared" si="80"/>
        <v>0.19124985028910121</v>
      </c>
      <c r="Z214" s="26">
        <v>12720.58</v>
      </c>
      <c r="AA214" s="26">
        <f t="shared" si="85"/>
        <v>217.81439154677545</v>
      </c>
      <c r="AB214" s="27">
        <f t="shared" si="86"/>
        <v>-0.13866501286469687</v>
      </c>
      <c r="BK214" s="24">
        <v>44408</v>
      </c>
      <c r="BL214" s="25">
        <v>252.88</v>
      </c>
      <c r="BM214" s="26">
        <f t="shared" si="83"/>
        <v>244.13666666666666</v>
      </c>
      <c r="BN214" s="26">
        <f t="shared" si="87"/>
        <v>226.88800000000001</v>
      </c>
      <c r="BO214" s="26">
        <f t="shared" si="93"/>
        <v>231.40428571428569</v>
      </c>
      <c r="BP214" s="26">
        <f t="shared" si="96"/>
        <v>230.25230769230771</v>
      </c>
      <c r="BQ214" s="26">
        <f t="shared" ref="BQ214:BQ277" si="99">AVERAGE(BL182:BL214)</f>
        <v>234.03060606060609</v>
      </c>
      <c r="BR214" s="26">
        <f t="shared" si="82"/>
        <v>235.86733333333333</v>
      </c>
      <c r="BS214" s="26">
        <f t="shared" si="90"/>
        <v>239.11745440179357</v>
      </c>
      <c r="BT214" s="26">
        <f t="shared" si="91"/>
        <v>244.66449529831863</v>
      </c>
    </row>
    <row r="215" spans="1:72" x14ac:dyDescent="0.2">
      <c r="A215" s="61">
        <v>44409</v>
      </c>
      <c r="B215" s="24">
        <v>44409</v>
      </c>
      <c r="C215" s="25">
        <v>255.3</v>
      </c>
      <c r="D215" s="26">
        <f t="shared" si="92"/>
        <v>247.30333333333337</v>
      </c>
      <c r="E215" s="26">
        <f t="shared" si="94"/>
        <v>237.39400000000001</v>
      </c>
      <c r="F215" s="26">
        <f t="shared" si="95"/>
        <v>232.74857142857144</v>
      </c>
      <c r="G215" s="26">
        <f t="shared" si="97"/>
        <v>231.56230769230768</v>
      </c>
      <c r="H215" s="26">
        <f t="shared" si="79"/>
        <v>234.68515151515155</v>
      </c>
      <c r="I215" s="26">
        <f t="shared" si="81"/>
        <v>245.33799999999999</v>
      </c>
      <c r="J215" s="26">
        <f t="shared" si="88"/>
        <v>245.59047264107613</v>
      </c>
      <c r="K215" s="26">
        <f t="shared" si="89"/>
        <v>251.04579811932746</v>
      </c>
      <c r="L215" s="26">
        <f t="shared" si="84"/>
        <v>219.26567854523967</v>
      </c>
      <c r="V215" s="26">
        <f t="shared" si="98"/>
        <v>237.1463643252759</v>
      </c>
      <c r="W215" s="26">
        <f t="shared" si="78"/>
        <v>235.43491045695174</v>
      </c>
      <c r="X215" s="26">
        <f t="shared" si="77"/>
        <v>1.7114538683241562</v>
      </c>
      <c r="Y215" s="26">
        <f t="shared" si="80"/>
        <v>0.49529065389611227</v>
      </c>
      <c r="Z215" s="26">
        <v>11176.41</v>
      </c>
      <c r="AA215" s="26">
        <f t="shared" si="85"/>
        <v>217.13454080398625</v>
      </c>
      <c r="AB215" s="27">
        <f t="shared" si="86"/>
        <v>-0.14949259379558855</v>
      </c>
      <c r="BK215" s="24">
        <v>44409</v>
      </c>
      <c r="BL215" s="25">
        <v>255.3</v>
      </c>
      <c r="BM215" s="26">
        <f t="shared" si="83"/>
        <v>247.30333333333337</v>
      </c>
      <c r="BN215" s="26">
        <f t="shared" si="87"/>
        <v>237.39400000000001</v>
      </c>
      <c r="BO215" s="26">
        <f t="shared" si="93"/>
        <v>232.74857142857144</v>
      </c>
      <c r="BP215" s="26">
        <f t="shared" si="96"/>
        <v>231.56230769230768</v>
      </c>
      <c r="BQ215" s="26">
        <f t="shared" si="99"/>
        <v>234.68515151515155</v>
      </c>
      <c r="BR215" s="26">
        <f t="shared" si="82"/>
        <v>245.33799999999999</v>
      </c>
      <c r="BS215" s="26">
        <f t="shared" si="90"/>
        <v>245.59047264107613</v>
      </c>
      <c r="BT215" s="26">
        <f t="shared" si="91"/>
        <v>251.04579811932746</v>
      </c>
    </row>
    <row r="216" spans="1:72" x14ac:dyDescent="0.2">
      <c r="A216" s="62"/>
      <c r="B216" s="24">
        <v>44410</v>
      </c>
      <c r="C216" s="25">
        <v>247.41</v>
      </c>
      <c r="D216" s="26">
        <f t="shared" si="92"/>
        <v>251.86333333333334</v>
      </c>
      <c r="E216" s="26">
        <f t="shared" si="94"/>
        <v>247.02400000000003</v>
      </c>
      <c r="F216" s="26">
        <f t="shared" si="95"/>
        <v>233.87857142857143</v>
      </c>
      <c r="G216" s="26">
        <f t="shared" si="97"/>
        <v>235.16384615384615</v>
      </c>
      <c r="H216" s="26">
        <f t="shared" si="79"/>
        <v>236.05030303030301</v>
      </c>
      <c r="I216" s="26">
        <f t="shared" si="81"/>
        <v>248.67666666666668</v>
      </c>
      <c r="J216" s="26">
        <f t="shared" si="88"/>
        <v>246.31828358464568</v>
      </c>
      <c r="K216" s="26">
        <f t="shared" si="89"/>
        <v>248.86431924773098</v>
      </c>
      <c r="L216" s="26">
        <f t="shared" si="84"/>
        <v>219.25083988323956</v>
      </c>
      <c r="V216" s="26">
        <f t="shared" si="98"/>
        <v>238.72538519831036</v>
      </c>
      <c r="W216" s="26">
        <f t="shared" si="78"/>
        <v>237.90663363451472</v>
      </c>
      <c r="X216" s="26">
        <f t="shared" si="77"/>
        <v>0.81875156379564373</v>
      </c>
      <c r="Y216" s="26">
        <f t="shared" si="80"/>
        <v>0.5599828358760186</v>
      </c>
      <c r="Z216" s="26">
        <v>15100.17</v>
      </c>
      <c r="AA216" s="26">
        <f t="shared" si="85"/>
        <v>218.86205212108641</v>
      </c>
      <c r="AB216" s="27">
        <f t="shared" si="86"/>
        <v>-0.115387202938093</v>
      </c>
      <c r="BK216" s="24">
        <v>44410</v>
      </c>
      <c r="BL216" s="25">
        <v>247.41</v>
      </c>
      <c r="BM216" s="26">
        <f t="shared" si="83"/>
        <v>251.86333333333334</v>
      </c>
      <c r="BN216" s="26">
        <f t="shared" si="87"/>
        <v>247.02400000000003</v>
      </c>
      <c r="BO216" s="26">
        <f t="shared" si="93"/>
        <v>233.87857142857143</v>
      </c>
      <c r="BP216" s="26">
        <f t="shared" si="96"/>
        <v>235.16384615384615</v>
      </c>
      <c r="BQ216" s="26">
        <f t="shared" si="99"/>
        <v>236.05030303030301</v>
      </c>
      <c r="BR216" s="26">
        <f t="shared" si="82"/>
        <v>248.67666666666668</v>
      </c>
      <c r="BS216" s="26">
        <f t="shared" si="90"/>
        <v>246.31828358464568</v>
      </c>
      <c r="BT216" s="26">
        <f t="shared" si="91"/>
        <v>248.86431924773098</v>
      </c>
    </row>
    <row r="217" spans="1:72" x14ac:dyDescent="0.2">
      <c r="A217" s="62"/>
      <c r="B217" s="24">
        <v>44411</v>
      </c>
      <c r="C217" s="25">
        <v>205.79</v>
      </c>
      <c r="D217" s="26">
        <f t="shared" si="92"/>
        <v>236.16666666666666</v>
      </c>
      <c r="E217" s="26">
        <f t="shared" si="94"/>
        <v>239.02200000000002</v>
      </c>
      <c r="F217" s="26">
        <f t="shared" si="95"/>
        <v>234.31</v>
      </c>
      <c r="G217" s="26">
        <f t="shared" si="97"/>
        <v>235.32307692307691</v>
      </c>
      <c r="H217" s="26">
        <f t="shared" si="79"/>
        <v>235.89303030303032</v>
      </c>
      <c r="I217" s="26">
        <f t="shared" si="81"/>
        <v>234.93199999999999</v>
      </c>
      <c r="J217" s="26">
        <f t="shared" si="88"/>
        <v>230.10697015078742</v>
      </c>
      <c r="K217" s="26">
        <f t="shared" si="89"/>
        <v>223.01972769909239</v>
      </c>
      <c r="L217" s="26">
        <f t="shared" si="84"/>
        <v>219.23600122123946</v>
      </c>
      <c r="V217" s="26">
        <f t="shared" si="98"/>
        <v>233.65840286010877</v>
      </c>
      <c r="W217" s="26">
        <f t="shared" si="78"/>
        <v>236.28572703547258</v>
      </c>
      <c r="X217" s="26">
        <f t="shared" si="77"/>
        <v>-2.6273241753638104</v>
      </c>
      <c r="Y217" s="26">
        <f t="shared" si="80"/>
        <v>-7.7478566371947166E-2</v>
      </c>
      <c r="Z217" s="26">
        <v>14204.17</v>
      </c>
      <c r="AA217" s="26">
        <f t="shared" si="85"/>
        <v>218.46757077153347</v>
      </c>
      <c r="AB217" s="27">
        <f t="shared" si="86"/>
        <v>6.1604406295415144E-2</v>
      </c>
      <c r="BK217" s="24">
        <v>44411</v>
      </c>
      <c r="BL217" s="25">
        <v>205.79</v>
      </c>
      <c r="BM217" s="26">
        <f t="shared" si="83"/>
        <v>236.16666666666666</v>
      </c>
      <c r="BN217" s="26">
        <f t="shared" si="87"/>
        <v>239.02200000000002</v>
      </c>
      <c r="BO217" s="26">
        <f t="shared" si="93"/>
        <v>234.31</v>
      </c>
      <c r="BP217" s="26">
        <f t="shared" si="96"/>
        <v>235.32307692307691</v>
      </c>
      <c r="BQ217" s="26">
        <f t="shared" si="99"/>
        <v>235.89303030303032</v>
      </c>
      <c r="BR217" s="26">
        <f t="shared" si="82"/>
        <v>234.93199999999999</v>
      </c>
      <c r="BS217" s="26">
        <f t="shared" si="90"/>
        <v>230.10697015078742</v>
      </c>
      <c r="BT217" s="26">
        <f t="shared" si="91"/>
        <v>223.01972769909239</v>
      </c>
    </row>
    <row r="218" spans="1:72" x14ac:dyDescent="0.2">
      <c r="A218" s="62"/>
      <c r="B218" s="24">
        <v>44412</v>
      </c>
      <c r="C218" s="25">
        <v>207.22</v>
      </c>
      <c r="D218" s="26">
        <f t="shared" si="92"/>
        <v>220.14</v>
      </c>
      <c r="E218" s="26">
        <f t="shared" si="94"/>
        <v>233.71999999999997</v>
      </c>
      <c r="F218" s="26">
        <f t="shared" si="95"/>
        <v>235.44714285714286</v>
      </c>
      <c r="G218" s="26">
        <f t="shared" si="97"/>
        <v>232.67153846153843</v>
      </c>
      <c r="H218" s="26">
        <f t="shared" si="79"/>
        <v>235.31575757575757</v>
      </c>
      <c r="I218" s="26">
        <f t="shared" si="81"/>
        <v>224.33133333333333</v>
      </c>
      <c r="J218" s="26">
        <f t="shared" si="88"/>
        <v>220.95218209047246</v>
      </c>
      <c r="K218" s="26">
        <f t="shared" si="89"/>
        <v>213.53989107963696</v>
      </c>
      <c r="L218" s="26">
        <f t="shared" si="84"/>
        <v>219.22116255923939</v>
      </c>
      <c r="V218" s="26">
        <f t="shared" si="98"/>
        <v>229.59095626624588</v>
      </c>
      <c r="W218" s="26">
        <f t="shared" si="78"/>
        <v>231.70000264824884</v>
      </c>
      <c r="X218" s="26">
        <f t="shared" si="77"/>
        <v>-2.1090463820029584</v>
      </c>
      <c r="Y218" s="26">
        <f t="shared" si="80"/>
        <v>-0.48379212949814943</v>
      </c>
      <c r="Z218" s="26">
        <v>12317.69</v>
      </c>
      <c r="AA218" s="26">
        <f t="shared" si="85"/>
        <v>217.63701142297927</v>
      </c>
      <c r="AB218" s="27">
        <f t="shared" si="86"/>
        <v>5.0270299309812139E-2</v>
      </c>
      <c r="BK218" s="24">
        <v>44412</v>
      </c>
      <c r="BL218" s="25">
        <v>207.22</v>
      </c>
      <c r="BM218" s="26">
        <f t="shared" si="83"/>
        <v>220.14</v>
      </c>
      <c r="BN218" s="26">
        <f t="shared" si="87"/>
        <v>233.71999999999997</v>
      </c>
      <c r="BO218" s="26">
        <f t="shared" si="93"/>
        <v>235.44714285714286</v>
      </c>
      <c r="BP218" s="26">
        <f t="shared" si="96"/>
        <v>232.67153846153843</v>
      </c>
      <c r="BQ218" s="26">
        <f t="shared" si="99"/>
        <v>235.31575757575757</v>
      </c>
      <c r="BR218" s="26">
        <f t="shared" si="82"/>
        <v>224.33133333333333</v>
      </c>
      <c r="BS218" s="26">
        <f t="shared" si="90"/>
        <v>220.95218209047246</v>
      </c>
      <c r="BT218" s="26">
        <f t="shared" si="91"/>
        <v>213.53989107963696</v>
      </c>
    </row>
    <row r="219" spans="1:72" x14ac:dyDescent="0.2">
      <c r="A219" s="62"/>
      <c r="B219" s="24">
        <v>44413</v>
      </c>
      <c r="C219" s="25">
        <v>231.37</v>
      </c>
      <c r="D219" s="26">
        <f t="shared" si="92"/>
        <v>214.79333333333332</v>
      </c>
      <c r="E219" s="26">
        <f t="shared" si="94"/>
        <v>229.41800000000003</v>
      </c>
      <c r="F219" s="26">
        <f t="shared" si="95"/>
        <v>233.38571428571433</v>
      </c>
      <c r="G219" s="26">
        <f t="shared" si="97"/>
        <v>232.44461538461536</v>
      </c>
      <c r="H219" s="26">
        <f t="shared" si="79"/>
        <v>234.99636363636364</v>
      </c>
      <c r="I219" s="26">
        <f t="shared" si="81"/>
        <v>223.54800000000003</v>
      </c>
      <c r="J219" s="26">
        <f t="shared" si="88"/>
        <v>225.11930925428348</v>
      </c>
      <c r="K219" s="26">
        <f t="shared" si="89"/>
        <v>224.2379564318548</v>
      </c>
      <c r="L219" s="26">
        <f t="shared" si="84"/>
        <v>219.20632389723929</v>
      </c>
      <c r="V219" s="26">
        <f t="shared" si="98"/>
        <v>229.86465530220806</v>
      </c>
      <c r="W219" s="26">
        <f t="shared" si="78"/>
        <v>229.722737283561</v>
      </c>
      <c r="X219" s="26">
        <f t="shared" si="77"/>
        <v>0.14191801864706122</v>
      </c>
      <c r="Y219" s="26">
        <f t="shared" si="80"/>
        <v>-0.35865009986910734</v>
      </c>
      <c r="Z219" s="26">
        <v>11322.24</v>
      </c>
      <c r="AA219" s="26">
        <f t="shared" si="85"/>
        <v>217.19874528524215</v>
      </c>
      <c r="AB219" s="27">
        <f t="shared" si="86"/>
        <v>-6.1249318039321647E-2</v>
      </c>
      <c r="BK219" s="24">
        <v>44413</v>
      </c>
      <c r="BL219" s="25">
        <v>231.37</v>
      </c>
      <c r="BM219" s="26">
        <f t="shared" si="83"/>
        <v>214.79333333333332</v>
      </c>
      <c r="BN219" s="26">
        <f t="shared" si="87"/>
        <v>229.41800000000003</v>
      </c>
      <c r="BO219" s="26">
        <f t="shared" si="93"/>
        <v>233.38571428571433</v>
      </c>
      <c r="BP219" s="26">
        <f t="shared" si="96"/>
        <v>232.44461538461536</v>
      </c>
      <c r="BQ219" s="26">
        <f t="shared" si="99"/>
        <v>234.99636363636364</v>
      </c>
      <c r="BR219" s="26">
        <f t="shared" si="82"/>
        <v>223.54800000000003</v>
      </c>
      <c r="BS219" s="26">
        <f t="shared" si="90"/>
        <v>225.11930925428348</v>
      </c>
      <c r="BT219" s="26">
        <f t="shared" si="91"/>
        <v>224.2379564318548</v>
      </c>
    </row>
    <row r="220" spans="1:72" x14ac:dyDescent="0.2">
      <c r="A220" s="62"/>
      <c r="B220" s="24">
        <v>44414</v>
      </c>
      <c r="C220" s="25">
        <v>237.71</v>
      </c>
      <c r="D220" s="26">
        <f t="shared" si="92"/>
        <v>225.43333333333337</v>
      </c>
      <c r="E220" s="26">
        <f t="shared" si="94"/>
        <v>225.9</v>
      </c>
      <c r="F220" s="26">
        <f t="shared" si="95"/>
        <v>233.9542857142857</v>
      </c>
      <c r="G220" s="26">
        <f t="shared" si="97"/>
        <v>231.12538461538458</v>
      </c>
      <c r="H220" s="26">
        <f t="shared" si="79"/>
        <v>234.58515151515149</v>
      </c>
      <c r="I220" s="26">
        <f t="shared" si="81"/>
        <v>226.31199999999995</v>
      </c>
      <c r="J220" s="26">
        <f t="shared" si="88"/>
        <v>230.15558555257007</v>
      </c>
      <c r="K220" s="26">
        <f t="shared" si="89"/>
        <v>232.32118257274192</v>
      </c>
      <c r="L220" s="26">
        <f t="shared" si="84"/>
        <v>219.19148523523921</v>
      </c>
      <c r="V220" s="26">
        <f t="shared" si="98"/>
        <v>231.07163140956067</v>
      </c>
      <c r="W220" s="26">
        <f t="shared" si="78"/>
        <v>230.44579194648895</v>
      </c>
      <c r="X220" s="26">
        <f t="shared" si="77"/>
        <v>0.62583946307171345</v>
      </c>
      <c r="Y220" s="26">
        <f t="shared" si="80"/>
        <v>-0.1617521872809432</v>
      </c>
      <c r="Z220" s="26">
        <v>12657.55</v>
      </c>
      <c r="AA220" s="26">
        <f t="shared" si="85"/>
        <v>217.78664136880411</v>
      </c>
      <c r="AB220" s="27">
        <f t="shared" si="86"/>
        <v>-8.3813716844877775E-2</v>
      </c>
      <c r="BK220" s="24">
        <v>44414</v>
      </c>
      <c r="BL220" s="25">
        <v>237.71</v>
      </c>
      <c r="BM220" s="26">
        <f t="shared" si="83"/>
        <v>225.43333333333337</v>
      </c>
      <c r="BN220" s="26">
        <f t="shared" si="87"/>
        <v>225.9</v>
      </c>
      <c r="BO220" s="26">
        <f t="shared" si="93"/>
        <v>233.9542857142857</v>
      </c>
      <c r="BP220" s="26">
        <f t="shared" si="96"/>
        <v>231.12538461538458</v>
      </c>
      <c r="BQ220" s="26">
        <f t="shared" si="99"/>
        <v>234.58515151515149</v>
      </c>
      <c r="BR220" s="26">
        <f t="shared" si="82"/>
        <v>226.31199999999995</v>
      </c>
      <c r="BS220" s="26">
        <f t="shared" si="90"/>
        <v>230.15558555257007</v>
      </c>
      <c r="BT220" s="26">
        <f t="shared" si="91"/>
        <v>232.32118257274192</v>
      </c>
    </row>
    <row r="221" spans="1:72" x14ac:dyDescent="0.2">
      <c r="A221" s="62"/>
      <c r="B221" s="24">
        <v>44415</v>
      </c>
      <c r="C221" s="25">
        <v>253.96</v>
      </c>
      <c r="D221" s="26">
        <f t="shared" si="92"/>
        <v>241.01333333333335</v>
      </c>
      <c r="E221" s="26">
        <f t="shared" si="94"/>
        <v>227.20999999999998</v>
      </c>
      <c r="F221" s="26">
        <f t="shared" si="95"/>
        <v>234.10857142857145</v>
      </c>
      <c r="G221" s="26">
        <f t="shared" si="97"/>
        <v>231.74615384615385</v>
      </c>
      <c r="H221" s="26">
        <f t="shared" si="79"/>
        <v>234.85333333333332</v>
      </c>
      <c r="I221" s="26">
        <f t="shared" si="81"/>
        <v>235.66533333333334</v>
      </c>
      <c r="J221" s="26">
        <f t="shared" si="88"/>
        <v>239.67735133154204</v>
      </c>
      <c r="K221" s="26">
        <f t="shared" si="89"/>
        <v>245.30447302909678</v>
      </c>
      <c r="L221" s="26">
        <f t="shared" si="84"/>
        <v>219.17664657323911</v>
      </c>
      <c r="V221" s="26">
        <f t="shared" si="98"/>
        <v>234.59291888501286</v>
      </c>
      <c r="W221" s="26">
        <f t="shared" si="78"/>
        <v>232.76706611996357</v>
      </c>
      <c r="X221" s="26">
        <f t="shared" si="77"/>
        <v>1.8258527650492908</v>
      </c>
      <c r="Y221" s="26">
        <f t="shared" si="80"/>
        <v>0.2357688031851036</v>
      </c>
      <c r="Z221" s="26">
        <v>11148.64</v>
      </c>
      <c r="AA221" s="26">
        <f t="shared" si="85"/>
        <v>217.12231452376628</v>
      </c>
      <c r="AB221" s="27">
        <f t="shared" si="86"/>
        <v>-0.14505310078844594</v>
      </c>
      <c r="BK221" s="24">
        <v>44415</v>
      </c>
      <c r="BL221" s="25">
        <v>253.96</v>
      </c>
      <c r="BM221" s="26">
        <f t="shared" si="83"/>
        <v>241.01333333333335</v>
      </c>
      <c r="BN221" s="26">
        <f t="shared" si="87"/>
        <v>227.20999999999998</v>
      </c>
      <c r="BO221" s="26">
        <f t="shared" si="93"/>
        <v>234.10857142857145</v>
      </c>
      <c r="BP221" s="26">
        <f t="shared" si="96"/>
        <v>231.74615384615385</v>
      </c>
      <c r="BQ221" s="26">
        <f t="shared" si="99"/>
        <v>234.85333333333332</v>
      </c>
      <c r="BR221" s="26">
        <f t="shared" si="82"/>
        <v>235.66533333333334</v>
      </c>
      <c r="BS221" s="26">
        <f t="shared" si="90"/>
        <v>239.67735133154204</v>
      </c>
      <c r="BT221" s="26">
        <f t="shared" si="91"/>
        <v>245.30447302909678</v>
      </c>
    </row>
    <row r="222" spans="1:72" x14ac:dyDescent="0.2">
      <c r="A222" s="62"/>
      <c r="B222" s="24">
        <v>44416</v>
      </c>
      <c r="C222" s="25">
        <v>247.26</v>
      </c>
      <c r="D222" s="26">
        <f t="shared" si="92"/>
        <v>246.31000000000003</v>
      </c>
      <c r="E222" s="26">
        <f t="shared" si="94"/>
        <v>235.50399999999999</v>
      </c>
      <c r="F222" s="26">
        <f t="shared" si="95"/>
        <v>232.96</v>
      </c>
      <c r="G222" s="26">
        <f t="shared" si="97"/>
        <v>232.34307692307692</v>
      </c>
      <c r="H222" s="26">
        <f t="shared" si="79"/>
        <v>235.26121212121214</v>
      </c>
      <c r="I222" s="26">
        <f t="shared" si="81"/>
        <v>242.34866666666667</v>
      </c>
      <c r="J222" s="26">
        <f t="shared" si="88"/>
        <v>242.71041079892521</v>
      </c>
      <c r="K222" s="26">
        <f t="shared" si="89"/>
        <v>246.47778921163871</v>
      </c>
      <c r="L222" s="26">
        <f t="shared" si="84"/>
        <v>219.16180791123901</v>
      </c>
      <c r="V222" s="26">
        <f t="shared" si="98"/>
        <v>236.54170059501087</v>
      </c>
      <c r="W222" s="26">
        <f t="shared" si="78"/>
        <v>235.53122118982674</v>
      </c>
      <c r="X222" s="26">
        <f t="shared" ref="X222:X285" si="100">V222-W222</f>
        <v>1.0104794051841282</v>
      </c>
      <c r="Y222" s="26">
        <f t="shared" si="80"/>
        <v>0.39071092358490855</v>
      </c>
      <c r="Z222" s="26">
        <v>15080.87</v>
      </c>
      <c r="AA222" s="26">
        <f t="shared" si="85"/>
        <v>218.85355492237392</v>
      </c>
      <c r="AB222" s="27">
        <f t="shared" si="86"/>
        <v>-0.11488491902299634</v>
      </c>
      <c r="BK222" s="24">
        <v>44416</v>
      </c>
      <c r="BL222" s="25">
        <v>247.26</v>
      </c>
      <c r="BM222" s="26">
        <f t="shared" si="83"/>
        <v>246.31000000000003</v>
      </c>
      <c r="BN222" s="26">
        <f t="shared" si="87"/>
        <v>235.50399999999999</v>
      </c>
      <c r="BO222" s="26">
        <f t="shared" si="93"/>
        <v>232.96</v>
      </c>
      <c r="BP222" s="26">
        <f t="shared" si="96"/>
        <v>232.34307692307692</v>
      </c>
      <c r="BQ222" s="26">
        <f t="shared" si="99"/>
        <v>235.26121212121214</v>
      </c>
      <c r="BR222" s="26">
        <f t="shared" si="82"/>
        <v>242.34866666666667</v>
      </c>
      <c r="BS222" s="26">
        <f t="shared" si="90"/>
        <v>242.71041079892521</v>
      </c>
      <c r="BT222" s="26">
        <f t="shared" si="91"/>
        <v>246.47778921163871</v>
      </c>
    </row>
    <row r="223" spans="1:72" x14ac:dyDescent="0.2">
      <c r="A223" s="62"/>
      <c r="B223" s="24">
        <v>44417</v>
      </c>
      <c r="C223" s="25">
        <v>236.31</v>
      </c>
      <c r="D223" s="26">
        <f t="shared" si="92"/>
        <v>245.84333333333333</v>
      </c>
      <c r="E223" s="26">
        <f t="shared" si="94"/>
        <v>241.32200000000003</v>
      </c>
      <c r="F223" s="26">
        <f t="shared" si="95"/>
        <v>231.37428571428569</v>
      </c>
      <c r="G223" s="26">
        <f t="shared" si="97"/>
        <v>234.92307692307696</v>
      </c>
      <c r="H223" s="26">
        <f t="shared" si="79"/>
        <v>235.47181818181824</v>
      </c>
      <c r="I223" s="26">
        <f t="shared" si="81"/>
        <v>242.61733333333333</v>
      </c>
      <c r="J223" s="26">
        <f t="shared" si="88"/>
        <v>240.15024647935513</v>
      </c>
      <c r="K223" s="26">
        <f t="shared" si="89"/>
        <v>240.37711568465551</v>
      </c>
      <c r="L223" s="26">
        <f t="shared" si="84"/>
        <v>219.14696924923891</v>
      </c>
      <c r="V223" s="26">
        <f t="shared" si="98"/>
        <v>236.50605434962458</v>
      </c>
      <c r="W223" s="26">
        <f t="shared" ref="W223:W286" si="101">C223*(2/(26+1))+V222*(1-(2/(26+1)))</f>
        <v>236.52453758797304</v>
      </c>
      <c r="X223" s="26">
        <f t="shared" si="100"/>
        <v>-1.8483238348466102E-2</v>
      </c>
      <c r="Y223" s="26">
        <f t="shared" si="80"/>
        <v>0.30887209119823361</v>
      </c>
      <c r="Z223" s="26">
        <v>13888.82</v>
      </c>
      <c r="AA223" s="26">
        <f t="shared" si="85"/>
        <v>218.32873182780412</v>
      </c>
      <c r="AB223" s="27">
        <f t="shared" si="86"/>
        <v>-7.60918631128428E-2</v>
      </c>
      <c r="BK223" s="24">
        <v>44417</v>
      </c>
      <c r="BL223" s="25">
        <v>236.31</v>
      </c>
      <c r="BM223" s="26">
        <f t="shared" si="83"/>
        <v>245.84333333333333</v>
      </c>
      <c r="BN223" s="26">
        <f t="shared" si="87"/>
        <v>241.32200000000003</v>
      </c>
      <c r="BO223" s="26">
        <f t="shared" si="93"/>
        <v>231.37428571428569</v>
      </c>
      <c r="BP223" s="26">
        <f t="shared" si="96"/>
        <v>234.92307692307696</v>
      </c>
      <c r="BQ223" s="26">
        <f t="shared" si="99"/>
        <v>235.47181818181824</v>
      </c>
      <c r="BR223" s="26">
        <f t="shared" si="82"/>
        <v>242.61733333333333</v>
      </c>
      <c r="BS223" s="26">
        <f t="shared" si="90"/>
        <v>240.15024647935513</v>
      </c>
      <c r="BT223" s="26">
        <f t="shared" si="91"/>
        <v>240.37711568465551</v>
      </c>
    </row>
    <row r="224" spans="1:72" x14ac:dyDescent="0.2">
      <c r="A224" s="62"/>
      <c r="B224" s="24">
        <v>44418</v>
      </c>
      <c r="C224" s="25">
        <v>202.1</v>
      </c>
      <c r="D224" s="26">
        <f t="shared" si="92"/>
        <v>228.55666666666664</v>
      </c>
      <c r="E224" s="26">
        <f t="shared" si="94"/>
        <v>235.46799999999999</v>
      </c>
      <c r="F224" s="26">
        <f t="shared" si="95"/>
        <v>230.84714285714284</v>
      </c>
      <c r="G224" s="26">
        <f t="shared" si="97"/>
        <v>235.14153846153846</v>
      </c>
      <c r="H224" s="26">
        <f t="shared" si="79"/>
        <v>234.51606060606065</v>
      </c>
      <c r="I224" s="26">
        <f t="shared" si="81"/>
        <v>229.54333333333335</v>
      </c>
      <c r="J224" s="26">
        <f t="shared" si="88"/>
        <v>224.93014788761309</v>
      </c>
      <c r="K224" s="26">
        <f t="shared" si="89"/>
        <v>217.41084627386221</v>
      </c>
      <c r="L224" s="26">
        <f t="shared" si="84"/>
        <v>219.13213058723883</v>
      </c>
      <c r="V224" s="26">
        <f t="shared" si="98"/>
        <v>231.21281521891311</v>
      </c>
      <c r="W224" s="26">
        <f t="shared" si="101"/>
        <v>233.95745773113387</v>
      </c>
      <c r="X224" s="26">
        <f t="shared" si="100"/>
        <v>-2.7446425122207643</v>
      </c>
      <c r="Y224" s="26">
        <f t="shared" si="80"/>
        <v>-0.30183082948556605</v>
      </c>
      <c r="Z224" s="26">
        <v>12144.66</v>
      </c>
      <c r="AA224" s="26">
        <f t="shared" si="85"/>
        <v>217.56083161504048</v>
      </c>
      <c r="AB224" s="27">
        <f t="shared" si="86"/>
        <v>7.6500898639487835E-2</v>
      </c>
      <c r="BK224" s="24">
        <v>44418</v>
      </c>
      <c r="BL224" s="25">
        <v>202.1</v>
      </c>
      <c r="BM224" s="26">
        <f t="shared" si="83"/>
        <v>228.55666666666664</v>
      </c>
      <c r="BN224" s="26">
        <f t="shared" si="87"/>
        <v>235.46799999999999</v>
      </c>
      <c r="BO224" s="26">
        <f t="shared" si="93"/>
        <v>230.84714285714284</v>
      </c>
      <c r="BP224" s="26">
        <f t="shared" si="96"/>
        <v>235.14153846153846</v>
      </c>
      <c r="BQ224" s="26">
        <f t="shared" si="99"/>
        <v>234.51606060606065</v>
      </c>
      <c r="BR224" s="26">
        <f t="shared" si="82"/>
        <v>229.54333333333335</v>
      </c>
      <c r="BS224" s="26">
        <f t="shared" si="90"/>
        <v>224.93014788761309</v>
      </c>
      <c r="BT224" s="26">
        <f t="shared" si="91"/>
        <v>217.41084627386221</v>
      </c>
    </row>
    <row r="225" spans="1:72" x14ac:dyDescent="0.2">
      <c r="A225" s="62"/>
      <c r="B225" s="24">
        <v>44419</v>
      </c>
      <c r="C225" s="25">
        <v>206.08</v>
      </c>
      <c r="D225" s="26">
        <f t="shared" si="92"/>
        <v>214.83</v>
      </c>
      <c r="E225" s="26">
        <f t="shared" si="94"/>
        <v>229.142</v>
      </c>
      <c r="F225" s="26">
        <f t="shared" si="95"/>
        <v>230.68428571428572</v>
      </c>
      <c r="G225" s="26">
        <f t="shared" si="97"/>
        <v>232.08615384615385</v>
      </c>
      <c r="H225" s="26">
        <f t="shared" si="79"/>
        <v>233.1836363636364</v>
      </c>
      <c r="I225" s="26">
        <f t="shared" si="81"/>
        <v>219.74733333333336</v>
      </c>
      <c r="J225" s="26">
        <f t="shared" si="88"/>
        <v>217.39008873256788</v>
      </c>
      <c r="K225" s="26">
        <f t="shared" si="89"/>
        <v>210.61233850954488</v>
      </c>
      <c r="L225" s="26">
        <f t="shared" si="84"/>
        <v>219.11729192523873</v>
      </c>
      <c r="V225" s="26">
        <f t="shared" si="98"/>
        <v>227.34622826215724</v>
      </c>
      <c r="W225" s="26">
        <f t="shared" si="101"/>
        <v>229.35112520269732</v>
      </c>
      <c r="X225" s="26">
        <f t="shared" si="100"/>
        <v>-2.0048969405400783</v>
      </c>
      <c r="Y225" s="26">
        <f t="shared" si="80"/>
        <v>-0.64244405169646857</v>
      </c>
      <c r="Z225" s="26">
        <v>12061.37</v>
      </c>
      <c r="AA225" s="26">
        <f t="shared" si="85"/>
        <v>217.52416157976788</v>
      </c>
      <c r="AB225" s="27">
        <f t="shared" si="86"/>
        <v>5.5532616361451202E-2</v>
      </c>
      <c r="BK225" s="24">
        <v>44419</v>
      </c>
      <c r="BL225" s="25">
        <v>206.08</v>
      </c>
      <c r="BM225" s="26">
        <f t="shared" si="83"/>
        <v>214.83</v>
      </c>
      <c r="BN225" s="26">
        <f t="shared" si="87"/>
        <v>229.142</v>
      </c>
      <c r="BO225" s="26">
        <f t="shared" si="93"/>
        <v>230.68428571428572</v>
      </c>
      <c r="BP225" s="26">
        <f t="shared" si="96"/>
        <v>232.08615384615385</v>
      </c>
      <c r="BQ225" s="26">
        <f t="shared" si="99"/>
        <v>233.1836363636364</v>
      </c>
      <c r="BR225" s="26">
        <f t="shared" si="82"/>
        <v>219.74733333333336</v>
      </c>
      <c r="BS225" s="26">
        <f t="shared" si="90"/>
        <v>217.39008873256788</v>
      </c>
      <c r="BT225" s="26">
        <f t="shared" si="91"/>
        <v>210.61233850954488</v>
      </c>
    </row>
    <row r="226" spans="1:72" x14ac:dyDescent="0.2">
      <c r="A226" s="62"/>
      <c r="B226" s="24">
        <v>44420</v>
      </c>
      <c r="C226" s="25">
        <v>227.5</v>
      </c>
      <c r="D226" s="26">
        <f t="shared" si="92"/>
        <v>211.89333333333335</v>
      </c>
      <c r="E226" s="26">
        <f t="shared" si="94"/>
        <v>223.85</v>
      </c>
      <c r="F226" s="26">
        <f t="shared" si="95"/>
        <v>230.13142857142856</v>
      </c>
      <c r="G226" s="26">
        <f t="shared" si="97"/>
        <v>231.60692307692304</v>
      </c>
      <c r="H226" s="26">
        <f t="shared" si="79"/>
        <v>232.4084848484849</v>
      </c>
      <c r="I226" s="26">
        <f t="shared" si="81"/>
        <v>219.2</v>
      </c>
      <c r="J226" s="26">
        <f t="shared" si="88"/>
        <v>221.43405323954073</v>
      </c>
      <c r="K226" s="26">
        <f t="shared" si="89"/>
        <v>220.74493540381798</v>
      </c>
      <c r="L226" s="26">
        <f t="shared" si="84"/>
        <v>219.10245326323866</v>
      </c>
      <c r="V226" s="26">
        <f t="shared" si="98"/>
        <v>227.36988545259459</v>
      </c>
      <c r="W226" s="26">
        <f t="shared" si="101"/>
        <v>227.3576187612567</v>
      </c>
      <c r="X226" s="26">
        <f t="shared" si="100"/>
        <v>1.226669133788505E-2</v>
      </c>
      <c r="Y226" s="26">
        <f t="shared" si="80"/>
        <v>-0.51150190308959786</v>
      </c>
      <c r="Z226" s="26">
        <v>11361.85</v>
      </c>
      <c r="AA226" s="26">
        <f t="shared" si="85"/>
        <v>217.21618435472408</v>
      </c>
      <c r="AB226" s="27">
        <f t="shared" si="86"/>
        <v>-4.52035852539601E-2</v>
      </c>
      <c r="BK226" s="24">
        <v>44420</v>
      </c>
      <c r="BL226" s="25">
        <v>227.5</v>
      </c>
      <c r="BM226" s="26">
        <f t="shared" si="83"/>
        <v>211.89333333333335</v>
      </c>
      <c r="BN226" s="26">
        <f t="shared" si="87"/>
        <v>223.85</v>
      </c>
      <c r="BO226" s="26">
        <f t="shared" si="93"/>
        <v>230.13142857142856</v>
      </c>
      <c r="BP226" s="26">
        <f t="shared" si="96"/>
        <v>231.60692307692304</v>
      </c>
      <c r="BQ226" s="26">
        <f t="shared" si="99"/>
        <v>232.4084848484849</v>
      </c>
      <c r="BR226" s="26">
        <f t="shared" si="82"/>
        <v>219.2</v>
      </c>
      <c r="BS226" s="26">
        <f t="shared" si="90"/>
        <v>221.43405323954073</v>
      </c>
      <c r="BT226" s="26">
        <f t="shared" si="91"/>
        <v>220.74493540381798</v>
      </c>
    </row>
    <row r="227" spans="1:72" x14ac:dyDescent="0.2">
      <c r="A227" s="62"/>
      <c r="B227" s="24">
        <v>44421</v>
      </c>
      <c r="C227" s="25">
        <v>233.36</v>
      </c>
      <c r="D227" s="26">
        <f t="shared" si="92"/>
        <v>222.31333333333336</v>
      </c>
      <c r="E227" s="26">
        <f t="shared" si="94"/>
        <v>221.07</v>
      </c>
      <c r="F227" s="26">
        <f t="shared" si="95"/>
        <v>229.51000000000002</v>
      </c>
      <c r="G227" s="26">
        <f t="shared" si="97"/>
        <v>230.10538461538465</v>
      </c>
      <c r="H227" s="26">
        <f t="shared" si="79"/>
        <v>232.12545454545455</v>
      </c>
      <c r="I227" s="26">
        <f t="shared" si="81"/>
        <v>222.36999999999998</v>
      </c>
      <c r="J227" s="26">
        <f t="shared" si="88"/>
        <v>226.20443194372444</v>
      </c>
      <c r="K227" s="26">
        <f t="shared" si="89"/>
        <v>228.3139741615272</v>
      </c>
      <c r="L227" s="26">
        <f t="shared" si="84"/>
        <v>219.08761460123856</v>
      </c>
      <c r="V227" s="26">
        <f t="shared" si="98"/>
        <v>228.29144153681079</v>
      </c>
      <c r="W227" s="26">
        <f t="shared" si="101"/>
        <v>227.8135976412913</v>
      </c>
      <c r="X227" s="26">
        <f t="shared" si="100"/>
        <v>0.47784389551949857</v>
      </c>
      <c r="Y227" s="26">
        <f t="shared" si="80"/>
        <v>-0.31363274336777858</v>
      </c>
      <c r="Z227" s="26">
        <v>11544.91</v>
      </c>
      <c r="AA227" s="26">
        <f t="shared" si="85"/>
        <v>217.29678006437715</v>
      </c>
      <c r="AB227" s="27">
        <f t="shared" si="86"/>
        <v>-6.8834504352172046E-2</v>
      </c>
      <c r="BK227" s="24">
        <v>44421</v>
      </c>
      <c r="BL227" s="25">
        <v>233.36</v>
      </c>
      <c r="BM227" s="26">
        <f t="shared" si="83"/>
        <v>222.31333333333336</v>
      </c>
      <c r="BN227" s="26">
        <f t="shared" si="87"/>
        <v>221.07</v>
      </c>
      <c r="BO227" s="26">
        <f t="shared" si="93"/>
        <v>229.51000000000002</v>
      </c>
      <c r="BP227" s="26">
        <f t="shared" si="96"/>
        <v>230.10538461538465</v>
      </c>
      <c r="BQ227" s="26">
        <f t="shared" si="99"/>
        <v>232.12545454545455</v>
      </c>
      <c r="BR227" s="26">
        <f t="shared" si="82"/>
        <v>222.36999999999998</v>
      </c>
      <c r="BS227" s="26">
        <f t="shared" si="90"/>
        <v>226.20443194372444</v>
      </c>
      <c r="BT227" s="26">
        <f t="shared" si="91"/>
        <v>228.3139741615272</v>
      </c>
    </row>
    <row r="228" spans="1:72" x14ac:dyDescent="0.2">
      <c r="A228" s="62"/>
      <c r="B228" s="24">
        <v>44422</v>
      </c>
      <c r="C228" s="25">
        <v>254.39</v>
      </c>
      <c r="D228" s="26">
        <f t="shared" si="92"/>
        <v>238.41666666666666</v>
      </c>
      <c r="E228" s="26">
        <f t="shared" si="94"/>
        <v>224.68600000000001</v>
      </c>
      <c r="F228" s="26">
        <f t="shared" si="95"/>
        <v>229.57142857142858</v>
      </c>
      <c r="G228" s="26">
        <f t="shared" si="97"/>
        <v>230.03538461538463</v>
      </c>
      <c r="H228" s="26">
        <f t="shared" si="79"/>
        <v>232.68878787878793</v>
      </c>
      <c r="I228" s="26">
        <f t="shared" si="81"/>
        <v>233.47666666666663</v>
      </c>
      <c r="J228" s="26">
        <f t="shared" si="88"/>
        <v>237.47865916623465</v>
      </c>
      <c r="K228" s="26">
        <f t="shared" si="89"/>
        <v>243.95958966461086</v>
      </c>
      <c r="L228" s="26">
        <f t="shared" si="84"/>
        <v>219.07277593923845</v>
      </c>
      <c r="V228" s="26">
        <f t="shared" si="98"/>
        <v>232.30660437730143</v>
      </c>
      <c r="W228" s="26">
        <f t="shared" si="101"/>
        <v>230.22466808963964</v>
      </c>
      <c r="X228" s="26">
        <f t="shared" si="100"/>
        <v>2.0819362876617902</v>
      </c>
      <c r="Y228" s="26">
        <f t="shared" si="80"/>
        <v>0.16548106283813518</v>
      </c>
      <c r="Z228" s="26">
        <v>11073.31</v>
      </c>
      <c r="AA228" s="26">
        <f t="shared" si="85"/>
        <v>217.08914903262587</v>
      </c>
      <c r="AB228" s="27">
        <f t="shared" si="86"/>
        <v>-0.14662860555593427</v>
      </c>
      <c r="BK228" s="24">
        <v>44422</v>
      </c>
      <c r="BL228" s="25">
        <v>254.39</v>
      </c>
      <c r="BM228" s="26">
        <f t="shared" si="83"/>
        <v>238.41666666666666</v>
      </c>
      <c r="BN228" s="26">
        <f t="shared" si="87"/>
        <v>224.68600000000001</v>
      </c>
      <c r="BO228" s="26">
        <f t="shared" si="93"/>
        <v>229.57142857142858</v>
      </c>
      <c r="BP228" s="26">
        <f t="shared" si="96"/>
        <v>230.03538461538463</v>
      </c>
      <c r="BQ228" s="26">
        <f t="shared" si="99"/>
        <v>232.68878787878793</v>
      </c>
      <c r="BR228" s="26">
        <f t="shared" si="82"/>
        <v>233.47666666666663</v>
      </c>
      <c r="BS228" s="26">
        <f t="shared" si="90"/>
        <v>237.47865916623465</v>
      </c>
      <c r="BT228" s="26">
        <f t="shared" si="91"/>
        <v>243.95958966461086</v>
      </c>
    </row>
    <row r="229" spans="1:72" x14ac:dyDescent="0.2">
      <c r="A229" s="62"/>
      <c r="B229" s="24">
        <v>44423</v>
      </c>
      <c r="C229" s="25">
        <v>239.61</v>
      </c>
      <c r="D229" s="26">
        <f t="shared" si="92"/>
        <v>242.45333333333335</v>
      </c>
      <c r="E229" s="26">
        <f t="shared" si="94"/>
        <v>232.18800000000002</v>
      </c>
      <c r="F229" s="26">
        <f t="shared" si="95"/>
        <v>228.47857142857143</v>
      </c>
      <c r="G229" s="26">
        <f t="shared" si="97"/>
        <v>229.43538461538461</v>
      </c>
      <c r="H229" s="26">
        <f t="shared" ref="H229:H292" si="102">AVERAGE(C197:C229)</f>
        <v>232.70727272727277</v>
      </c>
      <c r="I229" s="26">
        <f t="shared" si="81"/>
        <v>238.45133333333334</v>
      </c>
      <c r="J229" s="26">
        <f t="shared" si="88"/>
        <v>238.33119549974077</v>
      </c>
      <c r="K229" s="26">
        <f t="shared" si="89"/>
        <v>241.34983586584434</v>
      </c>
      <c r="L229" s="26">
        <f t="shared" si="84"/>
        <v>219.05793727723838</v>
      </c>
      <c r="V229" s="26">
        <f t="shared" si="98"/>
        <v>233.43020370387043</v>
      </c>
      <c r="W229" s="26">
        <f t="shared" si="101"/>
        <v>232.84759664564947</v>
      </c>
      <c r="X229" s="26">
        <f t="shared" si="100"/>
        <v>0.58260705822095815</v>
      </c>
      <c r="Y229" s="26">
        <f t="shared" si="80"/>
        <v>0.24890626191469978</v>
      </c>
      <c r="Z229" s="26">
        <v>14935.9</v>
      </c>
      <c r="AA229" s="26">
        <f t="shared" si="85"/>
        <v>218.78972907277048</v>
      </c>
      <c r="AB229" s="27">
        <f t="shared" si="86"/>
        <v>-8.6892328897915483E-2</v>
      </c>
      <c r="BK229" s="24">
        <v>44423</v>
      </c>
      <c r="BL229" s="25">
        <v>239.61</v>
      </c>
      <c r="BM229" s="26">
        <f t="shared" si="83"/>
        <v>242.45333333333335</v>
      </c>
      <c r="BN229" s="26">
        <f t="shared" si="87"/>
        <v>232.18800000000002</v>
      </c>
      <c r="BO229" s="26">
        <f t="shared" si="93"/>
        <v>228.47857142857143</v>
      </c>
      <c r="BP229" s="26">
        <f t="shared" si="96"/>
        <v>229.43538461538461</v>
      </c>
      <c r="BQ229" s="26">
        <f t="shared" si="99"/>
        <v>232.70727272727277</v>
      </c>
      <c r="BR229" s="26">
        <f t="shared" si="82"/>
        <v>238.45133333333334</v>
      </c>
      <c r="BS229" s="26">
        <f t="shared" si="90"/>
        <v>238.33119549974077</v>
      </c>
      <c r="BT229" s="26">
        <f t="shared" si="91"/>
        <v>241.34983586584434</v>
      </c>
    </row>
    <row r="230" spans="1:72" x14ac:dyDescent="0.2">
      <c r="A230" s="62"/>
      <c r="B230" s="24">
        <v>44424</v>
      </c>
      <c r="C230" s="25">
        <v>228.65</v>
      </c>
      <c r="D230" s="26">
        <f t="shared" si="92"/>
        <v>240.88333333333333</v>
      </c>
      <c r="E230" s="26">
        <f t="shared" si="94"/>
        <v>236.702</v>
      </c>
      <c r="F230" s="26">
        <f t="shared" si="95"/>
        <v>227.38428571428571</v>
      </c>
      <c r="G230" s="26">
        <f t="shared" si="97"/>
        <v>231.19384615384615</v>
      </c>
      <c r="H230" s="26">
        <f t="shared" si="102"/>
        <v>232.55848484848485</v>
      </c>
      <c r="I230" s="26">
        <f t="shared" si="81"/>
        <v>237.27199999999999</v>
      </c>
      <c r="J230" s="26">
        <f t="shared" si="88"/>
        <v>234.45871729984447</v>
      </c>
      <c r="K230" s="26">
        <f t="shared" si="89"/>
        <v>233.72993434633776</v>
      </c>
      <c r="L230" s="26">
        <f t="shared" si="84"/>
        <v>219.04309861523828</v>
      </c>
      <c r="V230" s="26">
        <f t="shared" si="98"/>
        <v>232.69478774942883</v>
      </c>
      <c r="W230" s="26">
        <f t="shared" si="101"/>
        <v>233.07611454062078</v>
      </c>
      <c r="X230" s="26">
        <f t="shared" si="100"/>
        <v>-0.38132679119195245</v>
      </c>
      <c r="Y230" s="26">
        <f t="shared" si="80"/>
        <v>0.12285965129336933</v>
      </c>
      <c r="Z230" s="26">
        <v>14015.67</v>
      </c>
      <c r="AA230" s="26">
        <f t="shared" si="85"/>
        <v>218.38457999654383</v>
      </c>
      <c r="AB230" s="27">
        <f t="shared" si="86"/>
        <v>-4.4895779590886378E-2</v>
      </c>
      <c r="BK230" s="24">
        <v>44424</v>
      </c>
      <c r="BL230" s="25">
        <v>228.65</v>
      </c>
      <c r="BM230" s="26">
        <f t="shared" si="83"/>
        <v>240.88333333333333</v>
      </c>
      <c r="BN230" s="26">
        <f t="shared" si="87"/>
        <v>236.702</v>
      </c>
      <c r="BO230" s="26">
        <f t="shared" si="93"/>
        <v>227.38428571428571</v>
      </c>
      <c r="BP230" s="26">
        <f t="shared" si="96"/>
        <v>231.19384615384615</v>
      </c>
      <c r="BQ230" s="26">
        <f t="shared" si="99"/>
        <v>232.55848484848485</v>
      </c>
      <c r="BR230" s="26">
        <f t="shared" si="82"/>
        <v>237.27199999999999</v>
      </c>
      <c r="BS230" s="26">
        <f t="shared" si="90"/>
        <v>234.45871729984447</v>
      </c>
      <c r="BT230" s="26">
        <f t="shared" si="91"/>
        <v>233.72993434633776</v>
      </c>
    </row>
    <row r="231" spans="1:72" x14ac:dyDescent="0.2">
      <c r="A231" s="62"/>
      <c r="B231" s="24">
        <v>44425</v>
      </c>
      <c r="C231" s="25">
        <v>200.63</v>
      </c>
      <c r="D231" s="26">
        <f t="shared" si="92"/>
        <v>222.96333333333334</v>
      </c>
      <c r="E231" s="26">
        <f t="shared" si="94"/>
        <v>231.32799999999997</v>
      </c>
      <c r="F231" s="26">
        <f t="shared" si="95"/>
        <v>227.17428571428576</v>
      </c>
      <c r="G231" s="26">
        <f t="shared" si="97"/>
        <v>230.68692307692311</v>
      </c>
      <c r="H231" s="26">
        <f t="shared" si="102"/>
        <v>231.59363636363639</v>
      </c>
      <c r="I231" s="26">
        <f t="shared" si="81"/>
        <v>225.24799999999999</v>
      </c>
      <c r="J231" s="26">
        <f t="shared" si="88"/>
        <v>220.92723037990669</v>
      </c>
      <c r="K231" s="26">
        <f t="shared" si="89"/>
        <v>213.86997373853509</v>
      </c>
      <c r="L231" s="26">
        <f t="shared" si="84"/>
        <v>219.02825995323818</v>
      </c>
      <c r="V231" s="26">
        <f t="shared" si="98"/>
        <v>227.76174348028593</v>
      </c>
      <c r="W231" s="26">
        <f t="shared" si="101"/>
        <v>230.31961828650819</v>
      </c>
      <c r="X231" s="26">
        <f t="shared" si="100"/>
        <v>-2.5578748062222587</v>
      </c>
      <c r="Y231" s="26">
        <f t="shared" ref="Y231:Y294" si="103">X231*(2/(9+1))+Y230*(1-(2/(9+1)))</f>
        <v>-0.41328724020975632</v>
      </c>
      <c r="Z231" s="26">
        <v>12830.96</v>
      </c>
      <c r="AA231" s="26">
        <f t="shared" si="85"/>
        <v>217.86298847910095</v>
      </c>
      <c r="AB231" s="27">
        <f t="shared" si="86"/>
        <v>8.5894375113895999E-2</v>
      </c>
      <c r="BK231" s="24">
        <v>44425</v>
      </c>
      <c r="BL231" s="25">
        <v>200.63</v>
      </c>
      <c r="BM231" s="26">
        <f t="shared" si="83"/>
        <v>222.96333333333334</v>
      </c>
      <c r="BN231" s="26">
        <f t="shared" si="87"/>
        <v>231.32799999999997</v>
      </c>
      <c r="BO231" s="26">
        <f t="shared" si="93"/>
        <v>227.17428571428576</v>
      </c>
      <c r="BP231" s="26">
        <f t="shared" si="96"/>
        <v>230.68692307692311</v>
      </c>
      <c r="BQ231" s="26">
        <f t="shared" si="99"/>
        <v>231.59363636363639</v>
      </c>
      <c r="BR231" s="26">
        <f t="shared" si="82"/>
        <v>225.24799999999999</v>
      </c>
      <c r="BS231" s="26">
        <f t="shared" si="90"/>
        <v>220.92723037990669</v>
      </c>
      <c r="BT231" s="26">
        <f t="shared" si="91"/>
        <v>213.86997373853509</v>
      </c>
    </row>
    <row r="232" spans="1:72" x14ac:dyDescent="0.2">
      <c r="A232" s="62"/>
      <c r="B232" s="24">
        <v>44426</v>
      </c>
      <c r="C232" s="25">
        <v>205.55</v>
      </c>
      <c r="D232" s="26">
        <f t="shared" si="92"/>
        <v>211.60999999999999</v>
      </c>
      <c r="E232" s="26">
        <f t="shared" si="94"/>
        <v>225.76599999999999</v>
      </c>
      <c r="F232" s="26">
        <f t="shared" si="95"/>
        <v>227.0985714285714</v>
      </c>
      <c r="G232" s="26">
        <f t="shared" si="97"/>
        <v>228.70076923076925</v>
      </c>
      <c r="H232" s="26">
        <f t="shared" si="102"/>
        <v>230.15030303030306</v>
      </c>
      <c r="I232" s="26">
        <f t="shared" si="81"/>
        <v>216.65533333333335</v>
      </c>
      <c r="J232" s="26">
        <f t="shared" si="88"/>
        <v>214.776338227944</v>
      </c>
      <c r="K232" s="26">
        <f t="shared" si="89"/>
        <v>208.87798949541406</v>
      </c>
      <c r="L232" s="26">
        <f t="shared" si="84"/>
        <v>219.0134212912381</v>
      </c>
      <c r="V232" s="26">
        <f t="shared" si="98"/>
        <v>224.34455217562655</v>
      </c>
      <c r="W232" s="26">
        <f t="shared" si="101"/>
        <v>226.11642914841292</v>
      </c>
      <c r="X232" s="26">
        <f t="shared" si="100"/>
        <v>-1.771876972786373</v>
      </c>
      <c r="Y232" s="26">
        <f t="shared" si="103"/>
        <v>-0.68500518672507971</v>
      </c>
      <c r="Z232" s="26">
        <v>13897.3</v>
      </c>
      <c r="AA232" s="26">
        <f t="shared" si="85"/>
        <v>218.33246531200524</v>
      </c>
      <c r="AB232" s="27">
        <f t="shared" si="86"/>
        <v>6.2186647102920108E-2</v>
      </c>
      <c r="BK232" s="24">
        <v>44426</v>
      </c>
      <c r="BL232" s="25">
        <v>205.55</v>
      </c>
      <c r="BM232" s="26">
        <f t="shared" si="83"/>
        <v>211.60999999999999</v>
      </c>
      <c r="BN232" s="26">
        <f t="shared" si="87"/>
        <v>225.76599999999999</v>
      </c>
      <c r="BO232" s="26">
        <f t="shared" si="93"/>
        <v>227.0985714285714</v>
      </c>
      <c r="BP232" s="26">
        <f t="shared" si="96"/>
        <v>228.70076923076925</v>
      </c>
      <c r="BQ232" s="26">
        <f t="shared" si="99"/>
        <v>230.15030303030306</v>
      </c>
      <c r="BR232" s="26">
        <f t="shared" si="82"/>
        <v>216.65533333333335</v>
      </c>
      <c r="BS232" s="26">
        <f t="shared" si="90"/>
        <v>214.776338227944</v>
      </c>
      <c r="BT232" s="26">
        <f t="shared" si="91"/>
        <v>208.87798949541406</v>
      </c>
    </row>
    <row r="233" spans="1:72" x14ac:dyDescent="0.2">
      <c r="A233" s="62"/>
      <c r="B233" s="24">
        <v>44427</v>
      </c>
      <c r="C233" s="25">
        <v>240.77</v>
      </c>
      <c r="D233" s="26">
        <f t="shared" si="92"/>
        <v>215.65</v>
      </c>
      <c r="E233" s="26">
        <f t="shared" si="94"/>
        <v>223.042</v>
      </c>
      <c r="F233" s="26">
        <f t="shared" si="95"/>
        <v>228.9942857142857</v>
      </c>
      <c r="G233" s="26">
        <f t="shared" si="97"/>
        <v>228.9361538461539</v>
      </c>
      <c r="H233" s="26">
        <f t="shared" si="102"/>
        <v>230.17939393939398</v>
      </c>
      <c r="I233" s="26">
        <f t="shared" si="81"/>
        <v>221.65666666666669</v>
      </c>
      <c r="J233" s="26">
        <f t="shared" si="88"/>
        <v>225.17380293676638</v>
      </c>
      <c r="K233" s="26">
        <f t="shared" si="89"/>
        <v>228.01319579816561</v>
      </c>
      <c r="L233" s="26">
        <f t="shared" si="84"/>
        <v>218.998582629238</v>
      </c>
      <c r="V233" s="26">
        <f t="shared" si="98"/>
        <v>226.87154414860709</v>
      </c>
      <c r="W233" s="26">
        <f t="shared" si="101"/>
        <v>225.56125201446903</v>
      </c>
      <c r="X233" s="26">
        <f t="shared" si="100"/>
        <v>1.3102921341380522</v>
      </c>
      <c r="Y233" s="26">
        <f t="shared" si="103"/>
        <v>-0.28594572255245337</v>
      </c>
      <c r="Z233" s="26">
        <v>12175.23</v>
      </c>
      <c r="AA233" s="26">
        <f t="shared" si="85"/>
        <v>217.5742906494778</v>
      </c>
      <c r="AB233" s="27">
        <f t="shared" si="86"/>
        <v>-9.6339699092587147E-2</v>
      </c>
      <c r="BK233" s="24">
        <v>44427</v>
      </c>
      <c r="BL233" s="25">
        <v>240.77</v>
      </c>
      <c r="BM233" s="26">
        <f t="shared" si="83"/>
        <v>215.65</v>
      </c>
      <c r="BN233" s="26">
        <f t="shared" si="87"/>
        <v>223.042</v>
      </c>
      <c r="BO233" s="26">
        <f t="shared" si="93"/>
        <v>228.9942857142857</v>
      </c>
      <c r="BP233" s="26">
        <f t="shared" si="96"/>
        <v>228.9361538461539</v>
      </c>
      <c r="BQ233" s="26">
        <f t="shared" si="99"/>
        <v>230.17939393939398</v>
      </c>
      <c r="BR233" s="26">
        <f t="shared" si="82"/>
        <v>221.65666666666669</v>
      </c>
      <c r="BS233" s="26">
        <f t="shared" si="90"/>
        <v>225.17380293676638</v>
      </c>
      <c r="BT233" s="26">
        <f t="shared" si="91"/>
        <v>228.01319579816561</v>
      </c>
    </row>
    <row r="234" spans="1:72" x14ac:dyDescent="0.2">
      <c r="A234" s="62"/>
      <c r="B234" s="24">
        <v>44428</v>
      </c>
      <c r="C234" s="25">
        <v>228.37</v>
      </c>
      <c r="D234" s="26">
        <f t="shared" si="92"/>
        <v>224.89666666666668</v>
      </c>
      <c r="E234" s="26">
        <f t="shared" si="94"/>
        <v>220.79399999999995</v>
      </c>
      <c r="F234" s="26">
        <f t="shared" si="95"/>
        <v>228.28142857142853</v>
      </c>
      <c r="G234" s="26">
        <f t="shared" si="97"/>
        <v>226.96769230769235</v>
      </c>
      <c r="H234" s="26">
        <f t="shared" si="102"/>
        <v>229.77636363636367</v>
      </c>
      <c r="I234" s="26">
        <f t="shared" si="81"/>
        <v>223.43266666666668</v>
      </c>
      <c r="J234" s="26">
        <f t="shared" si="88"/>
        <v>226.45228176205984</v>
      </c>
      <c r="K234" s="26">
        <f t="shared" si="89"/>
        <v>228.22727831926625</v>
      </c>
      <c r="L234" s="26">
        <f t="shared" si="84"/>
        <v>218.9837439672379</v>
      </c>
      <c r="V234" s="26">
        <f t="shared" si="98"/>
        <v>227.10207581805216</v>
      </c>
      <c r="W234" s="26">
        <f t="shared" si="101"/>
        <v>226.98254087833988</v>
      </c>
      <c r="X234" s="26">
        <f t="shared" si="100"/>
        <v>0.11953493971228113</v>
      </c>
      <c r="Y234" s="26">
        <f t="shared" si="103"/>
        <v>-0.20484959009950648</v>
      </c>
      <c r="Z234" s="26">
        <v>11621.35</v>
      </c>
      <c r="AA234" s="26">
        <f t="shared" si="85"/>
        <v>217.33043425451089</v>
      </c>
      <c r="AB234" s="27">
        <f t="shared" si="86"/>
        <v>-4.8340700378723622E-2</v>
      </c>
      <c r="BK234" s="24">
        <v>44428</v>
      </c>
      <c r="BL234" s="25">
        <v>228.37</v>
      </c>
      <c r="BM234" s="26">
        <f t="shared" si="83"/>
        <v>224.89666666666668</v>
      </c>
      <c r="BN234" s="26">
        <f t="shared" si="87"/>
        <v>220.79399999999995</v>
      </c>
      <c r="BO234" s="26">
        <f t="shared" si="93"/>
        <v>228.28142857142853</v>
      </c>
      <c r="BP234" s="26">
        <f t="shared" si="96"/>
        <v>226.96769230769235</v>
      </c>
      <c r="BQ234" s="26">
        <f t="shared" si="99"/>
        <v>229.77636363636367</v>
      </c>
      <c r="BR234" s="26">
        <f t="shared" si="82"/>
        <v>223.43266666666668</v>
      </c>
      <c r="BS234" s="26">
        <f t="shared" si="90"/>
        <v>226.45228176205984</v>
      </c>
      <c r="BT234" s="26">
        <f t="shared" si="91"/>
        <v>228.22727831926625</v>
      </c>
    </row>
    <row r="235" spans="1:72" x14ac:dyDescent="0.2">
      <c r="A235" s="62"/>
      <c r="B235" s="24">
        <v>44429</v>
      </c>
      <c r="C235" s="25">
        <v>253.88</v>
      </c>
      <c r="D235" s="26">
        <f t="shared" si="92"/>
        <v>241.00666666666666</v>
      </c>
      <c r="E235" s="26">
        <f t="shared" si="94"/>
        <v>225.84</v>
      </c>
      <c r="F235" s="26">
        <f t="shared" si="95"/>
        <v>228.20857142857145</v>
      </c>
      <c r="G235" s="26">
        <f t="shared" si="97"/>
        <v>227.4769230769231</v>
      </c>
      <c r="H235" s="26">
        <f t="shared" si="102"/>
        <v>230.24939393939394</v>
      </c>
      <c r="I235" s="26">
        <f t="shared" si="81"/>
        <v>234.46133333333333</v>
      </c>
      <c r="J235" s="26">
        <f t="shared" si="88"/>
        <v>237.4233690572359</v>
      </c>
      <c r="K235" s="26">
        <f t="shared" si="89"/>
        <v>243.61891132770651</v>
      </c>
      <c r="L235" s="26">
        <f t="shared" si="84"/>
        <v>218.96890530523783</v>
      </c>
      <c r="V235" s="26">
        <f t="shared" si="98"/>
        <v>231.22175646142875</v>
      </c>
      <c r="W235" s="26">
        <f t="shared" si="101"/>
        <v>229.08562575745569</v>
      </c>
      <c r="X235" s="26">
        <f t="shared" si="100"/>
        <v>2.1361307039730661</v>
      </c>
      <c r="Y235" s="26">
        <f t="shared" si="103"/>
        <v>0.26334646871500805</v>
      </c>
      <c r="Z235" s="26">
        <v>11791.9</v>
      </c>
      <c r="AA235" s="26">
        <f t="shared" si="85"/>
        <v>217.40552219442856</v>
      </c>
      <c r="AB235" s="27">
        <f t="shared" si="86"/>
        <v>-0.14366818105235324</v>
      </c>
      <c r="BK235" s="24">
        <v>44429</v>
      </c>
      <c r="BL235" s="25">
        <v>253.88</v>
      </c>
      <c r="BM235" s="26">
        <f t="shared" si="83"/>
        <v>241.00666666666666</v>
      </c>
      <c r="BN235" s="26">
        <f t="shared" si="87"/>
        <v>225.84</v>
      </c>
      <c r="BO235" s="26">
        <f t="shared" si="93"/>
        <v>228.20857142857145</v>
      </c>
      <c r="BP235" s="26">
        <f t="shared" si="96"/>
        <v>227.4769230769231</v>
      </c>
      <c r="BQ235" s="26">
        <f t="shared" si="99"/>
        <v>230.24939393939394</v>
      </c>
      <c r="BR235" s="26">
        <f t="shared" si="82"/>
        <v>234.46133333333333</v>
      </c>
      <c r="BS235" s="26">
        <f t="shared" si="90"/>
        <v>237.4233690572359</v>
      </c>
      <c r="BT235" s="26">
        <f t="shared" si="91"/>
        <v>243.61891132770651</v>
      </c>
    </row>
    <row r="236" spans="1:72" x14ac:dyDescent="0.2">
      <c r="A236" s="62"/>
      <c r="B236" s="24">
        <v>44430</v>
      </c>
      <c r="C236" s="25">
        <v>251.87</v>
      </c>
      <c r="D236" s="26">
        <f t="shared" si="92"/>
        <v>244.70666666666668</v>
      </c>
      <c r="E236" s="26">
        <f t="shared" si="94"/>
        <v>236.08800000000002</v>
      </c>
      <c r="F236" s="26">
        <f t="shared" si="95"/>
        <v>229.95999999999998</v>
      </c>
      <c r="G236" s="26">
        <f t="shared" si="97"/>
        <v>228.67384615384617</v>
      </c>
      <c r="H236" s="26">
        <f t="shared" si="102"/>
        <v>231.80333333333334</v>
      </c>
      <c r="I236" s="26">
        <f t="shared" si="81"/>
        <v>243.13800000000001</v>
      </c>
      <c r="J236" s="26">
        <f t="shared" si="88"/>
        <v>243.20202143434153</v>
      </c>
      <c r="K236" s="26">
        <f t="shared" si="89"/>
        <v>248.56956453108259</v>
      </c>
      <c r="L236" s="26">
        <f t="shared" si="84"/>
        <v>218.95406664323772</v>
      </c>
      <c r="V236" s="26">
        <f t="shared" si="98"/>
        <v>234.39840931351662</v>
      </c>
      <c r="W236" s="26">
        <f t="shared" si="101"/>
        <v>232.75125598280439</v>
      </c>
      <c r="X236" s="26">
        <f t="shared" si="100"/>
        <v>1.6471533307122286</v>
      </c>
      <c r="Y236" s="26">
        <f t="shared" si="103"/>
        <v>0.5401078411144522</v>
      </c>
      <c r="Z236" s="26">
        <v>10652.41</v>
      </c>
      <c r="AA236" s="26">
        <f t="shared" si="85"/>
        <v>216.90383965759591</v>
      </c>
      <c r="AB236" s="27">
        <f t="shared" si="86"/>
        <v>-0.13882622123478022</v>
      </c>
      <c r="BK236" s="24">
        <v>44430</v>
      </c>
      <c r="BL236" s="25">
        <v>251.87</v>
      </c>
      <c r="BM236" s="26">
        <f t="shared" si="83"/>
        <v>244.70666666666668</v>
      </c>
      <c r="BN236" s="26">
        <f t="shared" si="87"/>
        <v>236.08800000000002</v>
      </c>
      <c r="BO236" s="26">
        <f t="shared" si="93"/>
        <v>229.95999999999998</v>
      </c>
      <c r="BP236" s="26">
        <f t="shared" si="96"/>
        <v>228.67384615384617</v>
      </c>
      <c r="BQ236" s="26">
        <f t="shared" si="99"/>
        <v>231.80333333333334</v>
      </c>
      <c r="BR236" s="26">
        <f t="shared" si="82"/>
        <v>243.13800000000001</v>
      </c>
      <c r="BS236" s="26">
        <f t="shared" si="90"/>
        <v>243.20202143434153</v>
      </c>
      <c r="BT236" s="26">
        <f t="shared" si="91"/>
        <v>248.56956453108259</v>
      </c>
    </row>
    <row r="237" spans="1:72" x14ac:dyDescent="0.2">
      <c r="A237" s="62"/>
      <c r="B237" s="24">
        <v>44431</v>
      </c>
      <c r="C237" s="25">
        <v>239.63</v>
      </c>
      <c r="D237" s="26">
        <f t="shared" si="92"/>
        <v>248.46</v>
      </c>
      <c r="E237" s="26">
        <f t="shared" si="94"/>
        <v>242.904</v>
      </c>
      <c r="F237" s="26">
        <f t="shared" si="95"/>
        <v>231.52857142857147</v>
      </c>
      <c r="G237" s="26">
        <f t="shared" si="97"/>
        <v>231.56076923076927</v>
      </c>
      <c r="H237" s="26">
        <f t="shared" si="102"/>
        <v>232.89151515151516</v>
      </c>
      <c r="I237" s="26">
        <f t="shared" si="81"/>
        <v>244.31866666666667</v>
      </c>
      <c r="J237" s="26">
        <f t="shared" si="88"/>
        <v>241.77321286060493</v>
      </c>
      <c r="K237" s="26">
        <f t="shared" si="89"/>
        <v>243.20582581243303</v>
      </c>
      <c r="L237" s="26">
        <f t="shared" si="84"/>
        <v>218.93922798123762</v>
      </c>
      <c r="V237" s="26">
        <f t="shared" si="98"/>
        <v>235.20326941912944</v>
      </c>
      <c r="W237" s="26">
        <f t="shared" si="101"/>
        <v>234.78593454955242</v>
      </c>
      <c r="X237" s="26">
        <f t="shared" si="100"/>
        <v>0.41733486957701871</v>
      </c>
      <c r="Y237" s="26">
        <f t="shared" si="103"/>
        <v>0.51555324680696546</v>
      </c>
      <c r="Z237" s="26">
        <v>14194.46</v>
      </c>
      <c r="AA237" s="26">
        <f t="shared" si="85"/>
        <v>218.46329575601544</v>
      </c>
      <c r="AB237" s="27">
        <f t="shared" si="86"/>
        <v>-8.8330777632118496E-2</v>
      </c>
      <c r="BK237" s="24">
        <v>44431</v>
      </c>
      <c r="BL237" s="25">
        <v>239.63</v>
      </c>
      <c r="BM237" s="26">
        <f t="shared" si="83"/>
        <v>248.46</v>
      </c>
      <c r="BN237" s="26">
        <f t="shared" si="87"/>
        <v>242.904</v>
      </c>
      <c r="BO237" s="26">
        <f t="shared" si="93"/>
        <v>231.52857142857147</v>
      </c>
      <c r="BP237" s="26">
        <f t="shared" si="96"/>
        <v>231.56076923076927</v>
      </c>
      <c r="BQ237" s="26">
        <f t="shared" si="99"/>
        <v>232.89151515151516</v>
      </c>
      <c r="BR237" s="26">
        <f t="shared" si="82"/>
        <v>244.31866666666667</v>
      </c>
      <c r="BS237" s="26">
        <f t="shared" si="90"/>
        <v>241.77321286060493</v>
      </c>
      <c r="BT237" s="26">
        <f t="shared" si="91"/>
        <v>243.20582581243303</v>
      </c>
    </row>
    <row r="238" spans="1:72" x14ac:dyDescent="0.2">
      <c r="A238" s="62"/>
      <c r="B238" s="24">
        <v>44432</v>
      </c>
      <c r="C238" s="25">
        <v>228.6</v>
      </c>
      <c r="D238" s="26">
        <f t="shared" si="92"/>
        <v>240.03333333333333</v>
      </c>
      <c r="E238" s="26">
        <f t="shared" si="94"/>
        <v>240.46999999999997</v>
      </c>
      <c r="F238" s="26">
        <f t="shared" si="95"/>
        <v>235.52428571428572</v>
      </c>
      <c r="G238" s="26">
        <f t="shared" si="97"/>
        <v>233.29307692307691</v>
      </c>
      <c r="H238" s="26">
        <f t="shared" si="102"/>
        <v>232.49484848484852</v>
      </c>
      <c r="I238" s="26">
        <f t="shared" si="81"/>
        <v>239.55066666666667</v>
      </c>
      <c r="J238" s="26">
        <f t="shared" si="88"/>
        <v>236.50392771636294</v>
      </c>
      <c r="K238" s="26">
        <f t="shared" si="89"/>
        <v>234.44233032497323</v>
      </c>
      <c r="L238" s="26">
        <f t="shared" si="84"/>
        <v>218.92438931923755</v>
      </c>
      <c r="V238" s="26">
        <f t="shared" si="98"/>
        <v>234.18738181618644</v>
      </c>
      <c r="W238" s="26">
        <f t="shared" si="101"/>
        <v>234.71413835104579</v>
      </c>
      <c r="X238" s="26">
        <f t="shared" si="100"/>
        <v>-0.52675653485934504</v>
      </c>
      <c r="Y238" s="26">
        <f t="shared" si="103"/>
        <v>0.30709129047370337</v>
      </c>
      <c r="Z238" s="26">
        <v>12795.55</v>
      </c>
      <c r="AA238" s="26">
        <f t="shared" si="85"/>
        <v>217.84739854094505</v>
      </c>
      <c r="AB238" s="27">
        <f t="shared" si="86"/>
        <v>-4.7036751789391706E-2</v>
      </c>
      <c r="BK238" s="24">
        <v>44432</v>
      </c>
      <c r="BL238" s="25">
        <v>228.6</v>
      </c>
      <c r="BM238" s="26">
        <f t="shared" si="83"/>
        <v>240.03333333333333</v>
      </c>
      <c r="BN238" s="26">
        <f t="shared" si="87"/>
        <v>240.46999999999997</v>
      </c>
      <c r="BO238" s="26">
        <f t="shared" si="93"/>
        <v>235.52428571428572</v>
      </c>
      <c r="BP238" s="26">
        <f t="shared" si="96"/>
        <v>233.29307692307691</v>
      </c>
      <c r="BQ238" s="26">
        <f t="shared" si="99"/>
        <v>232.49484848484852</v>
      </c>
      <c r="BR238" s="26">
        <f t="shared" si="82"/>
        <v>239.55066666666667</v>
      </c>
      <c r="BS238" s="26">
        <f t="shared" si="90"/>
        <v>236.50392771636294</v>
      </c>
      <c r="BT238" s="26">
        <f t="shared" si="91"/>
        <v>234.44233032497323</v>
      </c>
    </row>
    <row r="239" spans="1:72" x14ac:dyDescent="0.2">
      <c r="A239" s="62"/>
      <c r="B239" s="24">
        <v>44433</v>
      </c>
      <c r="C239" s="25">
        <v>243.83</v>
      </c>
      <c r="D239" s="26">
        <f t="shared" si="92"/>
        <v>237.35333333333335</v>
      </c>
      <c r="E239" s="26">
        <f t="shared" si="94"/>
        <v>243.56199999999998</v>
      </c>
      <c r="F239" s="26">
        <f t="shared" si="95"/>
        <v>240.9928571428571</v>
      </c>
      <c r="G239" s="26">
        <f t="shared" si="97"/>
        <v>234.54923076923075</v>
      </c>
      <c r="H239" s="26">
        <f t="shared" si="102"/>
        <v>232.7830303030303</v>
      </c>
      <c r="I239" s="26">
        <f t="shared" si="81"/>
        <v>240.6706666666667</v>
      </c>
      <c r="J239" s="26">
        <f t="shared" si="88"/>
        <v>239.43435662981776</v>
      </c>
      <c r="K239" s="26">
        <f t="shared" si="89"/>
        <v>240.07493212998929</v>
      </c>
      <c r="L239" s="26">
        <f t="shared" si="84"/>
        <v>218.90955065723745</v>
      </c>
      <c r="V239" s="26">
        <f t="shared" si="98"/>
        <v>235.67086153677315</v>
      </c>
      <c r="W239" s="26">
        <f t="shared" si="101"/>
        <v>234.90164982980227</v>
      </c>
      <c r="X239" s="26">
        <f t="shared" si="100"/>
        <v>0.76921170697087859</v>
      </c>
      <c r="Y239" s="26">
        <f t="shared" si="103"/>
        <v>0.39951537377313845</v>
      </c>
      <c r="Z239" s="26">
        <v>13711</v>
      </c>
      <c r="AA239" s="26">
        <f t="shared" si="85"/>
        <v>218.25044312961495</v>
      </c>
      <c r="AB239" s="27">
        <f t="shared" si="86"/>
        <v>-0.10490734064875143</v>
      </c>
      <c r="BK239" s="24">
        <v>44433</v>
      </c>
      <c r="BL239" s="25">
        <v>243.83</v>
      </c>
      <c r="BM239" s="26">
        <f t="shared" si="83"/>
        <v>237.35333333333335</v>
      </c>
      <c r="BN239" s="26">
        <f t="shared" si="87"/>
        <v>243.56199999999998</v>
      </c>
      <c r="BO239" s="26">
        <f t="shared" si="93"/>
        <v>240.9928571428571</v>
      </c>
      <c r="BP239" s="26">
        <f t="shared" si="96"/>
        <v>234.54923076923075</v>
      </c>
      <c r="BQ239" s="26">
        <f t="shared" si="99"/>
        <v>232.7830303030303</v>
      </c>
      <c r="BR239" s="26">
        <f t="shared" si="82"/>
        <v>240.6706666666667</v>
      </c>
      <c r="BS239" s="26">
        <f t="shared" si="90"/>
        <v>239.43435662981776</v>
      </c>
      <c r="BT239" s="26">
        <f t="shared" si="91"/>
        <v>240.07493212998929</v>
      </c>
    </row>
    <row r="240" spans="1:72" x14ac:dyDescent="0.2">
      <c r="A240" s="62"/>
      <c r="B240" s="24">
        <v>44434</v>
      </c>
      <c r="C240" s="25">
        <v>231.86</v>
      </c>
      <c r="D240" s="26">
        <f t="shared" si="92"/>
        <v>234.76333333333332</v>
      </c>
      <c r="E240" s="26">
        <f t="shared" si="94"/>
        <v>239.15799999999999</v>
      </c>
      <c r="F240" s="26">
        <f t="shared" si="95"/>
        <v>239.72</v>
      </c>
      <c r="G240" s="26">
        <f t="shared" si="97"/>
        <v>234.43384615384613</v>
      </c>
      <c r="H240" s="26">
        <f t="shared" si="102"/>
        <v>232.08606060606058</v>
      </c>
      <c r="I240" s="26">
        <f t="shared" si="81"/>
        <v>236.77</v>
      </c>
      <c r="J240" s="26">
        <f t="shared" si="88"/>
        <v>236.40461397789068</v>
      </c>
      <c r="K240" s="26">
        <f t="shared" si="89"/>
        <v>235.14597285199574</v>
      </c>
      <c r="L240" s="26">
        <f t="shared" si="84"/>
        <v>218.89471199523734</v>
      </c>
      <c r="V240" s="26">
        <f t="shared" si="98"/>
        <v>235.08457514650036</v>
      </c>
      <c r="W240" s="26">
        <f t="shared" si="101"/>
        <v>235.38857549701217</v>
      </c>
      <c r="X240" s="26">
        <f t="shared" si="100"/>
        <v>-0.30400035051181362</v>
      </c>
      <c r="Y240" s="26">
        <f t="shared" si="103"/>
        <v>0.25881222891614808</v>
      </c>
      <c r="Z240" s="26">
        <v>12086.27</v>
      </c>
      <c r="AA240" s="26">
        <f t="shared" si="85"/>
        <v>217.53512428691505</v>
      </c>
      <c r="AB240" s="27">
        <f t="shared" si="86"/>
        <v>-6.1782436440459602E-2</v>
      </c>
      <c r="BK240" s="24">
        <v>44434</v>
      </c>
      <c r="BL240" s="25">
        <v>231.86</v>
      </c>
      <c r="BM240" s="26">
        <f t="shared" si="83"/>
        <v>234.76333333333332</v>
      </c>
      <c r="BN240" s="26">
        <f t="shared" si="87"/>
        <v>239.15799999999999</v>
      </c>
      <c r="BO240" s="26">
        <f t="shared" si="93"/>
        <v>239.72</v>
      </c>
      <c r="BP240" s="26">
        <f t="shared" si="96"/>
        <v>234.43384615384613</v>
      </c>
      <c r="BQ240" s="26">
        <f t="shared" si="99"/>
        <v>232.08606060606058</v>
      </c>
      <c r="BR240" s="26">
        <f t="shared" si="82"/>
        <v>236.77</v>
      </c>
      <c r="BS240" s="26">
        <f t="shared" si="90"/>
        <v>236.40461397789068</v>
      </c>
      <c r="BT240" s="26">
        <f t="shared" si="91"/>
        <v>235.14597285199574</v>
      </c>
    </row>
    <row r="241" spans="1:72" x14ac:dyDescent="0.2">
      <c r="A241" s="62"/>
      <c r="B241" s="24">
        <v>44435</v>
      </c>
      <c r="C241" s="25">
        <v>247.54</v>
      </c>
      <c r="D241" s="26">
        <f t="shared" si="92"/>
        <v>241.07666666666668</v>
      </c>
      <c r="E241" s="26">
        <f t="shared" si="94"/>
        <v>238.292</v>
      </c>
      <c r="F241" s="26">
        <f t="shared" si="95"/>
        <v>242.45857142857145</v>
      </c>
      <c r="G241" s="26">
        <f t="shared" si="97"/>
        <v>233.90692307692308</v>
      </c>
      <c r="H241" s="26">
        <f t="shared" si="102"/>
        <v>232.1360606060606</v>
      </c>
      <c r="I241" s="26">
        <f t="shared" ref="I241:I304" si="104">(C241*5+C240*4+C239*3+C238*2+C237)/(5+4+3+2+1)</f>
        <v>239.56399999999999</v>
      </c>
      <c r="J241" s="26">
        <f t="shared" si="88"/>
        <v>240.85876838673443</v>
      </c>
      <c r="K241" s="26">
        <f t="shared" si="89"/>
        <v>242.58238914079828</v>
      </c>
      <c r="L241" s="26">
        <f t="shared" si="84"/>
        <v>218.87987333323727</v>
      </c>
      <c r="V241" s="26">
        <f t="shared" si="98"/>
        <v>237.00079435473108</v>
      </c>
      <c r="W241" s="26">
        <f t="shared" si="101"/>
        <v>236.00719920972256</v>
      </c>
      <c r="X241" s="26">
        <f t="shared" si="100"/>
        <v>0.99359514500852697</v>
      </c>
      <c r="Y241" s="26">
        <f t="shared" si="103"/>
        <v>0.4057688121346239</v>
      </c>
      <c r="Z241" s="26">
        <v>11635.31</v>
      </c>
      <c r="AA241" s="26">
        <f t="shared" si="85"/>
        <v>217.33658041482312</v>
      </c>
      <c r="AB241" s="27">
        <f t="shared" si="86"/>
        <v>-0.12201429904329351</v>
      </c>
      <c r="BK241" s="24">
        <v>44435</v>
      </c>
      <c r="BL241" s="25">
        <v>247.54</v>
      </c>
      <c r="BM241" s="26">
        <f t="shared" si="83"/>
        <v>241.07666666666668</v>
      </c>
      <c r="BN241" s="26">
        <f t="shared" si="87"/>
        <v>238.292</v>
      </c>
      <c r="BO241" s="26">
        <f t="shared" si="93"/>
        <v>242.45857142857145</v>
      </c>
      <c r="BP241" s="26">
        <f t="shared" si="96"/>
        <v>233.90692307692308</v>
      </c>
      <c r="BQ241" s="26">
        <f t="shared" si="99"/>
        <v>232.1360606060606</v>
      </c>
      <c r="BR241" s="26">
        <f t="shared" ref="BR241:BR304" si="105">(BL241*5+BL240*4+BL239*3+BL238*2+BL237)/(5+4+3+2+1)</f>
        <v>239.56399999999999</v>
      </c>
      <c r="BS241" s="26">
        <f t="shared" si="90"/>
        <v>240.85876838673443</v>
      </c>
      <c r="BT241" s="26">
        <f t="shared" si="91"/>
        <v>242.58238914079828</v>
      </c>
    </row>
    <row r="242" spans="1:72" x14ac:dyDescent="0.2">
      <c r="A242" s="62"/>
      <c r="B242" s="24">
        <v>44436</v>
      </c>
      <c r="C242" s="25">
        <v>253.3</v>
      </c>
      <c r="D242" s="26">
        <f t="shared" si="92"/>
        <v>244.23333333333335</v>
      </c>
      <c r="E242" s="26">
        <f t="shared" si="94"/>
        <v>241.02599999999998</v>
      </c>
      <c r="F242" s="26">
        <f t="shared" si="95"/>
        <v>242.37571428571428</v>
      </c>
      <c r="G242" s="26">
        <f t="shared" si="97"/>
        <v>234.96</v>
      </c>
      <c r="H242" s="26">
        <f t="shared" si="102"/>
        <v>232.55424242424243</v>
      </c>
      <c r="I242" s="26">
        <f t="shared" si="104"/>
        <v>244.56666666666663</v>
      </c>
      <c r="J242" s="26">
        <f t="shared" si="88"/>
        <v>245.83526103204065</v>
      </c>
      <c r="K242" s="26">
        <f t="shared" si="89"/>
        <v>249.01295565631932</v>
      </c>
      <c r="L242" s="26">
        <f t="shared" si="84"/>
        <v>218.86503467123717</v>
      </c>
      <c r="V242" s="26">
        <f t="shared" si="98"/>
        <v>239.50836445400324</v>
      </c>
      <c r="W242" s="26">
        <f t="shared" si="101"/>
        <v>238.20814292104731</v>
      </c>
      <c r="X242" s="26">
        <f t="shared" si="100"/>
        <v>1.3002215329559306</v>
      </c>
      <c r="Y242" s="26">
        <f t="shared" si="103"/>
        <v>0.58465935629888532</v>
      </c>
      <c r="Z242" s="26">
        <v>12644.46</v>
      </c>
      <c r="AA242" s="26">
        <f t="shared" si="85"/>
        <v>217.78087824283799</v>
      </c>
      <c r="AB242" s="27">
        <f t="shared" si="86"/>
        <v>-0.14022551029278335</v>
      </c>
      <c r="BK242" s="24">
        <v>44436</v>
      </c>
      <c r="BL242" s="25">
        <v>253.3</v>
      </c>
      <c r="BM242" s="26">
        <f t="shared" si="83"/>
        <v>244.23333333333335</v>
      </c>
      <c r="BN242" s="26">
        <f t="shared" si="87"/>
        <v>241.02599999999998</v>
      </c>
      <c r="BO242" s="26">
        <f t="shared" si="93"/>
        <v>242.37571428571428</v>
      </c>
      <c r="BP242" s="26">
        <f t="shared" si="96"/>
        <v>234.96</v>
      </c>
      <c r="BQ242" s="26">
        <f t="shared" si="99"/>
        <v>232.55424242424243</v>
      </c>
      <c r="BR242" s="26">
        <f t="shared" si="105"/>
        <v>244.56666666666663</v>
      </c>
      <c r="BS242" s="26">
        <f t="shared" si="90"/>
        <v>245.83526103204065</v>
      </c>
      <c r="BT242" s="26">
        <f t="shared" si="91"/>
        <v>249.01295565631932</v>
      </c>
    </row>
    <row r="243" spans="1:72" x14ac:dyDescent="0.2">
      <c r="A243" s="62"/>
      <c r="B243" s="24">
        <v>44437</v>
      </c>
      <c r="C243" s="25">
        <v>247.13</v>
      </c>
      <c r="D243" s="26">
        <f t="shared" si="92"/>
        <v>249.32333333333335</v>
      </c>
      <c r="E243" s="26">
        <f t="shared" si="94"/>
        <v>244.73199999999997</v>
      </c>
      <c r="F243" s="26">
        <f t="shared" si="95"/>
        <v>241.6985714285714</v>
      </c>
      <c r="G243" s="26">
        <f t="shared" si="97"/>
        <v>236.3815384615385</v>
      </c>
      <c r="H243" s="26">
        <f t="shared" si="102"/>
        <v>233.89848484848486</v>
      </c>
      <c r="I243" s="26">
        <f t="shared" si="104"/>
        <v>246.60133333333337</v>
      </c>
      <c r="J243" s="26">
        <f t="shared" si="88"/>
        <v>246.35315661922439</v>
      </c>
      <c r="K243" s="26">
        <f t="shared" si="89"/>
        <v>247.88318226252773</v>
      </c>
      <c r="L243" s="26">
        <f t="shared" si="84"/>
        <v>218.85019600923707</v>
      </c>
      <c r="V243" s="26">
        <f t="shared" si="98"/>
        <v>240.68092376877198</v>
      </c>
      <c r="W243" s="26">
        <f t="shared" si="101"/>
        <v>240.07293005000301</v>
      </c>
      <c r="X243" s="26">
        <f t="shared" si="100"/>
        <v>0.60799371876896657</v>
      </c>
      <c r="Y243" s="26">
        <f t="shared" si="103"/>
        <v>0.58932622879290153</v>
      </c>
      <c r="Z243" s="26">
        <v>11862.13</v>
      </c>
      <c r="AA243" s="26">
        <f t="shared" si="85"/>
        <v>217.43644231181597</v>
      </c>
      <c r="AB243" s="27">
        <f t="shared" si="86"/>
        <v>-0.12015359401199381</v>
      </c>
      <c r="BK243" s="24">
        <v>44437</v>
      </c>
      <c r="BL243" s="25">
        <v>247.13</v>
      </c>
      <c r="BM243" s="26">
        <f t="shared" si="83"/>
        <v>249.32333333333335</v>
      </c>
      <c r="BN243" s="26">
        <f t="shared" si="87"/>
        <v>244.73199999999997</v>
      </c>
      <c r="BO243" s="26">
        <f t="shared" si="93"/>
        <v>241.6985714285714</v>
      </c>
      <c r="BP243" s="26">
        <f t="shared" si="96"/>
        <v>236.3815384615385</v>
      </c>
      <c r="BQ243" s="26">
        <f t="shared" si="99"/>
        <v>233.89848484848486</v>
      </c>
      <c r="BR243" s="26">
        <f t="shared" si="105"/>
        <v>246.60133333333337</v>
      </c>
      <c r="BS243" s="26">
        <f t="shared" si="90"/>
        <v>246.35315661922439</v>
      </c>
      <c r="BT243" s="26">
        <f t="shared" si="91"/>
        <v>247.88318226252773</v>
      </c>
    </row>
    <row r="244" spans="1:72" x14ac:dyDescent="0.2">
      <c r="A244" s="62"/>
      <c r="B244" s="24">
        <v>44438</v>
      </c>
      <c r="C244" s="25">
        <v>237.68</v>
      </c>
      <c r="D244" s="26">
        <f t="shared" si="92"/>
        <v>246.03666666666666</v>
      </c>
      <c r="E244" s="26">
        <f t="shared" si="94"/>
        <v>243.50200000000001</v>
      </c>
      <c r="F244" s="26">
        <f t="shared" si="95"/>
        <v>241.42</v>
      </c>
      <c r="G244" s="26">
        <f t="shared" si="97"/>
        <v>239.23153846153849</v>
      </c>
      <c r="H244" s="26">
        <f t="shared" si="102"/>
        <v>235.0627272727273</v>
      </c>
      <c r="I244" s="26">
        <f t="shared" si="104"/>
        <v>244.25066666666669</v>
      </c>
      <c r="J244" s="26">
        <f t="shared" si="88"/>
        <v>242.88389397153463</v>
      </c>
      <c r="K244" s="26">
        <f t="shared" si="89"/>
        <v>241.76127290501108</v>
      </c>
      <c r="L244" s="26">
        <f t="shared" si="84"/>
        <v>218.83535734723699</v>
      </c>
      <c r="V244" s="26">
        <f t="shared" si="98"/>
        <v>240.21924318896089</v>
      </c>
      <c r="W244" s="26">
        <f t="shared" si="101"/>
        <v>240.45863311923333</v>
      </c>
      <c r="X244" s="26">
        <f t="shared" si="100"/>
        <v>-0.23938993027243782</v>
      </c>
      <c r="Y244" s="26">
        <f t="shared" si="103"/>
        <v>0.4235829969798337</v>
      </c>
      <c r="Z244" s="26">
        <v>14490.37</v>
      </c>
      <c r="AA244" s="26">
        <f t="shared" si="85"/>
        <v>218.59357586332149</v>
      </c>
      <c r="AB244" s="27">
        <f t="shared" si="86"/>
        <v>-8.0303029858122335E-2</v>
      </c>
      <c r="BK244" s="24">
        <v>44438</v>
      </c>
      <c r="BL244" s="25">
        <v>237.68</v>
      </c>
      <c r="BM244" s="26">
        <f t="shared" si="83"/>
        <v>246.03666666666666</v>
      </c>
      <c r="BN244" s="26">
        <f t="shared" si="87"/>
        <v>243.50200000000001</v>
      </c>
      <c r="BO244" s="26">
        <f t="shared" si="93"/>
        <v>241.42</v>
      </c>
      <c r="BP244" s="26">
        <f t="shared" si="96"/>
        <v>239.23153846153849</v>
      </c>
      <c r="BQ244" s="26">
        <f t="shared" si="99"/>
        <v>235.0627272727273</v>
      </c>
      <c r="BR244" s="26">
        <f t="shared" si="105"/>
        <v>244.25066666666669</v>
      </c>
      <c r="BS244" s="26">
        <f t="shared" si="90"/>
        <v>242.88389397153463</v>
      </c>
      <c r="BT244" s="26">
        <f t="shared" si="91"/>
        <v>241.76127290501108</v>
      </c>
    </row>
    <row r="245" spans="1:72" x14ac:dyDescent="0.2">
      <c r="A245" s="63"/>
      <c r="B245" s="24">
        <v>44439</v>
      </c>
      <c r="C245" s="25">
        <v>228.23</v>
      </c>
      <c r="D245" s="26">
        <f t="shared" si="92"/>
        <v>237.67999999999998</v>
      </c>
      <c r="E245" s="26">
        <f t="shared" si="94"/>
        <v>242.77600000000001</v>
      </c>
      <c r="F245" s="26">
        <f t="shared" si="95"/>
        <v>241.36714285714285</v>
      </c>
      <c r="G245" s="26">
        <f t="shared" si="97"/>
        <v>240.97615384615386</v>
      </c>
      <c r="H245" s="26">
        <f t="shared" si="102"/>
        <v>234.53030303030306</v>
      </c>
      <c r="I245" s="26">
        <f t="shared" si="104"/>
        <v>239.15999999999997</v>
      </c>
      <c r="J245" s="26">
        <f t="shared" si="88"/>
        <v>237.02233638292077</v>
      </c>
      <c r="K245" s="26">
        <f t="shared" si="89"/>
        <v>233.64250916200444</v>
      </c>
      <c r="L245" s="26">
        <f t="shared" si="84"/>
        <v>218.82051868523689</v>
      </c>
      <c r="V245" s="26">
        <f t="shared" si="98"/>
        <v>238.37474423681306</v>
      </c>
      <c r="W245" s="26">
        <f t="shared" si="101"/>
        <v>239.33115110088971</v>
      </c>
      <c r="X245" s="26">
        <f t="shared" si="100"/>
        <v>-0.95640686407665498</v>
      </c>
      <c r="Y245" s="26">
        <f t="shared" si="103"/>
        <v>0.14758502476853599</v>
      </c>
      <c r="Z245" s="26">
        <v>13255.55</v>
      </c>
      <c r="AA245" s="26">
        <f t="shared" si="85"/>
        <v>218.04992244808162</v>
      </c>
      <c r="AB245" s="27">
        <f t="shared" si="86"/>
        <v>-4.4604467212541618E-2</v>
      </c>
      <c r="BK245" s="24">
        <v>44439</v>
      </c>
      <c r="BL245" s="25">
        <v>228.23</v>
      </c>
      <c r="BM245" s="26">
        <f t="shared" si="83"/>
        <v>237.67999999999998</v>
      </c>
      <c r="BN245" s="26">
        <f t="shared" si="87"/>
        <v>242.77600000000001</v>
      </c>
      <c r="BO245" s="26">
        <f t="shared" si="93"/>
        <v>241.36714285714285</v>
      </c>
      <c r="BP245" s="26">
        <f t="shared" si="96"/>
        <v>240.97615384615386</v>
      </c>
      <c r="BQ245" s="26">
        <f t="shared" si="99"/>
        <v>234.53030303030306</v>
      </c>
      <c r="BR245" s="26">
        <f t="shared" si="105"/>
        <v>239.15999999999997</v>
      </c>
      <c r="BS245" s="26">
        <f t="shared" si="90"/>
        <v>237.02233638292077</v>
      </c>
      <c r="BT245" s="26">
        <f t="shared" si="91"/>
        <v>233.64250916200444</v>
      </c>
    </row>
    <row r="246" spans="1:72" x14ac:dyDescent="0.2">
      <c r="A246" s="61">
        <v>44440</v>
      </c>
      <c r="B246" s="24">
        <v>44440</v>
      </c>
      <c r="C246" s="25">
        <v>255.05</v>
      </c>
      <c r="D246" s="26">
        <f t="shared" si="92"/>
        <v>240.32000000000002</v>
      </c>
      <c r="E246" s="26">
        <f t="shared" si="94"/>
        <v>244.27800000000002</v>
      </c>
      <c r="F246" s="26">
        <f t="shared" si="95"/>
        <v>242.97</v>
      </c>
      <c r="G246" s="26">
        <f t="shared" si="97"/>
        <v>242.07461538461541</v>
      </c>
      <c r="H246" s="26">
        <f t="shared" si="102"/>
        <v>235.17636363636365</v>
      </c>
      <c r="I246" s="26">
        <f t="shared" si="104"/>
        <v>243.25133333333335</v>
      </c>
      <c r="J246" s="26">
        <f t="shared" si="88"/>
        <v>244.23340182975247</v>
      </c>
      <c r="K246" s="26">
        <f t="shared" si="89"/>
        <v>246.48700366480179</v>
      </c>
      <c r="L246" s="26">
        <f t="shared" si="84"/>
        <v>218.80568002323679</v>
      </c>
      <c r="V246" s="26">
        <f t="shared" si="98"/>
        <v>240.94016820038027</v>
      </c>
      <c r="W246" s="26">
        <f t="shared" si="101"/>
        <v>239.60994836741949</v>
      </c>
      <c r="X246" s="26">
        <f t="shared" si="100"/>
        <v>1.3302198329607791</v>
      </c>
      <c r="Y246" s="26">
        <f t="shared" si="103"/>
        <v>0.38411198640698463</v>
      </c>
      <c r="Z246" s="26">
        <v>11623.25</v>
      </c>
      <c r="AA246" s="26">
        <f t="shared" si="85"/>
        <v>217.33127076630123</v>
      </c>
      <c r="AB246" s="27">
        <f t="shared" si="86"/>
        <v>-0.14788758766398266</v>
      </c>
      <c r="BK246" s="24">
        <v>44440</v>
      </c>
      <c r="BL246" s="25">
        <v>255.05</v>
      </c>
      <c r="BM246" s="26">
        <f t="shared" si="83"/>
        <v>240.32000000000002</v>
      </c>
      <c r="BN246" s="26">
        <f t="shared" si="87"/>
        <v>244.27800000000002</v>
      </c>
      <c r="BO246" s="26">
        <f t="shared" si="93"/>
        <v>242.97</v>
      </c>
      <c r="BP246" s="26">
        <f t="shared" si="96"/>
        <v>242.07461538461541</v>
      </c>
      <c r="BQ246" s="26">
        <f t="shared" si="99"/>
        <v>235.17636363636365</v>
      </c>
      <c r="BR246" s="26">
        <f t="shared" si="105"/>
        <v>243.25133333333335</v>
      </c>
      <c r="BS246" s="26">
        <f t="shared" si="90"/>
        <v>244.23340182975247</v>
      </c>
      <c r="BT246" s="26">
        <f t="shared" si="91"/>
        <v>246.48700366480179</v>
      </c>
    </row>
    <row r="247" spans="1:72" x14ac:dyDescent="0.2">
      <c r="A247" s="62"/>
      <c r="B247" s="24">
        <v>44441</v>
      </c>
      <c r="C247" s="25">
        <v>260.44</v>
      </c>
      <c r="D247" s="26">
        <f t="shared" si="92"/>
        <v>247.90666666666667</v>
      </c>
      <c r="E247" s="26">
        <f t="shared" si="94"/>
        <v>245.70599999999999</v>
      </c>
      <c r="F247" s="26">
        <f t="shared" si="95"/>
        <v>247.05285714285716</v>
      </c>
      <c r="G247" s="26">
        <f t="shared" si="97"/>
        <v>244.54153846153847</v>
      </c>
      <c r="H247" s="26">
        <f t="shared" si="102"/>
        <v>235.40545454545457</v>
      </c>
      <c r="I247" s="26">
        <f t="shared" si="104"/>
        <v>248.63866666666669</v>
      </c>
      <c r="J247" s="26">
        <f t="shared" si="88"/>
        <v>250.71604109785147</v>
      </c>
      <c r="K247" s="26">
        <f t="shared" si="89"/>
        <v>254.85880146592069</v>
      </c>
      <c r="L247" s="26">
        <f t="shared" si="84"/>
        <v>218.79084136123672</v>
      </c>
      <c r="V247" s="26">
        <f t="shared" si="98"/>
        <v>243.9401423233987</v>
      </c>
      <c r="W247" s="26">
        <f t="shared" si="101"/>
        <v>242.38460018553729</v>
      </c>
      <c r="X247" s="26">
        <f t="shared" si="100"/>
        <v>1.5555421378614085</v>
      </c>
      <c r="Y247" s="26">
        <f t="shared" si="103"/>
        <v>0.61839801669786953</v>
      </c>
      <c r="Z247" s="26">
        <v>11754.23</v>
      </c>
      <c r="AA247" s="26">
        <f t="shared" si="85"/>
        <v>217.38893724751154</v>
      </c>
      <c r="AB247" s="27">
        <f t="shared" si="86"/>
        <v>-0.16530126997576586</v>
      </c>
      <c r="BK247" s="24">
        <v>44441</v>
      </c>
      <c r="BL247" s="25">
        <v>260.44</v>
      </c>
      <c r="BM247" s="26">
        <f t="shared" si="83"/>
        <v>247.90666666666667</v>
      </c>
      <c r="BN247" s="26">
        <f t="shared" si="87"/>
        <v>245.70599999999999</v>
      </c>
      <c r="BO247" s="26">
        <f t="shared" si="93"/>
        <v>247.05285714285716</v>
      </c>
      <c r="BP247" s="26">
        <f t="shared" si="96"/>
        <v>244.54153846153847</v>
      </c>
      <c r="BQ247" s="26">
        <f t="shared" si="99"/>
        <v>235.40545454545457</v>
      </c>
      <c r="BR247" s="26">
        <f t="shared" si="105"/>
        <v>248.63866666666669</v>
      </c>
      <c r="BS247" s="26">
        <f t="shared" si="90"/>
        <v>250.71604109785147</v>
      </c>
      <c r="BT247" s="26">
        <f t="shared" si="91"/>
        <v>254.85880146592069</v>
      </c>
    </row>
    <row r="248" spans="1:72" x14ac:dyDescent="0.2">
      <c r="A248" s="62"/>
      <c r="B248" s="24">
        <v>44442</v>
      </c>
      <c r="C248" s="25">
        <v>253.54</v>
      </c>
      <c r="D248" s="26">
        <f t="shared" si="92"/>
        <v>256.34333333333331</v>
      </c>
      <c r="E248" s="26">
        <f t="shared" si="94"/>
        <v>246.988</v>
      </c>
      <c r="F248" s="26">
        <f t="shared" si="95"/>
        <v>247.91000000000003</v>
      </c>
      <c r="G248" s="26">
        <f t="shared" si="97"/>
        <v>244.51538461538459</v>
      </c>
      <c r="H248" s="26">
        <f t="shared" si="102"/>
        <v>235.35212121212123</v>
      </c>
      <c r="I248" s="26">
        <f t="shared" si="104"/>
        <v>251.25</v>
      </c>
      <c r="J248" s="26">
        <f t="shared" si="88"/>
        <v>251.84562465871088</v>
      </c>
      <c r="K248" s="26">
        <f t="shared" si="89"/>
        <v>254.06752058636829</v>
      </c>
      <c r="L248" s="26">
        <f t="shared" si="84"/>
        <v>218.77600269923661</v>
      </c>
      <c r="V248" s="26">
        <f t="shared" si="98"/>
        <v>245.41704350441427</v>
      </c>
      <c r="W248" s="26">
        <f t="shared" si="101"/>
        <v>244.65124289203584</v>
      </c>
      <c r="X248" s="26">
        <f t="shared" si="100"/>
        <v>0.76580061237842756</v>
      </c>
      <c r="Y248" s="26">
        <f t="shared" si="103"/>
        <v>0.64787853583398114</v>
      </c>
      <c r="Z248" s="26">
        <v>12493.93</v>
      </c>
      <c r="AA248" s="26">
        <f t="shared" si="85"/>
        <v>217.71460449557435</v>
      </c>
      <c r="AB248" s="27">
        <f t="shared" si="86"/>
        <v>-0.14130076321063992</v>
      </c>
      <c r="BK248" s="24">
        <v>44442</v>
      </c>
      <c r="BL248" s="25">
        <v>253.54</v>
      </c>
      <c r="BM248" s="26">
        <f t="shared" si="83"/>
        <v>256.34333333333331</v>
      </c>
      <c r="BN248" s="26">
        <f t="shared" si="87"/>
        <v>246.988</v>
      </c>
      <c r="BO248" s="26">
        <f t="shared" si="93"/>
        <v>247.91000000000003</v>
      </c>
      <c r="BP248" s="26">
        <f t="shared" si="96"/>
        <v>244.51538461538459</v>
      </c>
      <c r="BQ248" s="26">
        <f t="shared" si="99"/>
        <v>235.35212121212123</v>
      </c>
      <c r="BR248" s="26">
        <f t="shared" si="105"/>
        <v>251.25</v>
      </c>
      <c r="BS248" s="26">
        <f t="shared" si="90"/>
        <v>251.84562465871088</v>
      </c>
      <c r="BT248" s="26">
        <f t="shared" si="91"/>
        <v>254.06752058636829</v>
      </c>
    </row>
    <row r="249" spans="1:72" x14ac:dyDescent="0.2">
      <c r="A249" s="62"/>
      <c r="B249" s="24">
        <v>44443</v>
      </c>
      <c r="C249" s="25">
        <v>250.58</v>
      </c>
      <c r="D249" s="26">
        <f t="shared" si="92"/>
        <v>254.85333333333335</v>
      </c>
      <c r="E249" s="26">
        <f t="shared" si="94"/>
        <v>249.56799999999998</v>
      </c>
      <c r="F249" s="26">
        <f t="shared" si="95"/>
        <v>247.52142857142854</v>
      </c>
      <c r="G249" s="26">
        <f t="shared" si="97"/>
        <v>244.41615384615383</v>
      </c>
      <c r="H249" s="26">
        <f t="shared" si="102"/>
        <v>235.44818181818181</v>
      </c>
      <c r="I249" s="26">
        <f t="shared" si="104"/>
        <v>252.44733333333335</v>
      </c>
      <c r="J249" s="26">
        <f t="shared" si="88"/>
        <v>251.33937479522655</v>
      </c>
      <c r="K249" s="26">
        <f t="shared" si="89"/>
        <v>251.97500823454732</v>
      </c>
      <c r="L249" s="26">
        <f t="shared" si="84"/>
        <v>218.76116403723651</v>
      </c>
      <c r="V249" s="26">
        <f t="shared" si="98"/>
        <v>246.21134450373518</v>
      </c>
      <c r="W249" s="26">
        <f t="shared" si="101"/>
        <v>245.79948472630952</v>
      </c>
      <c r="X249" s="26">
        <f t="shared" si="100"/>
        <v>0.41185977742566138</v>
      </c>
      <c r="Y249" s="26">
        <f t="shared" si="103"/>
        <v>0.60067478415231723</v>
      </c>
      <c r="Z249" s="26">
        <v>12112.31</v>
      </c>
      <c r="AA249" s="26">
        <f t="shared" si="85"/>
        <v>217.54658890113643</v>
      </c>
      <c r="AB249" s="27">
        <f t="shared" si="86"/>
        <v>-0.13182780389042853</v>
      </c>
      <c r="BK249" s="24">
        <v>44443</v>
      </c>
      <c r="BL249" s="25">
        <v>250.58</v>
      </c>
      <c r="BM249" s="26">
        <f t="shared" si="83"/>
        <v>254.85333333333335</v>
      </c>
      <c r="BN249" s="26">
        <f t="shared" si="87"/>
        <v>249.56799999999998</v>
      </c>
      <c r="BO249" s="26">
        <f t="shared" si="93"/>
        <v>247.52142857142854</v>
      </c>
      <c r="BP249" s="26">
        <f t="shared" si="96"/>
        <v>244.41615384615383</v>
      </c>
      <c r="BQ249" s="26">
        <f t="shared" si="99"/>
        <v>235.44818181818181</v>
      </c>
      <c r="BR249" s="26">
        <f t="shared" si="105"/>
        <v>252.44733333333335</v>
      </c>
      <c r="BS249" s="26">
        <f t="shared" si="90"/>
        <v>251.33937479522655</v>
      </c>
      <c r="BT249" s="26">
        <f t="shared" si="91"/>
        <v>251.97500823454732</v>
      </c>
    </row>
    <row r="250" spans="1:72" x14ac:dyDescent="0.2">
      <c r="A250" s="62"/>
      <c r="B250" s="24">
        <v>44444</v>
      </c>
      <c r="C250" s="25">
        <v>250.46</v>
      </c>
      <c r="D250" s="26">
        <f t="shared" si="92"/>
        <v>251.52666666666667</v>
      </c>
      <c r="E250" s="26">
        <f t="shared" si="94"/>
        <v>254.01399999999998</v>
      </c>
      <c r="F250" s="26">
        <f t="shared" si="95"/>
        <v>247.99714285714285</v>
      </c>
      <c r="G250" s="26">
        <f t="shared" si="97"/>
        <v>245.24923076923076</v>
      </c>
      <c r="H250" s="26">
        <f t="shared" si="102"/>
        <v>236.80181818181819</v>
      </c>
      <c r="I250" s="26">
        <f t="shared" si="104"/>
        <v>252.74466666666666</v>
      </c>
      <c r="J250" s="26">
        <f t="shared" si="88"/>
        <v>250.98762487713594</v>
      </c>
      <c r="K250" s="26">
        <f t="shared" si="89"/>
        <v>251.06600329381894</v>
      </c>
      <c r="L250" s="26">
        <f t="shared" si="84"/>
        <v>218.74632537523644</v>
      </c>
      <c r="V250" s="26">
        <f t="shared" si="98"/>
        <v>246.86498381085283</v>
      </c>
      <c r="W250" s="26">
        <f t="shared" si="101"/>
        <v>246.52605972568071</v>
      </c>
      <c r="X250" s="26">
        <f t="shared" si="100"/>
        <v>0.33892408517212402</v>
      </c>
      <c r="Y250" s="26">
        <f t="shared" si="103"/>
        <v>0.54832464435627859</v>
      </c>
      <c r="Z250" s="26">
        <v>14942.83</v>
      </c>
      <c r="AA250" s="26">
        <f t="shared" si="85"/>
        <v>218.79278013945844</v>
      </c>
      <c r="AB250" s="27">
        <f t="shared" si="86"/>
        <v>-0.12643623676651586</v>
      </c>
      <c r="BK250" s="24">
        <v>44444</v>
      </c>
      <c r="BL250" s="25">
        <v>250.46</v>
      </c>
      <c r="BM250" s="26">
        <f t="shared" si="83"/>
        <v>251.52666666666667</v>
      </c>
      <c r="BN250" s="26">
        <f t="shared" si="87"/>
        <v>254.01399999999998</v>
      </c>
      <c r="BO250" s="26">
        <f t="shared" si="93"/>
        <v>247.99714285714285</v>
      </c>
      <c r="BP250" s="26">
        <f t="shared" si="96"/>
        <v>245.24923076923076</v>
      </c>
      <c r="BQ250" s="26">
        <f t="shared" si="99"/>
        <v>236.80181818181819</v>
      </c>
      <c r="BR250" s="26">
        <f t="shared" si="105"/>
        <v>252.74466666666666</v>
      </c>
      <c r="BS250" s="26">
        <f t="shared" si="90"/>
        <v>250.98762487713594</v>
      </c>
      <c r="BT250" s="26">
        <f t="shared" si="91"/>
        <v>251.06600329381894</v>
      </c>
    </row>
    <row r="251" spans="1:72" x14ac:dyDescent="0.2">
      <c r="A251" s="62"/>
      <c r="B251" s="24">
        <v>44445</v>
      </c>
      <c r="C251" s="25">
        <v>244.98</v>
      </c>
      <c r="D251" s="26">
        <f t="shared" si="92"/>
        <v>248.67333333333332</v>
      </c>
      <c r="E251" s="26">
        <f t="shared" si="94"/>
        <v>252</v>
      </c>
      <c r="F251" s="26">
        <f t="shared" si="95"/>
        <v>249.04</v>
      </c>
      <c r="G251" s="26">
        <f t="shared" si="97"/>
        <v>246.50923076923075</v>
      </c>
      <c r="H251" s="26">
        <f t="shared" si="102"/>
        <v>237.94606060606063</v>
      </c>
      <c r="I251" s="26">
        <f t="shared" si="104"/>
        <v>249.73333333333329</v>
      </c>
      <c r="J251" s="26">
        <f t="shared" si="88"/>
        <v>248.58457492628156</v>
      </c>
      <c r="K251" s="26">
        <f t="shared" si="89"/>
        <v>247.41440131752756</v>
      </c>
      <c r="L251" s="26">
        <f t="shared" si="84"/>
        <v>218.73148671323634</v>
      </c>
      <c r="V251" s="26">
        <f t="shared" si="98"/>
        <v>246.57498630149084</v>
      </c>
      <c r="W251" s="26">
        <f t="shared" si="101"/>
        <v>246.7253553804193</v>
      </c>
      <c r="X251" s="26">
        <f t="shared" si="100"/>
        <v>-0.1503690789284633</v>
      </c>
      <c r="Y251" s="26">
        <f t="shared" si="103"/>
        <v>0.40858589969933024</v>
      </c>
      <c r="Z251" s="26">
        <v>14185.64</v>
      </c>
      <c r="AA251" s="26">
        <f t="shared" si="85"/>
        <v>218.45941258023078</v>
      </c>
      <c r="AB251" s="27">
        <f t="shared" si="86"/>
        <v>-0.10825613282622751</v>
      </c>
      <c r="BK251" s="24">
        <v>44445</v>
      </c>
      <c r="BL251" s="25">
        <v>244.98</v>
      </c>
      <c r="BM251" s="26">
        <f t="shared" si="83"/>
        <v>248.67333333333332</v>
      </c>
      <c r="BN251" s="26">
        <f t="shared" si="87"/>
        <v>252</v>
      </c>
      <c r="BO251" s="26">
        <f t="shared" si="93"/>
        <v>249.04</v>
      </c>
      <c r="BP251" s="26">
        <f t="shared" si="96"/>
        <v>246.50923076923075</v>
      </c>
      <c r="BQ251" s="26">
        <f t="shared" si="99"/>
        <v>237.94606060606063</v>
      </c>
      <c r="BR251" s="26">
        <f t="shared" si="105"/>
        <v>249.73333333333329</v>
      </c>
      <c r="BS251" s="26">
        <f t="shared" si="90"/>
        <v>248.58457492628156</v>
      </c>
      <c r="BT251" s="26">
        <f t="shared" si="91"/>
        <v>247.41440131752756</v>
      </c>
    </row>
    <row r="252" spans="1:72" x14ac:dyDescent="0.2">
      <c r="A252" s="62"/>
      <c r="B252" s="24">
        <v>44446</v>
      </c>
      <c r="C252" s="25">
        <v>239.37</v>
      </c>
      <c r="D252" s="26">
        <f t="shared" si="92"/>
        <v>244.93666666666664</v>
      </c>
      <c r="E252" s="26">
        <f t="shared" si="94"/>
        <v>247.786</v>
      </c>
      <c r="F252" s="26">
        <f t="shared" si="95"/>
        <v>250.63142857142859</v>
      </c>
      <c r="G252" s="26">
        <f t="shared" si="97"/>
        <v>246.16615384615383</v>
      </c>
      <c r="H252" s="26">
        <f t="shared" si="102"/>
        <v>238.18848484848482</v>
      </c>
      <c r="I252" s="26">
        <f t="shared" si="104"/>
        <v>245.52333333333334</v>
      </c>
      <c r="J252" s="26">
        <f t="shared" si="88"/>
        <v>244.89874495576896</v>
      </c>
      <c r="K252" s="26">
        <f t="shared" si="89"/>
        <v>242.58776052701103</v>
      </c>
      <c r="L252" s="26">
        <f t="shared" si="84"/>
        <v>218.71664805123623</v>
      </c>
      <c r="V252" s="26">
        <f t="shared" si="98"/>
        <v>245.46652687049226</v>
      </c>
      <c r="W252" s="26">
        <f t="shared" si="101"/>
        <v>246.04128361249153</v>
      </c>
      <c r="X252" s="26">
        <f t="shared" si="100"/>
        <v>-0.5747567419992663</v>
      </c>
      <c r="Y252" s="26">
        <f t="shared" si="103"/>
        <v>0.21191737135961092</v>
      </c>
      <c r="Z252" s="26">
        <v>13129.96</v>
      </c>
      <c r="AA252" s="26">
        <f t="shared" si="85"/>
        <v>217.99462901873969</v>
      </c>
      <c r="AB252" s="27">
        <f t="shared" si="86"/>
        <v>-8.9298454197519805E-2</v>
      </c>
      <c r="BK252" s="24">
        <v>44446</v>
      </c>
      <c r="BL252" s="25">
        <v>239.37</v>
      </c>
      <c r="BM252" s="26">
        <f t="shared" si="83"/>
        <v>244.93666666666664</v>
      </c>
      <c r="BN252" s="26">
        <f t="shared" si="87"/>
        <v>247.786</v>
      </c>
      <c r="BO252" s="26">
        <f t="shared" si="93"/>
        <v>250.63142857142859</v>
      </c>
      <c r="BP252" s="26">
        <f t="shared" si="96"/>
        <v>246.16615384615383</v>
      </c>
      <c r="BQ252" s="26">
        <f t="shared" si="99"/>
        <v>238.18848484848482</v>
      </c>
      <c r="BR252" s="26">
        <f t="shared" si="105"/>
        <v>245.52333333333334</v>
      </c>
      <c r="BS252" s="26">
        <f t="shared" si="90"/>
        <v>244.89874495576896</v>
      </c>
      <c r="BT252" s="26">
        <f t="shared" si="91"/>
        <v>242.58776052701103</v>
      </c>
    </row>
    <row r="253" spans="1:72" x14ac:dyDescent="0.2">
      <c r="A253" s="62"/>
      <c r="B253" s="24">
        <v>44447</v>
      </c>
      <c r="C253" s="25">
        <v>237.22</v>
      </c>
      <c r="D253" s="26">
        <f t="shared" si="92"/>
        <v>240.52333333333334</v>
      </c>
      <c r="E253" s="26">
        <f t="shared" si="94"/>
        <v>244.52199999999999</v>
      </c>
      <c r="F253" s="26">
        <f t="shared" si="95"/>
        <v>248.0842857142857</v>
      </c>
      <c r="G253" s="26">
        <f t="shared" si="97"/>
        <v>246.57846153846154</v>
      </c>
      <c r="H253" s="26">
        <f t="shared" si="102"/>
        <v>238.17363636363635</v>
      </c>
      <c r="I253" s="26">
        <f t="shared" si="104"/>
        <v>242.00133333333332</v>
      </c>
      <c r="J253" s="26">
        <f t="shared" si="88"/>
        <v>241.82724697346137</v>
      </c>
      <c r="K253" s="26">
        <f t="shared" si="89"/>
        <v>239.36710421080443</v>
      </c>
      <c r="L253" s="26">
        <f t="shared" si="84"/>
        <v>218.70180938923616</v>
      </c>
      <c r="V253" s="26">
        <f t="shared" si="98"/>
        <v>244.19783042887806</v>
      </c>
      <c r="W253" s="26">
        <f t="shared" si="101"/>
        <v>244.85567302823358</v>
      </c>
      <c r="X253" s="26">
        <f t="shared" si="100"/>
        <v>-0.65784259935551859</v>
      </c>
      <c r="Y253" s="26">
        <f t="shared" si="103"/>
        <v>3.7965377216585022E-2</v>
      </c>
      <c r="Z253" s="26">
        <v>11737.67</v>
      </c>
      <c r="AA253" s="26">
        <f t="shared" si="85"/>
        <v>217.38164638685461</v>
      </c>
      <c r="AB253" s="27">
        <f t="shared" si="86"/>
        <v>-8.3628503554276146E-2</v>
      </c>
      <c r="BK253" s="24">
        <v>44447</v>
      </c>
      <c r="BL253" s="25">
        <v>237.22</v>
      </c>
      <c r="BM253" s="26">
        <f t="shared" si="83"/>
        <v>240.52333333333334</v>
      </c>
      <c r="BN253" s="26">
        <f t="shared" si="87"/>
        <v>244.52199999999999</v>
      </c>
      <c r="BO253" s="26">
        <f t="shared" si="93"/>
        <v>248.0842857142857</v>
      </c>
      <c r="BP253" s="26">
        <f t="shared" si="96"/>
        <v>246.57846153846154</v>
      </c>
      <c r="BQ253" s="26">
        <f t="shared" si="99"/>
        <v>238.17363636363635</v>
      </c>
      <c r="BR253" s="26">
        <f t="shared" si="105"/>
        <v>242.00133333333332</v>
      </c>
      <c r="BS253" s="26">
        <f t="shared" si="90"/>
        <v>241.82724697346137</v>
      </c>
      <c r="BT253" s="26">
        <f t="shared" si="91"/>
        <v>239.36710421080443</v>
      </c>
    </row>
    <row r="254" spans="1:72" x14ac:dyDescent="0.2">
      <c r="A254" s="62"/>
      <c r="B254" s="24">
        <v>44448</v>
      </c>
      <c r="C254" s="25">
        <v>238.37</v>
      </c>
      <c r="D254" s="26">
        <f t="shared" si="92"/>
        <v>238.32000000000002</v>
      </c>
      <c r="E254" s="26">
        <f t="shared" si="94"/>
        <v>242.08</v>
      </c>
      <c r="F254" s="26">
        <f t="shared" si="95"/>
        <v>244.93142857142857</v>
      </c>
      <c r="G254" s="26">
        <f t="shared" si="97"/>
        <v>245.87307692307689</v>
      </c>
      <c r="H254" s="26">
        <f t="shared" si="102"/>
        <v>237.70121212121211</v>
      </c>
      <c r="I254" s="26">
        <f t="shared" si="104"/>
        <v>239.95066666666668</v>
      </c>
      <c r="J254" s="26">
        <f t="shared" si="88"/>
        <v>240.44434818407683</v>
      </c>
      <c r="K254" s="26">
        <f t="shared" si="89"/>
        <v>238.76884168432179</v>
      </c>
      <c r="L254" s="26">
        <f t="shared" si="84"/>
        <v>218.68697072723606</v>
      </c>
      <c r="V254" s="26">
        <f t="shared" si="98"/>
        <v>243.30124113212759</v>
      </c>
      <c r="W254" s="26">
        <f t="shared" si="101"/>
        <v>243.76613928599821</v>
      </c>
      <c r="X254" s="26">
        <f t="shared" si="100"/>
        <v>-0.46489815387062094</v>
      </c>
      <c r="Y254" s="26">
        <f t="shared" si="103"/>
        <v>-6.2607329000856166E-2</v>
      </c>
      <c r="Z254" s="26">
        <v>11340.02</v>
      </c>
      <c r="AA254" s="26">
        <f t="shared" si="85"/>
        <v>217.20657327452236</v>
      </c>
      <c r="AB254" s="27">
        <f t="shared" si="86"/>
        <v>-8.8783935585340645E-2</v>
      </c>
      <c r="BK254" s="24">
        <v>44448</v>
      </c>
      <c r="BL254" s="25">
        <v>238.37</v>
      </c>
      <c r="BM254" s="26">
        <f t="shared" si="83"/>
        <v>238.32000000000002</v>
      </c>
      <c r="BN254" s="26">
        <f t="shared" si="87"/>
        <v>242.08</v>
      </c>
      <c r="BO254" s="26">
        <f t="shared" si="93"/>
        <v>244.93142857142857</v>
      </c>
      <c r="BP254" s="26">
        <f t="shared" si="96"/>
        <v>245.87307692307689</v>
      </c>
      <c r="BQ254" s="26">
        <f t="shared" si="99"/>
        <v>237.70121212121211</v>
      </c>
      <c r="BR254" s="26">
        <f t="shared" si="105"/>
        <v>239.95066666666668</v>
      </c>
      <c r="BS254" s="26">
        <f t="shared" si="90"/>
        <v>240.44434818407683</v>
      </c>
      <c r="BT254" s="26">
        <f t="shared" si="91"/>
        <v>238.76884168432179</v>
      </c>
    </row>
    <row r="255" spans="1:72" x14ac:dyDescent="0.2">
      <c r="A255" s="62"/>
      <c r="B255" s="24">
        <v>44449</v>
      </c>
      <c r="C255" s="25">
        <v>237.59</v>
      </c>
      <c r="D255" s="26">
        <f t="shared" si="92"/>
        <v>237.72666666666669</v>
      </c>
      <c r="E255" s="26">
        <f t="shared" si="94"/>
        <v>239.506</v>
      </c>
      <c r="F255" s="26">
        <f t="shared" si="95"/>
        <v>242.65285714285713</v>
      </c>
      <c r="G255" s="26">
        <f t="shared" si="97"/>
        <v>244.66461538461533</v>
      </c>
      <c r="H255" s="26">
        <f t="shared" si="102"/>
        <v>237.40818181818179</v>
      </c>
      <c r="I255" s="26">
        <f t="shared" si="104"/>
        <v>238.45400000000001</v>
      </c>
      <c r="J255" s="26">
        <f t="shared" si="88"/>
        <v>239.30260891044608</v>
      </c>
      <c r="K255" s="26">
        <f t="shared" si="89"/>
        <v>238.06153667372871</v>
      </c>
      <c r="L255" s="26">
        <f t="shared" si="84"/>
        <v>218.67213206523596</v>
      </c>
      <c r="V255" s="26">
        <f t="shared" si="98"/>
        <v>242.42258865026182</v>
      </c>
      <c r="W255" s="26">
        <f t="shared" si="101"/>
        <v>242.87818623345149</v>
      </c>
      <c r="X255" s="26">
        <f t="shared" si="100"/>
        <v>-0.4555975831896717</v>
      </c>
      <c r="Y255" s="26">
        <f t="shared" si="103"/>
        <v>-0.14120537983861928</v>
      </c>
      <c r="Z255" s="26">
        <v>12854.8</v>
      </c>
      <c r="AA255" s="26">
        <f t="shared" si="85"/>
        <v>217.87348450072298</v>
      </c>
      <c r="AB255" s="27">
        <f t="shared" si="86"/>
        <v>-8.2985460243600415E-2</v>
      </c>
      <c r="BK255" s="24">
        <v>44449</v>
      </c>
      <c r="BL255" s="25">
        <v>237.59</v>
      </c>
      <c r="BM255" s="26">
        <f t="shared" si="83"/>
        <v>237.72666666666669</v>
      </c>
      <c r="BN255" s="26">
        <f t="shared" si="87"/>
        <v>239.506</v>
      </c>
      <c r="BO255" s="26">
        <f t="shared" si="93"/>
        <v>242.65285714285713</v>
      </c>
      <c r="BP255" s="26">
        <f t="shared" si="96"/>
        <v>244.66461538461533</v>
      </c>
      <c r="BQ255" s="26">
        <f t="shared" si="99"/>
        <v>237.40818181818179</v>
      </c>
      <c r="BR255" s="26">
        <f t="shared" si="105"/>
        <v>238.45400000000001</v>
      </c>
      <c r="BS255" s="26">
        <f t="shared" si="90"/>
        <v>239.30260891044608</v>
      </c>
      <c r="BT255" s="26">
        <f t="shared" si="91"/>
        <v>238.06153667372871</v>
      </c>
    </row>
    <row r="256" spans="1:72" x14ac:dyDescent="0.2">
      <c r="A256" s="62"/>
      <c r="B256" s="24">
        <v>44450</v>
      </c>
      <c r="C256" s="25">
        <v>236.4</v>
      </c>
      <c r="D256" s="26">
        <f t="shared" si="92"/>
        <v>237.45333333333335</v>
      </c>
      <c r="E256" s="26">
        <f t="shared" si="94"/>
        <v>237.79000000000002</v>
      </c>
      <c r="F256" s="26">
        <f t="shared" si="95"/>
        <v>240.62714285714287</v>
      </c>
      <c r="G256" s="26">
        <f t="shared" si="97"/>
        <v>243.83923076923077</v>
      </c>
      <c r="H256" s="26">
        <f t="shared" si="102"/>
        <v>237.41090909090909</v>
      </c>
      <c r="I256" s="26">
        <f t="shared" si="104"/>
        <v>237.41866666666667</v>
      </c>
      <c r="J256" s="26">
        <f t="shared" si="88"/>
        <v>238.14156534626764</v>
      </c>
      <c r="K256" s="26">
        <f t="shared" si="89"/>
        <v>237.0646146694915</v>
      </c>
      <c r="L256" s="26">
        <f t="shared" si="84"/>
        <v>218.65729340323588</v>
      </c>
      <c r="V256" s="26">
        <f t="shared" si="98"/>
        <v>241.49603655022153</v>
      </c>
      <c r="W256" s="26">
        <f t="shared" si="101"/>
        <v>241.97647097246465</v>
      </c>
      <c r="X256" s="26">
        <f t="shared" si="100"/>
        <v>-0.48043442224312116</v>
      </c>
      <c r="Y256" s="26">
        <f t="shared" si="103"/>
        <v>-0.20905118831951966</v>
      </c>
      <c r="Z256" s="26">
        <v>10542.1</v>
      </c>
      <c r="AA256" s="26">
        <f t="shared" si="85"/>
        <v>216.85527354412585</v>
      </c>
      <c r="AB256" s="27">
        <f t="shared" si="86"/>
        <v>-8.2676507850567488E-2</v>
      </c>
      <c r="BK256" s="24">
        <v>44450</v>
      </c>
      <c r="BL256" s="25">
        <v>236.4</v>
      </c>
      <c r="BM256" s="26">
        <f t="shared" si="83"/>
        <v>237.45333333333335</v>
      </c>
      <c r="BN256" s="26">
        <f t="shared" si="87"/>
        <v>237.79000000000002</v>
      </c>
      <c r="BO256" s="26">
        <f t="shared" si="93"/>
        <v>240.62714285714287</v>
      </c>
      <c r="BP256" s="26">
        <f t="shared" si="96"/>
        <v>243.83923076923077</v>
      </c>
      <c r="BQ256" s="26">
        <f t="shared" si="99"/>
        <v>237.41090909090909</v>
      </c>
      <c r="BR256" s="26">
        <f t="shared" si="105"/>
        <v>237.41866666666667</v>
      </c>
      <c r="BS256" s="26">
        <f t="shared" si="90"/>
        <v>238.14156534626764</v>
      </c>
      <c r="BT256" s="26">
        <f t="shared" si="91"/>
        <v>237.0646146694915</v>
      </c>
    </row>
    <row r="257" spans="1:72" x14ac:dyDescent="0.2">
      <c r="A257" s="62"/>
      <c r="B257" s="24">
        <v>44451</v>
      </c>
      <c r="C257" s="25">
        <v>236.6</v>
      </c>
      <c r="D257" s="26">
        <f t="shared" si="92"/>
        <v>236.86333333333334</v>
      </c>
      <c r="E257" s="26">
        <f t="shared" si="94"/>
        <v>237.23600000000002</v>
      </c>
      <c r="F257" s="26">
        <f t="shared" si="95"/>
        <v>238.64714285714285</v>
      </c>
      <c r="G257" s="26">
        <f t="shared" si="97"/>
        <v>243.75615384615384</v>
      </c>
      <c r="H257" s="26">
        <f t="shared" si="102"/>
        <v>238.45636363636362</v>
      </c>
      <c r="I257" s="26">
        <f t="shared" si="104"/>
        <v>237.02199999999996</v>
      </c>
      <c r="J257" s="26">
        <f t="shared" si="88"/>
        <v>237.52493920776055</v>
      </c>
      <c r="K257" s="26">
        <f t="shared" si="89"/>
        <v>236.78584586779658</v>
      </c>
      <c r="L257" s="26">
        <f t="shared" si="84"/>
        <v>218.64245474123578</v>
      </c>
      <c r="V257" s="26">
        <f t="shared" si="98"/>
        <v>240.74280015787977</v>
      </c>
      <c r="W257" s="26">
        <f t="shared" si="101"/>
        <v>241.13336717613103</v>
      </c>
      <c r="X257" s="26">
        <f t="shared" si="100"/>
        <v>-0.39056701825126083</v>
      </c>
      <c r="Y257" s="26">
        <f t="shared" si="103"/>
        <v>-0.24535435430586788</v>
      </c>
      <c r="Z257" s="26">
        <v>15153.45</v>
      </c>
      <c r="AA257" s="26">
        <f t="shared" si="85"/>
        <v>218.88550967276518</v>
      </c>
      <c r="AB257" s="27">
        <f t="shared" si="86"/>
        <v>-7.4871049565658557E-2</v>
      </c>
      <c r="BK257" s="24">
        <v>44451</v>
      </c>
      <c r="BL257" s="25">
        <v>236.6</v>
      </c>
      <c r="BM257" s="26">
        <f t="shared" si="83"/>
        <v>236.86333333333334</v>
      </c>
      <c r="BN257" s="26">
        <f t="shared" si="87"/>
        <v>237.23600000000002</v>
      </c>
      <c r="BO257" s="26">
        <f t="shared" si="93"/>
        <v>238.64714285714285</v>
      </c>
      <c r="BP257" s="26">
        <f t="shared" si="96"/>
        <v>243.75615384615384</v>
      </c>
      <c r="BQ257" s="26">
        <f t="shared" si="99"/>
        <v>238.45636363636362</v>
      </c>
      <c r="BR257" s="26">
        <f t="shared" si="105"/>
        <v>237.02199999999996</v>
      </c>
      <c r="BS257" s="26">
        <f t="shared" si="90"/>
        <v>237.52493920776055</v>
      </c>
      <c r="BT257" s="26">
        <f t="shared" si="91"/>
        <v>236.78584586779658</v>
      </c>
    </row>
    <row r="258" spans="1:72" x14ac:dyDescent="0.2">
      <c r="A258" s="62"/>
      <c r="B258" s="24">
        <v>44452</v>
      </c>
      <c r="C258" s="25">
        <v>242.16</v>
      </c>
      <c r="D258" s="26">
        <f t="shared" si="92"/>
        <v>238.38666666666666</v>
      </c>
      <c r="E258" s="26">
        <f t="shared" si="94"/>
        <v>238.22400000000002</v>
      </c>
      <c r="F258" s="26">
        <f t="shared" si="95"/>
        <v>238.24428571428572</v>
      </c>
      <c r="G258" s="26">
        <f t="shared" si="97"/>
        <v>244.82769230769233</v>
      </c>
      <c r="H258" s="26">
        <f t="shared" si="102"/>
        <v>239.54969696969695</v>
      </c>
      <c r="I258" s="26">
        <f t="shared" si="104"/>
        <v>238.6633333333333</v>
      </c>
      <c r="J258" s="26">
        <f t="shared" si="88"/>
        <v>239.37896352465634</v>
      </c>
      <c r="K258" s="26">
        <f t="shared" si="89"/>
        <v>240.01033834711865</v>
      </c>
      <c r="L258" s="26">
        <f t="shared" si="84"/>
        <v>218.62761607923568</v>
      </c>
      <c r="V258" s="26">
        <f t="shared" si="98"/>
        <v>240.96083090282133</v>
      </c>
      <c r="W258" s="26">
        <f t="shared" si="101"/>
        <v>240.84777792396275</v>
      </c>
      <c r="X258" s="26">
        <f t="shared" si="100"/>
        <v>0.11305297885857613</v>
      </c>
      <c r="Y258" s="26">
        <f t="shared" si="103"/>
        <v>-0.17367288767297909</v>
      </c>
      <c r="Z258" s="26">
        <v>13791.15</v>
      </c>
      <c r="AA258" s="26">
        <f t="shared" si="85"/>
        <v>218.28573071908667</v>
      </c>
      <c r="AB258" s="27">
        <f t="shared" si="86"/>
        <v>-9.8588822600401901E-2</v>
      </c>
      <c r="BK258" s="24">
        <v>44452</v>
      </c>
      <c r="BL258" s="25">
        <v>242.16</v>
      </c>
      <c r="BM258" s="26">
        <f t="shared" si="83"/>
        <v>238.38666666666666</v>
      </c>
      <c r="BN258" s="26">
        <f t="shared" si="87"/>
        <v>238.22400000000002</v>
      </c>
      <c r="BO258" s="26">
        <f t="shared" si="93"/>
        <v>238.24428571428572</v>
      </c>
      <c r="BP258" s="26">
        <f t="shared" si="96"/>
        <v>244.82769230769233</v>
      </c>
      <c r="BQ258" s="26">
        <f t="shared" si="99"/>
        <v>239.54969696969695</v>
      </c>
      <c r="BR258" s="26">
        <f t="shared" si="105"/>
        <v>238.6633333333333</v>
      </c>
      <c r="BS258" s="26">
        <f t="shared" si="90"/>
        <v>239.37896352465634</v>
      </c>
      <c r="BT258" s="26">
        <f t="shared" si="91"/>
        <v>240.01033834711865</v>
      </c>
    </row>
    <row r="259" spans="1:72" x14ac:dyDescent="0.2">
      <c r="A259" s="62"/>
      <c r="B259" s="24">
        <v>44453</v>
      </c>
      <c r="C259" s="25">
        <v>239.86</v>
      </c>
      <c r="D259" s="26">
        <f t="shared" si="92"/>
        <v>239.54</v>
      </c>
      <c r="E259" s="26">
        <f t="shared" si="94"/>
        <v>238.52200000000002</v>
      </c>
      <c r="F259" s="26">
        <f t="shared" si="95"/>
        <v>238.31428571428575</v>
      </c>
      <c r="G259" s="26">
        <f t="shared" si="97"/>
        <v>243.65923076923079</v>
      </c>
      <c r="H259" s="26">
        <f t="shared" si="102"/>
        <v>239.92424242424241</v>
      </c>
      <c r="I259" s="26">
        <f t="shared" si="104"/>
        <v>239.20866666666669</v>
      </c>
      <c r="J259" s="26">
        <f t="shared" si="88"/>
        <v>239.57137811479382</v>
      </c>
      <c r="K259" s="26">
        <f t="shared" si="89"/>
        <v>239.92013533884744</v>
      </c>
      <c r="L259" s="26">
        <f t="shared" si="84"/>
        <v>218.61277741723561</v>
      </c>
      <c r="V259" s="26">
        <f t="shared" si="98"/>
        <v>240.79147230238726</v>
      </c>
      <c r="W259" s="26">
        <f t="shared" si="101"/>
        <v>240.8792878729827</v>
      </c>
      <c r="X259" s="26">
        <f t="shared" si="100"/>
        <v>-8.781557059543843E-2</v>
      </c>
      <c r="Y259" s="26">
        <f t="shared" si="103"/>
        <v>-0.15650142425747096</v>
      </c>
      <c r="Z259" s="26">
        <v>12843.81</v>
      </c>
      <c r="AA259" s="26">
        <f t="shared" si="85"/>
        <v>217.86864594041987</v>
      </c>
      <c r="AB259" s="27">
        <f t="shared" si="86"/>
        <v>-9.1684124320771054E-2</v>
      </c>
      <c r="BK259" s="24">
        <v>44453</v>
      </c>
      <c r="BL259" s="25">
        <v>239.86</v>
      </c>
      <c r="BM259" s="26">
        <f t="shared" ref="BM259:BM322" si="106">AVERAGE(BL257:BL259)</f>
        <v>239.54</v>
      </c>
      <c r="BN259" s="26">
        <f t="shared" si="87"/>
        <v>238.52200000000002</v>
      </c>
      <c r="BO259" s="26">
        <f t="shared" si="93"/>
        <v>238.31428571428575</v>
      </c>
      <c r="BP259" s="26">
        <f t="shared" si="96"/>
        <v>243.65923076923079</v>
      </c>
      <c r="BQ259" s="26">
        <f t="shared" si="99"/>
        <v>239.92424242424241</v>
      </c>
      <c r="BR259" s="26">
        <f t="shared" si="105"/>
        <v>239.20866666666669</v>
      </c>
      <c r="BS259" s="26">
        <f t="shared" si="90"/>
        <v>239.57137811479382</v>
      </c>
      <c r="BT259" s="26">
        <f t="shared" si="91"/>
        <v>239.92013533884744</v>
      </c>
    </row>
    <row r="260" spans="1:72" x14ac:dyDescent="0.2">
      <c r="A260" s="62"/>
      <c r="B260" s="24">
        <v>44454</v>
      </c>
      <c r="C260" s="25">
        <v>239.47</v>
      </c>
      <c r="D260" s="26">
        <f t="shared" si="92"/>
        <v>240.49666666666667</v>
      </c>
      <c r="E260" s="26">
        <f t="shared" si="94"/>
        <v>238.898</v>
      </c>
      <c r="F260" s="26">
        <f t="shared" si="95"/>
        <v>238.6357142857143</v>
      </c>
      <c r="G260" s="26">
        <f t="shared" si="97"/>
        <v>242.0461538461538</v>
      </c>
      <c r="H260" s="26">
        <f t="shared" si="102"/>
        <v>240.1093939393939</v>
      </c>
      <c r="I260" s="26">
        <f t="shared" si="104"/>
        <v>239.52466666666666</v>
      </c>
      <c r="J260" s="26">
        <f t="shared" si="88"/>
        <v>239.53082686887629</v>
      </c>
      <c r="K260" s="26">
        <f t="shared" si="89"/>
        <v>239.65005413553897</v>
      </c>
      <c r="L260" s="26">
        <f t="shared" ref="L260:L323" si="107">$N$20+$N$21*A867</f>
        <v>218.5979387552355</v>
      </c>
      <c r="V260" s="26">
        <f t="shared" si="98"/>
        <v>240.58816887125079</v>
      </c>
      <c r="W260" s="26">
        <f t="shared" si="101"/>
        <v>240.69358546517338</v>
      </c>
      <c r="X260" s="26">
        <f t="shared" si="100"/>
        <v>-0.10541659392259817</v>
      </c>
      <c r="Y260" s="26">
        <f t="shared" si="103"/>
        <v>-0.1462844581904964</v>
      </c>
      <c r="Z260" s="26">
        <v>13411.96</v>
      </c>
      <c r="AA260" s="26">
        <f t="shared" ref="AA260:AA323" si="108">$AD$20+$AD$21*Z260</f>
        <v>218.11878497920165</v>
      </c>
      <c r="AB260" s="27">
        <f t="shared" si="86"/>
        <v>-8.916029156386332E-2</v>
      </c>
      <c r="BK260" s="24">
        <v>44454</v>
      </c>
      <c r="BL260" s="25">
        <v>239.47</v>
      </c>
      <c r="BM260" s="26">
        <f t="shared" si="106"/>
        <v>240.49666666666667</v>
      </c>
      <c r="BN260" s="26">
        <f t="shared" si="87"/>
        <v>238.898</v>
      </c>
      <c r="BO260" s="26">
        <f t="shared" si="93"/>
        <v>238.6357142857143</v>
      </c>
      <c r="BP260" s="26">
        <f t="shared" si="96"/>
        <v>242.0461538461538</v>
      </c>
      <c r="BQ260" s="26">
        <f t="shared" si="99"/>
        <v>240.1093939393939</v>
      </c>
      <c r="BR260" s="26">
        <f t="shared" si="105"/>
        <v>239.52466666666666</v>
      </c>
      <c r="BS260" s="26">
        <f t="shared" si="90"/>
        <v>239.53082686887629</v>
      </c>
      <c r="BT260" s="26">
        <f t="shared" si="91"/>
        <v>239.65005413553897</v>
      </c>
    </row>
    <row r="261" spans="1:72" x14ac:dyDescent="0.2">
      <c r="A261" s="62"/>
      <c r="B261" s="24">
        <v>44455</v>
      </c>
      <c r="C261" s="25">
        <v>241.01</v>
      </c>
      <c r="D261" s="26">
        <f t="shared" si="92"/>
        <v>240.11333333333334</v>
      </c>
      <c r="E261" s="26">
        <f t="shared" si="94"/>
        <v>239.82</v>
      </c>
      <c r="F261" s="26">
        <f t="shared" si="95"/>
        <v>239.01285714285717</v>
      </c>
      <c r="G261" s="26">
        <f t="shared" si="97"/>
        <v>241.08230769230767</v>
      </c>
      <c r="H261" s="26">
        <f t="shared" si="102"/>
        <v>239.70393939393938</v>
      </c>
      <c r="I261" s="26">
        <f t="shared" si="104"/>
        <v>240.22866666666667</v>
      </c>
      <c r="J261" s="26">
        <f t="shared" si="88"/>
        <v>240.12249612132575</v>
      </c>
      <c r="K261" s="26">
        <f t="shared" si="89"/>
        <v>240.46602165421558</v>
      </c>
      <c r="L261" s="26">
        <f t="shared" si="107"/>
        <v>218.5831000932354</v>
      </c>
      <c r="V261" s="26">
        <f t="shared" si="98"/>
        <v>240.65306596798143</v>
      </c>
      <c r="W261" s="26">
        <f t="shared" si="101"/>
        <v>240.6194156215285</v>
      </c>
      <c r="X261" s="26">
        <f t="shared" si="100"/>
        <v>3.365034645293008E-2</v>
      </c>
      <c r="Y261" s="26">
        <f t="shared" si="103"/>
        <v>-0.11029749726181111</v>
      </c>
      <c r="Z261" s="26">
        <v>11364.24</v>
      </c>
      <c r="AA261" s="26">
        <f t="shared" si="108"/>
        <v>217.21723659850244</v>
      </c>
      <c r="AB261" s="27">
        <f t="shared" ref="AB261:AB324" si="109">(AA261-C261)/C261</f>
        <v>-9.8721063032644094E-2</v>
      </c>
      <c r="BK261" s="24">
        <v>44455</v>
      </c>
      <c r="BL261" s="25">
        <v>241.01</v>
      </c>
      <c r="BM261" s="26">
        <f t="shared" si="106"/>
        <v>240.11333333333334</v>
      </c>
      <c r="BN261" s="26">
        <f t="shared" ref="BN261:BN324" si="110">AVERAGE(BL257:BL261)</f>
        <v>239.82</v>
      </c>
      <c r="BO261" s="26">
        <f t="shared" si="93"/>
        <v>239.01285714285717</v>
      </c>
      <c r="BP261" s="26">
        <f t="shared" si="96"/>
        <v>241.08230769230767</v>
      </c>
      <c r="BQ261" s="26">
        <f t="shared" si="99"/>
        <v>239.70393939393938</v>
      </c>
      <c r="BR261" s="26">
        <f t="shared" si="105"/>
        <v>240.22866666666667</v>
      </c>
      <c r="BS261" s="26">
        <f t="shared" si="90"/>
        <v>240.12249612132575</v>
      </c>
      <c r="BT261" s="26">
        <f t="shared" si="91"/>
        <v>240.46602165421558</v>
      </c>
    </row>
    <row r="262" spans="1:72" x14ac:dyDescent="0.2">
      <c r="A262" s="62"/>
      <c r="B262" s="24">
        <v>44456</v>
      </c>
      <c r="C262" s="25">
        <v>235.85</v>
      </c>
      <c r="D262" s="26">
        <f t="shared" si="92"/>
        <v>238.77666666666667</v>
      </c>
      <c r="E262" s="26">
        <f t="shared" si="94"/>
        <v>239.67</v>
      </c>
      <c r="F262" s="26">
        <f t="shared" si="95"/>
        <v>238.76428571428571</v>
      </c>
      <c r="G262" s="26">
        <f t="shared" si="97"/>
        <v>239.94923076923075</v>
      </c>
      <c r="H262" s="26">
        <f t="shared" si="102"/>
        <v>239.59</v>
      </c>
      <c r="I262" s="26">
        <f t="shared" si="104"/>
        <v>238.90533333333332</v>
      </c>
      <c r="J262" s="26">
        <f t="shared" ref="J262:J325" si="111">C262*$J$3+J261*(1-$J$3)</f>
        <v>238.41349767279544</v>
      </c>
      <c r="K262" s="26">
        <f t="shared" ref="K262:K325" si="112">C262*$K$3+K261*(1-$K$3)</f>
        <v>237.69640866168623</v>
      </c>
      <c r="L262" s="26">
        <f t="shared" si="107"/>
        <v>218.56826143123533</v>
      </c>
      <c r="V262" s="26">
        <f t="shared" si="98"/>
        <v>239.91413274213815</v>
      </c>
      <c r="W262" s="26">
        <f t="shared" si="101"/>
        <v>240.29728330368653</v>
      </c>
      <c r="X262" s="26">
        <f t="shared" si="100"/>
        <v>-0.38315056154837634</v>
      </c>
      <c r="Y262" s="26">
        <f t="shared" si="103"/>
        <v>-0.16486811011912417</v>
      </c>
      <c r="Z262" s="26">
        <v>11372.6</v>
      </c>
      <c r="AA262" s="26">
        <f t="shared" si="108"/>
        <v>217.22091725037998</v>
      </c>
      <c r="AB262" s="27">
        <f t="shared" si="109"/>
        <v>-7.8986994910409211E-2</v>
      </c>
      <c r="BK262" s="24">
        <v>44456</v>
      </c>
      <c r="BL262" s="25">
        <v>235.85</v>
      </c>
      <c r="BM262" s="26">
        <f t="shared" si="106"/>
        <v>238.77666666666667</v>
      </c>
      <c r="BN262" s="26">
        <f t="shared" si="110"/>
        <v>239.67</v>
      </c>
      <c r="BO262" s="26">
        <f t="shared" si="93"/>
        <v>238.76428571428571</v>
      </c>
      <c r="BP262" s="26">
        <f t="shared" si="96"/>
        <v>239.94923076923075</v>
      </c>
      <c r="BQ262" s="26">
        <f t="shared" si="99"/>
        <v>239.59</v>
      </c>
      <c r="BR262" s="26">
        <f t="shared" si="105"/>
        <v>238.90533333333332</v>
      </c>
      <c r="BS262" s="26">
        <f t="shared" ref="BS262:BS325" si="113">BL262*$J$3+BS261*(1-$J$3)</f>
        <v>238.41349767279544</v>
      </c>
      <c r="BT262" s="26">
        <f t="shared" ref="BT262:BT325" si="114">BL262*$K$3+BT261*(1-$K$3)</f>
        <v>237.69640866168623</v>
      </c>
    </row>
    <row r="263" spans="1:72" x14ac:dyDescent="0.2">
      <c r="A263" s="62"/>
      <c r="B263" s="24">
        <v>44457</v>
      </c>
      <c r="C263" s="25">
        <v>238.46</v>
      </c>
      <c r="D263" s="26">
        <f t="shared" ref="D263:D326" si="115">AVERAGE(C261:C263)</f>
        <v>238.44000000000003</v>
      </c>
      <c r="E263" s="26">
        <f t="shared" si="94"/>
        <v>238.93</v>
      </c>
      <c r="F263" s="26">
        <f t="shared" si="95"/>
        <v>239.05857142857141</v>
      </c>
      <c r="G263" s="26">
        <f t="shared" si="97"/>
        <v>239.02615384615382</v>
      </c>
      <c r="H263" s="26">
        <f t="shared" si="102"/>
        <v>239.88727272727274</v>
      </c>
      <c r="I263" s="26">
        <f t="shared" si="104"/>
        <v>238.50199999999998</v>
      </c>
      <c r="J263" s="26">
        <f t="shared" si="111"/>
        <v>238.43209860367728</v>
      </c>
      <c r="K263" s="26">
        <f t="shared" si="112"/>
        <v>238.15456346467448</v>
      </c>
      <c r="L263" s="26">
        <f t="shared" si="107"/>
        <v>218.55342276923523</v>
      </c>
      <c r="V263" s="26">
        <f t="shared" si="98"/>
        <v>239.69042001257844</v>
      </c>
      <c r="W263" s="26">
        <f t="shared" si="101"/>
        <v>239.80641920568348</v>
      </c>
      <c r="X263" s="26">
        <f t="shared" si="100"/>
        <v>-0.11599919310503992</v>
      </c>
      <c r="Y263" s="26">
        <f t="shared" si="103"/>
        <v>-0.15509432671630732</v>
      </c>
      <c r="Z263" s="26">
        <v>12779.91</v>
      </c>
      <c r="AA263" s="26">
        <f t="shared" si="108"/>
        <v>217.84051272810242</v>
      </c>
      <c r="AB263" s="27">
        <f t="shared" si="109"/>
        <v>-8.6469375458767012E-2</v>
      </c>
      <c r="BK263" s="24">
        <v>44457</v>
      </c>
      <c r="BL263" s="25">
        <v>238.46</v>
      </c>
      <c r="BM263" s="26">
        <f t="shared" si="106"/>
        <v>238.44000000000003</v>
      </c>
      <c r="BN263" s="26">
        <f t="shared" si="110"/>
        <v>238.93</v>
      </c>
      <c r="BO263" s="26">
        <f t="shared" ref="BO263:BO326" si="116">AVERAGE(BL257:BL263)</f>
        <v>239.05857142857141</v>
      </c>
      <c r="BP263" s="26">
        <f t="shared" si="96"/>
        <v>239.02615384615382</v>
      </c>
      <c r="BQ263" s="26">
        <f t="shared" si="99"/>
        <v>239.88727272727274</v>
      </c>
      <c r="BR263" s="26">
        <f t="shared" si="105"/>
        <v>238.50199999999998</v>
      </c>
      <c r="BS263" s="26">
        <f t="shared" si="113"/>
        <v>238.43209860367728</v>
      </c>
      <c r="BT263" s="26">
        <f t="shared" si="114"/>
        <v>238.15456346467448</v>
      </c>
    </row>
    <row r="264" spans="1:72" x14ac:dyDescent="0.2">
      <c r="A264" s="62"/>
      <c r="B264" s="24">
        <v>44458</v>
      </c>
      <c r="C264" s="25">
        <v>241.62</v>
      </c>
      <c r="D264" s="26">
        <f t="shared" si="115"/>
        <v>238.64333333333335</v>
      </c>
      <c r="E264" s="26">
        <f t="shared" si="94"/>
        <v>239.28200000000001</v>
      </c>
      <c r="F264" s="26">
        <f t="shared" si="95"/>
        <v>239.77571428571426</v>
      </c>
      <c r="G264" s="26">
        <f t="shared" si="97"/>
        <v>238.7676923076923</v>
      </c>
      <c r="H264" s="26">
        <f t="shared" si="102"/>
        <v>241.12939393939396</v>
      </c>
      <c r="I264" s="26">
        <f t="shared" si="104"/>
        <v>239.39866666666663</v>
      </c>
      <c r="J264" s="26">
        <f t="shared" si="111"/>
        <v>239.70725916220636</v>
      </c>
      <c r="K264" s="26">
        <f t="shared" si="112"/>
        <v>240.23382538586981</v>
      </c>
      <c r="L264" s="26">
        <f t="shared" si="107"/>
        <v>218.53858410723512</v>
      </c>
      <c r="V264" s="26">
        <f t="shared" si="98"/>
        <v>239.98727847218177</v>
      </c>
      <c r="W264" s="26">
        <f t="shared" si="101"/>
        <v>239.83335186349856</v>
      </c>
      <c r="X264" s="26">
        <f t="shared" si="100"/>
        <v>0.15392660868320718</v>
      </c>
      <c r="Y264" s="26">
        <f t="shared" si="103"/>
        <v>-9.3290139636404437E-2</v>
      </c>
      <c r="Z264" s="26">
        <v>10426.19</v>
      </c>
      <c r="AA264" s="26">
        <f t="shared" si="108"/>
        <v>216.80424192222108</v>
      </c>
      <c r="AB264" s="27">
        <f t="shared" si="109"/>
        <v>-0.10270572832455477</v>
      </c>
      <c r="BK264" s="24">
        <v>44458</v>
      </c>
      <c r="BL264" s="25">
        <v>241.62</v>
      </c>
      <c r="BM264" s="26">
        <f t="shared" si="106"/>
        <v>238.64333333333335</v>
      </c>
      <c r="BN264" s="26">
        <f t="shared" si="110"/>
        <v>239.28200000000001</v>
      </c>
      <c r="BO264" s="26">
        <f t="shared" si="116"/>
        <v>239.77571428571426</v>
      </c>
      <c r="BP264" s="26">
        <f t="shared" si="96"/>
        <v>238.7676923076923</v>
      </c>
      <c r="BQ264" s="26">
        <f t="shared" si="99"/>
        <v>241.12939393939396</v>
      </c>
      <c r="BR264" s="26">
        <f t="shared" si="105"/>
        <v>239.39866666666663</v>
      </c>
      <c r="BS264" s="26">
        <f t="shared" si="113"/>
        <v>239.70725916220636</v>
      </c>
      <c r="BT264" s="26">
        <f t="shared" si="114"/>
        <v>240.23382538586981</v>
      </c>
    </row>
    <row r="265" spans="1:72" x14ac:dyDescent="0.2">
      <c r="A265" s="62"/>
      <c r="B265" s="24">
        <v>44459</v>
      </c>
      <c r="C265" s="25">
        <v>240.2</v>
      </c>
      <c r="D265" s="26">
        <f t="shared" si="115"/>
        <v>240.09333333333333</v>
      </c>
      <c r="E265" s="26">
        <f t="shared" ref="E265:E328" si="117">AVERAGE(C261:C265)</f>
        <v>239.42800000000003</v>
      </c>
      <c r="F265" s="26">
        <f t="shared" si="95"/>
        <v>239.49571428571429</v>
      </c>
      <c r="G265" s="26">
        <f t="shared" si="97"/>
        <v>238.83153846153846</v>
      </c>
      <c r="H265" s="26">
        <f t="shared" si="102"/>
        <v>242.17939393939395</v>
      </c>
      <c r="I265" s="26">
        <f t="shared" si="104"/>
        <v>239.70466666666664</v>
      </c>
      <c r="J265" s="26">
        <f t="shared" si="111"/>
        <v>239.90435549732382</v>
      </c>
      <c r="K265" s="26">
        <f t="shared" si="112"/>
        <v>240.21353015434789</v>
      </c>
      <c r="L265" s="26">
        <f t="shared" si="107"/>
        <v>218.52374544523505</v>
      </c>
      <c r="V265" s="26">
        <f t="shared" si="98"/>
        <v>240.02000486107687</v>
      </c>
      <c r="W265" s="26">
        <f t="shared" si="101"/>
        <v>240.00303562239054</v>
      </c>
      <c r="X265" s="26">
        <f t="shared" si="100"/>
        <v>1.6969238686328936E-2</v>
      </c>
      <c r="Y265" s="26">
        <f t="shared" si="103"/>
        <v>-7.1238263971857771E-2</v>
      </c>
      <c r="Z265" s="26">
        <v>15188.39</v>
      </c>
      <c r="AA265" s="26">
        <f t="shared" si="108"/>
        <v>218.90089268432027</v>
      </c>
      <c r="AB265" s="27">
        <f t="shared" si="109"/>
        <v>-8.8672386826310248E-2</v>
      </c>
      <c r="BK265" s="24">
        <v>44459</v>
      </c>
      <c r="BL265" s="25">
        <v>240.2</v>
      </c>
      <c r="BM265" s="26">
        <f t="shared" si="106"/>
        <v>240.09333333333333</v>
      </c>
      <c r="BN265" s="26">
        <f t="shared" si="110"/>
        <v>239.42800000000003</v>
      </c>
      <c r="BO265" s="26">
        <f t="shared" si="116"/>
        <v>239.49571428571429</v>
      </c>
      <c r="BP265" s="26">
        <f t="shared" si="96"/>
        <v>238.83153846153846</v>
      </c>
      <c r="BQ265" s="26">
        <f t="shared" si="99"/>
        <v>242.17939393939395</v>
      </c>
      <c r="BR265" s="26">
        <f t="shared" si="105"/>
        <v>239.70466666666664</v>
      </c>
      <c r="BS265" s="26">
        <f t="shared" si="113"/>
        <v>239.90435549732382</v>
      </c>
      <c r="BT265" s="26">
        <f t="shared" si="114"/>
        <v>240.21353015434789</v>
      </c>
    </row>
    <row r="266" spans="1:72" x14ac:dyDescent="0.2">
      <c r="A266" s="62"/>
      <c r="B266" s="24">
        <v>44460</v>
      </c>
      <c r="C266" s="25">
        <v>240.28</v>
      </c>
      <c r="D266" s="26">
        <f t="shared" si="115"/>
        <v>240.70000000000002</v>
      </c>
      <c r="E266" s="26">
        <f t="shared" si="117"/>
        <v>239.28200000000001</v>
      </c>
      <c r="F266" s="26">
        <f t="shared" si="95"/>
        <v>239.55571428571429</v>
      </c>
      <c r="G266" s="26">
        <f t="shared" si="97"/>
        <v>239.06692307692308</v>
      </c>
      <c r="H266" s="26">
        <f t="shared" si="102"/>
        <v>242.16454545454545</v>
      </c>
      <c r="I266" s="26">
        <f t="shared" si="104"/>
        <v>239.98866666666666</v>
      </c>
      <c r="J266" s="26">
        <f t="shared" si="111"/>
        <v>240.05461329839432</v>
      </c>
      <c r="K266" s="26">
        <f t="shared" si="112"/>
        <v>240.25341206173917</v>
      </c>
      <c r="L266" s="26">
        <f t="shared" si="107"/>
        <v>218.50890678323495</v>
      </c>
      <c r="V266" s="26">
        <f t="shared" si="98"/>
        <v>240.06000411321889</v>
      </c>
      <c r="W266" s="26">
        <f t="shared" si="101"/>
        <v>240.03926376025635</v>
      </c>
      <c r="X266" s="26">
        <f t="shared" si="100"/>
        <v>2.0740352962548059E-2</v>
      </c>
      <c r="Y266" s="26">
        <f t="shared" si="103"/>
        <v>-5.2842540584976602E-2</v>
      </c>
      <c r="Z266" s="26">
        <v>13371.57</v>
      </c>
      <c r="AA266" s="26">
        <f t="shared" si="108"/>
        <v>218.10100249961636</v>
      </c>
      <c r="AB266" s="27">
        <f t="shared" si="109"/>
        <v>-9.2304800650839208E-2</v>
      </c>
      <c r="BK266" s="24">
        <v>44460</v>
      </c>
      <c r="BL266" s="25">
        <v>240.28</v>
      </c>
      <c r="BM266" s="26">
        <f t="shared" si="106"/>
        <v>240.70000000000002</v>
      </c>
      <c r="BN266" s="26">
        <f t="shared" si="110"/>
        <v>239.28200000000001</v>
      </c>
      <c r="BO266" s="26">
        <f t="shared" si="116"/>
        <v>239.55571428571429</v>
      </c>
      <c r="BP266" s="26">
        <f t="shared" si="96"/>
        <v>239.06692307692308</v>
      </c>
      <c r="BQ266" s="26">
        <f t="shared" si="99"/>
        <v>242.16454545454545</v>
      </c>
      <c r="BR266" s="26">
        <f t="shared" si="105"/>
        <v>239.98866666666666</v>
      </c>
      <c r="BS266" s="26">
        <f t="shared" si="113"/>
        <v>240.05461329839432</v>
      </c>
      <c r="BT266" s="26">
        <f t="shared" si="114"/>
        <v>240.25341206173917</v>
      </c>
    </row>
    <row r="267" spans="1:72" x14ac:dyDescent="0.2">
      <c r="A267" s="62"/>
      <c r="B267" s="24">
        <v>44461</v>
      </c>
      <c r="C267" s="25">
        <v>245.76</v>
      </c>
      <c r="D267" s="26">
        <f t="shared" si="115"/>
        <v>242.08</v>
      </c>
      <c r="E267" s="26">
        <f t="shared" si="117"/>
        <v>241.26399999999998</v>
      </c>
      <c r="F267" s="26">
        <f t="shared" ref="F267:F330" si="118">AVERAGE(C261:C267)</f>
        <v>240.45428571428573</v>
      </c>
      <c r="G267" s="26">
        <f t="shared" si="97"/>
        <v>239.63538461538462</v>
      </c>
      <c r="H267" s="26">
        <f t="shared" si="102"/>
        <v>242.69151515151515</v>
      </c>
      <c r="I267" s="26">
        <f t="shared" si="104"/>
        <v>242.14800000000002</v>
      </c>
      <c r="J267" s="26">
        <f t="shared" si="111"/>
        <v>242.33676797903658</v>
      </c>
      <c r="K267" s="26">
        <f t="shared" si="112"/>
        <v>243.55736482469567</v>
      </c>
      <c r="L267" s="26">
        <f t="shared" si="107"/>
        <v>218.49406812123485</v>
      </c>
      <c r="V267" s="26">
        <f t="shared" si="98"/>
        <v>240.93692655733906</v>
      </c>
      <c r="W267" s="26">
        <f t="shared" si="101"/>
        <v>240.48222603075823</v>
      </c>
      <c r="X267" s="26">
        <f t="shared" si="100"/>
        <v>0.45470052658083659</v>
      </c>
      <c r="Y267" s="26">
        <f t="shared" si="103"/>
        <v>4.866607284818604E-2</v>
      </c>
      <c r="Z267" s="26">
        <v>11370.96</v>
      </c>
      <c r="AA267" s="26">
        <f t="shared" si="108"/>
        <v>217.22019520862409</v>
      </c>
      <c r="AB267" s="27">
        <f t="shared" si="109"/>
        <v>-0.11612876298574179</v>
      </c>
      <c r="BK267" s="24">
        <v>44461</v>
      </c>
      <c r="BL267" s="25">
        <v>245.76</v>
      </c>
      <c r="BM267" s="26">
        <f t="shared" si="106"/>
        <v>242.08</v>
      </c>
      <c r="BN267" s="26">
        <f t="shared" si="110"/>
        <v>241.26399999999998</v>
      </c>
      <c r="BO267" s="26">
        <f t="shared" si="116"/>
        <v>240.45428571428573</v>
      </c>
      <c r="BP267" s="26">
        <f t="shared" si="96"/>
        <v>239.63538461538462</v>
      </c>
      <c r="BQ267" s="26">
        <f t="shared" si="99"/>
        <v>242.69151515151515</v>
      </c>
      <c r="BR267" s="26">
        <f t="shared" si="105"/>
        <v>242.14800000000002</v>
      </c>
      <c r="BS267" s="26">
        <f t="shared" si="113"/>
        <v>242.33676797903658</v>
      </c>
      <c r="BT267" s="26">
        <f t="shared" si="114"/>
        <v>243.55736482469567</v>
      </c>
    </row>
    <row r="268" spans="1:72" x14ac:dyDescent="0.2">
      <c r="A268" s="62"/>
      <c r="B268" s="24">
        <v>44462</v>
      </c>
      <c r="C268" s="25">
        <v>245.61</v>
      </c>
      <c r="D268" s="26">
        <f t="shared" si="115"/>
        <v>243.88333333333333</v>
      </c>
      <c r="E268" s="26">
        <f t="shared" si="117"/>
        <v>242.69400000000002</v>
      </c>
      <c r="F268" s="26">
        <f t="shared" si="118"/>
        <v>241.1114285714286</v>
      </c>
      <c r="G268" s="26">
        <f t="shared" si="97"/>
        <v>240.25230769230771</v>
      </c>
      <c r="H268" s="26">
        <f t="shared" si="102"/>
        <v>242.44090909090909</v>
      </c>
      <c r="I268" s="26">
        <f t="shared" si="104"/>
        <v>243.59666666666669</v>
      </c>
      <c r="J268" s="26">
        <f t="shared" si="111"/>
        <v>243.64606078742196</v>
      </c>
      <c r="K268" s="26">
        <f t="shared" si="112"/>
        <v>244.78894592987828</v>
      </c>
      <c r="L268" s="26">
        <f t="shared" si="107"/>
        <v>218.47922945923477</v>
      </c>
      <c r="V268" s="26">
        <f t="shared" si="98"/>
        <v>241.65586093313306</v>
      </c>
      <c r="W268" s="26">
        <f t="shared" si="101"/>
        <v>241.28308014568432</v>
      </c>
      <c r="X268" s="26">
        <f t="shared" si="100"/>
        <v>0.37278078744873255</v>
      </c>
      <c r="Y268" s="26">
        <f t="shared" si="103"/>
        <v>0.11348901576829536</v>
      </c>
      <c r="Z268" s="26">
        <v>11264.73</v>
      </c>
      <c r="AA268" s="26">
        <f t="shared" si="108"/>
        <v>217.17342539415645</v>
      </c>
      <c r="AB268" s="27">
        <f t="shared" si="109"/>
        <v>-0.11577938441367842</v>
      </c>
      <c r="BK268" s="24">
        <v>44462</v>
      </c>
      <c r="BL268" s="25">
        <v>245.61</v>
      </c>
      <c r="BM268" s="26">
        <f t="shared" si="106"/>
        <v>243.88333333333333</v>
      </c>
      <c r="BN268" s="26">
        <f t="shared" si="110"/>
        <v>242.69400000000002</v>
      </c>
      <c r="BO268" s="26">
        <f t="shared" si="116"/>
        <v>241.1114285714286</v>
      </c>
      <c r="BP268" s="26">
        <f t="shared" si="96"/>
        <v>240.25230769230771</v>
      </c>
      <c r="BQ268" s="26">
        <f t="shared" si="99"/>
        <v>242.44090909090909</v>
      </c>
      <c r="BR268" s="26">
        <f t="shared" si="105"/>
        <v>243.59666666666669</v>
      </c>
      <c r="BS268" s="26">
        <f t="shared" si="113"/>
        <v>243.64606078742196</v>
      </c>
      <c r="BT268" s="26">
        <f t="shared" si="114"/>
        <v>244.78894592987828</v>
      </c>
    </row>
    <row r="269" spans="1:72" x14ac:dyDescent="0.2">
      <c r="A269" s="62"/>
      <c r="B269" s="24">
        <v>44463</v>
      </c>
      <c r="C269" s="25">
        <v>243.79</v>
      </c>
      <c r="D269" s="26">
        <f t="shared" si="115"/>
        <v>245.05333333333331</v>
      </c>
      <c r="E269" s="26">
        <f t="shared" si="117"/>
        <v>243.12800000000001</v>
      </c>
      <c r="F269" s="26">
        <f t="shared" si="118"/>
        <v>242.24571428571426</v>
      </c>
      <c r="G269" s="26">
        <f t="shared" si="97"/>
        <v>240.8207692307692</v>
      </c>
      <c r="H269" s="26">
        <f t="shared" si="102"/>
        <v>242.1960606060606</v>
      </c>
      <c r="I269" s="26">
        <f t="shared" si="104"/>
        <v>243.96199999999999</v>
      </c>
      <c r="J269" s="26">
        <f t="shared" si="111"/>
        <v>243.70363647245318</v>
      </c>
      <c r="K269" s="26">
        <f t="shared" si="112"/>
        <v>244.18957837195131</v>
      </c>
      <c r="L269" s="26">
        <f t="shared" si="107"/>
        <v>218.46439079723467</v>
      </c>
      <c r="V269" s="26">
        <f t="shared" si="98"/>
        <v>241.98419002034336</v>
      </c>
      <c r="W269" s="26">
        <f t="shared" si="101"/>
        <v>241.81394530845654</v>
      </c>
      <c r="X269" s="26">
        <f t="shared" si="100"/>
        <v>0.17024471188682355</v>
      </c>
      <c r="Y269" s="26">
        <f t="shared" si="103"/>
        <v>0.12484015499200102</v>
      </c>
      <c r="Z269" s="26">
        <v>13047.19</v>
      </c>
      <c r="AA269" s="26">
        <f t="shared" si="108"/>
        <v>217.95818792353603</v>
      </c>
      <c r="AB269" s="27">
        <f t="shared" si="109"/>
        <v>-0.10595927674007942</v>
      </c>
      <c r="BK269" s="24">
        <v>44463</v>
      </c>
      <c r="BL269" s="25">
        <v>243.79</v>
      </c>
      <c r="BM269" s="26">
        <f t="shared" si="106"/>
        <v>245.05333333333331</v>
      </c>
      <c r="BN269" s="26">
        <f t="shared" si="110"/>
        <v>243.12800000000001</v>
      </c>
      <c r="BO269" s="26">
        <f t="shared" si="116"/>
        <v>242.24571428571426</v>
      </c>
      <c r="BP269" s="26">
        <f t="shared" ref="BP269:BP332" si="119">AVERAGE(BL257:BL269)</f>
        <v>240.8207692307692</v>
      </c>
      <c r="BQ269" s="26">
        <f t="shared" si="99"/>
        <v>242.1960606060606</v>
      </c>
      <c r="BR269" s="26">
        <f t="shared" si="105"/>
        <v>243.96199999999999</v>
      </c>
      <c r="BS269" s="26">
        <f t="shared" si="113"/>
        <v>243.70363647245318</v>
      </c>
      <c r="BT269" s="26">
        <f t="shared" si="114"/>
        <v>244.18957837195131</v>
      </c>
    </row>
    <row r="270" spans="1:72" x14ac:dyDescent="0.2">
      <c r="A270" s="62"/>
      <c r="B270" s="24">
        <v>44464</v>
      </c>
      <c r="C270" s="25">
        <v>240.85</v>
      </c>
      <c r="D270" s="26">
        <f t="shared" si="115"/>
        <v>243.41666666666666</v>
      </c>
      <c r="E270" s="26">
        <f t="shared" si="117"/>
        <v>243.25799999999998</v>
      </c>
      <c r="F270" s="26">
        <f t="shared" si="118"/>
        <v>242.58714285714285</v>
      </c>
      <c r="G270" s="26">
        <f t="shared" si="97"/>
        <v>241.14769230769232</v>
      </c>
      <c r="H270" s="26">
        <f t="shared" si="102"/>
        <v>242.23303030303029</v>
      </c>
      <c r="I270" s="26">
        <f t="shared" si="104"/>
        <v>243.20266666666666</v>
      </c>
      <c r="J270" s="26">
        <f t="shared" si="111"/>
        <v>242.56218188347191</v>
      </c>
      <c r="K270" s="26">
        <f t="shared" si="112"/>
        <v>242.18583134878054</v>
      </c>
      <c r="L270" s="26">
        <f t="shared" si="107"/>
        <v>218.44955213523457</v>
      </c>
      <c r="V270" s="26">
        <f t="shared" si="98"/>
        <v>241.80969924798285</v>
      </c>
      <c r="W270" s="26">
        <f t="shared" si="101"/>
        <v>241.90017594476237</v>
      </c>
      <c r="X270" s="26">
        <f t="shared" si="100"/>
        <v>-9.0476696779518306E-2</v>
      </c>
      <c r="Y270" s="26">
        <f t="shared" si="103"/>
        <v>8.1776784637697164E-2</v>
      </c>
      <c r="Z270" s="26">
        <v>12266.41</v>
      </c>
      <c r="AA270" s="26">
        <f t="shared" si="108"/>
        <v>217.61443441002717</v>
      </c>
      <c r="AB270" s="27">
        <f t="shared" si="109"/>
        <v>-9.6473180776304013E-2</v>
      </c>
      <c r="BK270" s="24">
        <v>44464</v>
      </c>
      <c r="BL270" s="25">
        <v>240.85</v>
      </c>
      <c r="BM270" s="26">
        <f t="shared" si="106"/>
        <v>243.41666666666666</v>
      </c>
      <c r="BN270" s="26">
        <f t="shared" si="110"/>
        <v>243.25799999999998</v>
      </c>
      <c r="BO270" s="26">
        <f t="shared" si="116"/>
        <v>242.58714285714285</v>
      </c>
      <c r="BP270" s="26">
        <f t="shared" si="119"/>
        <v>241.14769230769232</v>
      </c>
      <c r="BQ270" s="26">
        <f t="shared" si="99"/>
        <v>242.23303030303029</v>
      </c>
      <c r="BR270" s="26">
        <f t="shared" si="105"/>
        <v>243.20266666666666</v>
      </c>
      <c r="BS270" s="26">
        <f t="shared" si="113"/>
        <v>242.56218188347191</v>
      </c>
      <c r="BT270" s="26">
        <f t="shared" si="114"/>
        <v>242.18583134878054</v>
      </c>
    </row>
    <row r="271" spans="1:72" x14ac:dyDescent="0.2">
      <c r="A271" s="62"/>
      <c r="B271" s="24">
        <v>44465</v>
      </c>
      <c r="C271" s="25">
        <v>241.07</v>
      </c>
      <c r="D271" s="26">
        <f t="shared" si="115"/>
        <v>241.90333333333334</v>
      </c>
      <c r="E271" s="26">
        <f t="shared" si="117"/>
        <v>243.416</v>
      </c>
      <c r="F271" s="26">
        <f t="shared" si="118"/>
        <v>242.50857142857143</v>
      </c>
      <c r="G271" s="26">
        <f t="shared" si="97"/>
        <v>241.06384615384619</v>
      </c>
      <c r="H271" s="26">
        <f t="shared" si="102"/>
        <v>242.61090909090905</v>
      </c>
      <c r="I271" s="26">
        <f t="shared" si="104"/>
        <v>242.47333333333336</v>
      </c>
      <c r="J271" s="26">
        <f t="shared" si="111"/>
        <v>241.96530913008314</v>
      </c>
      <c r="K271" s="26">
        <f t="shared" si="112"/>
        <v>241.51633253951223</v>
      </c>
      <c r="L271" s="26">
        <f t="shared" si="107"/>
        <v>218.4347134732345</v>
      </c>
      <c r="V271" s="26">
        <f t="shared" si="98"/>
        <v>241.69589936367777</v>
      </c>
      <c r="W271" s="26">
        <f t="shared" si="101"/>
        <v>241.75490671109523</v>
      </c>
      <c r="X271" s="26">
        <f t="shared" si="100"/>
        <v>-5.9007347417463052E-2</v>
      </c>
      <c r="Y271" s="26">
        <f t="shared" si="103"/>
        <v>5.361995822666512E-2</v>
      </c>
      <c r="Z271" s="26">
        <v>10417.1</v>
      </c>
      <c r="AA271" s="26">
        <f t="shared" si="108"/>
        <v>216.80023987370831</v>
      </c>
      <c r="AB271" s="27">
        <f t="shared" si="109"/>
        <v>-0.10067515711740029</v>
      </c>
      <c r="BK271" s="24">
        <v>44465</v>
      </c>
      <c r="BL271" s="25">
        <v>241.07</v>
      </c>
      <c r="BM271" s="26">
        <f t="shared" si="106"/>
        <v>241.90333333333334</v>
      </c>
      <c r="BN271" s="26">
        <f t="shared" si="110"/>
        <v>243.416</v>
      </c>
      <c r="BO271" s="26">
        <f t="shared" si="116"/>
        <v>242.50857142857143</v>
      </c>
      <c r="BP271" s="26">
        <f t="shared" si="119"/>
        <v>241.06384615384619</v>
      </c>
      <c r="BQ271" s="26">
        <f t="shared" si="99"/>
        <v>242.61090909090905</v>
      </c>
      <c r="BR271" s="26">
        <f t="shared" si="105"/>
        <v>242.47333333333336</v>
      </c>
      <c r="BS271" s="26">
        <f t="shared" si="113"/>
        <v>241.96530913008314</v>
      </c>
      <c r="BT271" s="26">
        <f t="shared" si="114"/>
        <v>241.51633253951223</v>
      </c>
    </row>
    <row r="272" spans="1:72" x14ac:dyDescent="0.2">
      <c r="A272" s="62"/>
      <c r="B272" s="24">
        <v>44466</v>
      </c>
      <c r="C272" s="25">
        <v>240.33</v>
      </c>
      <c r="D272" s="26">
        <f t="shared" si="115"/>
        <v>240.75</v>
      </c>
      <c r="E272" s="26">
        <f t="shared" si="117"/>
        <v>242.32999999999998</v>
      </c>
      <c r="F272" s="26">
        <f t="shared" si="118"/>
        <v>242.52714285714282</v>
      </c>
      <c r="G272" s="26">
        <f t="shared" si="97"/>
        <v>241.10000000000002</v>
      </c>
      <c r="H272" s="26">
        <f t="shared" si="102"/>
        <v>242.50484848484848</v>
      </c>
      <c r="I272" s="26">
        <f t="shared" si="104"/>
        <v>241.44466666666671</v>
      </c>
      <c r="J272" s="26">
        <f t="shared" si="111"/>
        <v>241.31118547804988</v>
      </c>
      <c r="K272" s="26">
        <f t="shared" si="112"/>
        <v>240.80453301580491</v>
      </c>
      <c r="L272" s="26">
        <f t="shared" si="107"/>
        <v>218.41987481123439</v>
      </c>
      <c r="V272" s="26">
        <f t="shared" si="98"/>
        <v>241.48576100003504</v>
      </c>
      <c r="W272" s="26">
        <f t="shared" si="101"/>
        <v>241.59472163303496</v>
      </c>
      <c r="X272" s="26">
        <f t="shared" si="100"/>
        <v>-0.1089606329999242</v>
      </c>
      <c r="Y272" s="26">
        <f t="shared" si="103"/>
        <v>2.110383998134726E-2</v>
      </c>
      <c r="Z272" s="26">
        <v>9280.1433333333298</v>
      </c>
      <c r="AA272" s="26">
        <f t="shared" si="108"/>
        <v>216.29967268592947</v>
      </c>
      <c r="AB272" s="27">
        <f t="shared" si="109"/>
        <v>-9.9988879099864966E-2</v>
      </c>
      <c r="BK272" s="24">
        <v>44466</v>
      </c>
      <c r="BL272" s="25">
        <v>240.33</v>
      </c>
      <c r="BM272" s="26">
        <f t="shared" si="106"/>
        <v>240.75</v>
      </c>
      <c r="BN272" s="26">
        <f t="shared" si="110"/>
        <v>242.32999999999998</v>
      </c>
      <c r="BO272" s="26">
        <f t="shared" si="116"/>
        <v>242.52714285714282</v>
      </c>
      <c r="BP272" s="26">
        <f t="shared" si="119"/>
        <v>241.10000000000002</v>
      </c>
      <c r="BQ272" s="26">
        <f t="shared" si="99"/>
        <v>242.50484848484848</v>
      </c>
      <c r="BR272" s="26">
        <f t="shared" si="105"/>
        <v>241.44466666666671</v>
      </c>
      <c r="BS272" s="26">
        <f t="shared" si="113"/>
        <v>241.31118547804988</v>
      </c>
      <c r="BT272" s="26">
        <f t="shared" si="114"/>
        <v>240.80453301580491</v>
      </c>
    </row>
    <row r="273" spans="1:72" x14ac:dyDescent="0.2">
      <c r="A273" s="62"/>
      <c r="B273" s="24">
        <v>44467</v>
      </c>
      <c r="C273" s="25">
        <v>237.42</v>
      </c>
      <c r="D273" s="26">
        <f t="shared" si="115"/>
        <v>239.60666666666665</v>
      </c>
      <c r="E273" s="26">
        <f t="shared" si="117"/>
        <v>240.69200000000001</v>
      </c>
      <c r="F273" s="26">
        <f t="shared" si="118"/>
        <v>242.11857142857141</v>
      </c>
      <c r="G273" s="26">
        <f t="shared" ref="G273:G336" si="120">AVERAGE(C261:C273)</f>
        <v>240.94230769230768</v>
      </c>
      <c r="H273" s="26">
        <f t="shared" si="102"/>
        <v>242.67333333333335</v>
      </c>
      <c r="I273" s="26">
        <f t="shared" si="104"/>
        <v>239.80799999999999</v>
      </c>
      <c r="J273" s="26">
        <f t="shared" si="111"/>
        <v>239.75471128682995</v>
      </c>
      <c r="K273" s="26">
        <f t="shared" si="112"/>
        <v>238.77381320632196</v>
      </c>
      <c r="L273" s="26">
        <f t="shared" si="107"/>
        <v>218.40503614923429</v>
      </c>
      <c r="V273" s="26">
        <f t="shared" ref="V273:V336" si="121">C273*(2/(12+1))+V272*(1-(2/(12+1)))</f>
        <v>240.86025930772195</v>
      </c>
      <c r="W273" s="26">
        <f t="shared" si="101"/>
        <v>241.18459351855097</v>
      </c>
      <c r="X273" s="26">
        <f t="shared" si="100"/>
        <v>-0.32433421082902214</v>
      </c>
      <c r="Y273" s="26">
        <f t="shared" si="103"/>
        <v>-4.7983770180726623E-2</v>
      </c>
      <c r="Z273" s="26">
        <v>10988.15</v>
      </c>
      <c r="AA273" s="26">
        <f t="shared" si="108"/>
        <v>217.0516556936438</v>
      </c>
      <c r="AB273" s="27">
        <f t="shared" si="109"/>
        <v>-8.5790347512240725E-2</v>
      </c>
      <c r="BK273" s="24">
        <v>44467</v>
      </c>
      <c r="BL273" s="25">
        <v>237.42</v>
      </c>
      <c r="BM273" s="26">
        <f t="shared" si="106"/>
        <v>239.60666666666665</v>
      </c>
      <c r="BN273" s="26">
        <f t="shared" si="110"/>
        <v>240.69200000000001</v>
      </c>
      <c r="BO273" s="26">
        <f t="shared" si="116"/>
        <v>242.11857142857141</v>
      </c>
      <c r="BP273" s="26">
        <f t="shared" si="119"/>
        <v>240.94230769230768</v>
      </c>
      <c r="BQ273" s="26">
        <f t="shared" si="99"/>
        <v>242.67333333333335</v>
      </c>
      <c r="BR273" s="26">
        <f t="shared" si="105"/>
        <v>239.80799999999999</v>
      </c>
      <c r="BS273" s="26">
        <f t="shared" si="113"/>
        <v>239.75471128682995</v>
      </c>
      <c r="BT273" s="26">
        <f t="shared" si="114"/>
        <v>238.77381320632196</v>
      </c>
    </row>
    <row r="274" spans="1:72" x14ac:dyDescent="0.2">
      <c r="A274" s="62"/>
      <c r="B274" s="24">
        <v>44468</v>
      </c>
      <c r="C274" s="25">
        <v>238.73</v>
      </c>
      <c r="D274" s="26">
        <f t="shared" si="115"/>
        <v>238.82666666666668</v>
      </c>
      <c r="E274" s="26">
        <f t="shared" si="117"/>
        <v>239.67999999999998</v>
      </c>
      <c r="F274" s="26">
        <f t="shared" si="118"/>
        <v>241.1142857142857</v>
      </c>
      <c r="G274" s="26">
        <f t="shared" si="120"/>
        <v>240.76692307692309</v>
      </c>
      <c r="H274" s="26">
        <f t="shared" si="102"/>
        <v>242.40636363636361</v>
      </c>
      <c r="I274" s="26">
        <f t="shared" si="104"/>
        <v>239.15399999999997</v>
      </c>
      <c r="J274" s="26">
        <f t="shared" si="111"/>
        <v>239.34482677209797</v>
      </c>
      <c r="K274" s="26">
        <f t="shared" si="112"/>
        <v>238.74752528252878</v>
      </c>
      <c r="L274" s="26">
        <f t="shared" si="107"/>
        <v>218.39019748723422</v>
      </c>
      <c r="V274" s="26">
        <f t="shared" si="121"/>
        <v>240.53252710653396</v>
      </c>
      <c r="W274" s="26">
        <f t="shared" si="101"/>
        <v>240.70246232196479</v>
      </c>
      <c r="X274" s="26">
        <f t="shared" si="100"/>
        <v>-0.16993521543082579</v>
      </c>
      <c r="Y274" s="26">
        <f t="shared" si="103"/>
        <v>-7.2374059230746468E-2</v>
      </c>
      <c r="Z274" s="26">
        <v>11102.45</v>
      </c>
      <c r="AA274" s="26">
        <f t="shared" si="108"/>
        <v>217.1019784818736</v>
      </c>
      <c r="AB274" s="27">
        <f t="shared" si="109"/>
        <v>-9.0596161010875836E-2</v>
      </c>
      <c r="BK274" s="24">
        <v>44468</v>
      </c>
      <c r="BL274" s="25">
        <v>238.73</v>
      </c>
      <c r="BM274" s="26">
        <f t="shared" si="106"/>
        <v>238.82666666666668</v>
      </c>
      <c r="BN274" s="26">
        <f t="shared" si="110"/>
        <v>239.67999999999998</v>
      </c>
      <c r="BO274" s="26">
        <f t="shared" si="116"/>
        <v>241.1142857142857</v>
      </c>
      <c r="BP274" s="26">
        <f t="shared" si="119"/>
        <v>240.76692307692309</v>
      </c>
      <c r="BQ274" s="26">
        <f t="shared" si="99"/>
        <v>242.40636363636361</v>
      </c>
      <c r="BR274" s="26">
        <f t="shared" si="105"/>
        <v>239.15399999999997</v>
      </c>
      <c r="BS274" s="26">
        <f t="shared" si="113"/>
        <v>239.34482677209797</v>
      </c>
      <c r="BT274" s="26">
        <f t="shared" si="114"/>
        <v>238.74752528252878</v>
      </c>
    </row>
    <row r="275" spans="1:72" x14ac:dyDescent="0.2">
      <c r="A275" s="63"/>
      <c r="B275" s="24">
        <v>44469</v>
      </c>
      <c r="C275" s="25">
        <v>238.63</v>
      </c>
      <c r="D275" s="26">
        <f t="shared" si="115"/>
        <v>238.26</v>
      </c>
      <c r="E275" s="26">
        <f t="shared" si="117"/>
        <v>239.23599999999996</v>
      </c>
      <c r="F275" s="26">
        <f t="shared" si="118"/>
        <v>240.11714285714288</v>
      </c>
      <c r="G275" s="26">
        <f t="shared" si="120"/>
        <v>240.98076923076923</v>
      </c>
      <c r="H275" s="26">
        <f t="shared" si="102"/>
        <v>241.96181818181816</v>
      </c>
      <c r="I275" s="26">
        <f t="shared" si="104"/>
        <v>238.804</v>
      </c>
      <c r="J275" s="26">
        <f t="shared" si="111"/>
        <v>239.05889606325877</v>
      </c>
      <c r="K275" s="26">
        <f t="shared" si="112"/>
        <v>238.67701011301153</v>
      </c>
      <c r="L275" s="26">
        <f t="shared" si="107"/>
        <v>218.37535882523412</v>
      </c>
      <c r="V275" s="26">
        <f t="shared" si="121"/>
        <v>240.23983062860566</v>
      </c>
      <c r="W275" s="26">
        <f t="shared" si="101"/>
        <v>240.39159917271664</v>
      </c>
      <c r="X275" s="26">
        <f t="shared" si="100"/>
        <v>-0.15176854411097906</v>
      </c>
      <c r="Y275" s="26">
        <f t="shared" si="103"/>
        <v>-8.8252956206792993E-2</v>
      </c>
      <c r="Z275" s="26">
        <v>10792.67</v>
      </c>
      <c r="AA275" s="26">
        <f t="shared" si="108"/>
        <v>216.96559183849803</v>
      </c>
      <c r="AB275" s="27">
        <f t="shared" si="109"/>
        <v>-9.0786607557733601E-2</v>
      </c>
      <c r="BK275" s="24">
        <v>44469</v>
      </c>
      <c r="BL275" s="25">
        <v>238.63</v>
      </c>
      <c r="BM275" s="26">
        <f t="shared" si="106"/>
        <v>238.26</v>
      </c>
      <c r="BN275" s="26">
        <f t="shared" si="110"/>
        <v>239.23599999999996</v>
      </c>
      <c r="BO275" s="26">
        <f t="shared" si="116"/>
        <v>240.11714285714288</v>
      </c>
      <c r="BP275" s="26">
        <f t="shared" si="119"/>
        <v>240.98076923076923</v>
      </c>
      <c r="BQ275" s="26">
        <f t="shared" si="99"/>
        <v>241.96181818181816</v>
      </c>
      <c r="BR275" s="26">
        <f t="shared" si="105"/>
        <v>238.804</v>
      </c>
      <c r="BS275" s="26">
        <f t="shared" si="113"/>
        <v>239.05889606325877</v>
      </c>
      <c r="BT275" s="26">
        <f t="shared" si="114"/>
        <v>238.67701011301153</v>
      </c>
    </row>
    <row r="276" spans="1:72" x14ac:dyDescent="0.2">
      <c r="A276" s="61">
        <v>44470</v>
      </c>
      <c r="B276" s="24">
        <v>44470</v>
      </c>
      <c r="C276" s="25">
        <v>236.32</v>
      </c>
      <c r="D276" s="26">
        <f t="shared" si="115"/>
        <v>237.89333333333335</v>
      </c>
      <c r="E276" s="26">
        <f t="shared" si="117"/>
        <v>238.286</v>
      </c>
      <c r="F276" s="26">
        <f t="shared" si="118"/>
        <v>239.04999999999995</v>
      </c>
      <c r="G276" s="26">
        <f t="shared" si="120"/>
        <v>240.81615384615387</v>
      </c>
      <c r="H276" s="26">
        <f t="shared" si="102"/>
        <v>241.63424242424242</v>
      </c>
      <c r="I276" s="26">
        <f t="shared" si="104"/>
        <v>237.83199999999999</v>
      </c>
      <c r="J276" s="26">
        <f t="shared" si="111"/>
        <v>237.96333763795525</v>
      </c>
      <c r="K276" s="26">
        <f t="shared" si="112"/>
        <v>237.26280404520463</v>
      </c>
      <c r="L276" s="26">
        <f t="shared" si="107"/>
        <v>218.36052016323401</v>
      </c>
      <c r="V276" s="26">
        <f t="shared" si="121"/>
        <v>239.63677976266632</v>
      </c>
      <c r="W276" s="26">
        <f t="shared" si="101"/>
        <v>239.9494728042645</v>
      </c>
      <c r="X276" s="26">
        <f t="shared" si="100"/>
        <v>-0.31269304159818034</v>
      </c>
      <c r="Y276" s="26">
        <f t="shared" si="103"/>
        <v>-0.13314097328507046</v>
      </c>
      <c r="Z276" s="26">
        <v>10970.99</v>
      </c>
      <c r="AA276" s="26">
        <f t="shared" si="108"/>
        <v>217.04410067136888</v>
      </c>
      <c r="AB276" s="27">
        <f t="shared" si="109"/>
        <v>-8.1566940287030779E-2</v>
      </c>
      <c r="BK276" s="24">
        <v>44470</v>
      </c>
      <c r="BL276" s="25">
        <v>236.32</v>
      </c>
      <c r="BM276" s="26">
        <f t="shared" si="106"/>
        <v>237.89333333333335</v>
      </c>
      <c r="BN276" s="26">
        <f t="shared" si="110"/>
        <v>238.286</v>
      </c>
      <c r="BO276" s="26">
        <f t="shared" si="116"/>
        <v>239.04999999999995</v>
      </c>
      <c r="BP276" s="26">
        <f t="shared" si="119"/>
        <v>240.81615384615387</v>
      </c>
      <c r="BQ276" s="26">
        <f t="shared" si="99"/>
        <v>241.63424242424242</v>
      </c>
      <c r="BR276" s="26">
        <f t="shared" si="105"/>
        <v>237.83199999999999</v>
      </c>
      <c r="BS276" s="26">
        <f t="shared" si="113"/>
        <v>237.96333763795525</v>
      </c>
      <c r="BT276" s="26">
        <f t="shared" si="114"/>
        <v>237.26280404520463</v>
      </c>
    </row>
    <row r="277" spans="1:72" x14ac:dyDescent="0.2">
      <c r="A277" s="62"/>
      <c r="B277" s="24">
        <v>44471</v>
      </c>
      <c r="C277" s="25">
        <v>246.08</v>
      </c>
      <c r="D277" s="26">
        <f t="shared" si="115"/>
        <v>240.34333333333333</v>
      </c>
      <c r="E277" s="26">
        <f t="shared" si="117"/>
        <v>239.43599999999998</v>
      </c>
      <c r="F277" s="26">
        <f t="shared" si="118"/>
        <v>239.7971428571428</v>
      </c>
      <c r="G277" s="26">
        <f t="shared" si="120"/>
        <v>241.15923076923079</v>
      </c>
      <c r="H277" s="26">
        <f t="shared" si="102"/>
        <v>241.88878787878784</v>
      </c>
      <c r="I277" s="26">
        <f t="shared" si="104"/>
        <v>240.43</v>
      </c>
      <c r="J277" s="26">
        <f t="shared" si="111"/>
        <v>241.21000258277317</v>
      </c>
      <c r="K277" s="26">
        <f t="shared" si="112"/>
        <v>242.55312161808186</v>
      </c>
      <c r="L277" s="26">
        <f t="shared" si="107"/>
        <v>218.34568150123394</v>
      </c>
      <c r="V277" s="26">
        <f t="shared" si="121"/>
        <v>240.62804441456382</v>
      </c>
      <c r="W277" s="26">
        <f t="shared" si="101"/>
        <v>240.11405533580214</v>
      </c>
      <c r="X277" s="26">
        <f t="shared" si="100"/>
        <v>0.51398907876168209</v>
      </c>
      <c r="Y277" s="26">
        <f t="shared" si="103"/>
        <v>-3.7149628757199432E-3</v>
      </c>
      <c r="Z277" s="26">
        <v>11199.12</v>
      </c>
      <c r="AA277" s="26">
        <f t="shared" si="108"/>
        <v>217.14453932122771</v>
      </c>
      <c r="AB277" s="27">
        <f t="shared" si="109"/>
        <v>-0.11758558468291734</v>
      </c>
      <c r="BK277" s="24">
        <v>44471</v>
      </c>
      <c r="BL277" s="25">
        <v>246.08</v>
      </c>
      <c r="BM277" s="26">
        <f t="shared" si="106"/>
        <v>240.34333333333333</v>
      </c>
      <c r="BN277" s="26">
        <f t="shared" si="110"/>
        <v>239.43599999999998</v>
      </c>
      <c r="BO277" s="26">
        <f t="shared" si="116"/>
        <v>239.7971428571428</v>
      </c>
      <c r="BP277" s="26">
        <f t="shared" si="119"/>
        <v>241.15923076923079</v>
      </c>
      <c r="BQ277" s="26">
        <f t="shared" si="99"/>
        <v>241.88878787878784</v>
      </c>
      <c r="BR277" s="26">
        <f t="shared" si="105"/>
        <v>240.43</v>
      </c>
      <c r="BS277" s="26">
        <f t="shared" si="113"/>
        <v>241.21000258277317</v>
      </c>
      <c r="BT277" s="26">
        <f t="shared" si="114"/>
        <v>242.55312161808186</v>
      </c>
    </row>
    <row r="278" spans="1:72" x14ac:dyDescent="0.2">
      <c r="A278" s="62"/>
      <c r="B278" s="24">
        <v>44472</v>
      </c>
      <c r="C278" s="25">
        <v>247.45</v>
      </c>
      <c r="D278" s="26">
        <f t="shared" si="115"/>
        <v>243.2833333333333</v>
      </c>
      <c r="E278" s="26">
        <f t="shared" si="117"/>
        <v>241.44200000000001</v>
      </c>
      <c r="F278" s="26">
        <f t="shared" si="118"/>
        <v>240.70857142857145</v>
      </c>
      <c r="G278" s="26">
        <f t="shared" si="120"/>
        <v>241.71692307692305</v>
      </c>
      <c r="H278" s="26">
        <f t="shared" si="102"/>
        <v>242.47121212121209</v>
      </c>
      <c r="I278" s="26">
        <f t="shared" si="104"/>
        <v>243.10133333333334</v>
      </c>
      <c r="J278" s="26">
        <f t="shared" si="111"/>
        <v>243.70600154966388</v>
      </c>
      <c r="K278" s="26">
        <f t="shared" si="112"/>
        <v>245.49124864723274</v>
      </c>
      <c r="L278" s="26">
        <f t="shared" si="107"/>
        <v>218.33084283923384</v>
      </c>
      <c r="V278" s="26">
        <f t="shared" si="121"/>
        <v>241.67757604309247</v>
      </c>
      <c r="W278" s="26">
        <f t="shared" si="101"/>
        <v>241.13337445792948</v>
      </c>
      <c r="X278" s="26">
        <f t="shared" si="100"/>
        <v>0.54420158516299466</v>
      </c>
      <c r="Y278" s="26">
        <f t="shared" si="103"/>
        <v>0.10586834673202299</v>
      </c>
      <c r="Z278" s="26">
        <v>10952.61</v>
      </c>
      <c r="AA278" s="26">
        <f t="shared" si="108"/>
        <v>217.03600852047069</v>
      </c>
      <c r="AB278" s="27">
        <f t="shared" si="109"/>
        <v>-0.12290964428987393</v>
      </c>
      <c r="BK278" s="24">
        <v>44472</v>
      </c>
      <c r="BL278" s="25">
        <v>247.45</v>
      </c>
      <c r="BM278" s="26">
        <f t="shared" si="106"/>
        <v>243.2833333333333</v>
      </c>
      <c r="BN278" s="26">
        <f t="shared" si="110"/>
        <v>241.44200000000001</v>
      </c>
      <c r="BO278" s="26">
        <f t="shared" si="116"/>
        <v>240.70857142857145</v>
      </c>
      <c r="BP278" s="26">
        <f t="shared" si="119"/>
        <v>241.71692307692305</v>
      </c>
      <c r="BQ278" s="26">
        <f t="shared" ref="BQ278:BQ341" si="122">AVERAGE(BL246:BL278)</f>
        <v>242.47121212121209</v>
      </c>
      <c r="BR278" s="26">
        <f t="shared" si="105"/>
        <v>243.10133333333334</v>
      </c>
      <c r="BS278" s="26">
        <f t="shared" si="113"/>
        <v>243.70600154966388</v>
      </c>
      <c r="BT278" s="26">
        <f t="shared" si="114"/>
        <v>245.49124864723274</v>
      </c>
    </row>
    <row r="279" spans="1:72" x14ac:dyDescent="0.2">
      <c r="A279" s="62"/>
      <c r="B279" s="24">
        <v>44473</v>
      </c>
      <c r="C279" s="25">
        <v>247.6</v>
      </c>
      <c r="D279" s="26">
        <f t="shared" si="115"/>
        <v>247.04333333333332</v>
      </c>
      <c r="E279" s="26">
        <f t="shared" si="117"/>
        <v>243.21599999999998</v>
      </c>
      <c r="F279" s="26">
        <f t="shared" si="118"/>
        <v>241.74714285714282</v>
      </c>
      <c r="G279" s="26">
        <f t="shared" si="120"/>
        <v>242.28</v>
      </c>
      <c r="H279" s="26">
        <f t="shared" si="102"/>
        <v>242.24545454545449</v>
      </c>
      <c r="I279" s="26">
        <f t="shared" si="104"/>
        <v>245.154</v>
      </c>
      <c r="J279" s="26">
        <f t="shared" si="111"/>
        <v>245.26360092979832</v>
      </c>
      <c r="K279" s="26">
        <f t="shared" si="112"/>
        <v>246.7564994588931</v>
      </c>
      <c r="L279" s="26">
        <f t="shared" si="107"/>
        <v>218.31600417723374</v>
      </c>
      <c r="V279" s="26">
        <f t="shared" si="121"/>
        <v>242.58871819030901</v>
      </c>
      <c r="W279" s="26">
        <f t="shared" si="101"/>
        <v>242.1162741139745</v>
      </c>
      <c r="X279" s="26">
        <f t="shared" si="100"/>
        <v>0.47244407633451146</v>
      </c>
      <c r="Y279" s="26">
        <f t="shared" si="103"/>
        <v>0.1791834926525207</v>
      </c>
      <c r="Z279" s="26">
        <v>10859.72</v>
      </c>
      <c r="AA279" s="26">
        <f t="shared" si="108"/>
        <v>216.99511189930999</v>
      </c>
      <c r="AB279" s="27">
        <f t="shared" si="109"/>
        <v>-0.12360617165060583</v>
      </c>
      <c r="BK279" s="24">
        <v>44473</v>
      </c>
      <c r="BL279" s="25">
        <v>247.6</v>
      </c>
      <c r="BM279" s="26">
        <f t="shared" si="106"/>
        <v>247.04333333333332</v>
      </c>
      <c r="BN279" s="26">
        <f t="shared" si="110"/>
        <v>243.21599999999998</v>
      </c>
      <c r="BO279" s="26">
        <f t="shared" si="116"/>
        <v>241.74714285714282</v>
      </c>
      <c r="BP279" s="26">
        <f t="shared" si="119"/>
        <v>242.28</v>
      </c>
      <c r="BQ279" s="26">
        <f t="shared" si="122"/>
        <v>242.24545454545449</v>
      </c>
      <c r="BR279" s="26">
        <f t="shared" si="105"/>
        <v>245.154</v>
      </c>
      <c r="BS279" s="26">
        <f t="shared" si="113"/>
        <v>245.26360092979832</v>
      </c>
      <c r="BT279" s="26">
        <f t="shared" si="114"/>
        <v>246.7564994588931</v>
      </c>
    </row>
    <row r="280" spans="1:72" x14ac:dyDescent="0.2">
      <c r="A280" s="62"/>
      <c r="B280" s="24">
        <v>44474</v>
      </c>
      <c r="C280" s="25">
        <v>248.73</v>
      </c>
      <c r="D280" s="26">
        <f t="shared" si="115"/>
        <v>247.92666666666665</v>
      </c>
      <c r="E280" s="26">
        <f t="shared" si="117"/>
        <v>245.23599999999996</v>
      </c>
      <c r="F280" s="26">
        <f t="shared" si="118"/>
        <v>243.36285714285714</v>
      </c>
      <c r="G280" s="26">
        <f t="shared" si="120"/>
        <v>242.50846153846152</v>
      </c>
      <c r="H280" s="26">
        <f t="shared" si="102"/>
        <v>241.89060606060602</v>
      </c>
      <c r="I280" s="26">
        <f t="shared" si="104"/>
        <v>246.99199999999999</v>
      </c>
      <c r="J280" s="26">
        <f t="shared" si="111"/>
        <v>246.65016055787896</v>
      </c>
      <c r="K280" s="26">
        <f t="shared" si="112"/>
        <v>247.94059978355725</v>
      </c>
      <c r="L280" s="26">
        <f t="shared" si="107"/>
        <v>218.30116551523366</v>
      </c>
      <c r="V280" s="26">
        <f t="shared" si="121"/>
        <v>243.53353077641532</v>
      </c>
      <c r="W280" s="26">
        <f t="shared" si="101"/>
        <v>243.04362795398984</v>
      </c>
      <c r="X280" s="26">
        <f t="shared" si="100"/>
        <v>0.48990282242547778</v>
      </c>
      <c r="Y280" s="26">
        <f t="shared" si="103"/>
        <v>0.24132735860711213</v>
      </c>
      <c r="Z280" s="26">
        <v>10614.84</v>
      </c>
      <c r="AA280" s="26">
        <f t="shared" si="108"/>
        <v>216.88729873761523</v>
      </c>
      <c r="AB280" s="27">
        <f t="shared" si="109"/>
        <v>-0.12802115250426072</v>
      </c>
      <c r="BK280" s="24">
        <v>44474</v>
      </c>
      <c r="BL280" s="25">
        <v>248.73</v>
      </c>
      <c r="BM280" s="26">
        <f t="shared" si="106"/>
        <v>247.92666666666665</v>
      </c>
      <c r="BN280" s="26">
        <f t="shared" si="110"/>
        <v>245.23599999999996</v>
      </c>
      <c r="BO280" s="26">
        <f t="shared" si="116"/>
        <v>243.36285714285714</v>
      </c>
      <c r="BP280" s="26">
        <f t="shared" si="119"/>
        <v>242.50846153846152</v>
      </c>
      <c r="BQ280" s="26">
        <f t="shared" si="122"/>
        <v>241.89060606060602</v>
      </c>
      <c r="BR280" s="26">
        <f t="shared" si="105"/>
        <v>246.99199999999999</v>
      </c>
      <c r="BS280" s="26">
        <f t="shared" si="113"/>
        <v>246.65016055787896</v>
      </c>
      <c r="BT280" s="26">
        <f t="shared" si="114"/>
        <v>247.94059978355725</v>
      </c>
    </row>
    <row r="281" spans="1:72" x14ac:dyDescent="0.2">
      <c r="A281" s="62"/>
      <c r="B281" s="24">
        <v>44475</v>
      </c>
      <c r="C281" s="25">
        <v>253.86</v>
      </c>
      <c r="D281" s="26">
        <f t="shared" si="115"/>
        <v>250.06333333333336</v>
      </c>
      <c r="E281" s="26">
        <f t="shared" si="117"/>
        <v>248.744</v>
      </c>
      <c r="F281" s="26">
        <f t="shared" si="118"/>
        <v>245.52428571428572</v>
      </c>
      <c r="G281" s="26">
        <f t="shared" si="120"/>
        <v>243.14307692307693</v>
      </c>
      <c r="H281" s="26">
        <f t="shared" si="102"/>
        <v>241.90030303030298</v>
      </c>
      <c r="I281" s="26">
        <f t="shared" si="104"/>
        <v>249.8666666666667</v>
      </c>
      <c r="J281" s="26">
        <f t="shared" si="111"/>
        <v>249.53409633472739</v>
      </c>
      <c r="K281" s="26">
        <f t="shared" si="112"/>
        <v>251.49223991342291</v>
      </c>
      <c r="L281" s="26">
        <f t="shared" si="107"/>
        <v>218.28632685323356</v>
      </c>
      <c r="V281" s="26">
        <f t="shared" si="121"/>
        <v>245.1222183492745</v>
      </c>
      <c r="W281" s="26">
        <f t="shared" si="101"/>
        <v>244.29845442260677</v>
      </c>
      <c r="X281" s="26">
        <f t="shared" si="100"/>
        <v>0.82376392666773768</v>
      </c>
      <c r="Y281" s="26">
        <f t="shared" si="103"/>
        <v>0.35781467221923724</v>
      </c>
      <c r="Z281" s="26">
        <v>10680.51</v>
      </c>
      <c r="AA281" s="26">
        <f t="shared" si="108"/>
        <v>216.9162112267058</v>
      </c>
      <c r="AB281" s="27">
        <f t="shared" si="109"/>
        <v>-0.14552819968996381</v>
      </c>
      <c r="BK281" s="24">
        <v>44475</v>
      </c>
      <c r="BL281" s="25">
        <v>253.86</v>
      </c>
      <c r="BM281" s="26">
        <f t="shared" si="106"/>
        <v>250.06333333333336</v>
      </c>
      <c r="BN281" s="26">
        <f t="shared" si="110"/>
        <v>248.744</v>
      </c>
      <c r="BO281" s="26">
        <f t="shared" si="116"/>
        <v>245.52428571428572</v>
      </c>
      <c r="BP281" s="26">
        <f t="shared" si="119"/>
        <v>243.14307692307693</v>
      </c>
      <c r="BQ281" s="26">
        <f t="shared" si="122"/>
        <v>241.90030303030298</v>
      </c>
      <c r="BR281" s="26">
        <f t="shared" si="105"/>
        <v>249.8666666666667</v>
      </c>
      <c r="BS281" s="26">
        <f t="shared" si="113"/>
        <v>249.53409633472739</v>
      </c>
      <c r="BT281" s="26">
        <f t="shared" si="114"/>
        <v>251.49223991342291</v>
      </c>
    </row>
    <row r="282" spans="1:72" x14ac:dyDescent="0.2">
      <c r="A282" s="62"/>
      <c r="B282" s="24">
        <v>44476</v>
      </c>
      <c r="C282" s="25">
        <v>257.66000000000003</v>
      </c>
      <c r="D282" s="26">
        <f t="shared" si="115"/>
        <v>253.41666666666666</v>
      </c>
      <c r="E282" s="26">
        <f t="shared" si="117"/>
        <v>251.06</v>
      </c>
      <c r="F282" s="26">
        <f t="shared" si="118"/>
        <v>248.24285714285716</v>
      </c>
      <c r="G282" s="26">
        <f t="shared" si="120"/>
        <v>244.20999999999998</v>
      </c>
      <c r="H282" s="26">
        <f t="shared" si="102"/>
        <v>242.11484848484844</v>
      </c>
      <c r="I282" s="26">
        <f t="shared" si="104"/>
        <v>252.83866666666665</v>
      </c>
      <c r="J282" s="26">
        <f t="shared" si="111"/>
        <v>252.78445780083646</v>
      </c>
      <c r="K282" s="26">
        <f t="shared" si="112"/>
        <v>255.19289596536919</v>
      </c>
      <c r="L282" s="26">
        <f t="shared" si="107"/>
        <v>218.27148819123346</v>
      </c>
      <c r="V282" s="26">
        <f t="shared" si="121"/>
        <v>247.05110783400153</v>
      </c>
      <c r="W282" s="26">
        <f t="shared" si="101"/>
        <v>246.05094291599491</v>
      </c>
      <c r="X282" s="26">
        <f t="shared" si="100"/>
        <v>1.0001649180066181</v>
      </c>
      <c r="Y282" s="26">
        <f t="shared" si="103"/>
        <v>0.48628472137671341</v>
      </c>
      <c r="Z282" s="26">
        <v>10772.4</v>
      </c>
      <c r="AA282" s="26">
        <f t="shared" si="108"/>
        <v>216.95666757850313</v>
      </c>
      <c r="AB282" s="27">
        <f t="shared" si="109"/>
        <v>-0.15797303586702202</v>
      </c>
      <c r="BK282" s="24">
        <v>44476</v>
      </c>
      <c r="BL282" s="25">
        <v>257.66000000000003</v>
      </c>
      <c r="BM282" s="26">
        <f t="shared" si="106"/>
        <v>253.41666666666666</v>
      </c>
      <c r="BN282" s="26">
        <f t="shared" si="110"/>
        <v>251.06</v>
      </c>
      <c r="BO282" s="26">
        <f t="shared" si="116"/>
        <v>248.24285714285716</v>
      </c>
      <c r="BP282" s="26">
        <f t="shared" si="119"/>
        <v>244.20999999999998</v>
      </c>
      <c r="BQ282" s="26">
        <f t="shared" si="122"/>
        <v>242.11484848484844</v>
      </c>
      <c r="BR282" s="26">
        <f t="shared" si="105"/>
        <v>252.83866666666665</v>
      </c>
      <c r="BS282" s="26">
        <f t="shared" si="113"/>
        <v>252.78445780083646</v>
      </c>
      <c r="BT282" s="26">
        <f t="shared" si="114"/>
        <v>255.19289596536919</v>
      </c>
    </row>
    <row r="283" spans="1:72" x14ac:dyDescent="0.2">
      <c r="A283" s="62"/>
      <c r="B283" s="24">
        <v>44477</v>
      </c>
      <c r="C283" s="25">
        <v>255.54</v>
      </c>
      <c r="D283" s="26">
        <f t="shared" si="115"/>
        <v>255.6866666666667</v>
      </c>
      <c r="E283" s="26">
        <f t="shared" si="117"/>
        <v>252.67800000000003</v>
      </c>
      <c r="F283" s="26">
        <f t="shared" si="118"/>
        <v>250.98857142857145</v>
      </c>
      <c r="G283" s="26">
        <f t="shared" si="120"/>
        <v>245.33999999999997</v>
      </c>
      <c r="H283" s="26">
        <f t="shared" si="102"/>
        <v>242.26878787878783</v>
      </c>
      <c r="I283" s="26">
        <f t="shared" si="104"/>
        <v>254.33199999999999</v>
      </c>
      <c r="J283" s="26">
        <f t="shared" si="111"/>
        <v>253.88667468050187</v>
      </c>
      <c r="K283" s="26">
        <f t="shared" si="112"/>
        <v>255.40115838614767</v>
      </c>
      <c r="L283" s="26">
        <f t="shared" si="107"/>
        <v>218.25664952923339</v>
      </c>
      <c r="V283" s="26">
        <f t="shared" si="121"/>
        <v>248.35709124415513</v>
      </c>
      <c r="W283" s="26">
        <f t="shared" si="101"/>
        <v>247.67991466111252</v>
      </c>
      <c r="X283" s="26">
        <f t="shared" si="100"/>
        <v>0.67717658304260908</v>
      </c>
      <c r="Y283" s="26">
        <f t="shared" si="103"/>
        <v>0.52446309370989264</v>
      </c>
      <c r="Z283" s="26">
        <v>10675.8</v>
      </c>
      <c r="AA283" s="26">
        <f t="shared" si="108"/>
        <v>216.91413755800446</v>
      </c>
      <c r="AB283" s="27">
        <f t="shared" si="109"/>
        <v>-0.15115387979179595</v>
      </c>
      <c r="BK283" s="24">
        <v>44477</v>
      </c>
      <c r="BL283" s="25">
        <v>255.54</v>
      </c>
      <c r="BM283" s="26">
        <f t="shared" si="106"/>
        <v>255.6866666666667</v>
      </c>
      <c r="BN283" s="26">
        <f t="shared" si="110"/>
        <v>252.67800000000003</v>
      </c>
      <c r="BO283" s="26">
        <f t="shared" si="116"/>
        <v>250.98857142857145</v>
      </c>
      <c r="BP283" s="26">
        <f t="shared" si="119"/>
        <v>245.33999999999997</v>
      </c>
      <c r="BQ283" s="26">
        <f t="shared" si="122"/>
        <v>242.26878787878783</v>
      </c>
      <c r="BR283" s="26">
        <f t="shared" si="105"/>
        <v>254.33199999999999</v>
      </c>
      <c r="BS283" s="26">
        <f t="shared" si="113"/>
        <v>253.88667468050187</v>
      </c>
      <c r="BT283" s="26">
        <f t="shared" si="114"/>
        <v>255.40115838614767</v>
      </c>
    </row>
    <row r="284" spans="1:72" x14ac:dyDescent="0.2">
      <c r="A284" s="62"/>
      <c r="B284" s="24">
        <v>44478</v>
      </c>
      <c r="C284" s="25">
        <v>256.77999999999997</v>
      </c>
      <c r="D284" s="26">
        <f t="shared" si="115"/>
        <v>256.66000000000003</v>
      </c>
      <c r="E284" s="26">
        <f t="shared" si="117"/>
        <v>254.51399999999998</v>
      </c>
      <c r="F284" s="26">
        <f t="shared" si="118"/>
        <v>252.51714285714283</v>
      </c>
      <c r="G284" s="26">
        <f t="shared" si="120"/>
        <v>246.54846153846154</v>
      </c>
      <c r="H284" s="26">
        <f t="shared" si="102"/>
        <v>242.62636363636361</v>
      </c>
      <c r="I284" s="26">
        <f t="shared" si="104"/>
        <v>255.69933333333336</v>
      </c>
      <c r="J284" s="26">
        <f t="shared" si="111"/>
        <v>255.04400480830111</v>
      </c>
      <c r="K284" s="26">
        <f t="shared" si="112"/>
        <v>256.22846335445905</v>
      </c>
      <c r="L284" s="26">
        <f t="shared" si="107"/>
        <v>218.24181086723328</v>
      </c>
      <c r="V284" s="26">
        <f t="shared" si="121"/>
        <v>249.65292336043896</v>
      </c>
      <c r="W284" s="26">
        <f t="shared" si="101"/>
        <v>248.98101041125474</v>
      </c>
      <c r="X284" s="26">
        <f t="shared" si="100"/>
        <v>0.67191294918421818</v>
      </c>
      <c r="Y284" s="26">
        <f t="shared" si="103"/>
        <v>0.5539530648047577</v>
      </c>
      <c r="Z284" s="26">
        <v>10321.39</v>
      </c>
      <c r="AA284" s="26">
        <f t="shared" si="108"/>
        <v>216.758101692943</v>
      </c>
      <c r="AB284" s="27">
        <f t="shared" si="109"/>
        <v>-0.15586065233685248</v>
      </c>
      <c r="BK284" s="24">
        <v>44478</v>
      </c>
      <c r="BL284" s="25">
        <v>256.77999999999997</v>
      </c>
      <c r="BM284" s="26">
        <f t="shared" si="106"/>
        <v>256.66000000000003</v>
      </c>
      <c r="BN284" s="26">
        <f t="shared" si="110"/>
        <v>254.51399999999998</v>
      </c>
      <c r="BO284" s="26">
        <f t="shared" si="116"/>
        <v>252.51714285714283</v>
      </c>
      <c r="BP284" s="26">
        <f t="shared" si="119"/>
        <v>246.54846153846154</v>
      </c>
      <c r="BQ284" s="26">
        <f t="shared" si="122"/>
        <v>242.62636363636361</v>
      </c>
      <c r="BR284" s="26">
        <f t="shared" si="105"/>
        <v>255.69933333333336</v>
      </c>
      <c r="BS284" s="26">
        <f t="shared" si="113"/>
        <v>255.04400480830111</v>
      </c>
      <c r="BT284" s="26">
        <f t="shared" si="114"/>
        <v>256.22846335445905</v>
      </c>
    </row>
    <row r="285" spans="1:72" x14ac:dyDescent="0.2">
      <c r="A285" s="62"/>
      <c r="B285" s="24">
        <v>44479</v>
      </c>
      <c r="C285" s="25">
        <v>252.94</v>
      </c>
      <c r="D285" s="26">
        <f t="shared" si="115"/>
        <v>255.08666666666667</v>
      </c>
      <c r="E285" s="26">
        <f t="shared" si="117"/>
        <v>255.35599999999999</v>
      </c>
      <c r="F285" s="26">
        <f t="shared" si="118"/>
        <v>253.3014285714286</v>
      </c>
      <c r="G285" s="26">
        <f t="shared" si="120"/>
        <v>247.51846153846148</v>
      </c>
      <c r="H285" s="26">
        <f t="shared" si="102"/>
        <v>243.03757575757569</v>
      </c>
      <c r="I285" s="26">
        <f t="shared" si="104"/>
        <v>255.17466666666667</v>
      </c>
      <c r="J285" s="26">
        <f t="shared" si="111"/>
        <v>254.20240288498064</v>
      </c>
      <c r="K285" s="26">
        <f t="shared" si="112"/>
        <v>254.25538534178361</v>
      </c>
      <c r="L285" s="26">
        <f t="shared" si="107"/>
        <v>218.22697220523318</v>
      </c>
      <c r="V285" s="26">
        <f t="shared" si="121"/>
        <v>250.15862745883297</v>
      </c>
      <c r="W285" s="26">
        <f t="shared" si="101"/>
        <v>249.89641051892497</v>
      </c>
      <c r="X285" s="26">
        <f t="shared" si="100"/>
        <v>0.26221693990800077</v>
      </c>
      <c r="Y285" s="26">
        <f t="shared" si="103"/>
        <v>0.49560583982540635</v>
      </c>
      <c r="Z285" s="26">
        <v>10649.15</v>
      </c>
      <c r="AA285" s="26">
        <f t="shared" si="108"/>
        <v>216.90240437947142</v>
      </c>
      <c r="AB285" s="27">
        <f t="shared" si="109"/>
        <v>-0.14247487791780097</v>
      </c>
      <c r="BK285" s="24">
        <v>44479</v>
      </c>
      <c r="BL285" s="25">
        <v>252.94</v>
      </c>
      <c r="BM285" s="26">
        <f t="shared" si="106"/>
        <v>255.08666666666667</v>
      </c>
      <c r="BN285" s="26">
        <f t="shared" si="110"/>
        <v>255.35599999999999</v>
      </c>
      <c r="BO285" s="26">
        <f t="shared" si="116"/>
        <v>253.3014285714286</v>
      </c>
      <c r="BP285" s="26">
        <f t="shared" si="119"/>
        <v>247.51846153846148</v>
      </c>
      <c r="BQ285" s="26">
        <f t="shared" si="122"/>
        <v>243.03757575757569</v>
      </c>
      <c r="BR285" s="26">
        <f t="shared" si="105"/>
        <v>255.17466666666667</v>
      </c>
      <c r="BS285" s="26">
        <f t="shared" si="113"/>
        <v>254.20240288498064</v>
      </c>
      <c r="BT285" s="26">
        <f t="shared" si="114"/>
        <v>254.25538534178361</v>
      </c>
    </row>
    <row r="286" spans="1:72" x14ac:dyDescent="0.2">
      <c r="A286" s="62"/>
      <c r="B286" s="24">
        <v>44480</v>
      </c>
      <c r="C286" s="25">
        <v>248.43</v>
      </c>
      <c r="D286" s="26">
        <f t="shared" si="115"/>
        <v>252.71666666666667</v>
      </c>
      <c r="E286" s="26">
        <f t="shared" si="117"/>
        <v>254.27000000000004</v>
      </c>
      <c r="F286" s="26">
        <f t="shared" si="118"/>
        <v>253.42000000000002</v>
      </c>
      <c r="G286" s="26">
        <f t="shared" si="120"/>
        <v>248.36538461538461</v>
      </c>
      <c r="H286" s="26">
        <f t="shared" si="102"/>
        <v>243.37727272727267</v>
      </c>
      <c r="I286" s="26">
        <f t="shared" si="104"/>
        <v>252.86599999999999</v>
      </c>
      <c r="J286" s="26">
        <f t="shared" si="111"/>
        <v>251.8934417309884</v>
      </c>
      <c r="K286" s="26">
        <f t="shared" si="112"/>
        <v>250.76015413671342</v>
      </c>
      <c r="L286" s="26">
        <f t="shared" si="107"/>
        <v>218.21213354323311</v>
      </c>
      <c r="V286" s="26">
        <f t="shared" si="121"/>
        <v>249.89268477285867</v>
      </c>
      <c r="W286" s="26">
        <f t="shared" si="101"/>
        <v>250.03058098040088</v>
      </c>
      <c r="X286" s="26">
        <f t="shared" ref="X286:X349" si="123">V286-W286</f>
        <v>-0.13789620754221232</v>
      </c>
      <c r="Y286" s="26">
        <f t="shared" si="103"/>
        <v>0.36890543035188261</v>
      </c>
      <c r="Z286" s="26">
        <v>10575.62</v>
      </c>
      <c r="AA286" s="26">
        <f t="shared" si="108"/>
        <v>216.87003137318501</v>
      </c>
      <c r="AB286" s="27">
        <f t="shared" si="109"/>
        <v>-0.12703767108165276</v>
      </c>
      <c r="BK286" s="24">
        <v>44480</v>
      </c>
      <c r="BL286" s="25">
        <v>248.43</v>
      </c>
      <c r="BM286" s="26">
        <f t="shared" si="106"/>
        <v>252.71666666666667</v>
      </c>
      <c r="BN286" s="26">
        <f t="shared" si="110"/>
        <v>254.27000000000004</v>
      </c>
      <c r="BO286" s="26">
        <f t="shared" si="116"/>
        <v>253.42000000000002</v>
      </c>
      <c r="BP286" s="26">
        <f t="shared" si="119"/>
        <v>248.36538461538461</v>
      </c>
      <c r="BQ286" s="26">
        <f t="shared" si="122"/>
        <v>243.37727272727267</v>
      </c>
      <c r="BR286" s="26">
        <f t="shared" si="105"/>
        <v>252.86599999999999</v>
      </c>
      <c r="BS286" s="26">
        <f t="shared" si="113"/>
        <v>251.8934417309884</v>
      </c>
      <c r="BT286" s="26">
        <f t="shared" si="114"/>
        <v>250.76015413671342</v>
      </c>
    </row>
    <row r="287" spans="1:72" x14ac:dyDescent="0.2">
      <c r="A287" s="62"/>
      <c r="B287" s="24">
        <v>44481</v>
      </c>
      <c r="C287" s="25">
        <v>245.15</v>
      </c>
      <c r="D287" s="26">
        <f t="shared" si="115"/>
        <v>248.84</v>
      </c>
      <c r="E287" s="26">
        <f t="shared" si="117"/>
        <v>251.76800000000003</v>
      </c>
      <c r="F287" s="26">
        <f t="shared" si="118"/>
        <v>252.90857142857143</v>
      </c>
      <c r="G287" s="26">
        <f t="shared" si="120"/>
        <v>248.85923076923081</v>
      </c>
      <c r="H287" s="26">
        <f t="shared" si="102"/>
        <v>243.58272727272723</v>
      </c>
      <c r="I287" s="26">
        <f t="shared" si="104"/>
        <v>249.82599999999999</v>
      </c>
      <c r="J287" s="26">
        <f t="shared" si="111"/>
        <v>249.19606503859305</v>
      </c>
      <c r="K287" s="26">
        <f t="shared" si="112"/>
        <v>247.39406165468537</v>
      </c>
      <c r="L287" s="26">
        <f t="shared" si="107"/>
        <v>218.19729488123301</v>
      </c>
      <c r="V287" s="26">
        <f t="shared" si="121"/>
        <v>249.16304096164964</v>
      </c>
      <c r="W287" s="26">
        <f t="shared" ref="W287:W350" si="124">C287*(2/(26+1))+V286*(1-(2/(26+1)))</f>
        <v>249.54137478968397</v>
      </c>
      <c r="X287" s="26">
        <f t="shared" si="123"/>
        <v>-0.37833382803432869</v>
      </c>
      <c r="Y287" s="26">
        <f t="shared" si="103"/>
        <v>0.21945757867464033</v>
      </c>
      <c r="Z287" s="26">
        <v>10737.51</v>
      </c>
      <c r="AA287" s="26">
        <f t="shared" si="108"/>
        <v>216.94130658041618</v>
      </c>
      <c r="AB287" s="27">
        <f t="shared" si="109"/>
        <v>-0.11506707493201641</v>
      </c>
      <c r="BK287" s="24">
        <v>44481</v>
      </c>
      <c r="BL287" s="25">
        <v>245.15</v>
      </c>
      <c r="BM287" s="26">
        <f t="shared" si="106"/>
        <v>248.84</v>
      </c>
      <c r="BN287" s="26">
        <f t="shared" si="110"/>
        <v>251.76800000000003</v>
      </c>
      <c r="BO287" s="26">
        <f t="shared" si="116"/>
        <v>252.90857142857143</v>
      </c>
      <c r="BP287" s="26">
        <f t="shared" si="119"/>
        <v>248.85923076923081</v>
      </c>
      <c r="BQ287" s="26">
        <f t="shared" si="122"/>
        <v>243.58272727272723</v>
      </c>
      <c r="BR287" s="26">
        <f t="shared" si="105"/>
        <v>249.82599999999999</v>
      </c>
      <c r="BS287" s="26">
        <f t="shared" si="113"/>
        <v>249.19606503859305</v>
      </c>
      <c r="BT287" s="26">
        <f t="shared" si="114"/>
        <v>247.39406165468537</v>
      </c>
    </row>
    <row r="288" spans="1:72" x14ac:dyDescent="0.2">
      <c r="A288" s="62"/>
      <c r="B288" s="24">
        <v>44482</v>
      </c>
      <c r="C288" s="25">
        <v>244.45</v>
      </c>
      <c r="D288" s="26">
        <f t="shared" si="115"/>
        <v>246.01</v>
      </c>
      <c r="E288" s="26">
        <f t="shared" si="117"/>
        <v>249.55</v>
      </c>
      <c r="F288" s="26">
        <f t="shared" si="118"/>
        <v>251.56428571428575</v>
      </c>
      <c r="G288" s="26">
        <f t="shared" si="120"/>
        <v>249.30692307692306</v>
      </c>
      <c r="H288" s="26">
        <f t="shared" si="102"/>
        <v>243.790606060606</v>
      </c>
      <c r="I288" s="26">
        <f t="shared" si="104"/>
        <v>247.38666666666668</v>
      </c>
      <c r="J288" s="26">
        <f t="shared" si="111"/>
        <v>247.29763902315582</v>
      </c>
      <c r="K288" s="26">
        <f t="shared" si="112"/>
        <v>245.62762466187414</v>
      </c>
      <c r="L288" s="26">
        <f t="shared" si="107"/>
        <v>218.1824562192329</v>
      </c>
      <c r="V288" s="26">
        <f t="shared" si="121"/>
        <v>248.43795773678045</v>
      </c>
      <c r="W288" s="26">
        <f t="shared" si="124"/>
        <v>248.81392681634227</v>
      </c>
      <c r="X288" s="26">
        <f t="shared" si="123"/>
        <v>-0.3759690795618269</v>
      </c>
      <c r="Y288" s="26">
        <f t="shared" si="103"/>
        <v>0.10037224702734689</v>
      </c>
      <c r="Z288" s="26">
        <v>11051.64</v>
      </c>
      <c r="AA288" s="26">
        <f t="shared" si="108"/>
        <v>217.07960839552229</v>
      </c>
      <c r="AB288" s="27">
        <f t="shared" si="109"/>
        <v>-0.11196723912651955</v>
      </c>
      <c r="BK288" s="24">
        <v>44482</v>
      </c>
      <c r="BL288" s="25">
        <v>244.45</v>
      </c>
      <c r="BM288" s="26">
        <f t="shared" si="106"/>
        <v>246.01</v>
      </c>
      <c r="BN288" s="26">
        <f t="shared" si="110"/>
        <v>249.55</v>
      </c>
      <c r="BO288" s="26">
        <f t="shared" si="116"/>
        <v>251.56428571428575</v>
      </c>
      <c r="BP288" s="26">
        <f t="shared" si="119"/>
        <v>249.30692307692306</v>
      </c>
      <c r="BQ288" s="26">
        <f t="shared" si="122"/>
        <v>243.790606060606</v>
      </c>
      <c r="BR288" s="26">
        <f t="shared" si="105"/>
        <v>247.38666666666668</v>
      </c>
      <c r="BS288" s="26">
        <f t="shared" si="113"/>
        <v>247.29763902315582</v>
      </c>
      <c r="BT288" s="26">
        <f t="shared" si="114"/>
        <v>245.62762466187414</v>
      </c>
    </row>
    <row r="289" spans="1:72" x14ac:dyDescent="0.2">
      <c r="A289" s="62"/>
      <c r="B289" s="24">
        <v>44483</v>
      </c>
      <c r="C289" s="25">
        <v>241.39</v>
      </c>
      <c r="D289" s="26">
        <f t="shared" si="115"/>
        <v>243.66333333333333</v>
      </c>
      <c r="E289" s="26">
        <f t="shared" si="117"/>
        <v>246.47200000000004</v>
      </c>
      <c r="F289" s="26">
        <f t="shared" si="118"/>
        <v>249.24000000000004</v>
      </c>
      <c r="G289" s="26">
        <f t="shared" si="120"/>
        <v>249.69692307692304</v>
      </c>
      <c r="H289" s="26">
        <f t="shared" si="102"/>
        <v>243.94181818181812</v>
      </c>
      <c r="I289" s="26">
        <f t="shared" si="104"/>
        <v>244.66666666666666</v>
      </c>
      <c r="J289" s="26">
        <f t="shared" si="111"/>
        <v>244.93458341389351</v>
      </c>
      <c r="K289" s="26">
        <f t="shared" si="112"/>
        <v>243.08504986474964</v>
      </c>
      <c r="L289" s="26">
        <f t="shared" si="107"/>
        <v>218.16761755723283</v>
      </c>
      <c r="V289" s="26">
        <f t="shared" si="121"/>
        <v>247.35365654650653</v>
      </c>
      <c r="W289" s="26">
        <f t="shared" si="124"/>
        <v>247.91588679331522</v>
      </c>
      <c r="X289" s="26">
        <f t="shared" si="123"/>
        <v>-0.56223024680869571</v>
      </c>
      <c r="Y289" s="26">
        <f t="shared" si="103"/>
        <v>-3.2148251739861633E-2</v>
      </c>
      <c r="Z289" s="26">
        <v>10829.5</v>
      </c>
      <c r="AA289" s="26">
        <f t="shared" si="108"/>
        <v>216.98180695914985</v>
      </c>
      <c r="AB289" s="27">
        <f t="shared" si="109"/>
        <v>-0.10111517892559815</v>
      </c>
      <c r="BK289" s="24">
        <v>44483</v>
      </c>
      <c r="BL289" s="25">
        <v>241.39</v>
      </c>
      <c r="BM289" s="26">
        <f t="shared" si="106"/>
        <v>243.66333333333333</v>
      </c>
      <c r="BN289" s="26">
        <f t="shared" si="110"/>
        <v>246.47200000000004</v>
      </c>
      <c r="BO289" s="26">
        <f t="shared" si="116"/>
        <v>249.24000000000004</v>
      </c>
      <c r="BP289" s="26">
        <f t="shared" si="119"/>
        <v>249.69692307692304</v>
      </c>
      <c r="BQ289" s="26">
        <f t="shared" si="122"/>
        <v>243.94181818181812</v>
      </c>
      <c r="BR289" s="26">
        <f t="shared" si="105"/>
        <v>244.66666666666666</v>
      </c>
      <c r="BS289" s="26">
        <f t="shared" si="113"/>
        <v>244.93458341389351</v>
      </c>
      <c r="BT289" s="26">
        <f t="shared" si="114"/>
        <v>243.08504986474964</v>
      </c>
    </row>
    <row r="290" spans="1:72" x14ac:dyDescent="0.2">
      <c r="A290" s="62"/>
      <c r="B290" s="24">
        <v>44484</v>
      </c>
      <c r="C290" s="25">
        <v>247.72</v>
      </c>
      <c r="D290" s="26">
        <f t="shared" si="115"/>
        <v>244.51999999999998</v>
      </c>
      <c r="E290" s="26">
        <f t="shared" si="117"/>
        <v>245.42799999999997</v>
      </c>
      <c r="F290" s="26">
        <f t="shared" si="118"/>
        <v>248.12285714285713</v>
      </c>
      <c r="G290" s="26">
        <f t="shared" si="120"/>
        <v>249.82307692307688</v>
      </c>
      <c r="H290" s="26">
        <f t="shared" si="102"/>
        <v>244.27878787878785</v>
      </c>
      <c r="I290" s="26">
        <f t="shared" si="104"/>
        <v>245.08266666666665</v>
      </c>
      <c r="J290" s="26">
        <f t="shared" si="111"/>
        <v>246.0487500483361</v>
      </c>
      <c r="K290" s="26">
        <f t="shared" si="112"/>
        <v>245.86601994589986</v>
      </c>
      <c r="L290" s="26">
        <f t="shared" si="107"/>
        <v>218.15277889523273</v>
      </c>
      <c r="V290" s="26">
        <f t="shared" si="121"/>
        <v>247.41001707781322</v>
      </c>
      <c r="W290" s="26">
        <f t="shared" si="124"/>
        <v>247.38079309861715</v>
      </c>
      <c r="X290" s="26">
        <f t="shared" si="123"/>
        <v>2.9223979196075334E-2</v>
      </c>
      <c r="Y290" s="26">
        <f t="shared" si="103"/>
        <v>-1.9873805552674241E-2</v>
      </c>
      <c r="Z290" s="26">
        <v>10802.92</v>
      </c>
      <c r="AA290" s="26">
        <f t="shared" si="108"/>
        <v>216.97010459947228</v>
      </c>
      <c r="AB290" s="27">
        <f t="shared" si="109"/>
        <v>-0.12413166236286016</v>
      </c>
      <c r="BK290" s="24">
        <v>44484</v>
      </c>
      <c r="BL290" s="25">
        <v>247.72</v>
      </c>
      <c r="BM290" s="26">
        <f t="shared" si="106"/>
        <v>244.51999999999998</v>
      </c>
      <c r="BN290" s="26">
        <f t="shared" si="110"/>
        <v>245.42799999999997</v>
      </c>
      <c r="BO290" s="26">
        <f t="shared" si="116"/>
        <v>248.12285714285713</v>
      </c>
      <c r="BP290" s="26">
        <f t="shared" si="119"/>
        <v>249.82307692307688</v>
      </c>
      <c r="BQ290" s="26">
        <f t="shared" si="122"/>
        <v>244.27878787878785</v>
      </c>
      <c r="BR290" s="26">
        <f t="shared" si="105"/>
        <v>245.08266666666665</v>
      </c>
      <c r="BS290" s="26">
        <f t="shared" si="113"/>
        <v>246.0487500483361</v>
      </c>
      <c r="BT290" s="26">
        <f t="shared" si="114"/>
        <v>245.86601994589986</v>
      </c>
    </row>
    <row r="291" spans="1:72" x14ac:dyDescent="0.2">
      <c r="A291" s="62"/>
      <c r="B291" s="24">
        <v>44485</v>
      </c>
      <c r="C291" s="25">
        <v>247.81</v>
      </c>
      <c r="D291" s="26">
        <f t="shared" si="115"/>
        <v>245.64000000000001</v>
      </c>
      <c r="E291" s="26">
        <f t="shared" si="117"/>
        <v>245.304</v>
      </c>
      <c r="F291" s="26">
        <f t="shared" si="118"/>
        <v>246.84142857142859</v>
      </c>
      <c r="G291" s="26">
        <f t="shared" si="120"/>
        <v>249.8507692307692</v>
      </c>
      <c r="H291" s="26">
        <f t="shared" si="102"/>
        <v>244.45</v>
      </c>
      <c r="I291" s="26">
        <f t="shared" si="104"/>
        <v>245.87666666666667</v>
      </c>
      <c r="J291" s="26">
        <f t="shared" si="111"/>
        <v>246.75325002900166</v>
      </c>
      <c r="K291" s="26">
        <f t="shared" si="112"/>
        <v>247.03240797835997</v>
      </c>
      <c r="L291" s="26">
        <f t="shared" si="107"/>
        <v>218.13794023323263</v>
      </c>
      <c r="V291" s="26">
        <f t="shared" si="121"/>
        <v>247.47155291199581</v>
      </c>
      <c r="W291" s="26">
        <f t="shared" si="124"/>
        <v>247.43964544241967</v>
      </c>
      <c r="X291" s="26">
        <f t="shared" si="123"/>
        <v>3.1907469576140102E-2</v>
      </c>
      <c r="Y291" s="26">
        <f t="shared" si="103"/>
        <v>-9.5175505269113718E-3</v>
      </c>
      <c r="Z291" s="26">
        <v>10867.93</v>
      </c>
      <c r="AA291" s="26">
        <f t="shared" si="108"/>
        <v>216.99872651078303</v>
      </c>
      <c r="AB291" s="27">
        <f t="shared" si="109"/>
        <v>-0.12433426209280082</v>
      </c>
      <c r="BK291" s="24">
        <v>44485</v>
      </c>
      <c r="BL291" s="25">
        <v>247.81</v>
      </c>
      <c r="BM291" s="26">
        <f t="shared" si="106"/>
        <v>245.64000000000001</v>
      </c>
      <c r="BN291" s="26">
        <f t="shared" si="110"/>
        <v>245.304</v>
      </c>
      <c r="BO291" s="26">
        <f t="shared" si="116"/>
        <v>246.84142857142859</v>
      </c>
      <c r="BP291" s="26">
        <f t="shared" si="119"/>
        <v>249.8507692307692</v>
      </c>
      <c r="BQ291" s="26">
        <f t="shared" si="122"/>
        <v>244.45</v>
      </c>
      <c r="BR291" s="26">
        <f t="shared" si="105"/>
        <v>245.87666666666667</v>
      </c>
      <c r="BS291" s="26">
        <f t="shared" si="113"/>
        <v>246.75325002900166</v>
      </c>
      <c r="BT291" s="26">
        <f t="shared" si="114"/>
        <v>247.03240797835997</v>
      </c>
    </row>
    <row r="292" spans="1:72" x14ac:dyDescent="0.2">
      <c r="A292" s="62"/>
      <c r="B292" s="24">
        <v>44486</v>
      </c>
      <c r="C292" s="25">
        <v>246.94</v>
      </c>
      <c r="D292" s="26">
        <f t="shared" si="115"/>
        <v>247.49</v>
      </c>
      <c r="E292" s="26">
        <f t="shared" si="117"/>
        <v>245.66199999999998</v>
      </c>
      <c r="F292" s="26">
        <f t="shared" si="118"/>
        <v>245.9842857142857</v>
      </c>
      <c r="G292" s="26">
        <f t="shared" si="120"/>
        <v>249.79999999999998</v>
      </c>
      <c r="H292" s="26">
        <f t="shared" si="102"/>
        <v>244.66454545454545</v>
      </c>
      <c r="I292" s="26">
        <f t="shared" si="104"/>
        <v>246.422</v>
      </c>
      <c r="J292" s="26">
        <f t="shared" si="111"/>
        <v>246.82795001740101</v>
      </c>
      <c r="K292" s="26">
        <f t="shared" si="112"/>
        <v>246.976963191344</v>
      </c>
      <c r="L292" s="26">
        <f t="shared" si="107"/>
        <v>218.12310157123255</v>
      </c>
      <c r="V292" s="26">
        <f t="shared" si="121"/>
        <v>247.38977554091952</v>
      </c>
      <c r="W292" s="26">
        <f t="shared" si="124"/>
        <v>247.43217862221834</v>
      </c>
      <c r="X292" s="26">
        <f t="shared" si="123"/>
        <v>-4.2403081298829193E-2</v>
      </c>
      <c r="Y292" s="26">
        <f t="shared" si="103"/>
        <v>-1.6094656681294936E-2</v>
      </c>
      <c r="Z292" s="26">
        <v>11066.8</v>
      </c>
      <c r="AA292" s="26">
        <f t="shared" si="108"/>
        <v>217.08628287907052</v>
      </c>
      <c r="AB292" s="27">
        <f t="shared" si="109"/>
        <v>-0.1208946186155725</v>
      </c>
      <c r="BK292" s="24">
        <v>44486</v>
      </c>
      <c r="BL292" s="25">
        <v>246.94</v>
      </c>
      <c r="BM292" s="26">
        <f t="shared" si="106"/>
        <v>247.49</v>
      </c>
      <c r="BN292" s="26">
        <f t="shared" si="110"/>
        <v>245.66199999999998</v>
      </c>
      <c r="BO292" s="26">
        <f t="shared" si="116"/>
        <v>245.9842857142857</v>
      </c>
      <c r="BP292" s="26">
        <f t="shared" si="119"/>
        <v>249.79999999999998</v>
      </c>
      <c r="BQ292" s="26">
        <f t="shared" si="122"/>
        <v>244.66454545454545</v>
      </c>
      <c r="BR292" s="26">
        <f t="shared" si="105"/>
        <v>246.422</v>
      </c>
      <c r="BS292" s="26">
        <f t="shared" si="113"/>
        <v>246.82795001740101</v>
      </c>
      <c r="BT292" s="26">
        <f t="shared" si="114"/>
        <v>246.976963191344</v>
      </c>
    </row>
    <row r="293" spans="1:72" x14ac:dyDescent="0.2">
      <c r="A293" s="62"/>
      <c r="B293" s="24">
        <v>44487</v>
      </c>
      <c r="C293" s="25">
        <v>246.26</v>
      </c>
      <c r="D293" s="26">
        <f t="shared" si="115"/>
        <v>247.00333333333333</v>
      </c>
      <c r="E293" s="26">
        <f t="shared" si="117"/>
        <v>246.02400000000003</v>
      </c>
      <c r="F293" s="26">
        <f t="shared" si="118"/>
        <v>245.67428571428573</v>
      </c>
      <c r="G293" s="26">
        <f t="shared" si="120"/>
        <v>249.61</v>
      </c>
      <c r="H293" s="26">
        <f t="shared" ref="H293:H356" si="125">AVERAGE(C261:C293)</f>
        <v>244.87030303030301</v>
      </c>
      <c r="I293" s="26">
        <f t="shared" si="104"/>
        <v>246.62133333333333</v>
      </c>
      <c r="J293" s="26">
        <f t="shared" si="111"/>
        <v>246.60077001044061</v>
      </c>
      <c r="K293" s="26">
        <f t="shared" si="112"/>
        <v>246.54678527653761</v>
      </c>
      <c r="L293" s="26">
        <f t="shared" si="107"/>
        <v>218.10826290923245</v>
      </c>
      <c r="V293" s="26">
        <f t="shared" si="121"/>
        <v>247.21596391923958</v>
      </c>
      <c r="W293" s="26">
        <f t="shared" si="124"/>
        <v>247.30608846381438</v>
      </c>
      <c r="X293" s="26">
        <f t="shared" si="123"/>
        <v>-9.0124544574791798E-2</v>
      </c>
      <c r="Y293" s="26">
        <f t="shared" si="103"/>
        <v>-3.0900634259994311E-2</v>
      </c>
      <c r="Z293" s="26">
        <v>11220.19</v>
      </c>
      <c r="AA293" s="26">
        <f t="shared" si="108"/>
        <v>217.15381579671327</v>
      </c>
      <c r="AB293" s="27">
        <f t="shared" si="109"/>
        <v>-0.11819290263659026</v>
      </c>
      <c r="BK293" s="24">
        <v>44487</v>
      </c>
      <c r="BL293" s="25">
        <v>246.26</v>
      </c>
      <c r="BM293" s="26">
        <f t="shared" si="106"/>
        <v>247.00333333333333</v>
      </c>
      <c r="BN293" s="26">
        <f t="shared" si="110"/>
        <v>246.02400000000003</v>
      </c>
      <c r="BO293" s="26">
        <f t="shared" si="116"/>
        <v>245.67428571428573</v>
      </c>
      <c r="BP293" s="26">
        <f t="shared" si="119"/>
        <v>249.61</v>
      </c>
      <c r="BQ293" s="26">
        <f t="shared" si="122"/>
        <v>244.87030303030301</v>
      </c>
      <c r="BR293" s="26">
        <f t="shared" si="105"/>
        <v>246.62133333333333</v>
      </c>
      <c r="BS293" s="26">
        <f t="shared" si="113"/>
        <v>246.60077001044061</v>
      </c>
      <c r="BT293" s="26">
        <f t="shared" si="114"/>
        <v>246.54678527653761</v>
      </c>
    </row>
    <row r="294" spans="1:72" x14ac:dyDescent="0.2">
      <c r="A294" s="62"/>
      <c r="B294" s="24">
        <v>44488</v>
      </c>
      <c r="C294" s="25">
        <v>245.35</v>
      </c>
      <c r="D294" s="26">
        <f t="shared" si="115"/>
        <v>246.18333333333331</v>
      </c>
      <c r="E294" s="26">
        <f t="shared" si="117"/>
        <v>246.81599999999997</v>
      </c>
      <c r="F294" s="26">
        <f t="shared" si="118"/>
        <v>245.70285714285711</v>
      </c>
      <c r="G294" s="26">
        <f t="shared" si="120"/>
        <v>248.95538461538459</v>
      </c>
      <c r="H294" s="26">
        <f t="shared" si="125"/>
        <v>245.00181818181818</v>
      </c>
      <c r="I294" s="26">
        <f t="shared" si="104"/>
        <v>246.39666666666662</v>
      </c>
      <c r="J294" s="26">
        <f t="shared" si="111"/>
        <v>246.10046200626437</v>
      </c>
      <c r="K294" s="26">
        <f t="shared" si="112"/>
        <v>245.82871411061501</v>
      </c>
      <c r="L294" s="26">
        <f t="shared" si="107"/>
        <v>218.09342424723235</v>
      </c>
      <c r="V294" s="26">
        <f t="shared" si="121"/>
        <v>246.92889254704889</v>
      </c>
      <c r="W294" s="26">
        <f t="shared" si="124"/>
        <v>247.07774436966628</v>
      </c>
      <c r="X294" s="26">
        <f t="shared" si="123"/>
        <v>-0.14885182261738805</v>
      </c>
      <c r="Y294" s="26">
        <f t="shared" si="103"/>
        <v>-5.4490871931473062E-2</v>
      </c>
      <c r="Z294" s="26">
        <v>11425.05</v>
      </c>
      <c r="AA294" s="26">
        <f t="shared" si="108"/>
        <v>217.24400937848716</v>
      </c>
      <c r="AB294" s="27">
        <f t="shared" si="109"/>
        <v>-0.11455467952522043</v>
      </c>
      <c r="BK294" s="24">
        <v>44488</v>
      </c>
      <c r="BL294" s="25">
        <v>245.35</v>
      </c>
      <c r="BM294" s="26">
        <f t="shared" si="106"/>
        <v>246.18333333333331</v>
      </c>
      <c r="BN294" s="26">
        <f t="shared" si="110"/>
        <v>246.81599999999997</v>
      </c>
      <c r="BO294" s="26">
        <f t="shared" si="116"/>
        <v>245.70285714285711</v>
      </c>
      <c r="BP294" s="26">
        <f t="shared" si="119"/>
        <v>248.95538461538459</v>
      </c>
      <c r="BQ294" s="26">
        <f t="shared" si="122"/>
        <v>245.00181818181818</v>
      </c>
      <c r="BR294" s="26">
        <f t="shared" si="105"/>
        <v>246.39666666666662</v>
      </c>
      <c r="BS294" s="26">
        <f t="shared" si="113"/>
        <v>246.10046200626437</v>
      </c>
      <c r="BT294" s="26">
        <f t="shared" si="114"/>
        <v>245.82871411061501</v>
      </c>
    </row>
    <row r="295" spans="1:72" x14ac:dyDescent="0.2">
      <c r="A295" s="62"/>
      <c r="B295" s="24">
        <v>44489</v>
      </c>
      <c r="C295" s="25">
        <v>244.15</v>
      </c>
      <c r="D295" s="26">
        <f t="shared" si="115"/>
        <v>245.25333333333333</v>
      </c>
      <c r="E295" s="26">
        <f t="shared" si="117"/>
        <v>246.102</v>
      </c>
      <c r="F295" s="26">
        <f t="shared" si="118"/>
        <v>245.66000000000003</v>
      </c>
      <c r="G295" s="26">
        <f t="shared" si="120"/>
        <v>247.91615384615392</v>
      </c>
      <c r="H295" s="26">
        <f t="shared" si="125"/>
        <v>245.2533333333333</v>
      </c>
      <c r="I295" s="26">
        <f t="shared" si="104"/>
        <v>245.50800000000001</v>
      </c>
      <c r="J295" s="26">
        <f t="shared" si="111"/>
        <v>245.32027720375862</v>
      </c>
      <c r="K295" s="26">
        <f t="shared" si="112"/>
        <v>244.82148564424602</v>
      </c>
      <c r="L295" s="26">
        <f t="shared" si="107"/>
        <v>218.07858558523228</v>
      </c>
      <c r="V295" s="26">
        <f t="shared" si="121"/>
        <v>246.50137061673365</v>
      </c>
      <c r="W295" s="26">
        <f t="shared" si="124"/>
        <v>246.7230486546749</v>
      </c>
      <c r="X295" s="26">
        <f t="shared" si="123"/>
        <v>-0.22167803794124552</v>
      </c>
      <c r="Y295" s="26">
        <f t="shared" ref="Y295:Y358" si="126">X295*(2/(9+1))+Y294*(1-(2/(9+1)))</f>
        <v>-8.7928305133427559E-2</v>
      </c>
      <c r="Z295" s="26">
        <v>11535.02</v>
      </c>
      <c r="AA295" s="26">
        <f t="shared" si="108"/>
        <v>217.29242580037371</v>
      </c>
      <c r="AB295" s="27">
        <f t="shared" si="109"/>
        <v>-0.11000439975271882</v>
      </c>
      <c r="BK295" s="24">
        <v>44489</v>
      </c>
      <c r="BL295" s="25">
        <v>244.15</v>
      </c>
      <c r="BM295" s="26">
        <f t="shared" si="106"/>
        <v>245.25333333333333</v>
      </c>
      <c r="BN295" s="26">
        <f t="shared" si="110"/>
        <v>246.102</v>
      </c>
      <c r="BO295" s="26">
        <f t="shared" si="116"/>
        <v>245.66000000000003</v>
      </c>
      <c r="BP295" s="26">
        <f t="shared" si="119"/>
        <v>247.91615384615392</v>
      </c>
      <c r="BQ295" s="26">
        <f t="shared" si="122"/>
        <v>245.2533333333333</v>
      </c>
      <c r="BR295" s="26">
        <f t="shared" si="105"/>
        <v>245.50800000000001</v>
      </c>
      <c r="BS295" s="26">
        <f t="shared" si="113"/>
        <v>245.32027720375862</v>
      </c>
      <c r="BT295" s="26">
        <f t="shared" si="114"/>
        <v>244.82148564424602</v>
      </c>
    </row>
    <row r="296" spans="1:72" x14ac:dyDescent="0.2">
      <c r="A296" s="62"/>
      <c r="B296" s="24">
        <v>44490</v>
      </c>
      <c r="C296" s="25">
        <v>244.14</v>
      </c>
      <c r="D296" s="26">
        <f t="shared" si="115"/>
        <v>244.54666666666665</v>
      </c>
      <c r="E296" s="26">
        <f t="shared" si="117"/>
        <v>245.36799999999999</v>
      </c>
      <c r="F296" s="26">
        <f t="shared" si="118"/>
        <v>246.05285714285714</v>
      </c>
      <c r="G296" s="26">
        <f t="shared" si="120"/>
        <v>247.03923076923076</v>
      </c>
      <c r="H296" s="26">
        <f t="shared" si="125"/>
        <v>245.42545454545453</v>
      </c>
      <c r="I296" s="26">
        <f t="shared" si="104"/>
        <v>244.85399999999996</v>
      </c>
      <c r="J296" s="26">
        <f t="shared" si="111"/>
        <v>244.84816632225517</v>
      </c>
      <c r="K296" s="26">
        <f t="shared" si="112"/>
        <v>244.4125942576984</v>
      </c>
      <c r="L296" s="26">
        <f t="shared" si="107"/>
        <v>218.06374692323217</v>
      </c>
      <c r="V296" s="26">
        <f t="shared" si="121"/>
        <v>246.13808282954386</v>
      </c>
      <c r="W296" s="26">
        <f t="shared" si="124"/>
        <v>246.32645427475339</v>
      </c>
      <c r="X296" s="26">
        <f t="shared" si="123"/>
        <v>-0.1883714452095262</v>
      </c>
      <c r="Y296" s="26">
        <f t="shared" si="126"/>
        <v>-0.1080169331486473</v>
      </c>
      <c r="Z296" s="26">
        <v>11448.4</v>
      </c>
      <c r="AA296" s="26">
        <f t="shared" si="108"/>
        <v>217.25428966812117</v>
      </c>
      <c r="AB296" s="27">
        <f t="shared" si="109"/>
        <v>-0.1101241514372033</v>
      </c>
      <c r="BK296" s="24">
        <v>44490</v>
      </c>
      <c r="BL296" s="25">
        <v>244.14</v>
      </c>
      <c r="BM296" s="26">
        <f t="shared" si="106"/>
        <v>244.54666666666665</v>
      </c>
      <c r="BN296" s="26">
        <f t="shared" si="110"/>
        <v>245.36799999999999</v>
      </c>
      <c r="BO296" s="26">
        <f t="shared" si="116"/>
        <v>246.05285714285714</v>
      </c>
      <c r="BP296" s="26">
        <f t="shared" si="119"/>
        <v>247.03923076923076</v>
      </c>
      <c r="BQ296" s="26">
        <f t="shared" si="122"/>
        <v>245.42545454545453</v>
      </c>
      <c r="BR296" s="26">
        <f t="shared" si="105"/>
        <v>244.85399999999996</v>
      </c>
      <c r="BS296" s="26">
        <f t="shared" si="113"/>
        <v>244.84816632225517</v>
      </c>
      <c r="BT296" s="26">
        <f t="shared" si="114"/>
        <v>244.4125942576984</v>
      </c>
    </row>
    <row r="297" spans="1:72" x14ac:dyDescent="0.2">
      <c r="A297" s="62"/>
      <c r="B297" s="24">
        <v>44491</v>
      </c>
      <c r="C297" s="25">
        <v>248.35</v>
      </c>
      <c r="D297" s="26">
        <f t="shared" si="115"/>
        <v>245.54666666666665</v>
      </c>
      <c r="E297" s="26">
        <f t="shared" si="117"/>
        <v>245.65</v>
      </c>
      <c r="F297" s="26">
        <f t="shared" si="118"/>
        <v>246.14285714285714</v>
      </c>
      <c r="G297" s="26">
        <f t="shared" si="120"/>
        <v>246.39076923076922</v>
      </c>
      <c r="H297" s="26">
        <f t="shared" si="125"/>
        <v>245.62939393939396</v>
      </c>
      <c r="I297" s="26">
        <f t="shared" si="104"/>
        <v>245.84800000000001</v>
      </c>
      <c r="J297" s="26">
        <f t="shared" si="111"/>
        <v>246.2488997933531</v>
      </c>
      <c r="K297" s="26">
        <f t="shared" si="112"/>
        <v>246.77503770307936</v>
      </c>
      <c r="L297" s="26">
        <f t="shared" si="107"/>
        <v>218.04890826123207</v>
      </c>
      <c r="V297" s="26">
        <f t="shared" si="121"/>
        <v>246.47837777884479</v>
      </c>
      <c r="W297" s="26">
        <f t="shared" si="124"/>
        <v>246.30192854587395</v>
      </c>
      <c r="X297" s="26">
        <f t="shared" si="123"/>
        <v>0.17644923297083892</v>
      </c>
      <c r="Y297" s="26">
        <f t="shared" si="126"/>
        <v>-5.1123699924750063E-2</v>
      </c>
      <c r="Z297" s="26">
        <v>11552.36</v>
      </c>
      <c r="AA297" s="26">
        <f t="shared" si="108"/>
        <v>217.30006007113403</v>
      </c>
      <c r="AB297" s="27">
        <f t="shared" si="109"/>
        <v>-0.12502492421528474</v>
      </c>
      <c r="BK297" s="24">
        <v>44491</v>
      </c>
      <c r="BL297" s="25">
        <v>248.35</v>
      </c>
      <c r="BM297" s="26">
        <f t="shared" si="106"/>
        <v>245.54666666666665</v>
      </c>
      <c r="BN297" s="26">
        <f t="shared" si="110"/>
        <v>245.65</v>
      </c>
      <c r="BO297" s="26">
        <f t="shared" si="116"/>
        <v>246.14285714285714</v>
      </c>
      <c r="BP297" s="26">
        <f t="shared" si="119"/>
        <v>246.39076923076922</v>
      </c>
      <c r="BQ297" s="26">
        <f t="shared" si="122"/>
        <v>245.62939393939396</v>
      </c>
      <c r="BR297" s="26">
        <f t="shared" si="105"/>
        <v>245.84800000000001</v>
      </c>
      <c r="BS297" s="26">
        <f t="shared" si="113"/>
        <v>246.2488997933531</v>
      </c>
      <c r="BT297" s="26">
        <f t="shared" si="114"/>
        <v>246.77503770307936</v>
      </c>
    </row>
    <row r="298" spans="1:72" x14ac:dyDescent="0.2">
      <c r="A298" s="62"/>
      <c r="B298" s="24">
        <v>44492</v>
      </c>
      <c r="C298" s="25">
        <v>246.63</v>
      </c>
      <c r="D298" s="26">
        <f t="shared" si="115"/>
        <v>246.37333333333333</v>
      </c>
      <c r="E298" s="26">
        <f t="shared" si="117"/>
        <v>245.72399999999999</v>
      </c>
      <c r="F298" s="26">
        <f t="shared" si="118"/>
        <v>245.97428571428568</v>
      </c>
      <c r="G298" s="26">
        <f t="shared" si="120"/>
        <v>245.90538461538461</v>
      </c>
      <c r="H298" s="26">
        <f t="shared" si="125"/>
        <v>245.82424242424244</v>
      </c>
      <c r="I298" s="26">
        <f t="shared" si="104"/>
        <v>246.1746666666667</v>
      </c>
      <c r="J298" s="26">
        <f t="shared" si="111"/>
        <v>246.40133987601183</v>
      </c>
      <c r="K298" s="26">
        <f t="shared" si="112"/>
        <v>246.68801508123173</v>
      </c>
      <c r="L298" s="26">
        <f t="shared" si="107"/>
        <v>218.034069599232</v>
      </c>
      <c r="V298" s="26">
        <f t="shared" si="121"/>
        <v>246.50170427440713</v>
      </c>
      <c r="W298" s="26">
        <f t="shared" si="124"/>
        <v>246.4896090544859</v>
      </c>
      <c r="X298" s="26">
        <f t="shared" si="123"/>
        <v>1.2095219921235412E-2</v>
      </c>
      <c r="Y298" s="26">
        <f t="shared" si="126"/>
        <v>-3.8479915955552974E-2</v>
      </c>
      <c r="Z298" s="26">
        <v>11719.68</v>
      </c>
      <c r="AA298" s="26">
        <f t="shared" si="108"/>
        <v>217.37372594100813</v>
      </c>
      <c r="AB298" s="27">
        <f t="shared" si="109"/>
        <v>-0.11862414977493356</v>
      </c>
      <c r="BK298" s="24">
        <v>44492</v>
      </c>
      <c r="BL298" s="25">
        <v>246.63</v>
      </c>
      <c r="BM298" s="26">
        <f t="shared" si="106"/>
        <v>246.37333333333333</v>
      </c>
      <c r="BN298" s="26">
        <f t="shared" si="110"/>
        <v>245.72399999999999</v>
      </c>
      <c r="BO298" s="26">
        <f t="shared" si="116"/>
        <v>245.97428571428568</v>
      </c>
      <c r="BP298" s="26">
        <f t="shared" si="119"/>
        <v>245.90538461538461</v>
      </c>
      <c r="BQ298" s="26">
        <f t="shared" si="122"/>
        <v>245.82424242424244</v>
      </c>
      <c r="BR298" s="26">
        <f t="shared" si="105"/>
        <v>246.1746666666667</v>
      </c>
      <c r="BS298" s="26">
        <f t="shared" si="113"/>
        <v>246.40133987601183</v>
      </c>
      <c r="BT298" s="26">
        <f t="shared" si="114"/>
        <v>246.68801508123173</v>
      </c>
    </row>
    <row r="299" spans="1:72" x14ac:dyDescent="0.2">
      <c r="A299" s="62"/>
      <c r="B299" s="24">
        <v>44493</v>
      </c>
      <c r="C299" s="25">
        <v>245.44</v>
      </c>
      <c r="D299" s="26">
        <f t="shared" si="115"/>
        <v>246.8066666666667</v>
      </c>
      <c r="E299" s="26">
        <f t="shared" si="117"/>
        <v>245.74200000000002</v>
      </c>
      <c r="F299" s="26">
        <f t="shared" si="118"/>
        <v>245.76000000000002</v>
      </c>
      <c r="G299" s="26">
        <f t="shared" si="120"/>
        <v>245.67538461538459</v>
      </c>
      <c r="H299" s="26">
        <f t="shared" si="125"/>
        <v>245.98060606060608</v>
      </c>
      <c r="I299" s="26">
        <f t="shared" si="104"/>
        <v>246.08</v>
      </c>
      <c r="J299" s="26">
        <f t="shared" si="111"/>
        <v>246.01680392560712</v>
      </c>
      <c r="K299" s="26">
        <f t="shared" si="112"/>
        <v>245.93920603249268</v>
      </c>
      <c r="L299" s="26">
        <f t="shared" si="107"/>
        <v>218.0192309372319</v>
      </c>
      <c r="V299" s="26">
        <f t="shared" si="121"/>
        <v>246.33836515526758</v>
      </c>
      <c r="W299" s="26">
        <f t="shared" si="124"/>
        <v>246.42305951333992</v>
      </c>
      <c r="X299" s="26">
        <f t="shared" si="123"/>
        <v>-8.4694358072340492E-2</v>
      </c>
      <c r="Y299" s="26">
        <f t="shared" si="126"/>
        <v>-4.772280437891048E-2</v>
      </c>
      <c r="Z299" s="26">
        <v>11633.57</v>
      </c>
      <c r="AA299" s="26">
        <f t="shared" si="108"/>
        <v>217.33581434613089</v>
      </c>
      <c r="AB299" s="27">
        <f t="shared" si="109"/>
        <v>-0.11450531964581613</v>
      </c>
      <c r="BK299" s="24">
        <v>44493</v>
      </c>
      <c r="BL299" s="25">
        <v>245.44</v>
      </c>
      <c r="BM299" s="26">
        <f t="shared" si="106"/>
        <v>246.8066666666667</v>
      </c>
      <c r="BN299" s="26">
        <f t="shared" si="110"/>
        <v>245.74200000000002</v>
      </c>
      <c r="BO299" s="26">
        <f t="shared" si="116"/>
        <v>245.76000000000002</v>
      </c>
      <c r="BP299" s="26">
        <f t="shared" si="119"/>
        <v>245.67538461538459</v>
      </c>
      <c r="BQ299" s="26">
        <f t="shared" si="122"/>
        <v>245.98060606060608</v>
      </c>
      <c r="BR299" s="26">
        <f t="shared" si="105"/>
        <v>246.08</v>
      </c>
      <c r="BS299" s="26">
        <f t="shared" si="113"/>
        <v>246.01680392560712</v>
      </c>
      <c r="BT299" s="26">
        <f t="shared" si="114"/>
        <v>245.93920603249268</v>
      </c>
    </row>
    <row r="300" spans="1:72" x14ac:dyDescent="0.2">
      <c r="A300" s="62"/>
      <c r="B300" s="24">
        <v>44494</v>
      </c>
      <c r="C300" s="25">
        <v>247.05</v>
      </c>
      <c r="D300" s="26">
        <f t="shared" si="115"/>
        <v>246.37333333333333</v>
      </c>
      <c r="E300" s="26">
        <f t="shared" si="117"/>
        <v>246.32199999999997</v>
      </c>
      <c r="F300" s="26">
        <f t="shared" si="118"/>
        <v>245.87285714285713</v>
      </c>
      <c r="G300" s="26">
        <f t="shared" si="120"/>
        <v>245.82153846153849</v>
      </c>
      <c r="H300" s="26">
        <f t="shared" si="125"/>
        <v>246.01969696969698</v>
      </c>
      <c r="I300" s="26">
        <f t="shared" si="104"/>
        <v>246.51599999999999</v>
      </c>
      <c r="J300" s="26">
        <f t="shared" si="111"/>
        <v>246.43008235536428</v>
      </c>
      <c r="K300" s="26">
        <f t="shared" si="112"/>
        <v>246.60568241299706</v>
      </c>
      <c r="L300" s="26">
        <f t="shared" si="107"/>
        <v>218.00439227523179</v>
      </c>
      <c r="V300" s="26">
        <f t="shared" si="121"/>
        <v>246.44784743907258</v>
      </c>
      <c r="W300" s="26">
        <f t="shared" si="124"/>
        <v>246.39107884747</v>
      </c>
      <c r="X300" s="26">
        <f t="shared" si="123"/>
        <v>5.6768591602576635E-2</v>
      </c>
      <c r="Y300" s="26">
        <f t="shared" si="126"/>
        <v>-2.6824525182613058E-2</v>
      </c>
      <c r="Z300" s="26">
        <v>11816.2</v>
      </c>
      <c r="AA300" s="26">
        <f t="shared" si="108"/>
        <v>217.41622073995774</v>
      </c>
      <c r="AB300" s="27">
        <f t="shared" si="109"/>
        <v>-0.11995053333350444</v>
      </c>
      <c r="BK300" s="24">
        <v>44494</v>
      </c>
      <c r="BL300" s="25">
        <v>247.05</v>
      </c>
      <c r="BM300" s="26">
        <f t="shared" si="106"/>
        <v>246.37333333333333</v>
      </c>
      <c r="BN300" s="26">
        <f t="shared" si="110"/>
        <v>246.32199999999997</v>
      </c>
      <c r="BO300" s="26">
        <f t="shared" si="116"/>
        <v>245.87285714285713</v>
      </c>
      <c r="BP300" s="26">
        <f t="shared" si="119"/>
        <v>245.82153846153849</v>
      </c>
      <c r="BQ300" s="26">
        <f t="shared" si="122"/>
        <v>246.01969696969698</v>
      </c>
      <c r="BR300" s="26">
        <f t="shared" si="105"/>
        <v>246.51599999999999</v>
      </c>
      <c r="BS300" s="26">
        <f t="shared" si="113"/>
        <v>246.43008235536428</v>
      </c>
      <c r="BT300" s="26">
        <f t="shared" si="114"/>
        <v>246.60568241299706</v>
      </c>
    </row>
    <row r="301" spans="1:72" x14ac:dyDescent="0.2">
      <c r="A301" s="62"/>
      <c r="B301" s="24">
        <v>44495</v>
      </c>
      <c r="C301" s="25">
        <v>243.58</v>
      </c>
      <c r="D301" s="26">
        <f t="shared" si="115"/>
        <v>245.35666666666668</v>
      </c>
      <c r="E301" s="26">
        <f t="shared" si="117"/>
        <v>246.20999999999998</v>
      </c>
      <c r="F301" s="26">
        <f t="shared" si="118"/>
        <v>245.61999999999998</v>
      </c>
      <c r="G301" s="26">
        <f t="shared" si="120"/>
        <v>245.75461538461542</v>
      </c>
      <c r="H301" s="26">
        <f t="shared" si="125"/>
        <v>245.95818181818186</v>
      </c>
      <c r="I301" s="26">
        <f t="shared" si="104"/>
        <v>245.602</v>
      </c>
      <c r="J301" s="26">
        <f t="shared" si="111"/>
        <v>245.29004941321858</v>
      </c>
      <c r="K301" s="26">
        <f t="shared" si="112"/>
        <v>244.79027296519882</v>
      </c>
      <c r="L301" s="26">
        <f t="shared" si="107"/>
        <v>217.98955361323172</v>
      </c>
      <c r="V301" s="26">
        <f t="shared" si="121"/>
        <v>246.00664014075372</v>
      </c>
      <c r="W301" s="26">
        <f t="shared" si="124"/>
        <v>246.23541429543758</v>
      </c>
      <c r="X301" s="26">
        <f t="shared" si="123"/>
        <v>-0.22877415468386175</v>
      </c>
      <c r="Y301" s="26">
        <f t="shared" si="126"/>
        <v>-6.7214451082862794E-2</v>
      </c>
      <c r="Z301" s="26">
        <v>11883.14</v>
      </c>
      <c r="AA301" s="26">
        <f t="shared" si="108"/>
        <v>217.44569237113973</v>
      </c>
      <c r="AB301" s="27">
        <f t="shared" si="109"/>
        <v>-0.10729250196592612</v>
      </c>
      <c r="BK301" s="24">
        <v>44495</v>
      </c>
      <c r="BL301" s="25">
        <v>243.58</v>
      </c>
      <c r="BM301" s="26">
        <f t="shared" si="106"/>
        <v>245.35666666666668</v>
      </c>
      <c r="BN301" s="26">
        <f t="shared" si="110"/>
        <v>246.20999999999998</v>
      </c>
      <c r="BO301" s="26">
        <f t="shared" si="116"/>
        <v>245.61999999999998</v>
      </c>
      <c r="BP301" s="26">
        <f t="shared" si="119"/>
        <v>245.75461538461542</v>
      </c>
      <c r="BQ301" s="26">
        <f t="shared" si="122"/>
        <v>245.95818181818186</v>
      </c>
      <c r="BR301" s="26">
        <f t="shared" si="105"/>
        <v>245.602</v>
      </c>
      <c r="BS301" s="26">
        <f t="shared" si="113"/>
        <v>245.29004941321858</v>
      </c>
      <c r="BT301" s="26">
        <f t="shared" si="114"/>
        <v>244.79027296519882</v>
      </c>
    </row>
    <row r="302" spans="1:72" x14ac:dyDescent="0.2">
      <c r="A302" s="62"/>
      <c r="B302" s="24">
        <v>44496</v>
      </c>
      <c r="C302" s="25">
        <v>246.76</v>
      </c>
      <c r="D302" s="26">
        <f t="shared" si="115"/>
        <v>245.79666666666665</v>
      </c>
      <c r="E302" s="26">
        <f t="shared" si="117"/>
        <v>245.892</v>
      </c>
      <c r="F302" s="26">
        <f t="shared" si="118"/>
        <v>245.9928571428571</v>
      </c>
      <c r="G302" s="26">
        <f t="shared" si="120"/>
        <v>246.16769230769233</v>
      </c>
      <c r="H302" s="26">
        <f t="shared" si="125"/>
        <v>246.04818181818183</v>
      </c>
      <c r="I302" s="26">
        <f t="shared" si="104"/>
        <v>245.78533333333334</v>
      </c>
      <c r="J302" s="26">
        <f t="shared" si="111"/>
        <v>245.87802964793116</v>
      </c>
      <c r="K302" s="26">
        <f t="shared" si="112"/>
        <v>245.97210918607954</v>
      </c>
      <c r="L302" s="26">
        <f t="shared" si="107"/>
        <v>217.97471495123162</v>
      </c>
      <c r="V302" s="26">
        <f t="shared" si="121"/>
        <v>246.12254165756084</v>
      </c>
      <c r="W302" s="26">
        <f t="shared" si="124"/>
        <v>246.06244457477197</v>
      </c>
      <c r="X302" s="26">
        <f t="shared" si="123"/>
        <v>6.0097082788871603E-2</v>
      </c>
      <c r="Y302" s="26">
        <f t="shared" si="126"/>
        <v>-4.1752144308515912E-2</v>
      </c>
      <c r="Z302" s="26">
        <v>12017.67</v>
      </c>
      <c r="AA302" s="26">
        <f t="shared" si="108"/>
        <v>217.5049218085899</v>
      </c>
      <c r="AB302" s="27">
        <f t="shared" si="109"/>
        <v>-0.11855680901041536</v>
      </c>
      <c r="BK302" s="24">
        <v>44496</v>
      </c>
      <c r="BL302" s="25">
        <v>246.76</v>
      </c>
      <c r="BM302" s="26">
        <f t="shared" si="106"/>
        <v>245.79666666666665</v>
      </c>
      <c r="BN302" s="26">
        <f t="shared" si="110"/>
        <v>245.892</v>
      </c>
      <c r="BO302" s="26">
        <f t="shared" si="116"/>
        <v>245.9928571428571</v>
      </c>
      <c r="BP302" s="26">
        <f t="shared" si="119"/>
        <v>246.16769230769233</v>
      </c>
      <c r="BQ302" s="26">
        <f t="shared" si="122"/>
        <v>246.04818181818183</v>
      </c>
      <c r="BR302" s="26">
        <f t="shared" si="105"/>
        <v>245.78533333333334</v>
      </c>
      <c r="BS302" s="26">
        <f t="shared" si="113"/>
        <v>245.87802964793116</v>
      </c>
      <c r="BT302" s="26">
        <f t="shared" si="114"/>
        <v>245.97210918607954</v>
      </c>
    </row>
    <row r="303" spans="1:72" x14ac:dyDescent="0.2">
      <c r="A303" s="62"/>
      <c r="B303" s="24">
        <v>44497</v>
      </c>
      <c r="C303" s="25">
        <v>247.9</v>
      </c>
      <c r="D303" s="26">
        <f t="shared" si="115"/>
        <v>246.08</v>
      </c>
      <c r="E303" s="26">
        <f t="shared" si="117"/>
        <v>246.14600000000002</v>
      </c>
      <c r="F303" s="26">
        <f t="shared" si="118"/>
        <v>246.53</v>
      </c>
      <c r="G303" s="26">
        <f t="shared" si="120"/>
        <v>246.18153846153848</v>
      </c>
      <c r="H303" s="26">
        <f t="shared" si="125"/>
        <v>246.2618181818182</v>
      </c>
      <c r="I303" s="26">
        <f t="shared" si="104"/>
        <v>246.45466666666664</v>
      </c>
      <c r="J303" s="26">
        <f t="shared" si="111"/>
        <v>246.68681778875867</v>
      </c>
      <c r="K303" s="26">
        <f t="shared" si="112"/>
        <v>247.12884367443183</v>
      </c>
      <c r="L303" s="26">
        <f t="shared" si="107"/>
        <v>217.95987628923152</v>
      </c>
      <c r="V303" s="26">
        <f t="shared" si="121"/>
        <v>246.39599678716687</v>
      </c>
      <c r="W303" s="26">
        <f t="shared" si="124"/>
        <v>246.25420523848226</v>
      </c>
      <c r="X303" s="26">
        <f t="shared" si="123"/>
        <v>0.14179154868460841</v>
      </c>
      <c r="Y303" s="26">
        <f t="shared" si="126"/>
        <v>-5.0434057098910461E-3</v>
      </c>
      <c r="Z303" s="26">
        <v>12141.71</v>
      </c>
      <c r="AA303" s="26">
        <f t="shared" si="108"/>
        <v>217.55953282041864</v>
      </c>
      <c r="AB303" s="27">
        <f t="shared" si="109"/>
        <v>-0.12238994425002568</v>
      </c>
      <c r="BK303" s="24">
        <v>44497</v>
      </c>
      <c r="BL303" s="25">
        <v>247.9</v>
      </c>
      <c r="BM303" s="26">
        <f t="shared" si="106"/>
        <v>246.08</v>
      </c>
      <c r="BN303" s="26">
        <f t="shared" si="110"/>
        <v>246.14600000000002</v>
      </c>
      <c r="BO303" s="26">
        <f t="shared" si="116"/>
        <v>246.53</v>
      </c>
      <c r="BP303" s="26">
        <f t="shared" si="119"/>
        <v>246.18153846153848</v>
      </c>
      <c r="BQ303" s="26">
        <f t="shared" si="122"/>
        <v>246.2618181818182</v>
      </c>
      <c r="BR303" s="26">
        <f t="shared" si="105"/>
        <v>246.45466666666664</v>
      </c>
      <c r="BS303" s="26">
        <f t="shared" si="113"/>
        <v>246.68681778875867</v>
      </c>
      <c r="BT303" s="26">
        <f t="shared" si="114"/>
        <v>247.12884367443183</v>
      </c>
    </row>
    <row r="304" spans="1:72" x14ac:dyDescent="0.2">
      <c r="A304" s="62"/>
      <c r="B304" s="24">
        <v>44498</v>
      </c>
      <c r="C304" s="25">
        <v>243.61</v>
      </c>
      <c r="D304" s="26">
        <f t="shared" si="115"/>
        <v>246.09</v>
      </c>
      <c r="E304" s="26">
        <f t="shared" si="117"/>
        <v>245.78000000000003</v>
      </c>
      <c r="F304" s="26">
        <f t="shared" si="118"/>
        <v>245.85285714285718</v>
      </c>
      <c r="G304" s="26">
        <f t="shared" si="120"/>
        <v>245.85846153846154</v>
      </c>
      <c r="H304" s="26">
        <f t="shared" si="125"/>
        <v>246.33878787878791</v>
      </c>
      <c r="I304" s="26">
        <f t="shared" si="104"/>
        <v>245.60933333333335</v>
      </c>
      <c r="J304" s="26">
        <f t="shared" si="111"/>
        <v>245.4560906732552</v>
      </c>
      <c r="K304" s="26">
        <f t="shared" si="112"/>
        <v>245.01753746977272</v>
      </c>
      <c r="L304" s="26">
        <f t="shared" si="107"/>
        <v>217.94503762723144</v>
      </c>
      <c r="V304" s="26">
        <f t="shared" si="121"/>
        <v>245.9673818968335</v>
      </c>
      <c r="W304" s="26">
        <f t="shared" si="124"/>
        <v>246.18962665478412</v>
      </c>
      <c r="X304" s="26">
        <f t="shared" si="123"/>
        <v>-0.22224475795061949</v>
      </c>
      <c r="Y304" s="26">
        <f t="shared" si="126"/>
        <v>-4.848367615803674E-2</v>
      </c>
      <c r="Z304" s="26">
        <v>12639.26</v>
      </c>
      <c r="AA304" s="26">
        <f t="shared" si="108"/>
        <v>217.77858884214862</v>
      </c>
      <c r="AB304" s="27">
        <f t="shared" si="109"/>
        <v>-0.10603592281865026</v>
      </c>
      <c r="BK304" s="24">
        <v>44498</v>
      </c>
      <c r="BL304" s="25">
        <v>243.61</v>
      </c>
      <c r="BM304" s="26">
        <f t="shared" si="106"/>
        <v>246.09</v>
      </c>
      <c r="BN304" s="26">
        <f t="shared" si="110"/>
        <v>245.78000000000003</v>
      </c>
      <c r="BO304" s="26">
        <f t="shared" si="116"/>
        <v>245.85285714285718</v>
      </c>
      <c r="BP304" s="26">
        <f t="shared" si="119"/>
        <v>245.85846153846154</v>
      </c>
      <c r="BQ304" s="26">
        <f t="shared" si="122"/>
        <v>246.33878787878791</v>
      </c>
      <c r="BR304" s="26">
        <f t="shared" si="105"/>
        <v>245.60933333333335</v>
      </c>
      <c r="BS304" s="26">
        <f t="shared" si="113"/>
        <v>245.4560906732552</v>
      </c>
      <c r="BT304" s="26">
        <f t="shared" si="114"/>
        <v>245.01753746977272</v>
      </c>
    </row>
    <row r="305" spans="1:72" x14ac:dyDescent="0.2">
      <c r="A305" s="62"/>
      <c r="B305" s="24">
        <v>44499</v>
      </c>
      <c r="C305" s="25">
        <v>240.52</v>
      </c>
      <c r="D305" s="26">
        <f t="shared" si="115"/>
        <v>244.01</v>
      </c>
      <c r="E305" s="26">
        <f t="shared" si="117"/>
        <v>244.47400000000002</v>
      </c>
      <c r="F305" s="26">
        <f t="shared" si="118"/>
        <v>244.98000000000002</v>
      </c>
      <c r="G305" s="26">
        <f t="shared" si="120"/>
        <v>245.3646153846154</v>
      </c>
      <c r="H305" s="26">
        <f t="shared" si="125"/>
        <v>246.34454545454545</v>
      </c>
      <c r="I305" s="26">
        <f t="shared" ref="I305:I368" si="127">(C305*5+C304*4+C303*3+C302*2+C301)/(5+4+3+2+1)</f>
        <v>243.85599999999997</v>
      </c>
      <c r="J305" s="26">
        <f t="shared" si="111"/>
        <v>243.48165440395314</v>
      </c>
      <c r="K305" s="26">
        <f t="shared" si="112"/>
        <v>242.3190149879091</v>
      </c>
      <c r="L305" s="26">
        <f t="shared" si="107"/>
        <v>217.93019896523134</v>
      </c>
      <c r="V305" s="26">
        <f t="shared" si="121"/>
        <v>245.12932314347449</v>
      </c>
      <c r="W305" s="26">
        <f t="shared" si="124"/>
        <v>245.56387212669767</v>
      </c>
      <c r="X305" s="26">
        <f t="shared" si="123"/>
        <v>-0.43454898322318058</v>
      </c>
      <c r="Y305" s="26">
        <f t="shared" si="126"/>
        <v>-0.12569673757106553</v>
      </c>
      <c r="Z305" s="26">
        <v>12431.53</v>
      </c>
      <c r="AA305" s="26">
        <f t="shared" si="108"/>
        <v>217.68713168730193</v>
      </c>
      <c r="AB305" s="27">
        <f t="shared" si="109"/>
        <v>-9.4931266891310831E-2</v>
      </c>
      <c r="BK305" s="24">
        <v>44499</v>
      </c>
      <c r="BL305" s="25">
        <v>240.52</v>
      </c>
      <c r="BM305" s="26">
        <f t="shared" si="106"/>
        <v>244.01</v>
      </c>
      <c r="BN305" s="26">
        <f t="shared" si="110"/>
        <v>244.47400000000002</v>
      </c>
      <c r="BO305" s="26">
        <f t="shared" si="116"/>
        <v>244.98000000000002</v>
      </c>
      <c r="BP305" s="26">
        <f t="shared" si="119"/>
        <v>245.3646153846154</v>
      </c>
      <c r="BQ305" s="26">
        <f t="shared" si="122"/>
        <v>246.34454545454545</v>
      </c>
      <c r="BR305" s="26">
        <f t="shared" ref="BR305:BR368" si="128">(BL305*5+BL304*4+BL303*3+BL302*2+BL301)/(5+4+3+2+1)</f>
        <v>243.85599999999997</v>
      </c>
      <c r="BS305" s="26">
        <f t="shared" si="113"/>
        <v>243.48165440395314</v>
      </c>
      <c r="BT305" s="26">
        <f t="shared" si="114"/>
        <v>242.3190149879091</v>
      </c>
    </row>
    <row r="306" spans="1:72" x14ac:dyDescent="0.2">
      <c r="A306" s="63"/>
      <c r="B306" s="24">
        <v>44500</v>
      </c>
      <c r="C306" s="25">
        <v>238.97</v>
      </c>
      <c r="D306" s="26">
        <f t="shared" si="115"/>
        <v>241.03333333333333</v>
      </c>
      <c r="E306" s="26">
        <f t="shared" si="117"/>
        <v>243.55199999999999</v>
      </c>
      <c r="F306" s="26">
        <f t="shared" si="118"/>
        <v>244.05571428571429</v>
      </c>
      <c r="G306" s="26">
        <f t="shared" si="120"/>
        <v>244.80384615384614</v>
      </c>
      <c r="H306" s="26">
        <f t="shared" si="125"/>
        <v>246.39151515151519</v>
      </c>
      <c r="I306" s="26">
        <f t="shared" si="127"/>
        <v>242.0213333333333</v>
      </c>
      <c r="J306" s="26">
        <f t="shared" si="111"/>
        <v>241.67699264237189</v>
      </c>
      <c r="K306" s="26">
        <f t="shared" si="112"/>
        <v>240.30960599516365</v>
      </c>
      <c r="L306" s="26">
        <f t="shared" si="107"/>
        <v>217.91536030323124</v>
      </c>
      <c r="V306" s="26">
        <f t="shared" si="121"/>
        <v>244.18173496755534</v>
      </c>
      <c r="W306" s="26">
        <f t="shared" si="124"/>
        <v>244.67307698469858</v>
      </c>
      <c r="X306" s="26">
        <f t="shared" si="123"/>
        <v>-0.49134201714323922</v>
      </c>
      <c r="Y306" s="26">
        <f t="shared" si="126"/>
        <v>-0.19882579348550028</v>
      </c>
      <c r="Z306" s="26">
        <v>12381.3</v>
      </c>
      <c r="AA306" s="26">
        <f t="shared" si="108"/>
        <v>217.66501695718134</v>
      </c>
      <c r="AB306" s="27">
        <f t="shared" si="109"/>
        <v>-8.9153379264420907E-2</v>
      </c>
      <c r="BK306" s="24">
        <v>44500</v>
      </c>
      <c r="BL306" s="25">
        <v>238.97</v>
      </c>
      <c r="BM306" s="26">
        <f t="shared" si="106"/>
        <v>241.03333333333333</v>
      </c>
      <c r="BN306" s="26">
        <f t="shared" si="110"/>
        <v>243.55199999999999</v>
      </c>
      <c r="BO306" s="26">
        <f t="shared" si="116"/>
        <v>244.05571428571429</v>
      </c>
      <c r="BP306" s="26">
        <f t="shared" si="119"/>
        <v>244.80384615384614</v>
      </c>
      <c r="BQ306" s="26">
        <f t="shared" si="122"/>
        <v>246.39151515151519</v>
      </c>
      <c r="BR306" s="26">
        <f t="shared" si="128"/>
        <v>242.0213333333333</v>
      </c>
      <c r="BS306" s="26">
        <f t="shared" si="113"/>
        <v>241.67699264237189</v>
      </c>
      <c r="BT306" s="26">
        <f t="shared" si="114"/>
        <v>240.30960599516365</v>
      </c>
    </row>
    <row r="307" spans="1:72" x14ac:dyDescent="0.2">
      <c r="A307" s="61">
        <v>44501</v>
      </c>
      <c r="B307" s="24">
        <v>44501</v>
      </c>
      <c r="C307" s="25">
        <v>230.8</v>
      </c>
      <c r="D307" s="26">
        <f t="shared" si="115"/>
        <v>236.76333333333332</v>
      </c>
      <c r="E307" s="26">
        <f t="shared" si="117"/>
        <v>240.35999999999999</v>
      </c>
      <c r="F307" s="26">
        <f t="shared" si="118"/>
        <v>241.73428571428573</v>
      </c>
      <c r="G307" s="26">
        <f t="shared" si="120"/>
        <v>243.6846153846154</v>
      </c>
      <c r="H307" s="26">
        <f t="shared" si="125"/>
        <v>246.15121212121215</v>
      </c>
      <c r="I307" s="26">
        <f t="shared" si="127"/>
        <v>237.77066666666667</v>
      </c>
      <c r="J307" s="26">
        <f t="shared" si="111"/>
        <v>237.32619558542314</v>
      </c>
      <c r="K307" s="26">
        <f t="shared" si="112"/>
        <v>234.60384239806547</v>
      </c>
      <c r="L307" s="26">
        <f t="shared" si="107"/>
        <v>217.90052164123117</v>
      </c>
      <c r="V307" s="26">
        <f t="shared" si="121"/>
        <v>242.12300651100836</v>
      </c>
      <c r="W307" s="26">
        <f t="shared" si="124"/>
        <v>243.19049534032902</v>
      </c>
      <c r="X307" s="26">
        <f t="shared" si="123"/>
        <v>-1.0674888293206664</v>
      </c>
      <c r="Y307" s="26">
        <f t="shared" si="126"/>
        <v>-0.37255840065253354</v>
      </c>
      <c r="Z307" s="26">
        <v>12381.57</v>
      </c>
      <c r="AA307" s="26">
        <f t="shared" si="108"/>
        <v>217.66513582990945</v>
      </c>
      <c r="AB307" s="27">
        <f t="shared" si="109"/>
        <v>-5.6910156716163625E-2</v>
      </c>
      <c r="BK307" s="24">
        <v>44501</v>
      </c>
      <c r="BL307" s="25">
        <v>230.8</v>
      </c>
      <c r="BM307" s="26">
        <f t="shared" si="106"/>
        <v>236.76333333333332</v>
      </c>
      <c r="BN307" s="26">
        <f t="shared" si="110"/>
        <v>240.35999999999999</v>
      </c>
      <c r="BO307" s="26">
        <f t="shared" si="116"/>
        <v>241.73428571428573</v>
      </c>
      <c r="BP307" s="26">
        <f t="shared" si="119"/>
        <v>243.6846153846154</v>
      </c>
      <c r="BQ307" s="26">
        <f t="shared" si="122"/>
        <v>246.15121212121215</v>
      </c>
      <c r="BR307" s="26">
        <f t="shared" si="128"/>
        <v>237.77066666666667</v>
      </c>
      <c r="BS307" s="26">
        <f t="shared" si="113"/>
        <v>237.32619558542314</v>
      </c>
      <c r="BT307" s="26">
        <f t="shared" si="114"/>
        <v>234.60384239806547</v>
      </c>
    </row>
    <row r="308" spans="1:72" x14ac:dyDescent="0.2">
      <c r="A308" s="62"/>
      <c r="B308" s="24">
        <v>44502</v>
      </c>
      <c r="C308" s="25">
        <v>232.23</v>
      </c>
      <c r="D308" s="26">
        <f t="shared" si="115"/>
        <v>234</v>
      </c>
      <c r="E308" s="26">
        <f t="shared" si="117"/>
        <v>237.22600000000003</v>
      </c>
      <c r="F308" s="26">
        <f t="shared" si="118"/>
        <v>240.11285714285714</v>
      </c>
      <c r="G308" s="26">
        <f t="shared" si="120"/>
        <v>242.7676923076923</v>
      </c>
      <c r="H308" s="26">
        <f t="shared" si="125"/>
        <v>245.95727272727274</v>
      </c>
      <c r="I308" s="26">
        <f t="shared" si="127"/>
        <v>235.06066666666666</v>
      </c>
      <c r="J308" s="26">
        <f t="shared" si="111"/>
        <v>235.28771735125386</v>
      </c>
      <c r="K308" s="26">
        <f t="shared" si="112"/>
        <v>233.1795369592262</v>
      </c>
      <c r="L308" s="26">
        <f t="shared" si="107"/>
        <v>217.88568297923106</v>
      </c>
      <c r="V308" s="26">
        <f t="shared" si="121"/>
        <v>240.60100550931477</v>
      </c>
      <c r="W308" s="26">
        <f t="shared" si="124"/>
        <v>241.39019121389663</v>
      </c>
      <c r="X308" s="26">
        <f t="shared" si="123"/>
        <v>-0.789185704581854</v>
      </c>
      <c r="Y308" s="26">
        <f t="shared" si="126"/>
        <v>-0.45588386143839765</v>
      </c>
      <c r="Z308" s="26">
        <v>12705.21</v>
      </c>
      <c r="AA308" s="26">
        <f t="shared" si="108"/>
        <v>217.80762460666091</v>
      </c>
      <c r="AB308" s="27">
        <f>(AA308-C308)/C308</f>
        <v>-6.2103842713426699E-2</v>
      </c>
      <c r="BK308" s="24">
        <v>44502</v>
      </c>
      <c r="BL308" s="25">
        <v>232.23</v>
      </c>
      <c r="BM308" s="26">
        <f t="shared" si="106"/>
        <v>234</v>
      </c>
      <c r="BN308" s="26">
        <f t="shared" si="110"/>
        <v>237.22600000000003</v>
      </c>
      <c r="BO308" s="26">
        <f t="shared" si="116"/>
        <v>240.11285714285714</v>
      </c>
      <c r="BP308" s="26">
        <f t="shared" si="119"/>
        <v>242.7676923076923</v>
      </c>
      <c r="BQ308" s="26">
        <f t="shared" si="122"/>
        <v>245.95727272727274</v>
      </c>
      <c r="BR308" s="26">
        <f t="shared" si="128"/>
        <v>235.06066666666666</v>
      </c>
      <c r="BS308" s="26">
        <f t="shared" si="113"/>
        <v>235.28771735125386</v>
      </c>
      <c r="BT308" s="26">
        <f t="shared" si="114"/>
        <v>233.1795369592262</v>
      </c>
    </row>
    <row r="309" spans="1:72" x14ac:dyDescent="0.2">
      <c r="A309" s="62"/>
      <c r="B309" s="24">
        <v>44503</v>
      </c>
      <c r="C309" s="25">
        <v>232.25</v>
      </c>
      <c r="D309" s="26">
        <f t="shared" si="115"/>
        <v>231.76</v>
      </c>
      <c r="E309" s="26">
        <f t="shared" si="117"/>
        <v>234.95400000000001</v>
      </c>
      <c r="F309" s="26">
        <f t="shared" si="118"/>
        <v>238.04</v>
      </c>
      <c r="G309" s="26">
        <f t="shared" si="120"/>
        <v>241.85307692307694</v>
      </c>
      <c r="H309" s="26">
        <f t="shared" si="125"/>
        <v>245.83393939393937</v>
      </c>
      <c r="I309" s="26">
        <f t="shared" si="127"/>
        <v>233.40200000000002</v>
      </c>
      <c r="J309" s="26">
        <f t="shared" si="111"/>
        <v>234.07263041075231</v>
      </c>
      <c r="K309" s="26">
        <f t="shared" si="112"/>
        <v>232.62181478369047</v>
      </c>
      <c r="L309" s="26">
        <f t="shared" si="107"/>
        <v>217.87084431723096</v>
      </c>
      <c r="V309" s="26">
        <f t="shared" si="121"/>
        <v>239.31623543095864</v>
      </c>
      <c r="W309" s="26">
        <f t="shared" si="124"/>
        <v>239.98241250862478</v>
      </c>
      <c r="X309" s="26">
        <f t="shared" si="123"/>
        <v>-0.66617707766613421</v>
      </c>
      <c r="Y309" s="26">
        <f t="shared" si="126"/>
        <v>-0.49794250468394496</v>
      </c>
      <c r="Z309" s="26">
        <v>12965.34</v>
      </c>
      <c r="AA309" s="26">
        <f t="shared" si="108"/>
        <v>217.92215187614661</v>
      </c>
      <c r="AB309" s="27">
        <f t="shared" si="109"/>
        <v>-6.1691488154374106E-2</v>
      </c>
      <c r="BK309" s="24">
        <v>44503</v>
      </c>
      <c r="BL309" s="25">
        <v>232.25</v>
      </c>
      <c r="BM309" s="26">
        <f t="shared" si="106"/>
        <v>231.76</v>
      </c>
      <c r="BN309" s="26">
        <f t="shared" si="110"/>
        <v>234.95400000000001</v>
      </c>
      <c r="BO309" s="26">
        <f t="shared" si="116"/>
        <v>238.04</v>
      </c>
      <c r="BP309" s="26">
        <f t="shared" si="119"/>
        <v>241.85307692307694</v>
      </c>
      <c r="BQ309" s="26">
        <f t="shared" si="122"/>
        <v>245.83393939393937</v>
      </c>
      <c r="BR309" s="26">
        <f t="shared" si="128"/>
        <v>233.40200000000002</v>
      </c>
      <c r="BS309" s="26">
        <f t="shared" si="113"/>
        <v>234.07263041075231</v>
      </c>
      <c r="BT309" s="26">
        <f t="shared" si="114"/>
        <v>232.62181478369047</v>
      </c>
    </row>
    <row r="310" spans="1:72" x14ac:dyDescent="0.2">
      <c r="A310" s="62"/>
      <c r="B310" s="24">
        <v>44504</v>
      </c>
      <c r="C310" s="25">
        <v>230.02</v>
      </c>
      <c r="D310" s="26">
        <f t="shared" si="115"/>
        <v>231.5</v>
      </c>
      <c r="E310" s="26">
        <f t="shared" si="117"/>
        <v>232.85399999999998</v>
      </c>
      <c r="F310" s="26">
        <f t="shared" si="118"/>
        <v>235.48571428571429</v>
      </c>
      <c r="G310" s="26">
        <f t="shared" si="120"/>
        <v>240.44307692307694</v>
      </c>
      <c r="H310" s="26">
        <f t="shared" si="125"/>
        <v>245.34727272727272</v>
      </c>
      <c r="I310" s="26">
        <f t="shared" si="127"/>
        <v>231.75733333333335</v>
      </c>
      <c r="J310" s="26">
        <f t="shared" si="111"/>
        <v>232.45157824645139</v>
      </c>
      <c r="K310" s="26">
        <f t="shared" si="112"/>
        <v>231.06072591347618</v>
      </c>
      <c r="L310" s="26">
        <f t="shared" si="107"/>
        <v>217.85600565523089</v>
      </c>
      <c r="V310" s="26">
        <f t="shared" si="121"/>
        <v>237.88604536465732</v>
      </c>
      <c r="W310" s="26">
        <f t="shared" si="124"/>
        <v>238.62762539903576</v>
      </c>
      <c r="X310" s="26">
        <f t="shared" si="123"/>
        <v>-0.741580034378444</v>
      </c>
      <c r="Y310" s="26">
        <f t="shared" si="126"/>
        <v>-0.54667001062284482</v>
      </c>
      <c r="Z310" s="26">
        <v>12938.12</v>
      </c>
      <c r="AA310" s="26">
        <f t="shared" si="108"/>
        <v>217.91016774407649</v>
      </c>
      <c r="AB310" s="27">
        <f t="shared" si="109"/>
        <v>-5.2646866602571604E-2</v>
      </c>
      <c r="BK310" s="24">
        <v>44504</v>
      </c>
      <c r="BL310" s="25">
        <v>230.02</v>
      </c>
      <c r="BM310" s="26">
        <f t="shared" si="106"/>
        <v>231.5</v>
      </c>
      <c r="BN310" s="26">
        <f t="shared" si="110"/>
        <v>232.85399999999998</v>
      </c>
      <c r="BO310" s="26">
        <f t="shared" si="116"/>
        <v>235.48571428571429</v>
      </c>
      <c r="BP310" s="26">
        <f t="shared" si="119"/>
        <v>240.44307692307694</v>
      </c>
      <c r="BQ310" s="26">
        <f t="shared" si="122"/>
        <v>245.34727272727272</v>
      </c>
      <c r="BR310" s="26">
        <f t="shared" si="128"/>
        <v>231.75733333333335</v>
      </c>
      <c r="BS310" s="26">
        <f t="shared" si="113"/>
        <v>232.45157824645139</v>
      </c>
      <c r="BT310" s="26">
        <f t="shared" si="114"/>
        <v>231.06072591347618</v>
      </c>
    </row>
    <row r="311" spans="1:72" x14ac:dyDescent="0.2">
      <c r="A311" s="62"/>
      <c r="B311" s="24">
        <v>44505</v>
      </c>
      <c r="C311" s="25">
        <v>230.93</v>
      </c>
      <c r="D311" s="26">
        <f t="shared" si="115"/>
        <v>231.06666666666669</v>
      </c>
      <c r="E311" s="26">
        <f t="shared" si="117"/>
        <v>231.24600000000001</v>
      </c>
      <c r="F311" s="26">
        <f t="shared" si="118"/>
        <v>233.67428571428573</v>
      </c>
      <c r="G311" s="26">
        <f t="shared" si="120"/>
        <v>239.23538461538462</v>
      </c>
      <c r="H311" s="26">
        <f t="shared" si="125"/>
        <v>244.84666666666669</v>
      </c>
      <c r="I311" s="26">
        <f t="shared" si="127"/>
        <v>231.11600000000001</v>
      </c>
      <c r="J311" s="26">
        <f t="shared" si="111"/>
        <v>231.84294694787084</v>
      </c>
      <c r="K311" s="26">
        <f t="shared" si="112"/>
        <v>230.98229036539047</v>
      </c>
      <c r="L311" s="26">
        <f t="shared" si="107"/>
        <v>217.84116699323079</v>
      </c>
      <c r="V311" s="26">
        <f t="shared" si="121"/>
        <v>236.81588453932542</v>
      </c>
      <c r="W311" s="26">
        <f t="shared" si="124"/>
        <v>237.37078274505308</v>
      </c>
      <c r="X311" s="26">
        <f t="shared" si="123"/>
        <v>-0.55489820572765325</v>
      </c>
      <c r="Y311" s="26">
        <f t="shared" si="126"/>
        <v>-0.54831564964380652</v>
      </c>
      <c r="Z311" s="26">
        <v>13102.55</v>
      </c>
      <c r="AA311" s="26">
        <f t="shared" si="108"/>
        <v>217.98256123549055</v>
      </c>
      <c r="AB311" s="27">
        <f t="shared" si="109"/>
        <v>-5.6066508312083561E-2</v>
      </c>
      <c r="BK311" s="24">
        <v>44505</v>
      </c>
      <c r="BL311" s="25">
        <v>230.93</v>
      </c>
      <c r="BM311" s="26">
        <f t="shared" si="106"/>
        <v>231.06666666666669</v>
      </c>
      <c r="BN311" s="26">
        <f t="shared" si="110"/>
        <v>231.24600000000001</v>
      </c>
      <c r="BO311" s="26">
        <f t="shared" si="116"/>
        <v>233.67428571428573</v>
      </c>
      <c r="BP311" s="26">
        <f t="shared" si="119"/>
        <v>239.23538461538462</v>
      </c>
      <c r="BQ311" s="26">
        <f t="shared" si="122"/>
        <v>244.84666666666669</v>
      </c>
      <c r="BR311" s="26">
        <f t="shared" si="128"/>
        <v>231.11600000000001</v>
      </c>
      <c r="BS311" s="26">
        <f t="shared" si="113"/>
        <v>231.84294694787084</v>
      </c>
      <c r="BT311" s="26">
        <f t="shared" si="114"/>
        <v>230.98229036539047</v>
      </c>
    </row>
    <row r="312" spans="1:72" x14ac:dyDescent="0.2">
      <c r="A312" s="62"/>
      <c r="B312" s="24">
        <v>44506</v>
      </c>
      <c r="C312" s="25">
        <v>220.34</v>
      </c>
      <c r="D312" s="26">
        <f t="shared" si="115"/>
        <v>227.09666666666669</v>
      </c>
      <c r="E312" s="26">
        <f t="shared" si="117"/>
        <v>229.154</v>
      </c>
      <c r="F312" s="26">
        <f t="shared" si="118"/>
        <v>230.79142857142855</v>
      </c>
      <c r="G312" s="26">
        <f t="shared" si="120"/>
        <v>237.30461538461537</v>
      </c>
      <c r="H312" s="26">
        <f t="shared" si="125"/>
        <v>244.0206060606061</v>
      </c>
      <c r="I312" s="26">
        <f t="shared" si="127"/>
        <v>227.48066666666668</v>
      </c>
      <c r="J312" s="26">
        <f t="shared" si="111"/>
        <v>227.2417681687225</v>
      </c>
      <c r="K312" s="26">
        <f t="shared" si="112"/>
        <v>224.59691614615622</v>
      </c>
      <c r="L312" s="26">
        <f t="shared" si="107"/>
        <v>217.82632833123068</v>
      </c>
      <c r="V312" s="26">
        <f t="shared" si="121"/>
        <v>234.28113307173689</v>
      </c>
      <c r="W312" s="26">
        <f t="shared" si="124"/>
        <v>235.59544864752354</v>
      </c>
      <c r="X312" s="26">
        <f t="shared" si="123"/>
        <v>-1.3143155757866509</v>
      </c>
      <c r="Y312" s="26">
        <f t="shared" si="126"/>
        <v>-0.70151563487237545</v>
      </c>
      <c r="Z312" s="26">
        <v>13128.05</v>
      </c>
      <c r="AA312" s="26">
        <f t="shared" si="108"/>
        <v>217.99378810425571</v>
      </c>
      <c r="AB312" s="27">
        <f t="shared" si="109"/>
        <v>-1.0648143304639601E-2</v>
      </c>
      <c r="BK312" s="24">
        <v>44506</v>
      </c>
      <c r="BL312" s="25">
        <v>220.34</v>
      </c>
      <c r="BM312" s="26">
        <f t="shared" si="106"/>
        <v>227.09666666666669</v>
      </c>
      <c r="BN312" s="26">
        <f t="shared" si="110"/>
        <v>229.154</v>
      </c>
      <c r="BO312" s="26">
        <f t="shared" si="116"/>
        <v>230.79142857142855</v>
      </c>
      <c r="BP312" s="26">
        <f t="shared" si="119"/>
        <v>237.30461538461537</v>
      </c>
      <c r="BQ312" s="26">
        <f t="shared" si="122"/>
        <v>244.0206060606061</v>
      </c>
      <c r="BR312" s="26">
        <f t="shared" si="128"/>
        <v>227.48066666666668</v>
      </c>
      <c r="BS312" s="26">
        <f t="shared" si="113"/>
        <v>227.2417681687225</v>
      </c>
      <c r="BT312" s="26">
        <f t="shared" si="114"/>
        <v>224.59691614615622</v>
      </c>
    </row>
    <row r="313" spans="1:72" x14ac:dyDescent="0.2">
      <c r="A313" s="62"/>
      <c r="B313" s="24">
        <v>44507</v>
      </c>
      <c r="C313" s="25">
        <v>228.38</v>
      </c>
      <c r="D313" s="26">
        <f t="shared" si="115"/>
        <v>226.54999999999998</v>
      </c>
      <c r="E313" s="26">
        <f t="shared" si="117"/>
        <v>228.38400000000001</v>
      </c>
      <c r="F313" s="26">
        <f t="shared" si="118"/>
        <v>229.27857142857141</v>
      </c>
      <c r="G313" s="26">
        <f t="shared" si="120"/>
        <v>235.86846153846153</v>
      </c>
      <c r="H313" s="26">
        <f t="shared" si="125"/>
        <v>243.40393939393942</v>
      </c>
      <c r="I313" s="26">
        <f t="shared" si="127"/>
        <v>227.22266666666667</v>
      </c>
      <c r="J313" s="26">
        <f t="shared" si="111"/>
        <v>227.6970609012335</v>
      </c>
      <c r="K313" s="26">
        <f t="shared" si="112"/>
        <v>226.86676645846248</v>
      </c>
      <c r="L313" s="26">
        <f t="shared" si="107"/>
        <v>217.81148966923061</v>
      </c>
      <c r="V313" s="26">
        <f t="shared" si="121"/>
        <v>233.37326644531583</v>
      </c>
      <c r="W313" s="26">
        <f t="shared" si="124"/>
        <v>233.84401210346007</v>
      </c>
      <c r="X313" s="26">
        <f t="shared" si="123"/>
        <v>-0.47074565814423863</v>
      </c>
      <c r="Y313" s="26">
        <f t="shared" si="126"/>
        <v>-0.65536163952674809</v>
      </c>
      <c r="Z313" s="26">
        <v>12390.69</v>
      </c>
      <c r="AA313" s="26">
        <f t="shared" si="108"/>
        <v>217.66915108650312</v>
      </c>
      <c r="AB313" s="27">
        <f t="shared" si="109"/>
        <v>-4.6899242111817473E-2</v>
      </c>
      <c r="BK313" s="24">
        <v>44507</v>
      </c>
      <c r="BL313" s="25">
        <v>228.38</v>
      </c>
      <c r="BM313" s="26">
        <f t="shared" si="106"/>
        <v>226.54999999999998</v>
      </c>
      <c r="BN313" s="26">
        <f t="shared" si="110"/>
        <v>228.38400000000001</v>
      </c>
      <c r="BO313" s="26">
        <f t="shared" si="116"/>
        <v>229.27857142857141</v>
      </c>
      <c r="BP313" s="26">
        <f t="shared" si="119"/>
        <v>235.86846153846153</v>
      </c>
      <c r="BQ313" s="26">
        <f t="shared" si="122"/>
        <v>243.40393939393942</v>
      </c>
      <c r="BR313" s="26">
        <f t="shared" si="128"/>
        <v>227.22266666666667</v>
      </c>
      <c r="BS313" s="26">
        <f t="shared" si="113"/>
        <v>227.6970609012335</v>
      </c>
      <c r="BT313" s="26">
        <f t="shared" si="114"/>
        <v>226.86676645846248</v>
      </c>
    </row>
    <row r="314" spans="1:72" x14ac:dyDescent="0.2">
      <c r="A314" s="62"/>
      <c r="B314" s="24">
        <v>44508</v>
      </c>
      <c r="C314" s="25">
        <v>222.13</v>
      </c>
      <c r="D314" s="26">
        <f t="shared" si="115"/>
        <v>223.61666666666667</v>
      </c>
      <c r="E314" s="26">
        <f t="shared" si="117"/>
        <v>226.36000000000004</v>
      </c>
      <c r="F314" s="26">
        <f t="shared" si="118"/>
        <v>228.04000000000002</v>
      </c>
      <c r="G314" s="26">
        <f t="shared" si="120"/>
        <v>234.21846153846155</v>
      </c>
      <c r="H314" s="26">
        <f t="shared" si="125"/>
        <v>242.44242424242427</v>
      </c>
      <c r="I314" s="26">
        <f t="shared" si="127"/>
        <v>225.13800000000001</v>
      </c>
      <c r="J314" s="26">
        <f t="shared" si="111"/>
        <v>225.4702365407401</v>
      </c>
      <c r="K314" s="26">
        <f t="shared" si="112"/>
        <v>224.02470658338498</v>
      </c>
      <c r="L314" s="26">
        <f t="shared" si="107"/>
        <v>217.79665100723051</v>
      </c>
      <c r="V314" s="26">
        <f t="shared" si="121"/>
        <v>231.64353314603648</v>
      </c>
      <c r="W314" s="26">
        <f t="shared" si="124"/>
        <v>232.54043189381096</v>
      </c>
      <c r="X314" s="26">
        <f t="shared" si="123"/>
        <v>-0.89689874777448608</v>
      </c>
      <c r="Y314" s="26">
        <f t="shared" si="126"/>
        <v>-0.70366906117629568</v>
      </c>
      <c r="Z314" s="26">
        <v>12162.59</v>
      </c>
      <c r="AA314" s="26">
        <f t="shared" si="108"/>
        <v>217.56872564472519</v>
      </c>
      <c r="AB314" s="27">
        <f t="shared" si="109"/>
        <v>-2.0534256315107389E-2</v>
      </c>
      <c r="BK314" s="24">
        <v>44508</v>
      </c>
      <c r="BL314" s="25">
        <v>222.13</v>
      </c>
      <c r="BM314" s="26">
        <f t="shared" si="106"/>
        <v>223.61666666666667</v>
      </c>
      <c r="BN314" s="26">
        <f t="shared" si="110"/>
        <v>226.36000000000004</v>
      </c>
      <c r="BO314" s="26">
        <f t="shared" si="116"/>
        <v>228.04000000000002</v>
      </c>
      <c r="BP314" s="26">
        <f t="shared" si="119"/>
        <v>234.21846153846155</v>
      </c>
      <c r="BQ314" s="26">
        <f t="shared" si="122"/>
        <v>242.44242424242427</v>
      </c>
      <c r="BR314" s="26">
        <f t="shared" si="128"/>
        <v>225.13800000000001</v>
      </c>
      <c r="BS314" s="26">
        <f t="shared" si="113"/>
        <v>225.4702365407401</v>
      </c>
      <c r="BT314" s="26">
        <f t="shared" si="114"/>
        <v>224.02470658338498</v>
      </c>
    </row>
    <row r="315" spans="1:72" x14ac:dyDescent="0.2">
      <c r="A315" s="62"/>
      <c r="B315" s="24">
        <v>44509</v>
      </c>
      <c r="C315" s="25">
        <v>195.34</v>
      </c>
      <c r="D315" s="26">
        <f t="shared" si="115"/>
        <v>215.28333333333333</v>
      </c>
      <c r="E315" s="26">
        <f t="shared" si="117"/>
        <v>219.42399999999998</v>
      </c>
      <c r="F315" s="26">
        <f t="shared" si="118"/>
        <v>222.77</v>
      </c>
      <c r="G315" s="26">
        <f t="shared" si="120"/>
        <v>230.26307692307697</v>
      </c>
      <c r="H315" s="26">
        <f t="shared" si="125"/>
        <v>240.55393939393943</v>
      </c>
      <c r="I315" s="26">
        <f t="shared" si="127"/>
        <v>214.79799999999997</v>
      </c>
      <c r="J315" s="26">
        <f t="shared" si="111"/>
        <v>213.41814192444406</v>
      </c>
      <c r="K315" s="26">
        <f t="shared" si="112"/>
        <v>206.81388263335401</v>
      </c>
      <c r="L315" s="26">
        <f t="shared" si="107"/>
        <v>217.78181234523041</v>
      </c>
      <c r="V315" s="26">
        <f t="shared" si="121"/>
        <v>226.05837420049241</v>
      </c>
      <c r="W315" s="26">
        <f t="shared" si="124"/>
        <v>228.95438254262635</v>
      </c>
      <c r="X315" s="26">
        <f t="shared" si="123"/>
        <v>-2.8960083421339391</v>
      </c>
      <c r="Y315" s="26">
        <f t="shared" si="126"/>
        <v>-1.1421369173678244</v>
      </c>
      <c r="Z315" s="26">
        <v>12032.42</v>
      </c>
      <c r="AA315" s="26">
        <f t="shared" si="108"/>
        <v>217.51141578169918</v>
      </c>
      <c r="AB315" s="27">
        <f t="shared" si="109"/>
        <v>0.11350166776747815</v>
      </c>
      <c r="BK315" s="24">
        <v>44509</v>
      </c>
      <c r="BL315" s="25">
        <v>195.34</v>
      </c>
      <c r="BM315" s="26">
        <f t="shared" si="106"/>
        <v>215.28333333333333</v>
      </c>
      <c r="BN315" s="26">
        <f t="shared" si="110"/>
        <v>219.42399999999998</v>
      </c>
      <c r="BO315" s="26">
        <f t="shared" si="116"/>
        <v>222.77</v>
      </c>
      <c r="BP315" s="26">
        <f t="shared" si="119"/>
        <v>230.26307692307697</v>
      </c>
      <c r="BQ315" s="26">
        <f t="shared" si="122"/>
        <v>240.55393939393943</v>
      </c>
      <c r="BR315" s="26">
        <f t="shared" si="128"/>
        <v>214.79799999999997</v>
      </c>
      <c r="BS315" s="26">
        <f t="shared" si="113"/>
        <v>213.41814192444406</v>
      </c>
      <c r="BT315" s="26">
        <f t="shared" si="114"/>
        <v>206.81388263335401</v>
      </c>
    </row>
    <row r="316" spans="1:72" x14ac:dyDescent="0.2">
      <c r="A316" s="62"/>
      <c r="B316" s="24">
        <v>44510</v>
      </c>
      <c r="C316" s="25">
        <v>195.95</v>
      </c>
      <c r="D316" s="26">
        <f t="shared" si="115"/>
        <v>204.47333333333336</v>
      </c>
      <c r="E316" s="26">
        <f t="shared" si="117"/>
        <v>212.42800000000003</v>
      </c>
      <c r="F316" s="26">
        <f t="shared" si="118"/>
        <v>217.58428571428573</v>
      </c>
      <c r="G316" s="26">
        <f t="shared" si="120"/>
        <v>226.26692307692309</v>
      </c>
      <c r="H316" s="26">
        <f t="shared" si="125"/>
        <v>238.74818181818182</v>
      </c>
      <c r="I316" s="26">
        <f t="shared" si="127"/>
        <v>206.97333333333336</v>
      </c>
      <c r="J316" s="26">
        <f t="shared" si="111"/>
        <v>206.43088515466641</v>
      </c>
      <c r="K316" s="26">
        <f t="shared" si="112"/>
        <v>200.29555305334162</v>
      </c>
      <c r="L316" s="26">
        <f t="shared" si="107"/>
        <v>217.76697368323033</v>
      </c>
      <c r="V316" s="26">
        <f t="shared" si="121"/>
        <v>221.4263166311859</v>
      </c>
      <c r="W316" s="26">
        <f t="shared" si="124"/>
        <v>223.8281242597152</v>
      </c>
      <c r="X316" s="26">
        <f t="shared" si="123"/>
        <v>-2.4018076285292977</v>
      </c>
      <c r="Y316" s="26">
        <f t="shared" si="126"/>
        <v>-1.3940710596001191</v>
      </c>
      <c r="Z316" s="26">
        <v>11562.58</v>
      </c>
      <c r="AA316" s="26">
        <f t="shared" si="108"/>
        <v>217.30455962402738</v>
      </c>
      <c r="AB316" s="27">
        <f t="shared" si="109"/>
        <v>0.10897963574395197</v>
      </c>
      <c r="BK316" s="24">
        <v>44510</v>
      </c>
      <c r="BL316" s="25">
        <v>195.95</v>
      </c>
      <c r="BM316" s="26">
        <f t="shared" si="106"/>
        <v>204.47333333333336</v>
      </c>
      <c r="BN316" s="26">
        <f t="shared" si="110"/>
        <v>212.42800000000003</v>
      </c>
      <c r="BO316" s="26">
        <f t="shared" si="116"/>
        <v>217.58428571428573</v>
      </c>
      <c r="BP316" s="26">
        <f t="shared" si="119"/>
        <v>226.26692307692309</v>
      </c>
      <c r="BQ316" s="26">
        <f t="shared" si="122"/>
        <v>238.74818181818182</v>
      </c>
      <c r="BR316" s="26">
        <f t="shared" si="128"/>
        <v>206.97333333333336</v>
      </c>
      <c r="BS316" s="26">
        <f t="shared" si="113"/>
        <v>206.43088515466641</v>
      </c>
      <c r="BT316" s="26">
        <f t="shared" si="114"/>
        <v>200.29555305334162</v>
      </c>
    </row>
    <row r="317" spans="1:72" x14ac:dyDescent="0.2">
      <c r="A317" s="62"/>
      <c r="B317" s="24">
        <v>44511</v>
      </c>
      <c r="C317" s="25">
        <v>194.42</v>
      </c>
      <c r="D317" s="26">
        <f t="shared" si="115"/>
        <v>195.23666666666665</v>
      </c>
      <c r="E317" s="26">
        <f t="shared" si="117"/>
        <v>207.244</v>
      </c>
      <c r="F317" s="26">
        <f t="shared" si="118"/>
        <v>212.49857142857144</v>
      </c>
      <c r="G317" s="26">
        <f t="shared" si="120"/>
        <v>222.48307692307694</v>
      </c>
      <c r="H317" s="26">
        <f t="shared" si="125"/>
        <v>236.85848484848489</v>
      </c>
      <c r="I317" s="26">
        <f t="shared" si="127"/>
        <v>200.97066666666669</v>
      </c>
      <c r="J317" s="26">
        <f t="shared" si="111"/>
        <v>201.62653109279984</v>
      </c>
      <c r="K317" s="26">
        <f t="shared" si="112"/>
        <v>196.77022122133664</v>
      </c>
      <c r="L317" s="26">
        <f t="shared" si="107"/>
        <v>217.75213502123023</v>
      </c>
      <c r="V317" s="26">
        <f t="shared" si="121"/>
        <v>217.27149868792654</v>
      </c>
      <c r="W317" s="26">
        <f t="shared" si="124"/>
        <v>219.42584873257954</v>
      </c>
      <c r="X317" s="26">
        <f t="shared" si="123"/>
        <v>-2.1543500446530004</v>
      </c>
      <c r="Y317" s="26">
        <f t="shared" si="126"/>
        <v>-1.5461268566106954</v>
      </c>
      <c r="Z317" s="26">
        <v>11782.67</v>
      </c>
      <c r="AA317" s="26">
        <f t="shared" si="108"/>
        <v>217.40145850820494</v>
      </c>
      <c r="AB317" s="27">
        <f t="shared" si="109"/>
        <v>0.11820521812676141</v>
      </c>
      <c r="BK317" s="24">
        <v>44511</v>
      </c>
      <c r="BL317" s="25">
        <v>194.42</v>
      </c>
      <c r="BM317" s="26">
        <f t="shared" si="106"/>
        <v>195.23666666666665</v>
      </c>
      <c r="BN317" s="26">
        <f t="shared" si="110"/>
        <v>207.244</v>
      </c>
      <c r="BO317" s="26">
        <f t="shared" si="116"/>
        <v>212.49857142857144</v>
      </c>
      <c r="BP317" s="26">
        <f t="shared" si="119"/>
        <v>222.48307692307694</v>
      </c>
      <c r="BQ317" s="26">
        <f t="shared" si="122"/>
        <v>236.85848484848489</v>
      </c>
      <c r="BR317" s="26">
        <f t="shared" si="128"/>
        <v>200.97066666666669</v>
      </c>
      <c r="BS317" s="26">
        <f t="shared" si="113"/>
        <v>201.62653109279984</v>
      </c>
      <c r="BT317" s="26">
        <f t="shared" si="114"/>
        <v>196.77022122133664</v>
      </c>
    </row>
    <row r="318" spans="1:72" x14ac:dyDescent="0.2">
      <c r="A318" s="62"/>
      <c r="B318" s="24">
        <v>44512</v>
      </c>
      <c r="C318" s="25">
        <v>187.6</v>
      </c>
      <c r="D318" s="26">
        <f t="shared" si="115"/>
        <v>192.65666666666667</v>
      </c>
      <c r="E318" s="26">
        <f t="shared" si="117"/>
        <v>199.08800000000002</v>
      </c>
      <c r="F318" s="26">
        <f t="shared" si="118"/>
        <v>206.30857142857144</v>
      </c>
      <c r="G318" s="26">
        <f t="shared" si="120"/>
        <v>218.41230769230771</v>
      </c>
      <c r="H318" s="26">
        <f t="shared" si="125"/>
        <v>234.8784848484849</v>
      </c>
      <c r="I318" s="26">
        <f t="shared" si="127"/>
        <v>194.42266666666666</v>
      </c>
      <c r="J318" s="26">
        <f t="shared" si="111"/>
        <v>196.01591865567991</v>
      </c>
      <c r="K318" s="26">
        <f t="shared" si="112"/>
        <v>191.26808848853466</v>
      </c>
      <c r="L318" s="26">
        <f t="shared" si="107"/>
        <v>217.73729635923013</v>
      </c>
      <c r="V318" s="26">
        <f t="shared" si="121"/>
        <v>212.70665273593784</v>
      </c>
      <c r="W318" s="26">
        <f t="shared" si="124"/>
        <v>215.07360989622828</v>
      </c>
      <c r="X318" s="26">
        <f t="shared" si="123"/>
        <v>-2.3669571602904398</v>
      </c>
      <c r="Y318" s="26">
        <f t="shared" si="126"/>
        <v>-1.7102929173466443</v>
      </c>
      <c r="Z318" s="26">
        <v>11834.11</v>
      </c>
      <c r="AA318" s="26">
        <f t="shared" si="108"/>
        <v>217.42410596425515</v>
      </c>
      <c r="AB318" s="27">
        <f t="shared" si="109"/>
        <v>0.15897711068366288</v>
      </c>
      <c r="BK318" s="24">
        <v>44512</v>
      </c>
      <c r="BL318" s="25">
        <v>187.6</v>
      </c>
      <c r="BM318" s="26">
        <f t="shared" si="106"/>
        <v>192.65666666666667</v>
      </c>
      <c r="BN318" s="26">
        <f t="shared" si="110"/>
        <v>199.08800000000002</v>
      </c>
      <c r="BO318" s="26">
        <f t="shared" si="116"/>
        <v>206.30857142857144</v>
      </c>
      <c r="BP318" s="26">
        <f t="shared" si="119"/>
        <v>218.41230769230771</v>
      </c>
      <c r="BQ318" s="26">
        <f t="shared" si="122"/>
        <v>234.8784848484849</v>
      </c>
      <c r="BR318" s="26">
        <f t="shared" si="128"/>
        <v>194.42266666666666</v>
      </c>
      <c r="BS318" s="26">
        <f t="shared" si="113"/>
        <v>196.01591865567991</v>
      </c>
      <c r="BT318" s="26">
        <f t="shared" si="114"/>
        <v>191.26808848853466</v>
      </c>
    </row>
    <row r="319" spans="1:72" x14ac:dyDescent="0.2">
      <c r="A319" s="62"/>
      <c r="B319" s="24">
        <v>44513</v>
      </c>
      <c r="C319" s="25">
        <v>201.33</v>
      </c>
      <c r="D319" s="26">
        <f t="shared" si="115"/>
        <v>194.45000000000002</v>
      </c>
      <c r="E319" s="26">
        <f t="shared" si="117"/>
        <v>194.928</v>
      </c>
      <c r="F319" s="26">
        <f t="shared" si="118"/>
        <v>203.59285714285713</v>
      </c>
      <c r="G319" s="26">
        <f t="shared" si="120"/>
        <v>215.51692307692306</v>
      </c>
      <c r="H319" s="26">
        <f t="shared" si="125"/>
        <v>233.45121212121217</v>
      </c>
      <c r="I319" s="26">
        <f t="shared" si="127"/>
        <v>195.17000000000004</v>
      </c>
      <c r="J319" s="26">
        <f t="shared" si="111"/>
        <v>198.14155119340796</v>
      </c>
      <c r="K319" s="26">
        <f t="shared" si="112"/>
        <v>197.30523539541389</v>
      </c>
      <c r="L319" s="26">
        <f t="shared" si="107"/>
        <v>217.72245769723006</v>
      </c>
      <c r="V319" s="26">
        <f t="shared" si="121"/>
        <v>210.95639846887047</v>
      </c>
      <c r="W319" s="26">
        <f t="shared" si="124"/>
        <v>211.86393771846096</v>
      </c>
      <c r="X319" s="26">
        <f t="shared" si="123"/>
        <v>-0.90753924959048504</v>
      </c>
      <c r="Y319" s="26">
        <f t="shared" si="126"/>
        <v>-1.5497421837954126</v>
      </c>
      <c r="Z319" s="26">
        <v>12059.61</v>
      </c>
      <c r="AA319" s="26">
        <f t="shared" si="108"/>
        <v>217.52338670568841</v>
      </c>
      <c r="AB319" s="27">
        <f t="shared" si="109"/>
        <v>8.0432060327265659E-2</v>
      </c>
      <c r="BK319" s="24">
        <v>44513</v>
      </c>
      <c r="BL319" s="25">
        <v>201.33</v>
      </c>
      <c r="BM319" s="26">
        <f t="shared" si="106"/>
        <v>194.45000000000002</v>
      </c>
      <c r="BN319" s="26">
        <f t="shared" si="110"/>
        <v>194.928</v>
      </c>
      <c r="BO319" s="26">
        <f t="shared" si="116"/>
        <v>203.59285714285713</v>
      </c>
      <c r="BP319" s="26">
        <f t="shared" si="119"/>
        <v>215.51692307692306</v>
      </c>
      <c r="BQ319" s="26">
        <f t="shared" si="122"/>
        <v>233.45121212121217</v>
      </c>
      <c r="BR319" s="26">
        <f t="shared" si="128"/>
        <v>195.17000000000004</v>
      </c>
      <c r="BS319" s="26">
        <f t="shared" si="113"/>
        <v>198.14155119340796</v>
      </c>
      <c r="BT319" s="26">
        <f t="shared" si="114"/>
        <v>197.30523539541389</v>
      </c>
    </row>
    <row r="320" spans="1:72" x14ac:dyDescent="0.2">
      <c r="A320" s="62"/>
      <c r="B320" s="24">
        <v>44514</v>
      </c>
      <c r="C320" s="25">
        <v>202.26</v>
      </c>
      <c r="D320" s="26">
        <f t="shared" si="115"/>
        <v>197.06333333333336</v>
      </c>
      <c r="E320" s="26">
        <f t="shared" si="117"/>
        <v>196.31200000000001</v>
      </c>
      <c r="F320" s="26">
        <f t="shared" si="118"/>
        <v>199.86142857142858</v>
      </c>
      <c r="G320" s="26">
        <f t="shared" si="120"/>
        <v>213.32153846153849</v>
      </c>
      <c r="H320" s="26">
        <f t="shared" si="125"/>
        <v>232.15151515151524</v>
      </c>
      <c r="I320" s="26">
        <f t="shared" si="127"/>
        <v>197.614</v>
      </c>
      <c r="J320" s="26">
        <f t="shared" si="111"/>
        <v>199.78893071604477</v>
      </c>
      <c r="K320" s="26">
        <f t="shared" si="112"/>
        <v>200.27809415816557</v>
      </c>
      <c r="L320" s="26">
        <f t="shared" si="107"/>
        <v>217.70761903522995</v>
      </c>
      <c r="V320" s="26">
        <f t="shared" si="121"/>
        <v>209.61849101212118</v>
      </c>
      <c r="W320" s="26">
        <f t="shared" si="124"/>
        <v>210.31222080450971</v>
      </c>
      <c r="X320" s="26">
        <f t="shared" si="123"/>
        <v>-0.69372979238852395</v>
      </c>
      <c r="Y320" s="26">
        <f t="shared" si="126"/>
        <v>-1.3785397055140352</v>
      </c>
      <c r="Z320" s="26">
        <v>11897.65</v>
      </c>
      <c r="AA320" s="26">
        <f t="shared" si="108"/>
        <v>217.45208067960181</v>
      </c>
      <c r="AB320" s="27">
        <f t="shared" si="109"/>
        <v>7.5111641845158783E-2</v>
      </c>
      <c r="BK320" s="24">
        <v>44514</v>
      </c>
      <c r="BL320" s="25">
        <v>202.26</v>
      </c>
      <c r="BM320" s="26">
        <f t="shared" si="106"/>
        <v>197.06333333333336</v>
      </c>
      <c r="BN320" s="26">
        <f t="shared" si="110"/>
        <v>196.31200000000001</v>
      </c>
      <c r="BO320" s="26">
        <f t="shared" si="116"/>
        <v>199.86142857142858</v>
      </c>
      <c r="BP320" s="26">
        <f t="shared" si="119"/>
        <v>213.32153846153849</v>
      </c>
      <c r="BQ320" s="26">
        <f t="shared" si="122"/>
        <v>232.15151515151524</v>
      </c>
      <c r="BR320" s="26">
        <f t="shared" si="128"/>
        <v>197.614</v>
      </c>
      <c r="BS320" s="26">
        <f t="shared" si="113"/>
        <v>199.78893071604477</v>
      </c>
      <c r="BT320" s="26">
        <f t="shared" si="114"/>
        <v>200.27809415816557</v>
      </c>
    </row>
    <row r="321" spans="1:72" x14ac:dyDescent="0.2">
      <c r="A321" s="62"/>
      <c r="B321" s="24">
        <v>44515</v>
      </c>
      <c r="C321" s="25">
        <v>227.55</v>
      </c>
      <c r="D321" s="26">
        <f t="shared" si="115"/>
        <v>210.38000000000002</v>
      </c>
      <c r="E321" s="26">
        <f t="shared" si="117"/>
        <v>202.63200000000001</v>
      </c>
      <c r="F321" s="26">
        <f t="shared" si="118"/>
        <v>200.6357142857143</v>
      </c>
      <c r="G321" s="26">
        <f t="shared" si="120"/>
        <v>212.96153846153845</v>
      </c>
      <c r="H321" s="26">
        <f t="shared" si="125"/>
        <v>231.63939393939404</v>
      </c>
      <c r="I321" s="26">
        <f t="shared" si="127"/>
        <v>208.02666666666664</v>
      </c>
      <c r="J321" s="26">
        <f t="shared" si="111"/>
        <v>210.89335842962686</v>
      </c>
      <c r="K321" s="26">
        <f t="shared" si="112"/>
        <v>216.64123766326622</v>
      </c>
      <c r="L321" s="26">
        <f t="shared" si="107"/>
        <v>217.69278037322985</v>
      </c>
      <c r="V321" s="26">
        <f t="shared" si="121"/>
        <v>212.37718470256408</v>
      </c>
      <c r="W321" s="26">
        <f t="shared" si="124"/>
        <v>210.94675093714923</v>
      </c>
      <c r="X321" s="26">
        <f t="shared" si="123"/>
        <v>1.4304337654148469</v>
      </c>
      <c r="Y321" s="26">
        <f t="shared" si="126"/>
        <v>-0.81674501132825883</v>
      </c>
      <c r="Z321" s="26">
        <v>11713.15</v>
      </c>
      <c r="AA321" s="26">
        <f t="shared" si="108"/>
        <v>217.37085098206552</v>
      </c>
      <c r="AB321" s="27">
        <f t="shared" si="109"/>
        <v>-4.4733680588593679E-2</v>
      </c>
      <c r="BK321" s="24">
        <v>44515</v>
      </c>
      <c r="BL321" s="25">
        <v>227.55</v>
      </c>
      <c r="BM321" s="26">
        <f t="shared" si="106"/>
        <v>210.38000000000002</v>
      </c>
      <c r="BN321" s="26">
        <f t="shared" si="110"/>
        <v>202.63200000000001</v>
      </c>
      <c r="BO321" s="26">
        <f t="shared" si="116"/>
        <v>200.6357142857143</v>
      </c>
      <c r="BP321" s="26">
        <f t="shared" si="119"/>
        <v>212.96153846153845</v>
      </c>
      <c r="BQ321" s="26">
        <f t="shared" si="122"/>
        <v>231.63939393939404</v>
      </c>
      <c r="BR321" s="26">
        <f t="shared" si="128"/>
        <v>208.02666666666664</v>
      </c>
      <c r="BS321" s="26">
        <f t="shared" si="113"/>
        <v>210.89335842962686</v>
      </c>
      <c r="BT321" s="26">
        <f t="shared" si="114"/>
        <v>216.64123766326622</v>
      </c>
    </row>
    <row r="322" spans="1:72" x14ac:dyDescent="0.2">
      <c r="A322" s="62"/>
      <c r="B322" s="24">
        <v>44516</v>
      </c>
      <c r="C322" s="25">
        <v>234.17</v>
      </c>
      <c r="D322" s="26">
        <f t="shared" si="115"/>
        <v>221.32666666666668</v>
      </c>
      <c r="E322" s="26">
        <f t="shared" si="117"/>
        <v>210.58200000000002</v>
      </c>
      <c r="F322" s="26">
        <f t="shared" si="118"/>
        <v>206.18285714285716</v>
      </c>
      <c r="G322" s="26">
        <f t="shared" si="120"/>
        <v>213.10923076923078</v>
      </c>
      <c r="H322" s="26">
        <f t="shared" si="125"/>
        <v>231.42060606060613</v>
      </c>
      <c r="I322" s="26">
        <f t="shared" si="127"/>
        <v>218.5393333333333</v>
      </c>
      <c r="J322" s="26">
        <f t="shared" si="111"/>
        <v>220.20401505777613</v>
      </c>
      <c r="K322" s="26">
        <f t="shared" si="112"/>
        <v>227.15849506530648</v>
      </c>
      <c r="L322" s="26">
        <f t="shared" si="107"/>
        <v>217.67794171122978</v>
      </c>
      <c r="V322" s="26">
        <f t="shared" si="121"/>
        <v>215.72992551755422</v>
      </c>
      <c r="W322" s="26">
        <f t="shared" si="124"/>
        <v>213.99146731718895</v>
      </c>
      <c r="X322" s="26">
        <f t="shared" si="123"/>
        <v>1.7384582003652724</v>
      </c>
      <c r="Y322" s="26">
        <f t="shared" si="126"/>
        <v>-0.30570436898955256</v>
      </c>
      <c r="Z322" s="26">
        <v>11360.05</v>
      </c>
      <c r="AA322" s="26">
        <f t="shared" si="108"/>
        <v>217.21539186987005</v>
      </c>
      <c r="AB322" s="27">
        <f t="shared" si="109"/>
        <v>-7.2402989836998513E-2</v>
      </c>
      <c r="BK322" s="24">
        <v>44516</v>
      </c>
      <c r="BL322" s="25">
        <v>234.17</v>
      </c>
      <c r="BM322" s="26">
        <f t="shared" si="106"/>
        <v>221.32666666666668</v>
      </c>
      <c r="BN322" s="26">
        <f t="shared" si="110"/>
        <v>210.58200000000002</v>
      </c>
      <c r="BO322" s="26">
        <f t="shared" si="116"/>
        <v>206.18285714285716</v>
      </c>
      <c r="BP322" s="26">
        <f t="shared" si="119"/>
        <v>213.10923076923078</v>
      </c>
      <c r="BQ322" s="26">
        <f t="shared" si="122"/>
        <v>231.42060606060613</v>
      </c>
      <c r="BR322" s="26">
        <f t="shared" si="128"/>
        <v>218.5393333333333</v>
      </c>
      <c r="BS322" s="26">
        <f t="shared" si="113"/>
        <v>220.20401505777613</v>
      </c>
      <c r="BT322" s="26">
        <f t="shared" si="114"/>
        <v>227.15849506530648</v>
      </c>
    </row>
    <row r="323" spans="1:72" x14ac:dyDescent="0.2">
      <c r="A323" s="62"/>
      <c r="B323" s="24">
        <v>44517</v>
      </c>
      <c r="C323" s="25">
        <v>232.33</v>
      </c>
      <c r="D323" s="26">
        <f t="shared" si="115"/>
        <v>231.35000000000002</v>
      </c>
      <c r="E323" s="26">
        <f t="shared" si="117"/>
        <v>219.52800000000002</v>
      </c>
      <c r="F323" s="26">
        <f t="shared" si="118"/>
        <v>211.38000000000002</v>
      </c>
      <c r="G323" s="26">
        <f t="shared" si="120"/>
        <v>213.28692307692307</v>
      </c>
      <c r="H323" s="26">
        <f t="shared" si="125"/>
        <v>230.95424242424247</v>
      </c>
      <c r="I323" s="26">
        <f t="shared" si="127"/>
        <v>225.78866666666667</v>
      </c>
      <c r="J323" s="26">
        <f t="shared" si="111"/>
        <v>225.0544090346657</v>
      </c>
      <c r="K323" s="26">
        <f t="shared" si="112"/>
        <v>230.26139802612261</v>
      </c>
      <c r="L323" s="26">
        <f t="shared" si="107"/>
        <v>217.66310304922968</v>
      </c>
      <c r="V323" s="26">
        <f t="shared" si="121"/>
        <v>218.28378313023819</v>
      </c>
      <c r="W323" s="26">
        <f t="shared" si="124"/>
        <v>216.95956066440206</v>
      </c>
      <c r="X323" s="26">
        <f t="shared" si="123"/>
        <v>1.3242224658361295</v>
      </c>
      <c r="Y323" s="26">
        <f t="shared" si="126"/>
        <v>2.0280997975583859E-2</v>
      </c>
      <c r="Z323" s="26">
        <v>11452.42</v>
      </c>
      <c r="AA323" s="26">
        <f t="shared" si="108"/>
        <v>217.25605955096179</v>
      </c>
      <c r="AB323" s="27">
        <f t="shared" si="109"/>
        <v>-6.4881592773375019E-2</v>
      </c>
      <c r="BK323" s="24">
        <v>44517</v>
      </c>
      <c r="BL323" s="25">
        <v>232.33</v>
      </c>
      <c r="BM323" s="26">
        <f t="shared" ref="BM323:BM386" si="129">AVERAGE(BL321:BL323)</f>
        <v>231.35000000000002</v>
      </c>
      <c r="BN323" s="26">
        <f t="shared" si="110"/>
        <v>219.52800000000002</v>
      </c>
      <c r="BO323" s="26">
        <f t="shared" si="116"/>
        <v>211.38000000000002</v>
      </c>
      <c r="BP323" s="26">
        <f t="shared" si="119"/>
        <v>213.28692307692307</v>
      </c>
      <c r="BQ323" s="26">
        <f t="shared" si="122"/>
        <v>230.95424242424247</v>
      </c>
      <c r="BR323" s="26">
        <f t="shared" si="128"/>
        <v>225.78866666666667</v>
      </c>
      <c r="BS323" s="26">
        <f t="shared" si="113"/>
        <v>225.0544090346657</v>
      </c>
      <c r="BT323" s="26">
        <f t="shared" si="114"/>
        <v>230.26139802612261</v>
      </c>
    </row>
    <row r="324" spans="1:72" x14ac:dyDescent="0.2">
      <c r="A324" s="62"/>
      <c r="B324" s="24">
        <v>44518</v>
      </c>
      <c r="C324" s="25">
        <v>237.53</v>
      </c>
      <c r="D324" s="26">
        <f t="shared" si="115"/>
        <v>234.67666666666665</v>
      </c>
      <c r="E324" s="26">
        <f t="shared" si="117"/>
        <v>226.76800000000003</v>
      </c>
      <c r="F324" s="26">
        <f t="shared" si="118"/>
        <v>217.53857142857143</v>
      </c>
      <c r="G324" s="26">
        <f t="shared" si="120"/>
        <v>213.79461538461541</v>
      </c>
      <c r="H324" s="26">
        <f t="shared" si="125"/>
        <v>230.64272727272731</v>
      </c>
      <c r="I324" s="26">
        <f t="shared" si="127"/>
        <v>231.78933333333333</v>
      </c>
      <c r="J324" s="26">
        <f t="shared" si="111"/>
        <v>230.04464542079941</v>
      </c>
      <c r="K324" s="26">
        <f t="shared" si="112"/>
        <v>234.62255921044905</v>
      </c>
      <c r="L324" s="26">
        <f t="shared" ref="L324:L387" si="130">$N$20+$N$21*A931</f>
        <v>217.64826438722957</v>
      </c>
      <c r="V324" s="26">
        <f t="shared" si="121"/>
        <v>221.24473957174001</v>
      </c>
      <c r="W324" s="26">
        <f t="shared" si="124"/>
        <v>219.7094288242946</v>
      </c>
      <c r="X324" s="26">
        <f t="shared" si="123"/>
        <v>1.5353107474454077</v>
      </c>
      <c r="Y324" s="26">
        <f t="shared" si="126"/>
        <v>0.32328694786954865</v>
      </c>
      <c r="Z324" s="26">
        <v>11251.18</v>
      </c>
      <c r="AA324" s="26">
        <f t="shared" ref="AA324:AA387" si="131">$AD$20+$AD$21*Z324</f>
        <v>217.16745974428321</v>
      </c>
      <c r="AB324" s="27">
        <f t="shared" si="109"/>
        <v>-8.5726183032529768E-2</v>
      </c>
      <c r="BK324" s="24">
        <v>44518</v>
      </c>
      <c r="BL324" s="25">
        <v>237.53</v>
      </c>
      <c r="BM324" s="26">
        <f t="shared" si="129"/>
        <v>234.67666666666665</v>
      </c>
      <c r="BN324" s="26">
        <f t="shared" si="110"/>
        <v>226.76800000000003</v>
      </c>
      <c r="BO324" s="26">
        <f t="shared" si="116"/>
        <v>217.53857142857143</v>
      </c>
      <c r="BP324" s="26">
        <f t="shared" si="119"/>
        <v>213.79461538461541</v>
      </c>
      <c r="BQ324" s="26">
        <f t="shared" si="122"/>
        <v>230.64272727272731</v>
      </c>
      <c r="BR324" s="26">
        <f t="shared" si="128"/>
        <v>231.78933333333333</v>
      </c>
      <c r="BS324" s="26">
        <f t="shared" si="113"/>
        <v>230.04464542079941</v>
      </c>
      <c r="BT324" s="26">
        <f t="shared" si="114"/>
        <v>234.62255921044905</v>
      </c>
    </row>
    <row r="325" spans="1:72" x14ac:dyDescent="0.2">
      <c r="A325" s="62"/>
      <c r="B325" s="24">
        <v>44519</v>
      </c>
      <c r="C325" s="25">
        <v>246.58</v>
      </c>
      <c r="D325" s="26">
        <f t="shared" si="115"/>
        <v>238.81333333333336</v>
      </c>
      <c r="E325" s="26">
        <f t="shared" si="117"/>
        <v>235.63200000000001</v>
      </c>
      <c r="F325" s="26">
        <f t="shared" si="118"/>
        <v>225.96428571428572</v>
      </c>
      <c r="G325" s="26">
        <f t="shared" si="120"/>
        <v>215.81307692307689</v>
      </c>
      <c r="H325" s="26">
        <f t="shared" si="125"/>
        <v>230.63181818181823</v>
      </c>
      <c r="I325" s="26">
        <f t="shared" si="127"/>
        <v>238.39333333333337</v>
      </c>
      <c r="J325" s="26">
        <f t="shared" si="111"/>
        <v>236.65878725247964</v>
      </c>
      <c r="K325" s="26">
        <f t="shared" si="112"/>
        <v>241.79702368417963</v>
      </c>
      <c r="L325" s="26">
        <f t="shared" si="130"/>
        <v>217.6334257252295</v>
      </c>
      <c r="V325" s="26">
        <f t="shared" si="121"/>
        <v>225.14247194531845</v>
      </c>
      <c r="W325" s="26">
        <f t="shared" si="124"/>
        <v>223.12142552938889</v>
      </c>
      <c r="X325" s="26">
        <f t="shared" si="123"/>
        <v>2.0210464159295611</v>
      </c>
      <c r="Y325" s="26">
        <f t="shared" si="126"/>
        <v>0.66283884148155114</v>
      </c>
      <c r="Z325" s="26">
        <v>11247.58</v>
      </c>
      <c r="AA325" s="26">
        <f t="shared" si="131"/>
        <v>217.16587477457517</v>
      </c>
      <c r="AB325" s="27">
        <f t="shared" ref="AB325:AB388" si="132">(AA325-C325)/C325</f>
        <v>-0.11928836574509222</v>
      </c>
      <c r="BK325" s="24">
        <v>44519</v>
      </c>
      <c r="BL325" s="25">
        <v>246.58</v>
      </c>
      <c r="BM325" s="26">
        <f t="shared" si="129"/>
        <v>238.81333333333336</v>
      </c>
      <c r="BN325" s="26">
        <f t="shared" ref="BN325:BN388" si="133">AVERAGE(BL321:BL325)</f>
        <v>235.63200000000001</v>
      </c>
      <c r="BO325" s="26">
        <f t="shared" si="116"/>
        <v>225.96428571428572</v>
      </c>
      <c r="BP325" s="26">
        <f t="shared" si="119"/>
        <v>215.81307692307689</v>
      </c>
      <c r="BQ325" s="26">
        <f t="shared" si="122"/>
        <v>230.63181818181823</v>
      </c>
      <c r="BR325" s="26">
        <f t="shared" si="128"/>
        <v>238.39333333333337</v>
      </c>
      <c r="BS325" s="26">
        <f t="shared" si="113"/>
        <v>236.65878725247964</v>
      </c>
      <c r="BT325" s="26">
        <f t="shared" si="114"/>
        <v>241.79702368417963</v>
      </c>
    </row>
    <row r="326" spans="1:72" x14ac:dyDescent="0.2">
      <c r="A326" s="62"/>
      <c r="B326" s="24">
        <v>44520</v>
      </c>
      <c r="C326" s="25">
        <v>243.5</v>
      </c>
      <c r="D326" s="26">
        <f t="shared" si="115"/>
        <v>242.53666666666666</v>
      </c>
      <c r="E326" s="26">
        <f t="shared" si="117"/>
        <v>238.82200000000003</v>
      </c>
      <c r="F326" s="26">
        <f t="shared" si="118"/>
        <v>231.98857142857145</v>
      </c>
      <c r="G326" s="26">
        <f t="shared" si="120"/>
        <v>216.97615384615386</v>
      </c>
      <c r="H326" s="26">
        <f t="shared" si="125"/>
        <v>230.54818181818186</v>
      </c>
      <c r="I326" s="26">
        <f t="shared" si="127"/>
        <v>241.01600000000002</v>
      </c>
      <c r="J326" s="26">
        <f t="shared" ref="J326:J389" si="134">C326*$J$3+J325*(1-$J$3)</f>
        <v>239.39527235148779</v>
      </c>
      <c r="K326" s="26">
        <f t="shared" ref="K326:K389" si="135">C326*$K$3+K325*(1-$K$3)</f>
        <v>242.81880947367185</v>
      </c>
      <c r="L326" s="26">
        <f t="shared" si="130"/>
        <v>217.6185870632294</v>
      </c>
      <c r="V326" s="26">
        <f t="shared" si="121"/>
        <v>227.96670703065405</v>
      </c>
      <c r="W326" s="26">
        <f t="shared" si="124"/>
        <v>226.50228883825781</v>
      </c>
      <c r="X326" s="26">
        <f t="shared" si="123"/>
        <v>1.4644181923962378</v>
      </c>
      <c r="Y326" s="26">
        <f t="shared" si="126"/>
        <v>0.8231547116644885</v>
      </c>
      <c r="Z326" s="26">
        <v>11028.74</v>
      </c>
      <c r="AA326" s="26">
        <f t="shared" si="131"/>
        <v>217.06952622710179</v>
      </c>
      <c r="AB326" s="27">
        <f t="shared" si="132"/>
        <v>-0.10854404013510559</v>
      </c>
      <c r="BK326" s="24">
        <v>44520</v>
      </c>
      <c r="BL326" s="25">
        <v>243.5</v>
      </c>
      <c r="BM326" s="26">
        <f t="shared" si="129"/>
        <v>242.53666666666666</v>
      </c>
      <c r="BN326" s="26">
        <f t="shared" si="133"/>
        <v>238.82200000000003</v>
      </c>
      <c r="BO326" s="26">
        <f t="shared" si="116"/>
        <v>231.98857142857145</v>
      </c>
      <c r="BP326" s="26">
        <f t="shared" si="119"/>
        <v>216.97615384615386</v>
      </c>
      <c r="BQ326" s="26">
        <f t="shared" si="122"/>
        <v>230.54818181818186</v>
      </c>
      <c r="BR326" s="26">
        <f t="shared" si="128"/>
        <v>241.01600000000002</v>
      </c>
      <c r="BS326" s="26">
        <f t="shared" ref="BS326:BS389" si="136">BL326*$J$3+BS325*(1-$J$3)</f>
        <v>239.39527235148779</v>
      </c>
      <c r="BT326" s="26">
        <f t="shared" ref="BT326:BT389" si="137">BL326*$K$3+BT325*(1-$K$3)</f>
        <v>242.81880947367185</v>
      </c>
    </row>
    <row r="327" spans="1:72" x14ac:dyDescent="0.2">
      <c r="A327" s="62"/>
      <c r="B327" s="24">
        <v>44521</v>
      </c>
      <c r="C327" s="25">
        <v>245</v>
      </c>
      <c r="D327" s="26">
        <f t="shared" ref="D327:D390" si="138">AVERAGE(C325:C327)</f>
        <v>245.02666666666667</v>
      </c>
      <c r="E327" s="26">
        <f t="shared" si="117"/>
        <v>240.988</v>
      </c>
      <c r="F327" s="26">
        <f t="shared" si="118"/>
        <v>238.09428571428572</v>
      </c>
      <c r="G327" s="26">
        <f t="shared" si="120"/>
        <v>218.73538461538462</v>
      </c>
      <c r="H327" s="26">
        <f t="shared" si="125"/>
        <v>230.53757575757578</v>
      </c>
      <c r="I327" s="26">
        <f t="shared" si="127"/>
        <v>243.0753333333333</v>
      </c>
      <c r="J327" s="26">
        <f t="shared" si="134"/>
        <v>241.63716341089267</v>
      </c>
      <c r="K327" s="26">
        <f t="shared" si="135"/>
        <v>244.12752378946874</v>
      </c>
      <c r="L327" s="26">
        <f t="shared" si="130"/>
        <v>217.6037484012293</v>
      </c>
      <c r="V327" s="26">
        <f t="shared" si="121"/>
        <v>230.58721364132265</v>
      </c>
      <c r="W327" s="26">
        <f t="shared" si="124"/>
        <v>229.22843243579078</v>
      </c>
      <c r="X327" s="26">
        <f t="shared" si="123"/>
        <v>1.3587812055318693</v>
      </c>
      <c r="Y327" s="26">
        <f t="shared" si="126"/>
        <v>0.93028001043796471</v>
      </c>
      <c r="Z327" s="26">
        <v>11177.89</v>
      </c>
      <c r="AA327" s="26">
        <f t="shared" si="131"/>
        <v>217.13519240264398</v>
      </c>
      <c r="AB327" s="27">
        <f t="shared" si="132"/>
        <v>-0.11373390856063681</v>
      </c>
      <c r="BK327" s="24">
        <v>44521</v>
      </c>
      <c r="BL327" s="25">
        <v>245</v>
      </c>
      <c r="BM327" s="26">
        <f t="shared" si="129"/>
        <v>245.02666666666667</v>
      </c>
      <c r="BN327" s="26">
        <f t="shared" si="133"/>
        <v>240.988</v>
      </c>
      <c r="BO327" s="26">
        <f t="shared" ref="BO327:BO390" si="139">AVERAGE(BL321:BL327)</f>
        <v>238.09428571428572</v>
      </c>
      <c r="BP327" s="26">
        <f t="shared" si="119"/>
        <v>218.73538461538462</v>
      </c>
      <c r="BQ327" s="26">
        <f t="shared" si="122"/>
        <v>230.53757575757578</v>
      </c>
      <c r="BR327" s="26">
        <f t="shared" si="128"/>
        <v>243.0753333333333</v>
      </c>
      <c r="BS327" s="26">
        <f t="shared" si="136"/>
        <v>241.63716341089267</v>
      </c>
      <c r="BT327" s="26">
        <f t="shared" si="137"/>
        <v>244.12752378946874</v>
      </c>
    </row>
    <row r="328" spans="1:72" x14ac:dyDescent="0.2">
      <c r="A328" s="62"/>
      <c r="B328" s="24">
        <v>44522</v>
      </c>
      <c r="C328" s="25">
        <v>248.49</v>
      </c>
      <c r="D328" s="26">
        <f t="shared" si="138"/>
        <v>245.66333333333333</v>
      </c>
      <c r="E328" s="26">
        <f t="shared" si="117"/>
        <v>244.21999999999997</v>
      </c>
      <c r="F328" s="26">
        <f t="shared" si="118"/>
        <v>241.08571428571432</v>
      </c>
      <c r="G328" s="26">
        <f t="shared" si="120"/>
        <v>222.82384615384615</v>
      </c>
      <c r="H328" s="26">
        <f t="shared" si="125"/>
        <v>230.6690909090909</v>
      </c>
      <c r="I328" s="26">
        <f t="shared" si="127"/>
        <v>245.57599999999999</v>
      </c>
      <c r="J328" s="26">
        <f t="shared" si="134"/>
        <v>244.3782980465356</v>
      </c>
      <c r="K328" s="26">
        <f t="shared" si="135"/>
        <v>246.7450095157875</v>
      </c>
      <c r="L328" s="26">
        <f t="shared" si="130"/>
        <v>217.58890973922922</v>
      </c>
      <c r="V328" s="26">
        <f t="shared" si="121"/>
        <v>233.34148846573456</v>
      </c>
      <c r="W328" s="26">
        <f t="shared" si="124"/>
        <v>231.91334596418764</v>
      </c>
      <c r="X328" s="26">
        <f t="shared" si="123"/>
        <v>1.4281425015469154</v>
      </c>
      <c r="Y328" s="26">
        <f t="shared" si="126"/>
        <v>1.029852508659755</v>
      </c>
      <c r="Z328" s="26">
        <v>11181.54</v>
      </c>
      <c r="AA328" s="26">
        <f t="shared" si="131"/>
        <v>217.13679938582018</v>
      </c>
      <c r="AB328" s="27">
        <f t="shared" si="132"/>
        <v>-0.12617489884574762</v>
      </c>
      <c r="BK328" s="24">
        <v>44522</v>
      </c>
      <c r="BL328" s="25">
        <v>248.49</v>
      </c>
      <c r="BM328" s="26">
        <f t="shared" si="129"/>
        <v>245.66333333333333</v>
      </c>
      <c r="BN328" s="26">
        <f t="shared" si="133"/>
        <v>244.21999999999997</v>
      </c>
      <c r="BO328" s="26">
        <f t="shared" si="139"/>
        <v>241.08571428571432</v>
      </c>
      <c r="BP328" s="26">
        <f t="shared" si="119"/>
        <v>222.82384615384615</v>
      </c>
      <c r="BQ328" s="26">
        <f t="shared" si="122"/>
        <v>230.6690909090909</v>
      </c>
      <c r="BR328" s="26">
        <f t="shared" si="128"/>
        <v>245.57599999999999</v>
      </c>
      <c r="BS328" s="26">
        <f t="shared" si="136"/>
        <v>244.3782980465356</v>
      </c>
      <c r="BT328" s="26">
        <f t="shared" si="137"/>
        <v>246.7450095157875</v>
      </c>
    </row>
    <row r="329" spans="1:72" x14ac:dyDescent="0.2">
      <c r="A329" s="62"/>
      <c r="B329" s="24">
        <v>44523</v>
      </c>
      <c r="C329" s="25">
        <v>248.81</v>
      </c>
      <c r="D329" s="26">
        <f t="shared" si="138"/>
        <v>247.43333333333331</v>
      </c>
      <c r="E329" s="26">
        <f t="shared" ref="E329:E392" si="140">AVERAGE(C325:C329)</f>
        <v>246.47600000000003</v>
      </c>
      <c r="F329" s="26">
        <f t="shared" si="118"/>
        <v>243.17714285714285</v>
      </c>
      <c r="G329" s="26">
        <f t="shared" si="120"/>
        <v>226.89000000000001</v>
      </c>
      <c r="H329" s="26">
        <f t="shared" si="125"/>
        <v>230.81060606060609</v>
      </c>
      <c r="I329" s="26">
        <f t="shared" si="127"/>
        <v>247.10600000000002</v>
      </c>
      <c r="J329" s="26">
        <f t="shared" si="134"/>
        <v>246.15097882792136</v>
      </c>
      <c r="K329" s="26">
        <f t="shared" si="135"/>
        <v>247.984003806315</v>
      </c>
      <c r="L329" s="26">
        <f t="shared" si="130"/>
        <v>217.57407107722912</v>
      </c>
      <c r="V329" s="26">
        <f t="shared" si="121"/>
        <v>235.72125947100619</v>
      </c>
      <c r="W329" s="26">
        <f t="shared" si="124"/>
        <v>234.48730413493939</v>
      </c>
      <c r="X329" s="26">
        <f t="shared" si="123"/>
        <v>1.2339553360667992</v>
      </c>
      <c r="Y329" s="26">
        <f t="shared" si="126"/>
        <v>1.0706730741411639</v>
      </c>
      <c r="Z329" s="26">
        <v>11524.55</v>
      </c>
      <c r="AA329" s="26">
        <f t="shared" si="131"/>
        <v>217.28781618013954</v>
      </c>
      <c r="AB329" s="27">
        <f t="shared" si="132"/>
        <v>-0.12669178819123209</v>
      </c>
      <c r="BK329" s="24">
        <v>44523</v>
      </c>
      <c r="BL329" s="25">
        <v>248.81</v>
      </c>
      <c r="BM329" s="26">
        <f t="shared" si="129"/>
        <v>247.43333333333331</v>
      </c>
      <c r="BN329" s="26">
        <f t="shared" si="133"/>
        <v>246.47600000000003</v>
      </c>
      <c r="BO329" s="26">
        <f t="shared" si="139"/>
        <v>243.17714285714285</v>
      </c>
      <c r="BP329" s="26">
        <f t="shared" si="119"/>
        <v>226.89000000000001</v>
      </c>
      <c r="BQ329" s="26">
        <f t="shared" si="122"/>
        <v>230.81060606060609</v>
      </c>
      <c r="BR329" s="26">
        <f t="shared" si="128"/>
        <v>247.10600000000002</v>
      </c>
      <c r="BS329" s="26">
        <f t="shared" si="136"/>
        <v>246.15097882792136</v>
      </c>
      <c r="BT329" s="26">
        <f t="shared" si="137"/>
        <v>247.984003806315</v>
      </c>
    </row>
    <row r="330" spans="1:72" x14ac:dyDescent="0.2">
      <c r="A330" s="62"/>
      <c r="B330" s="24">
        <v>44524</v>
      </c>
      <c r="C330" s="25">
        <v>255.83</v>
      </c>
      <c r="D330" s="26">
        <f t="shared" si="138"/>
        <v>251.04333333333332</v>
      </c>
      <c r="E330" s="26">
        <f t="shared" si="140"/>
        <v>248.32599999999996</v>
      </c>
      <c r="F330" s="26">
        <f t="shared" si="118"/>
        <v>246.53428571428569</v>
      </c>
      <c r="G330" s="26">
        <f t="shared" si="120"/>
        <v>231.61384615384617</v>
      </c>
      <c r="H330" s="26">
        <f t="shared" si="125"/>
        <v>231.03727272727275</v>
      </c>
      <c r="I330" s="26">
        <f t="shared" si="127"/>
        <v>250.22400000000005</v>
      </c>
      <c r="J330" s="26">
        <f t="shared" si="134"/>
        <v>250.02258729675282</v>
      </c>
      <c r="K330" s="26">
        <f t="shared" si="135"/>
        <v>252.69160152252601</v>
      </c>
      <c r="L330" s="26">
        <f t="shared" si="130"/>
        <v>217.55923241522902</v>
      </c>
      <c r="V330" s="26">
        <f t="shared" si="121"/>
        <v>238.81491186008216</v>
      </c>
      <c r="W330" s="26">
        <f t="shared" si="124"/>
        <v>237.2107958064872</v>
      </c>
      <c r="X330" s="26">
        <f t="shared" si="123"/>
        <v>1.6041160535949643</v>
      </c>
      <c r="Y330" s="26">
        <f t="shared" si="126"/>
        <v>1.177361670031924</v>
      </c>
      <c r="Z330" s="26">
        <v>11607.62</v>
      </c>
      <c r="AA330" s="26">
        <f t="shared" si="131"/>
        <v>217.32438935615221</v>
      </c>
      <c r="AB330" s="27">
        <f t="shared" si="132"/>
        <v>-0.15051249127877028</v>
      </c>
      <c r="BK330" s="24">
        <v>44524</v>
      </c>
      <c r="BL330" s="25">
        <v>255.83</v>
      </c>
      <c r="BM330" s="26">
        <f t="shared" si="129"/>
        <v>251.04333333333332</v>
      </c>
      <c r="BN330" s="26">
        <f t="shared" si="133"/>
        <v>248.32599999999996</v>
      </c>
      <c r="BO330" s="26">
        <f t="shared" si="139"/>
        <v>246.53428571428569</v>
      </c>
      <c r="BP330" s="26">
        <f t="shared" si="119"/>
        <v>231.61384615384617</v>
      </c>
      <c r="BQ330" s="26">
        <f t="shared" si="122"/>
        <v>231.03727272727275</v>
      </c>
      <c r="BR330" s="26">
        <f t="shared" si="128"/>
        <v>250.22400000000005</v>
      </c>
      <c r="BS330" s="26">
        <f t="shared" si="136"/>
        <v>250.02258729675282</v>
      </c>
      <c r="BT330" s="26">
        <f t="shared" si="137"/>
        <v>252.69160152252601</v>
      </c>
    </row>
    <row r="331" spans="1:72" x14ac:dyDescent="0.2">
      <c r="A331" s="62"/>
      <c r="B331" s="24">
        <v>44525</v>
      </c>
      <c r="C331" s="25">
        <v>259.04000000000002</v>
      </c>
      <c r="D331" s="26">
        <f t="shared" si="138"/>
        <v>254.56000000000003</v>
      </c>
      <c r="E331" s="26">
        <f t="shared" si="140"/>
        <v>251.43400000000003</v>
      </c>
      <c r="F331" s="26">
        <f t="shared" ref="F331:F394" si="141">AVERAGE(C325:C331)</f>
        <v>249.60714285714286</v>
      </c>
      <c r="G331" s="26">
        <f t="shared" si="120"/>
        <v>237.10923076923075</v>
      </c>
      <c r="H331" s="26">
        <f t="shared" si="125"/>
        <v>231.41333333333338</v>
      </c>
      <c r="I331" s="26">
        <f t="shared" si="127"/>
        <v>253.79533333333333</v>
      </c>
      <c r="J331" s="26">
        <f t="shared" si="134"/>
        <v>253.6295523780517</v>
      </c>
      <c r="K331" s="26">
        <f t="shared" si="135"/>
        <v>256.50064060901042</v>
      </c>
      <c r="L331" s="26">
        <f t="shared" si="130"/>
        <v>217.54439375322895</v>
      </c>
      <c r="V331" s="26">
        <f t="shared" si="121"/>
        <v>241.92646388160799</v>
      </c>
      <c r="W331" s="26">
        <f t="shared" si="124"/>
        <v>240.31306653711312</v>
      </c>
      <c r="X331" s="26">
        <f t="shared" si="123"/>
        <v>1.6133973444948708</v>
      </c>
      <c r="Y331" s="26">
        <f t="shared" si="126"/>
        <v>1.2645688049245134</v>
      </c>
      <c r="Z331" s="26">
        <v>11232.19</v>
      </c>
      <c r="AA331" s="26">
        <f t="shared" si="131"/>
        <v>217.15909902907336</v>
      </c>
      <c r="AB331" s="27">
        <f t="shared" si="132"/>
        <v>-0.16167735087602941</v>
      </c>
      <c r="BK331" s="24">
        <v>44525</v>
      </c>
      <c r="BL331" s="25">
        <v>259.04000000000002</v>
      </c>
      <c r="BM331" s="26">
        <f t="shared" si="129"/>
        <v>254.56000000000003</v>
      </c>
      <c r="BN331" s="26">
        <f t="shared" si="133"/>
        <v>251.43400000000003</v>
      </c>
      <c r="BO331" s="26">
        <f t="shared" si="139"/>
        <v>249.60714285714286</v>
      </c>
      <c r="BP331" s="26">
        <f t="shared" si="119"/>
        <v>237.10923076923075</v>
      </c>
      <c r="BQ331" s="26">
        <f t="shared" si="122"/>
        <v>231.41333333333338</v>
      </c>
      <c r="BR331" s="26">
        <f t="shared" si="128"/>
        <v>253.79533333333333</v>
      </c>
      <c r="BS331" s="26">
        <f t="shared" si="136"/>
        <v>253.6295523780517</v>
      </c>
      <c r="BT331" s="26">
        <f t="shared" si="137"/>
        <v>256.50064060901042</v>
      </c>
    </row>
    <row r="332" spans="1:72" x14ac:dyDescent="0.2">
      <c r="A332" s="62"/>
      <c r="B332" s="24">
        <v>44526</v>
      </c>
      <c r="C332" s="25">
        <v>255.36</v>
      </c>
      <c r="D332" s="26">
        <f t="shared" si="138"/>
        <v>256.74333333333334</v>
      </c>
      <c r="E332" s="26">
        <f t="shared" si="140"/>
        <v>253.50600000000003</v>
      </c>
      <c r="F332" s="26">
        <f t="shared" si="141"/>
        <v>250.86142857142855</v>
      </c>
      <c r="G332" s="26">
        <f t="shared" si="120"/>
        <v>241.26538461538459</v>
      </c>
      <c r="H332" s="26">
        <f t="shared" si="125"/>
        <v>231.7139393939394</v>
      </c>
      <c r="I332" s="26">
        <f t="shared" si="127"/>
        <v>255.10399999999996</v>
      </c>
      <c r="J332" s="26">
        <f t="shared" si="134"/>
        <v>254.32173142683101</v>
      </c>
      <c r="K332" s="26">
        <f t="shared" si="135"/>
        <v>255.81625624360419</v>
      </c>
      <c r="L332" s="26">
        <f t="shared" si="130"/>
        <v>217.52955509122884</v>
      </c>
      <c r="V332" s="26">
        <f t="shared" si="121"/>
        <v>243.99316174597601</v>
      </c>
      <c r="W332" s="26">
        <f t="shared" si="124"/>
        <v>242.92154063111852</v>
      </c>
      <c r="X332" s="26">
        <f t="shared" si="123"/>
        <v>1.0716211148574928</v>
      </c>
      <c r="Y332" s="26">
        <f t="shared" si="126"/>
        <v>1.2259792669111094</v>
      </c>
      <c r="Z332" s="26">
        <v>11053.08</v>
      </c>
      <c r="AA332" s="26">
        <f t="shared" si="131"/>
        <v>217.08024238340548</v>
      </c>
      <c r="AB332" s="27">
        <f t="shared" si="132"/>
        <v>-0.14990506585445854</v>
      </c>
      <c r="BK332" s="24">
        <v>44526</v>
      </c>
      <c r="BL332" s="25">
        <v>255.36</v>
      </c>
      <c r="BM332" s="26">
        <f t="shared" si="129"/>
        <v>256.74333333333334</v>
      </c>
      <c r="BN332" s="26">
        <f t="shared" si="133"/>
        <v>253.50600000000003</v>
      </c>
      <c r="BO332" s="26">
        <f t="shared" si="139"/>
        <v>250.86142857142855</v>
      </c>
      <c r="BP332" s="26">
        <f t="shared" si="119"/>
        <v>241.26538461538459</v>
      </c>
      <c r="BQ332" s="26">
        <f t="shared" si="122"/>
        <v>231.7139393939394</v>
      </c>
      <c r="BR332" s="26">
        <f t="shared" si="128"/>
        <v>255.10399999999996</v>
      </c>
      <c r="BS332" s="26">
        <f t="shared" si="136"/>
        <v>254.32173142683101</v>
      </c>
      <c r="BT332" s="26">
        <f t="shared" si="137"/>
        <v>255.81625624360419</v>
      </c>
    </row>
    <row r="333" spans="1:72" x14ac:dyDescent="0.2">
      <c r="A333" s="62"/>
      <c r="B333" s="24">
        <v>44527</v>
      </c>
      <c r="C333" s="25">
        <v>250.18</v>
      </c>
      <c r="D333" s="26">
        <f t="shared" si="138"/>
        <v>254.86000000000004</v>
      </c>
      <c r="E333" s="26">
        <f t="shared" si="140"/>
        <v>253.84399999999999</v>
      </c>
      <c r="F333" s="26">
        <f t="shared" si="141"/>
        <v>251.81571428571434</v>
      </c>
      <c r="G333" s="26">
        <f t="shared" si="120"/>
        <v>244.95153846153846</v>
      </c>
      <c r="H333" s="26">
        <f t="shared" si="125"/>
        <v>231.80878787878788</v>
      </c>
      <c r="I333" s="26">
        <f t="shared" si="127"/>
        <v>253.99533333333332</v>
      </c>
      <c r="J333" s="26">
        <f t="shared" si="134"/>
        <v>252.66503885609859</v>
      </c>
      <c r="K333" s="26">
        <f t="shared" si="135"/>
        <v>252.43450249744168</v>
      </c>
      <c r="L333" s="26">
        <f t="shared" si="130"/>
        <v>217.51471642922874</v>
      </c>
      <c r="V333" s="26">
        <f t="shared" si="121"/>
        <v>244.94498301582587</v>
      </c>
      <c r="W333" s="26">
        <f t="shared" si="124"/>
        <v>244.45144606108892</v>
      </c>
      <c r="X333" s="26">
        <f t="shared" si="123"/>
        <v>0.49353695473695325</v>
      </c>
      <c r="Y333" s="26">
        <f t="shared" si="126"/>
        <v>1.0794908044762781</v>
      </c>
      <c r="Z333" s="26">
        <v>11069.3</v>
      </c>
      <c r="AA333" s="26">
        <f t="shared" si="131"/>
        <v>217.08738355247885</v>
      </c>
      <c r="AB333" s="27">
        <f t="shared" si="132"/>
        <v>-0.13227522762619376</v>
      </c>
      <c r="BK333" s="24">
        <v>44527</v>
      </c>
      <c r="BL333" s="25">
        <v>250.18</v>
      </c>
      <c r="BM333" s="26">
        <f t="shared" si="129"/>
        <v>254.86000000000004</v>
      </c>
      <c r="BN333" s="26">
        <f t="shared" si="133"/>
        <v>253.84399999999999</v>
      </c>
      <c r="BO333" s="26">
        <f t="shared" si="139"/>
        <v>251.81571428571434</v>
      </c>
      <c r="BP333" s="26">
        <f t="shared" ref="BP333:BP396" si="142">AVERAGE(BL321:BL333)</f>
        <v>244.95153846153846</v>
      </c>
      <c r="BQ333" s="26">
        <f t="shared" si="122"/>
        <v>231.80878787878788</v>
      </c>
      <c r="BR333" s="26">
        <f t="shared" si="128"/>
        <v>253.99533333333332</v>
      </c>
      <c r="BS333" s="26">
        <f t="shared" si="136"/>
        <v>252.66503885609859</v>
      </c>
      <c r="BT333" s="26">
        <f t="shared" si="137"/>
        <v>252.43450249744168</v>
      </c>
    </row>
    <row r="334" spans="1:72" x14ac:dyDescent="0.2">
      <c r="A334" s="62"/>
      <c r="B334" s="24">
        <v>44528</v>
      </c>
      <c r="C334" s="25">
        <v>248.77</v>
      </c>
      <c r="D334" s="26">
        <f t="shared" si="138"/>
        <v>251.4366666666667</v>
      </c>
      <c r="E334" s="26">
        <f t="shared" si="140"/>
        <v>253.83600000000001</v>
      </c>
      <c r="F334" s="26">
        <f t="shared" si="141"/>
        <v>252.35428571428574</v>
      </c>
      <c r="G334" s="26">
        <f t="shared" si="120"/>
        <v>246.58384615384617</v>
      </c>
      <c r="H334" s="26">
        <f t="shared" si="125"/>
        <v>231.96606060606061</v>
      </c>
      <c r="I334" s="26">
        <f t="shared" si="127"/>
        <v>252.304</v>
      </c>
      <c r="J334" s="26">
        <f t="shared" si="134"/>
        <v>251.10702331365917</v>
      </c>
      <c r="K334" s="26">
        <f t="shared" si="135"/>
        <v>250.23580099897669</v>
      </c>
      <c r="L334" s="26">
        <f t="shared" si="130"/>
        <v>217.49987776722867</v>
      </c>
      <c r="V334" s="26">
        <f t="shared" si="121"/>
        <v>245.53344716723728</v>
      </c>
      <c r="W334" s="26">
        <f t="shared" si="124"/>
        <v>245.22831760724617</v>
      </c>
      <c r="X334" s="26">
        <f t="shared" si="123"/>
        <v>0.30512955999111568</v>
      </c>
      <c r="Y334" s="26">
        <f t="shared" si="126"/>
        <v>0.92461855557924566</v>
      </c>
      <c r="Z334" s="26">
        <v>10798.35</v>
      </c>
      <c r="AA334" s="26">
        <f t="shared" si="131"/>
        <v>216.96809256848181</v>
      </c>
      <c r="AB334" s="27">
        <f t="shared" si="132"/>
        <v>-0.12783658572785384</v>
      </c>
      <c r="BK334" s="24">
        <v>44528</v>
      </c>
      <c r="BL334" s="25">
        <v>248.77</v>
      </c>
      <c r="BM334" s="26">
        <f t="shared" si="129"/>
        <v>251.4366666666667</v>
      </c>
      <c r="BN334" s="26">
        <f t="shared" si="133"/>
        <v>253.83600000000001</v>
      </c>
      <c r="BO334" s="26">
        <f t="shared" si="139"/>
        <v>252.35428571428574</v>
      </c>
      <c r="BP334" s="26">
        <f t="shared" si="142"/>
        <v>246.58384615384617</v>
      </c>
      <c r="BQ334" s="26">
        <f t="shared" si="122"/>
        <v>231.96606060606061</v>
      </c>
      <c r="BR334" s="26">
        <f t="shared" si="128"/>
        <v>252.304</v>
      </c>
      <c r="BS334" s="26">
        <f t="shared" si="136"/>
        <v>251.10702331365917</v>
      </c>
      <c r="BT334" s="26">
        <f t="shared" si="137"/>
        <v>250.23580099897669</v>
      </c>
    </row>
    <row r="335" spans="1:72" x14ac:dyDescent="0.2">
      <c r="A335" s="62"/>
      <c r="B335" s="24">
        <v>44529</v>
      </c>
      <c r="C335" s="25">
        <v>245.39</v>
      </c>
      <c r="D335" s="26">
        <f t="shared" si="138"/>
        <v>248.11333333333334</v>
      </c>
      <c r="E335" s="26">
        <f t="shared" si="140"/>
        <v>251.74800000000005</v>
      </c>
      <c r="F335" s="26">
        <f t="shared" si="141"/>
        <v>251.91142857142859</v>
      </c>
      <c r="G335" s="26">
        <f t="shared" si="120"/>
        <v>247.44692307692307</v>
      </c>
      <c r="H335" s="26">
        <f t="shared" si="125"/>
        <v>231.92454545454549</v>
      </c>
      <c r="I335" s="26">
        <f t="shared" si="127"/>
        <v>249.48866666666666</v>
      </c>
      <c r="J335" s="26">
        <f t="shared" si="134"/>
        <v>248.82021398819549</v>
      </c>
      <c r="K335" s="26">
        <f t="shared" si="135"/>
        <v>247.32832039959067</v>
      </c>
      <c r="L335" s="26">
        <f t="shared" si="130"/>
        <v>217.48503910522857</v>
      </c>
      <c r="V335" s="26">
        <f t="shared" si="121"/>
        <v>245.5113783722777</v>
      </c>
      <c r="W335" s="26">
        <f t="shared" si="124"/>
        <v>245.52282145114563</v>
      </c>
      <c r="X335" s="26">
        <f t="shared" si="123"/>
        <v>-1.144307886792717E-2</v>
      </c>
      <c r="Y335" s="26">
        <f t="shared" si="126"/>
        <v>0.73740622868981121</v>
      </c>
      <c r="Z335" s="26">
        <v>10646.1</v>
      </c>
      <c r="AA335" s="26">
        <f t="shared" si="131"/>
        <v>216.90106155791324</v>
      </c>
      <c r="AB335" s="27">
        <f t="shared" si="132"/>
        <v>-0.1160965746040456</v>
      </c>
      <c r="BK335" s="24">
        <v>44529</v>
      </c>
      <c r="BL335" s="25">
        <v>245.39</v>
      </c>
      <c r="BM335" s="26">
        <f t="shared" si="129"/>
        <v>248.11333333333334</v>
      </c>
      <c r="BN335" s="26">
        <f t="shared" si="133"/>
        <v>251.74800000000005</v>
      </c>
      <c r="BO335" s="26">
        <f t="shared" si="139"/>
        <v>251.91142857142859</v>
      </c>
      <c r="BP335" s="26">
        <f t="shared" si="142"/>
        <v>247.44692307692307</v>
      </c>
      <c r="BQ335" s="26">
        <f t="shared" si="122"/>
        <v>231.92454545454549</v>
      </c>
      <c r="BR335" s="26">
        <f t="shared" si="128"/>
        <v>249.48866666666666</v>
      </c>
      <c r="BS335" s="26">
        <f t="shared" si="136"/>
        <v>248.82021398819549</v>
      </c>
      <c r="BT335" s="26">
        <f t="shared" si="137"/>
        <v>247.32832039959067</v>
      </c>
    </row>
    <row r="336" spans="1:72" x14ac:dyDescent="0.2">
      <c r="A336" s="63"/>
      <c r="B336" s="24">
        <v>44530</v>
      </c>
      <c r="C336" s="25">
        <v>222.63</v>
      </c>
      <c r="D336" s="26">
        <f t="shared" si="138"/>
        <v>238.92999999999998</v>
      </c>
      <c r="E336" s="26">
        <f t="shared" si="140"/>
        <v>244.46599999999998</v>
      </c>
      <c r="F336" s="26">
        <f t="shared" si="141"/>
        <v>248.17142857142861</v>
      </c>
      <c r="G336" s="26">
        <f t="shared" si="120"/>
        <v>246.7007692307692</v>
      </c>
      <c r="H336" s="26">
        <f t="shared" si="125"/>
        <v>231.1587878787879</v>
      </c>
      <c r="I336" s="26">
        <f t="shared" si="127"/>
        <v>239.78266666666667</v>
      </c>
      <c r="J336" s="26">
        <f t="shared" si="134"/>
        <v>238.3441283929173</v>
      </c>
      <c r="K336" s="26">
        <f t="shared" si="135"/>
        <v>232.50932815983629</v>
      </c>
      <c r="L336" s="26">
        <f t="shared" si="130"/>
        <v>217.47020044322846</v>
      </c>
      <c r="V336" s="26">
        <f t="shared" si="121"/>
        <v>241.99116631500422</v>
      </c>
      <c r="W336" s="26">
        <f t="shared" si="124"/>
        <v>243.81646145581269</v>
      </c>
      <c r="X336" s="26">
        <f t="shared" si="123"/>
        <v>-1.8252951408084641</v>
      </c>
      <c r="Y336" s="26">
        <f t="shared" si="126"/>
        <v>0.2248659547901562</v>
      </c>
      <c r="Z336" s="26">
        <v>11099.16</v>
      </c>
      <c r="AA336" s="26">
        <f t="shared" si="131"/>
        <v>217.10052999566821</v>
      </c>
      <c r="AB336" s="27">
        <f>(AA336-C336)/C336</f>
        <v>-2.4837039052831085E-2</v>
      </c>
      <c r="BK336" s="24">
        <v>44530</v>
      </c>
      <c r="BL336" s="25">
        <v>222.63</v>
      </c>
      <c r="BM336" s="26">
        <f t="shared" si="129"/>
        <v>238.92999999999998</v>
      </c>
      <c r="BN336" s="26">
        <f t="shared" si="133"/>
        <v>244.46599999999998</v>
      </c>
      <c r="BO336" s="26">
        <f t="shared" si="139"/>
        <v>248.17142857142861</v>
      </c>
      <c r="BP336" s="26">
        <f t="shared" si="142"/>
        <v>246.7007692307692</v>
      </c>
      <c r="BQ336" s="26">
        <f t="shared" si="122"/>
        <v>231.1587878787879</v>
      </c>
      <c r="BR336" s="26">
        <f t="shared" si="128"/>
        <v>239.78266666666667</v>
      </c>
      <c r="BS336" s="26">
        <f t="shared" si="136"/>
        <v>238.3441283929173</v>
      </c>
      <c r="BT336" s="26">
        <f t="shared" si="137"/>
        <v>232.50932815983629</v>
      </c>
    </row>
    <row r="337" spans="1:72" x14ac:dyDescent="0.2">
      <c r="A337" s="61">
        <v>44531</v>
      </c>
      <c r="B337" s="24">
        <v>44531</v>
      </c>
      <c r="C337" s="25">
        <v>227.47</v>
      </c>
      <c r="D337" s="26">
        <f t="shared" si="138"/>
        <v>231.83</v>
      </c>
      <c r="E337" s="26">
        <f t="shared" si="140"/>
        <v>238.88800000000001</v>
      </c>
      <c r="F337" s="26">
        <f t="shared" si="141"/>
        <v>244.12000000000006</v>
      </c>
      <c r="G337" s="26">
        <f t="shared" ref="G337:G400" si="143">AVERAGE(C325:C337)</f>
        <v>245.92692307692306</v>
      </c>
      <c r="H337" s="26">
        <f t="shared" si="125"/>
        <v>230.66969696969701</v>
      </c>
      <c r="I337" s="26">
        <f t="shared" si="127"/>
        <v>234.11733333333331</v>
      </c>
      <c r="J337" s="26">
        <f t="shared" si="134"/>
        <v>233.99447703575038</v>
      </c>
      <c r="K337" s="26">
        <f t="shared" si="135"/>
        <v>229.48573126393453</v>
      </c>
      <c r="L337" s="26">
        <f t="shared" si="130"/>
        <v>217.45536178122839</v>
      </c>
      <c r="V337" s="26">
        <f t="shared" ref="V337:V400" si="144">C337*(2/(12+1))+V336*(1-(2/(12+1)))</f>
        <v>239.75714072808049</v>
      </c>
      <c r="W337" s="26">
        <f t="shared" si="124"/>
        <v>240.91552436574463</v>
      </c>
      <c r="X337" s="26">
        <f t="shared" si="123"/>
        <v>-1.1583836376641443</v>
      </c>
      <c r="Y337" s="26">
        <f t="shared" si="126"/>
        <v>-5.17839637007039E-2</v>
      </c>
      <c r="Z337" s="26">
        <v>10828.34</v>
      </c>
      <c r="AA337" s="26">
        <f t="shared" si="131"/>
        <v>216.98129624668837</v>
      </c>
      <c r="AB337" s="27">
        <f t="shared" si="132"/>
        <v>-4.6110272797782681E-2</v>
      </c>
      <c r="BK337" s="24">
        <v>44531</v>
      </c>
      <c r="BL337" s="25">
        <v>227.47</v>
      </c>
      <c r="BM337" s="26">
        <f t="shared" si="129"/>
        <v>231.83</v>
      </c>
      <c r="BN337" s="26">
        <f t="shared" si="133"/>
        <v>238.88800000000001</v>
      </c>
      <c r="BO337" s="26">
        <f t="shared" si="139"/>
        <v>244.12000000000006</v>
      </c>
      <c r="BP337" s="26">
        <f t="shared" si="142"/>
        <v>245.92692307692306</v>
      </c>
      <c r="BQ337" s="26">
        <f t="shared" si="122"/>
        <v>230.66969696969701</v>
      </c>
      <c r="BR337" s="26">
        <f t="shared" si="128"/>
        <v>234.11733333333331</v>
      </c>
      <c r="BS337" s="26">
        <f t="shared" si="136"/>
        <v>233.99447703575038</v>
      </c>
      <c r="BT337" s="26">
        <f t="shared" si="137"/>
        <v>229.48573126393453</v>
      </c>
    </row>
    <row r="338" spans="1:72" x14ac:dyDescent="0.2">
      <c r="A338" s="62"/>
      <c r="B338" s="24">
        <v>44532</v>
      </c>
      <c r="C338" s="25">
        <v>228.52</v>
      </c>
      <c r="D338" s="26">
        <f t="shared" si="138"/>
        <v>226.20666666666668</v>
      </c>
      <c r="E338" s="26">
        <f t="shared" si="140"/>
        <v>234.55599999999998</v>
      </c>
      <c r="F338" s="26">
        <f t="shared" si="141"/>
        <v>239.76</v>
      </c>
      <c r="G338" s="26">
        <f t="shared" si="143"/>
        <v>244.53769230769228</v>
      </c>
      <c r="H338" s="26">
        <f t="shared" si="125"/>
        <v>230.30606060606064</v>
      </c>
      <c r="I338" s="26">
        <f t="shared" si="127"/>
        <v>230.66133333333332</v>
      </c>
      <c r="J338" s="26">
        <f t="shared" si="134"/>
        <v>231.80468622145023</v>
      </c>
      <c r="K338" s="26">
        <f t="shared" si="135"/>
        <v>228.90629250557382</v>
      </c>
      <c r="L338" s="26">
        <f t="shared" si="130"/>
        <v>217.44052311922829</v>
      </c>
      <c r="V338" s="26">
        <f t="shared" si="144"/>
        <v>238.02834984683733</v>
      </c>
      <c r="W338" s="26">
        <f t="shared" si="124"/>
        <v>238.92475993340784</v>
      </c>
      <c r="X338" s="26">
        <f t="shared" si="123"/>
        <v>-0.89641008657051202</v>
      </c>
      <c r="Y338" s="26">
        <f t="shared" si="126"/>
        <v>-0.22070918827466554</v>
      </c>
      <c r="Z338" s="26">
        <v>10809.22</v>
      </c>
      <c r="AA338" s="26">
        <f t="shared" si="131"/>
        <v>216.97287829646132</v>
      </c>
      <c r="AB338" s="27">
        <f t="shared" si="132"/>
        <v>-5.0530026708991302E-2</v>
      </c>
      <c r="BK338" s="24">
        <v>44532</v>
      </c>
      <c r="BL338" s="25">
        <v>228.52</v>
      </c>
      <c r="BM338" s="26">
        <f t="shared" si="129"/>
        <v>226.20666666666668</v>
      </c>
      <c r="BN338" s="26">
        <f t="shared" si="133"/>
        <v>234.55599999999998</v>
      </c>
      <c r="BO338" s="26">
        <f t="shared" si="139"/>
        <v>239.76</v>
      </c>
      <c r="BP338" s="26">
        <f t="shared" si="142"/>
        <v>244.53769230769228</v>
      </c>
      <c r="BQ338" s="26">
        <f t="shared" si="122"/>
        <v>230.30606060606064</v>
      </c>
      <c r="BR338" s="26">
        <f t="shared" si="128"/>
        <v>230.66133333333332</v>
      </c>
      <c r="BS338" s="26">
        <f t="shared" si="136"/>
        <v>231.80468622145023</v>
      </c>
      <c r="BT338" s="26">
        <f t="shared" si="137"/>
        <v>228.90629250557382</v>
      </c>
    </row>
    <row r="339" spans="1:72" x14ac:dyDescent="0.2">
      <c r="A339" s="62"/>
      <c r="B339" s="24">
        <v>44533</v>
      </c>
      <c r="C339" s="25">
        <v>226.3</v>
      </c>
      <c r="D339" s="26">
        <f t="shared" si="138"/>
        <v>227.42999999999998</v>
      </c>
      <c r="E339" s="26">
        <f t="shared" si="140"/>
        <v>230.06199999999998</v>
      </c>
      <c r="F339" s="26">
        <f t="shared" si="141"/>
        <v>235.60857142857142</v>
      </c>
      <c r="G339" s="26">
        <f t="shared" si="143"/>
        <v>243.21461538461543</v>
      </c>
      <c r="H339" s="26">
        <f t="shared" si="125"/>
        <v>229.92212121212128</v>
      </c>
      <c r="I339" s="26">
        <f t="shared" si="127"/>
        <v>227.90933333333334</v>
      </c>
      <c r="J339" s="26">
        <f t="shared" si="134"/>
        <v>229.60281173287015</v>
      </c>
      <c r="K339" s="26">
        <f t="shared" si="135"/>
        <v>227.34251700222953</v>
      </c>
      <c r="L339" s="26">
        <f t="shared" si="130"/>
        <v>217.42568445722819</v>
      </c>
      <c r="V339" s="26">
        <f t="shared" si="144"/>
        <v>236.22398833193927</v>
      </c>
      <c r="W339" s="26">
        <f t="shared" si="124"/>
        <v>237.15958319151605</v>
      </c>
      <c r="X339" s="26">
        <f t="shared" si="123"/>
        <v>-0.93559485957678135</v>
      </c>
      <c r="Y339" s="26">
        <f t="shared" si="126"/>
        <v>-0.3636863225350887</v>
      </c>
      <c r="Z339" s="26">
        <v>12081.39</v>
      </c>
      <c r="AA339" s="26">
        <f t="shared" si="131"/>
        <v>217.53297577242196</v>
      </c>
      <c r="AB339" s="27">
        <f t="shared" si="132"/>
        <v>-3.8740716869545062E-2</v>
      </c>
      <c r="BK339" s="24">
        <v>44533</v>
      </c>
      <c r="BL339" s="25">
        <v>226.3</v>
      </c>
      <c r="BM339" s="26">
        <f t="shared" si="129"/>
        <v>227.42999999999998</v>
      </c>
      <c r="BN339" s="26">
        <f t="shared" si="133"/>
        <v>230.06199999999998</v>
      </c>
      <c r="BO339" s="26">
        <f t="shared" si="139"/>
        <v>235.60857142857142</v>
      </c>
      <c r="BP339" s="26">
        <f t="shared" si="142"/>
        <v>243.21461538461543</v>
      </c>
      <c r="BQ339" s="26">
        <f t="shared" si="122"/>
        <v>229.92212121212128</v>
      </c>
      <c r="BR339" s="26">
        <f t="shared" si="128"/>
        <v>227.90933333333334</v>
      </c>
      <c r="BS339" s="26">
        <f t="shared" si="136"/>
        <v>229.60281173287015</v>
      </c>
      <c r="BT339" s="26">
        <f t="shared" si="137"/>
        <v>227.34251700222953</v>
      </c>
    </row>
    <row r="340" spans="1:72" x14ac:dyDescent="0.2">
      <c r="A340" s="62"/>
      <c r="B340" s="24">
        <v>44534</v>
      </c>
      <c r="C340" s="25">
        <v>221.47</v>
      </c>
      <c r="D340" s="26">
        <f t="shared" si="138"/>
        <v>225.43000000000004</v>
      </c>
      <c r="E340" s="26">
        <f t="shared" si="140"/>
        <v>225.27800000000002</v>
      </c>
      <c r="F340" s="26">
        <f t="shared" si="141"/>
        <v>231.50714285714284</v>
      </c>
      <c r="G340" s="26">
        <f t="shared" si="143"/>
        <v>241.4046153846154</v>
      </c>
      <c r="H340" s="26">
        <f t="shared" si="125"/>
        <v>229.63939393939401</v>
      </c>
      <c r="I340" s="26">
        <f t="shared" si="127"/>
        <v>225.04533333333336</v>
      </c>
      <c r="J340" s="26">
        <f t="shared" si="134"/>
        <v>226.34968703972208</v>
      </c>
      <c r="K340" s="26">
        <f t="shared" si="135"/>
        <v>223.81900680089183</v>
      </c>
      <c r="L340" s="26">
        <f t="shared" si="130"/>
        <v>217.41084579522811</v>
      </c>
      <c r="V340" s="26">
        <f t="shared" si="144"/>
        <v>233.95414397317938</v>
      </c>
      <c r="W340" s="26">
        <f t="shared" si="124"/>
        <v>235.13110030735118</v>
      </c>
      <c r="X340" s="26">
        <f t="shared" si="123"/>
        <v>-1.1769563341717912</v>
      </c>
      <c r="Y340" s="26">
        <f t="shared" si="126"/>
        <v>-0.52634032486242921</v>
      </c>
      <c r="Z340" s="26">
        <v>12131.13</v>
      </c>
      <c r="AA340" s="26">
        <f t="shared" si="131"/>
        <v>217.55487477055451</v>
      </c>
      <c r="AB340" s="27">
        <f t="shared" si="132"/>
        <v>-1.7677903234955043E-2</v>
      </c>
      <c r="BK340" s="24">
        <v>44534</v>
      </c>
      <c r="BL340" s="25">
        <v>221.47</v>
      </c>
      <c r="BM340" s="26">
        <f t="shared" si="129"/>
        <v>225.43000000000004</v>
      </c>
      <c r="BN340" s="26">
        <f t="shared" si="133"/>
        <v>225.27800000000002</v>
      </c>
      <c r="BO340" s="26">
        <f t="shared" si="139"/>
        <v>231.50714285714284</v>
      </c>
      <c r="BP340" s="26">
        <f t="shared" si="142"/>
        <v>241.4046153846154</v>
      </c>
      <c r="BQ340" s="26">
        <f t="shared" si="122"/>
        <v>229.63939393939401</v>
      </c>
      <c r="BR340" s="26">
        <f t="shared" si="128"/>
        <v>225.04533333333336</v>
      </c>
      <c r="BS340" s="26">
        <f t="shared" si="136"/>
        <v>226.34968703972208</v>
      </c>
      <c r="BT340" s="26">
        <f t="shared" si="137"/>
        <v>223.81900680089183</v>
      </c>
    </row>
    <row r="341" spans="1:72" x14ac:dyDescent="0.2">
      <c r="A341" s="62"/>
      <c r="B341" s="24">
        <v>44535</v>
      </c>
      <c r="C341" s="25">
        <v>220.9</v>
      </c>
      <c r="D341" s="26">
        <f t="shared" si="138"/>
        <v>222.89</v>
      </c>
      <c r="E341" s="26">
        <f t="shared" si="140"/>
        <v>224.93200000000002</v>
      </c>
      <c r="F341" s="26">
        <f t="shared" si="141"/>
        <v>227.52571428571429</v>
      </c>
      <c r="G341" s="26">
        <f t="shared" si="143"/>
        <v>239.28230769230771</v>
      </c>
      <c r="H341" s="26">
        <f t="shared" si="125"/>
        <v>229.29606060606068</v>
      </c>
      <c r="I341" s="26">
        <f t="shared" si="127"/>
        <v>223.58599999999998</v>
      </c>
      <c r="J341" s="26">
        <f t="shared" si="134"/>
        <v>224.16981222383325</v>
      </c>
      <c r="K341" s="26">
        <f t="shared" si="135"/>
        <v>222.06760272035672</v>
      </c>
      <c r="L341" s="26">
        <f t="shared" si="130"/>
        <v>217.39600713322801</v>
      </c>
      <c r="V341" s="26">
        <f t="shared" si="144"/>
        <v>231.94581413115179</v>
      </c>
      <c r="W341" s="26">
        <f t="shared" si="124"/>
        <v>232.98717034553647</v>
      </c>
      <c r="X341" s="26">
        <f t="shared" si="123"/>
        <v>-1.0413562143846775</v>
      </c>
      <c r="Y341" s="26">
        <f t="shared" si="126"/>
        <v>-0.62934350276687889</v>
      </c>
      <c r="Z341" s="26">
        <v>11740.65</v>
      </c>
      <c r="AA341" s="26">
        <f t="shared" si="131"/>
        <v>217.38295838955739</v>
      </c>
      <c r="AB341" s="27">
        <f t="shared" si="132"/>
        <v>-1.5921419694172104E-2</v>
      </c>
      <c r="BK341" s="24">
        <v>44535</v>
      </c>
      <c r="BL341" s="25">
        <v>220.9</v>
      </c>
      <c r="BM341" s="26">
        <f t="shared" si="129"/>
        <v>222.89</v>
      </c>
      <c r="BN341" s="26">
        <f t="shared" si="133"/>
        <v>224.93200000000002</v>
      </c>
      <c r="BO341" s="26">
        <f t="shared" si="139"/>
        <v>227.52571428571429</v>
      </c>
      <c r="BP341" s="26">
        <f t="shared" si="142"/>
        <v>239.28230769230771</v>
      </c>
      <c r="BQ341" s="26">
        <f t="shared" si="122"/>
        <v>229.29606060606068</v>
      </c>
      <c r="BR341" s="26">
        <f t="shared" si="128"/>
        <v>223.58599999999998</v>
      </c>
      <c r="BS341" s="26">
        <f t="shared" si="136"/>
        <v>224.16981222383325</v>
      </c>
      <c r="BT341" s="26">
        <f t="shared" si="137"/>
        <v>222.06760272035672</v>
      </c>
    </row>
    <row r="342" spans="1:72" x14ac:dyDescent="0.2">
      <c r="A342" s="62"/>
      <c r="B342" s="24">
        <v>44536</v>
      </c>
      <c r="C342" s="25">
        <v>221.55</v>
      </c>
      <c r="D342" s="26">
        <f t="shared" si="138"/>
        <v>221.3066666666667</v>
      </c>
      <c r="E342" s="26">
        <f t="shared" si="140"/>
        <v>223.74799999999999</v>
      </c>
      <c r="F342" s="26">
        <f t="shared" si="141"/>
        <v>224.12000000000003</v>
      </c>
      <c r="G342" s="26">
        <f t="shared" si="143"/>
        <v>237.18538461538466</v>
      </c>
      <c r="H342" s="26">
        <f t="shared" si="125"/>
        <v>228.97181818181826</v>
      </c>
      <c r="I342" s="26">
        <f t="shared" si="127"/>
        <v>222.45866666666663</v>
      </c>
      <c r="J342" s="26">
        <f t="shared" si="134"/>
        <v>223.12188733429994</v>
      </c>
      <c r="K342" s="26">
        <f t="shared" si="135"/>
        <v>221.7570410881427</v>
      </c>
      <c r="L342" s="26">
        <f t="shared" si="130"/>
        <v>217.38116847122791</v>
      </c>
      <c r="V342" s="26">
        <f t="shared" si="144"/>
        <v>230.3464581109746</v>
      </c>
      <c r="W342" s="26">
        <f t="shared" si="124"/>
        <v>231.17575382514053</v>
      </c>
      <c r="X342" s="26">
        <f t="shared" si="123"/>
        <v>-0.82929571416593717</v>
      </c>
      <c r="Y342" s="26">
        <f t="shared" si="126"/>
        <v>-0.66933394504669064</v>
      </c>
      <c r="Z342" s="26">
        <v>11434.74</v>
      </c>
      <c r="AA342" s="26">
        <f t="shared" si="131"/>
        <v>217.24827558861796</v>
      </c>
      <c r="AB342" s="27">
        <f t="shared" si="132"/>
        <v>-1.9416494747831432E-2</v>
      </c>
      <c r="BK342" s="24">
        <v>44536</v>
      </c>
      <c r="BL342" s="25">
        <v>221.55</v>
      </c>
      <c r="BM342" s="26">
        <f t="shared" si="129"/>
        <v>221.3066666666667</v>
      </c>
      <c r="BN342" s="26">
        <f t="shared" si="133"/>
        <v>223.74799999999999</v>
      </c>
      <c r="BO342" s="26">
        <f t="shared" si="139"/>
        <v>224.12000000000003</v>
      </c>
      <c r="BP342" s="26">
        <f t="shared" si="142"/>
        <v>237.18538461538466</v>
      </c>
      <c r="BQ342" s="26">
        <f t="shared" ref="BQ342:BQ405" si="145">AVERAGE(BL310:BL342)</f>
        <v>228.97181818181826</v>
      </c>
      <c r="BR342" s="26">
        <f t="shared" si="128"/>
        <v>222.45866666666663</v>
      </c>
      <c r="BS342" s="26">
        <f t="shared" si="136"/>
        <v>223.12188733429994</v>
      </c>
      <c r="BT342" s="26">
        <f t="shared" si="137"/>
        <v>221.7570410881427</v>
      </c>
    </row>
    <row r="343" spans="1:72" x14ac:dyDescent="0.2">
      <c r="A343" s="62"/>
      <c r="B343" s="24">
        <v>44537</v>
      </c>
      <c r="C343" s="25">
        <v>226.06</v>
      </c>
      <c r="D343" s="26">
        <f t="shared" si="138"/>
        <v>222.83666666666667</v>
      </c>
      <c r="E343" s="26">
        <f t="shared" si="140"/>
        <v>223.256</v>
      </c>
      <c r="F343" s="26">
        <f t="shared" si="141"/>
        <v>224.60999999999999</v>
      </c>
      <c r="G343" s="26">
        <f t="shared" si="143"/>
        <v>234.89538461538464</v>
      </c>
      <c r="H343" s="26">
        <f t="shared" si="125"/>
        <v>228.85181818181826</v>
      </c>
      <c r="I343" s="26">
        <f t="shared" si="127"/>
        <v>223.22933333333333</v>
      </c>
      <c r="J343" s="26">
        <f t="shared" si="134"/>
        <v>224.29713240057995</v>
      </c>
      <c r="K343" s="26">
        <f t="shared" si="135"/>
        <v>224.33881643525709</v>
      </c>
      <c r="L343" s="26">
        <f t="shared" si="130"/>
        <v>217.36632980922784</v>
      </c>
      <c r="V343" s="26">
        <f t="shared" si="144"/>
        <v>229.68700301697851</v>
      </c>
      <c r="W343" s="26">
        <f t="shared" si="124"/>
        <v>230.02894269534684</v>
      </c>
      <c r="X343" s="26">
        <f t="shared" si="123"/>
        <v>-0.34193967836833394</v>
      </c>
      <c r="Y343" s="26">
        <f t="shared" si="126"/>
        <v>-0.60385509171101925</v>
      </c>
      <c r="Z343" s="26">
        <v>11264.45</v>
      </c>
      <c r="AA343" s="26">
        <f t="shared" si="131"/>
        <v>217.17330211873471</v>
      </c>
      <c r="AB343" s="27">
        <f t="shared" si="132"/>
        <v>-3.9311235429820804E-2</v>
      </c>
      <c r="BK343" s="24">
        <v>44537</v>
      </c>
      <c r="BL343" s="25">
        <v>226.06</v>
      </c>
      <c r="BM343" s="26">
        <f t="shared" si="129"/>
        <v>222.83666666666667</v>
      </c>
      <c r="BN343" s="26">
        <f t="shared" si="133"/>
        <v>223.256</v>
      </c>
      <c r="BO343" s="26">
        <f t="shared" si="139"/>
        <v>224.60999999999999</v>
      </c>
      <c r="BP343" s="26">
        <f t="shared" si="142"/>
        <v>234.89538461538464</v>
      </c>
      <c r="BQ343" s="26">
        <f t="shared" si="145"/>
        <v>228.85181818181826</v>
      </c>
      <c r="BR343" s="26">
        <f t="shared" si="128"/>
        <v>223.22933333333333</v>
      </c>
      <c r="BS343" s="26">
        <f t="shared" si="136"/>
        <v>224.29713240057995</v>
      </c>
      <c r="BT343" s="26">
        <f t="shared" si="137"/>
        <v>224.33881643525709</v>
      </c>
    </row>
    <row r="344" spans="1:72" x14ac:dyDescent="0.2">
      <c r="A344" s="62"/>
      <c r="B344" s="24">
        <v>44538</v>
      </c>
      <c r="C344" s="25">
        <v>228.4</v>
      </c>
      <c r="D344" s="26">
        <f t="shared" si="138"/>
        <v>225.33666666666667</v>
      </c>
      <c r="E344" s="26">
        <f t="shared" si="140"/>
        <v>223.67600000000002</v>
      </c>
      <c r="F344" s="26">
        <f t="shared" si="141"/>
        <v>224.74285714285716</v>
      </c>
      <c r="G344" s="26">
        <f t="shared" si="143"/>
        <v>232.53846153846155</v>
      </c>
      <c r="H344" s="26">
        <f t="shared" si="125"/>
        <v>228.77515151515161</v>
      </c>
      <c r="I344" s="26">
        <f t="shared" si="127"/>
        <v>224.94400000000002</v>
      </c>
      <c r="J344" s="26">
        <f t="shared" si="134"/>
        <v>225.93827944034797</v>
      </c>
      <c r="K344" s="26">
        <f t="shared" si="135"/>
        <v>226.77552657410283</v>
      </c>
      <c r="L344" s="26">
        <f t="shared" si="130"/>
        <v>217.35149114722773</v>
      </c>
      <c r="V344" s="26">
        <f t="shared" si="144"/>
        <v>229.48900255282797</v>
      </c>
      <c r="W344" s="26">
        <f t="shared" si="124"/>
        <v>229.59166946016529</v>
      </c>
      <c r="X344" s="26">
        <f t="shared" si="123"/>
        <v>-0.10266690733732275</v>
      </c>
      <c r="Y344" s="26">
        <f t="shared" si="126"/>
        <v>-0.50361745483627995</v>
      </c>
      <c r="Z344" s="26">
        <v>11535.28</v>
      </c>
      <c r="AA344" s="26">
        <f t="shared" si="131"/>
        <v>217.29254027040818</v>
      </c>
      <c r="AB344" s="27">
        <f t="shared" si="132"/>
        <v>-4.8631610024482588E-2</v>
      </c>
      <c r="BK344" s="24">
        <v>44538</v>
      </c>
      <c r="BL344" s="25">
        <v>228.4</v>
      </c>
      <c r="BM344" s="26">
        <f t="shared" si="129"/>
        <v>225.33666666666667</v>
      </c>
      <c r="BN344" s="26">
        <f t="shared" si="133"/>
        <v>223.67600000000002</v>
      </c>
      <c r="BO344" s="26">
        <f t="shared" si="139"/>
        <v>224.74285714285716</v>
      </c>
      <c r="BP344" s="26">
        <f t="shared" si="142"/>
        <v>232.53846153846155</v>
      </c>
      <c r="BQ344" s="26">
        <f t="shared" si="145"/>
        <v>228.77515151515161</v>
      </c>
      <c r="BR344" s="26">
        <f t="shared" si="128"/>
        <v>224.94400000000002</v>
      </c>
      <c r="BS344" s="26">
        <f t="shared" si="136"/>
        <v>225.93827944034797</v>
      </c>
      <c r="BT344" s="26">
        <f t="shared" si="137"/>
        <v>226.77552657410283</v>
      </c>
    </row>
    <row r="345" spans="1:72" x14ac:dyDescent="0.2">
      <c r="A345" s="62"/>
      <c r="B345" s="24">
        <v>44539</v>
      </c>
      <c r="C345" s="25">
        <v>229.63</v>
      </c>
      <c r="D345" s="26">
        <f t="shared" si="138"/>
        <v>228.03</v>
      </c>
      <c r="E345" s="26">
        <f t="shared" si="140"/>
        <v>225.30799999999999</v>
      </c>
      <c r="F345" s="26">
        <f t="shared" si="141"/>
        <v>224.90142857142857</v>
      </c>
      <c r="G345" s="26">
        <f t="shared" si="143"/>
        <v>230.55923076923079</v>
      </c>
      <c r="H345" s="26">
        <f t="shared" si="125"/>
        <v>229.05666666666673</v>
      </c>
      <c r="I345" s="26">
        <f t="shared" si="127"/>
        <v>226.92866666666669</v>
      </c>
      <c r="J345" s="26">
        <f t="shared" si="134"/>
        <v>227.41496766420877</v>
      </c>
      <c r="K345" s="26">
        <f t="shared" si="135"/>
        <v>228.48821062964112</v>
      </c>
      <c r="L345" s="26">
        <f t="shared" si="130"/>
        <v>217.33665248522763</v>
      </c>
      <c r="V345" s="26">
        <f t="shared" si="144"/>
        <v>229.51069446777751</v>
      </c>
      <c r="W345" s="26">
        <f t="shared" si="124"/>
        <v>229.49944680817407</v>
      </c>
      <c r="X345" s="26">
        <f t="shared" si="123"/>
        <v>1.1247659603441207E-2</v>
      </c>
      <c r="Y345" s="26">
        <f t="shared" si="126"/>
        <v>-0.40064443194833577</v>
      </c>
      <c r="Z345" s="26">
        <v>11354.62</v>
      </c>
      <c r="AA345" s="26">
        <f t="shared" si="131"/>
        <v>217.21300120722711</v>
      </c>
      <c r="AB345" s="27">
        <f t="shared" si="132"/>
        <v>-5.4073939784753243E-2</v>
      </c>
      <c r="BK345" s="24">
        <v>44539</v>
      </c>
      <c r="BL345" s="25">
        <v>229.63</v>
      </c>
      <c r="BM345" s="26">
        <f t="shared" si="129"/>
        <v>228.03</v>
      </c>
      <c r="BN345" s="26">
        <f t="shared" si="133"/>
        <v>225.30799999999999</v>
      </c>
      <c r="BO345" s="26">
        <f t="shared" si="139"/>
        <v>224.90142857142857</v>
      </c>
      <c r="BP345" s="26">
        <f t="shared" si="142"/>
        <v>230.55923076923079</v>
      </c>
      <c r="BQ345" s="26">
        <f t="shared" si="145"/>
        <v>229.05666666666673</v>
      </c>
      <c r="BR345" s="26">
        <f t="shared" si="128"/>
        <v>226.92866666666669</v>
      </c>
      <c r="BS345" s="26">
        <f t="shared" si="136"/>
        <v>227.41496766420877</v>
      </c>
      <c r="BT345" s="26">
        <f t="shared" si="137"/>
        <v>228.48821062964112</v>
      </c>
    </row>
    <row r="346" spans="1:72" x14ac:dyDescent="0.2">
      <c r="A346" s="62"/>
      <c r="B346" s="24">
        <v>44540</v>
      </c>
      <c r="C346" s="25">
        <v>221.94</v>
      </c>
      <c r="D346" s="26">
        <f t="shared" si="138"/>
        <v>226.65666666666667</v>
      </c>
      <c r="E346" s="26">
        <f t="shared" si="140"/>
        <v>225.51599999999999</v>
      </c>
      <c r="F346" s="26">
        <f t="shared" si="141"/>
        <v>224.27857142857147</v>
      </c>
      <c r="G346" s="26">
        <f t="shared" si="143"/>
        <v>228.3869230769231</v>
      </c>
      <c r="H346" s="26">
        <f t="shared" si="125"/>
        <v>228.86151515151522</v>
      </c>
      <c r="I346" s="26">
        <f t="shared" si="127"/>
        <v>225.80600000000001</v>
      </c>
      <c r="J346" s="26">
        <f t="shared" si="134"/>
        <v>225.22498059852526</v>
      </c>
      <c r="K346" s="26">
        <f t="shared" si="135"/>
        <v>224.55928425185644</v>
      </c>
      <c r="L346" s="26">
        <f t="shared" si="130"/>
        <v>217.32181382322756</v>
      </c>
      <c r="V346" s="26">
        <f t="shared" si="144"/>
        <v>228.34597224196557</v>
      </c>
      <c r="W346" s="26">
        <f t="shared" si="124"/>
        <v>228.94990228497917</v>
      </c>
      <c r="X346" s="26">
        <f t="shared" si="123"/>
        <v>-0.6039300430136052</v>
      </c>
      <c r="Y346" s="26">
        <f t="shared" si="126"/>
        <v>-0.44130155416138966</v>
      </c>
      <c r="Z346" s="26">
        <v>11388.5</v>
      </c>
      <c r="AA346" s="26">
        <f t="shared" si="131"/>
        <v>217.22791753325708</v>
      </c>
      <c r="AB346" s="27">
        <f t="shared" si="132"/>
        <v>-2.1231334895660599E-2</v>
      </c>
      <c r="BK346" s="24">
        <v>44540</v>
      </c>
      <c r="BL346" s="25">
        <v>221.94</v>
      </c>
      <c r="BM346" s="26">
        <f t="shared" si="129"/>
        <v>226.65666666666667</v>
      </c>
      <c r="BN346" s="26">
        <f t="shared" si="133"/>
        <v>225.51599999999999</v>
      </c>
      <c r="BO346" s="26">
        <f t="shared" si="139"/>
        <v>224.27857142857147</v>
      </c>
      <c r="BP346" s="26">
        <f t="shared" si="142"/>
        <v>228.3869230769231</v>
      </c>
      <c r="BQ346" s="26">
        <f t="shared" si="145"/>
        <v>228.86151515151522</v>
      </c>
      <c r="BR346" s="26">
        <f t="shared" si="128"/>
        <v>225.80600000000001</v>
      </c>
      <c r="BS346" s="26">
        <f t="shared" si="136"/>
        <v>225.22498059852526</v>
      </c>
      <c r="BT346" s="26">
        <f t="shared" si="137"/>
        <v>224.55928425185644</v>
      </c>
    </row>
    <row r="347" spans="1:72" x14ac:dyDescent="0.2">
      <c r="A347" s="62"/>
      <c r="B347" s="24">
        <v>44541</v>
      </c>
      <c r="C347" s="25">
        <v>212.49</v>
      </c>
      <c r="D347" s="26">
        <f t="shared" si="138"/>
        <v>221.35333333333332</v>
      </c>
      <c r="E347" s="26">
        <f t="shared" si="140"/>
        <v>223.70400000000001</v>
      </c>
      <c r="F347" s="26">
        <f t="shared" si="141"/>
        <v>222.99571428571429</v>
      </c>
      <c r="G347" s="26">
        <f t="shared" si="143"/>
        <v>225.59615384615384</v>
      </c>
      <c r="H347" s="26">
        <f t="shared" si="125"/>
        <v>228.56939393939399</v>
      </c>
      <c r="I347" s="26">
        <f t="shared" si="127"/>
        <v>221.464</v>
      </c>
      <c r="J347" s="26">
        <f t="shared" si="134"/>
        <v>220.13098835911515</v>
      </c>
      <c r="K347" s="26">
        <f t="shared" si="135"/>
        <v>217.31771370074259</v>
      </c>
      <c r="L347" s="26">
        <f t="shared" si="130"/>
        <v>217.30697516122746</v>
      </c>
      <c r="V347" s="26">
        <f t="shared" si="144"/>
        <v>225.9065918970478</v>
      </c>
      <c r="W347" s="26">
        <f t="shared" si="124"/>
        <v>227.17145577959775</v>
      </c>
      <c r="X347" s="26">
        <f t="shared" si="123"/>
        <v>-1.2648638825499461</v>
      </c>
      <c r="Y347" s="26">
        <f t="shared" si="126"/>
        <v>-0.60601401983910097</v>
      </c>
      <c r="Z347" s="26">
        <v>11418.15</v>
      </c>
      <c r="AA347" s="26">
        <f t="shared" si="131"/>
        <v>217.24097151988013</v>
      </c>
      <c r="AB347" s="27">
        <f t="shared" si="132"/>
        <v>2.2358565202504233E-2</v>
      </c>
      <c r="BK347" s="24">
        <v>44541</v>
      </c>
      <c r="BL347" s="25">
        <v>212.49</v>
      </c>
      <c r="BM347" s="26">
        <f t="shared" si="129"/>
        <v>221.35333333333332</v>
      </c>
      <c r="BN347" s="26">
        <f t="shared" si="133"/>
        <v>223.70400000000001</v>
      </c>
      <c r="BO347" s="26">
        <f t="shared" si="139"/>
        <v>222.99571428571429</v>
      </c>
      <c r="BP347" s="26">
        <f t="shared" si="142"/>
        <v>225.59615384615384</v>
      </c>
      <c r="BQ347" s="26">
        <f t="shared" si="145"/>
        <v>228.56939393939399</v>
      </c>
      <c r="BR347" s="26">
        <f t="shared" si="128"/>
        <v>221.464</v>
      </c>
      <c r="BS347" s="26">
        <f t="shared" si="136"/>
        <v>220.13098835911515</v>
      </c>
      <c r="BT347" s="26">
        <f t="shared" si="137"/>
        <v>217.31771370074259</v>
      </c>
    </row>
    <row r="348" spans="1:72" x14ac:dyDescent="0.2">
      <c r="A348" s="62"/>
      <c r="B348" s="24">
        <v>44542</v>
      </c>
      <c r="C348" s="25">
        <v>214.25</v>
      </c>
      <c r="D348" s="26">
        <f t="shared" si="138"/>
        <v>216.22666666666669</v>
      </c>
      <c r="E348" s="26">
        <f t="shared" si="140"/>
        <v>221.34200000000001</v>
      </c>
      <c r="F348" s="26">
        <f t="shared" si="141"/>
        <v>222.04571428571427</v>
      </c>
      <c r="G348" s="26">
        <f t="shared" si="143"/>
        <v>223.20076923076928</v>
      </c>
      <c r="H348" s="26">
        <f t="shared" si="125"/>
        <v>229.14242424242428</v>
      </c>
      <c r="I348" s="26">
        <f t="shared" si="127"/>
        <v>218.31266666666667</v>
      </c>
      <c r="J348" s="26">
        <f t="shared" si="134"/>
        <v>217.77859301546908</v>
      </c>
      <c r="K348" s="26">
        <f t="shared" si="135"/>
        <v>215.47708548029703</v>
      </c>
      <c r="L348" s="26">
        <f t="shared" si="130"/>
        <v>217.29213649922735</v>
      </c>
      <c r="V348" s="26">
        <f t="shared" si="144"/>
        <v>224.11327006673275</v>
      </c>
      <c r="W348" s="26">
        <f t="shared" si="124"/>
        <v>225.04314064541464</v>
      </c>
      <c r="X348" s="26">
        <f t="shared" si="123"/>
        <v>-0.92987057868188572</v>
      </c>
      <c r="Y348" s="26">
        <f t="shared" si="126"/>
        <v>-0.67078533160765796</v>
      </c>
      <c r="Z348" s="26">
        <v>11984.52</v>
      </c>
      <c r="AA348" s="26">
        <f t="shared" si="131"/>
        <v>217.49032687919518</v>
      </c>
      <c r="AB348" s="27">
        <f t="shared" si="132"/>
        <v>1.5124046110595941E-2</v>
      </c>
      <c r="BK348" s="24">
        <v>44542</v>
      </c>
      <c r="BL348" s="25">
        <v>214.25</v>
      </c>
      <c r="BM348" s="26">
        <f t="shared" si="129"/>
        <v>216.22666666666669</v>
      </c>
      <c r="BN348" s="26">
        <f t="shared" si="133"/>
        <v>221.34200000000001</v>
      </c>
      <c r="BO348" s="26">
        <f t="shared" si="139"/>
        <v>222.04571428571427</v>
      </c>
      <c r="BP348" s="26">
        <f t="shared" si="142"/>
        <v>223.20076923076928</v>
      </c>
      <c r="BQ348" s="26">
        <f t="shared" si="145"/>
        <v>229.14242424242428</v>
      </c>
      <c r="BR348" s="26">
        <f t="shared" si="128"/>
        <v>218.31266666666667</v>
      </c>
      <c r="BS348" s="26">
        <f t="shared" si="136"/>
        <v>217.77859301546908</v>
      </c>
      <c r="BT348" s="26">
        <f t="shared" si="137"/>
        <v>215.47708548029703</v>
      </c>
    </row>
    <row r="349" spans="1:72" x14ac:dyDescent="0.2">
      <c r="A349" s="62"/>
      <c r="B349" s="24">
        <v>44543</v>
      </c>
      <c r="C349" s="25">
        <v>208.69</v>
      </c>
      <c r="D349" s="26">
        <f t="shared" si="138"/>
        <v>211.81000000000003</v>
      </c>
      <c r="E349" s="26">
        <f t="shared" si="140"/>
        <v>217.4</v>
      </c>
      <c r="F349" s="26">
        <f t="shared" si="141"/>
        <v>220.20857142857145</v>
      </c>
      <c r="G349" s="26">
        <f t="shared" si="143"/>
        <v>222.12846153846158</v>
      </c>
      <c r="H349" s="26">
        <f t="shared" si="125"/>
        <v>229.52848484848485</v>
      </c>
      <c r="I349" s="26">
        <f t="shared" si="127"/>
        <v>214.09533333333334</v>
      </c>
      <c r="J349" s="26">
        <f t="shared" si="134"/>
        <v>214.14315580928144</v>
      </c>
      <c r="K349" s="26">
        <f t="shared" si="135"/>
        <v>211.40483419211881</v>
      </c>
      <c r="L349" s="26">
        <f t="shared" si="130"/>
        <v>217.27729783722728</v>
      </c>
      <c r="V349" s="26">
        <f t="shared" si="144"/>
        <v>221.74045928723541</v>
      </c>
      <c r="W349" s="26">
        <f t="shared" si="124"/>
        <v>222.97080561734515</v>
      </c>
      <c r="X349" s="26">
        <f t="shared" si="123"/>
        <v>-1.2303463301097395</v>
      </c>
      <c r="Y349" s="26">
        <f t="shared" si="126"/>
        <v>-0.78269753130807429</v>
      </c>
      <c r="Z349" s="26">
        <v>11662.79</v>
      </c>
      <c r="AA349" s="26">
        <f t="shared" si="131"/>
        <v>217.34867901692769</v>
      </c>
      <c r="AB349" s="27">
        <f t="shared" si="132"/>
        <v>4.1490627327268638E-2</v>
      </c>
      <c r="BK349" s="24">
        <v>44543</v>
      </c>
      <c r="BL349" s="25">
        <v>208.69</v>
      </c>
      <c r="BM349" s="26">
        <f t="shared" si="129"/>
        <v>211.81000000000003</v>
      </c>
      <c r="BN349" s="26">
        <f t="shared" si="133"/>
        <v>217.4</v>
      </c>
      <c r="BO349" s="26">
        <f t="shared" si="139"/>
        <v>220.20857142857145</v>
      </c>
      <c r="BP349" s="26">
        <f t="shared" si="142"/>
        <v>222.12846153846158</v>
      </c>
      <c r="BQ349" s="26">
        <f t="shared" si="145"/>
        <v>229.52848484848485</v>
      </c>
      <c r="BR349" s="26">
        <f t="shared" si="128"/>
        <v>214.09533333333334</v>
      </c>
      <c r="BS349" s="26">
        <f t="shared" si="136"/>
        <v>214.14315580928144</v>
      </c>
      <c r="BT349" s="26">
        <f t="shared" si="137"/>
        <v>211.40483419211881</v>
      </c>
    </row>
    <row r="350" spans="1:72" x14ac:dyDescent="0.2">
      <c r="A350" s="62"/>
      <c r="B350" s="24">
        <v>44544</v>
      </c>
      <c r="C350" s="25">
        <v>198.34</v>
      </c>
      <c r="D350" s="26">
        <f t="shared" si="138"/>
        <v>207.09333333333333</v>
      </c>
      <c r="E350" s="26">
        <f t="shared" si="140"/>
        <v>211.142</v>
      </c>
      <c r="F350" s="26">
        <f t="shared" si="141"/>
        <v>216.24857142857144</v>
      </c>
      <c r="G350" s="26">
        <f t="shared" si="143"/>
        <v>219.88769230769233</v>
      </c>
      <c r="H350" s="26">
        <f t="shared" si="125"/>
        <v>229.64727272727274</v>
      </c>
      <c r="I350" s="26">
        <f t="shared" si="127"/>
        <v>207.74200000000002</v>
      </c>
      <c r="J350" s="26">
        <f t="shared" si="134"/>
        <v>207.82189348556886</v>
      </c>
      <c r="K350" s="26">
        <f t="shared" si="135"/>
        <v>203.56593367684752</v>
      </c>
      <c r="L350" s="26">
        <f t="shared" si="130"/>
        <v>217.26245917522718</v>
      </c>
      <c r="V350" s="26">
        <f t="shared" si="144"/>
        <v>218.14038862766071</v>
      </c>
      <c r="W350" s="26">
        <f t="shared" si="124"/>
        <v>220.00709193262537</v>
      </c>
      <c r="X350" s="26">
        <f t="shared" ref="X350:X413" si="146">V350-W350</f>
        <v>-1.8667033049646591</v>
      </c>
      <c r="Y350" s="26">
        <f t="shared" si="126"/>
        <v>-0.99949868603939129</v>
      </c>
      <c r="Z350" s="26">
        <v>11805</v>
      </c>
      <c r="AA350" s="26">
        <f t="shared" si="131"/>
        <v>217.41128972308832</v>
      </c>
      <c r="AB350" s="27">
        <f t="shared" si="132"/>
        <v>9.6154531224605794E-2</v>
      </c>
      <c r="BK350" s="24">
        <v>44544</v>
      </c>
      <c r="BL350" s="25">
        <v>198.34</v>
      </c>
      <c r="BM350" s="26">
        <f t="shared" si="129"/>
        <v>207.09333333333333</v>
      </c>
      <c r="BN350" s="26">
        <f t="shared" si="133"/>
        <v>211.142</v>
      </c>
      <c r="BO350" s="26">
        <f t="shared" si="139"/>
        <v>216.24857142857144</v>
      </c>
      <c r="BP350" s="26">
        <f t="shared" si="142"/>
        <v>219.88769230769233</v>
      </c>
      <c r="BQ350" s="26">
        <f t="shared" si="145"/>
        <v>229.64727272727274</v>
      </c>
      <c r="BR350" s="26">
        <f t="shared" si="128"/>
        <v>207.74200000000002</v>
      </c>
      <c r="BS350" s="26">
        <f t="shared" si="136"/>
        <v>207.82189348556886</v>
      </c>
      <c r="BT350" s="26">
        <f t="shared" si="137"/>
        <v>203.56593367684752</v>
      </c>
    </row>
    <row r="351" spans="1:72" x14ac:dyDescent="0.2">
      <c r="A351" s="62"/>
      <c r="B351" s="24">
        <v>44545</v>
      </c>
      <c r="C351" s="25">
        <v>198.99</v>
      </c>
      <c r="D351" s="26">
        <f t="shared" si="138"/>
        <v>202.00666666666666</v>
      </c>
      <c r="E351" s="26">
        <f t="shared" si="140"/>
        <v>206.55200000000005</v>
      </c>
      <c r="F351" s="26">
        <f t="shared" si="141"/>
        <v>212.04714285714286</v>
      </c>
      <c r="G351" s="26">
        <f t="shared" si="143"/>
        <v>217.61615384615385</v>
      </c>
      <c r="H351" s="26">
        <f t="shared" si="125"/>
        <v>229.99242424242422</v>
      </c>
      <c r="I351" s="26">
        <f t="shared" si="127"/>
        <v>203.69133333333332</v>
      </c>
      <c r="J351" s="26">
        <f t="shared" si="134"/>
        <v>204.28913609134133</v>
      </c>
      <c r="K351" s="26">
        <f t="shared" si="135"/>
        <v>200.82037347073901</v>
      </c>
      <c r="L351" s="26">
        <f t="shared" si="130"/>
        <v>217.24762051322708</v>
      </c>
      <c r="V351" s="26">
        <f t="shared" si="144"/>
        <v>215.19417499263599</v>
      </c>
      <c r="W351" s="26">
        <f t="shared" ref="W351:W414" si="147">C351*(2/(26+1))+V350*(1-(2/(26+1)))</f>
        <v>216.72184132190807</v>
      </c>
      <c r="X351" s="26">
        <f t="shared" si="146"/>
        <v>-1.5276663292720798</v>
      </c>
      <c r="Y351" s="26">
        <f t="shared" si="126"/>
        <v>-1.105132214685929</v>
      </c>
      <c r="Z351" s="26">
        <v>12334.64</v>
      </c>
      <c r="AA351" s="26">
        <f t="shared" si="131"/>
        <v>217.64447398868788</v>
      </c>
      <c r="AB351" s="27">
        <f t="shared" si="132"/>
        <v>9.3745786163565339E-2</v>
      </c>
      <c r="BK351" s="24">
        <v>44545</v>
      </c>
      <c r="BL351" s="25">
        <v>198.99</v>
      </c>
      <c r="BM351" s="26">
        <f t="shared" si="129"/>
        <v>202.00666666666666</v>
      </c>
      <c r="BN351" s="26">
        <f t="shared" si="133"/>
        <v>206.55200000000005</v>
      </c>
      <c r="BO351" s="26">
        <f t="shared" si="139"/>
        <v>212.04714285714286</v>
      </c>
      <c r="BP351" s="26">
        <f t="shared" si="142"/>
        <v>217.61615384615385</v>
      </c>
      <c r="BQ351" s="26">
        <f t="shared" si="145"/>
        <v>229.99242424242422</v>
      </c>
      <c r="BR351" s="26">
        <f t="shared" si="128"/>
        <v>203.69133333333332</v>
      </c>
      <c r="BS351" s="26">
        <f t="shared" si="136"/>
        <v>204.28913609134133</v>
      </c>
      <c r="BT351" s="26">
        <f t="shared" si="137"/>
        <v>200.82037347073901</v>
      </c>
    </row>
    <row r="352" spans="1:72" x14ac:dyDescent="0.2">
      <c r="A352" s="62"/>
      <c r="B352" s="24">
        <v>44546</v>
      </c>
      <c r="C352" s="25">
        <v>190.8</v>
      </c>
      <c r="D352" s="26">
        <f t="shared" si="138"/>
        <v>196.04333333333338</v>
      </c>
      <c r="E352" s="26">
        <f t="shared" si="140"/>
        <v>202.214</v>
      </c>
      <c r="F352" s="26">
        <f t="shared" si="141"/>
        <v>206.5</v>
      </c>
      <c r="G352" s="26">
        <f t="shared" si="143"/>
        <v>214.88538461538462</v>
      </c>
      <c r="H352" s="26">
        <f t="shared" si="125"/>
        <v>229.67333333333332</v>
      </c>
      <c r="I352" s="26">
        <f t="shared" si="127"/>
        <v>198.44066666666669</v>
      </c>
      <c r="J352" s="26">
        <f t="shared" si="134"/>
        <v>198.89348165480482</v>
      </c>
      <c r="K352" s="26">
        <f t="shared" si="135"/>
        <v>194.80814938829562</v>
      </c>
      <c r="L352" s="26">
        <f t="shared" si="130"/>
        <v>217.232781851227</v>
      </c>
      <c r="V352" s="26">
        <f t="shared" si="144"/>
        <v>211.44122499376891</v>
      </c>
      <c r="W352" s="26">
        <f t="shared" si="147"/>
        <v>213.38719906725555</v>
      </c>
      <c r="X352" s="26">
        <f t="shared" si="146"/>
        <v>-1.9459740734866386</v>
      </c>
      <c r="Y352" s="26">
        <f t="shared" si="126"/>
        <v>-1.2733005864460711</v>
      </c>
      <c r="Z352" s="26">
        <v>12871.53</v>
      </c>
      <c r="AA352" s="26">
        <f t="shared" si="131"/>
        <v>217.88085020717165</v>
      </c>
      <c r="AB352" s="27">
        <f t="shared" si="132"/>
        <v>0.14193317718643414</v>
      </c>
      <c r="BK352" s="24">
        <v>44546</v>
      </c>
      <c r="BL352" s="25">
        <v>190.8</v>
      </c>
      <c r="BM352" s="26">
        <f t="shared" si="129"/>
        <v>196.04333333333338</v>
      </c>
      <c r="BN352" s="26">
        <f t="shared" si="133"/>
        <v>202.214</v>
      </c>
      <c r="BO352" s="26">
        <f t="shared" si="139"/>
        <v>206.5</v>
      </c>
      <c r="BP352" s="26">
        <f t="shared" si="142"/>
        <v>214.88538461538462</v>
      </c>
      <c r="BQ352" s="26">
        <f t="shared" si="145"/>
        <v>229.67333333333332</v>
      </c>
      <c r="BR352" s="26">
        <f t="shared" si="128"/>
        <v>198.44066666666669</v>
      </c>
      <c r="BS352" s="26">
        <f t="shared" si="136"/>
        <v>198.89348165480482</v>
      </c>
      <c r="BT352" s="26">
        <f t="shared" si="137"/>
        <v>194.80814938829562</v>
      </c>
    </row>
    <row r="353" spans="1:72" x14ac:dyDescent="0.2">
      <c r="A353" s="62"/>
      <c r="B353" s="24">
        <v>44547</v>
      </c>
      <c r="C353" s="25">
        <v>188.34</v>
      </c>
      <c r="D353" s="26">
        <f t="shared" si="138"/>
        <v>192.71</v>
      </c>
      <c r="E353" s="26">
        <f t="shared" si="140"/>
        <v>197.03199999999998</v>
      </c>
      <c r="F353" s="26">
        <f t="shared" si="141"/>
        <v>201.70000000000002</v>
      </c>
      <c r="G353" s="26">
        <f t="shared" si="143"/>
        <v>212.33692307692309</v>
      </c>
      <c r="H353" s="26">
        <f t="shared" si="125"/>
        <v>229.25151515151515</v>
      </c>
      <c r="I353" s="26">
        <f t="shared" si="127"/>
        <v>193.81599999999997</v>
      </c>
      <c r="J353" s="26">
        <f t="shared" si="134"/>
        <v>194.67208899288289</v>
      </c>
      <c r="K353" s="26">
        <f t="shared" si="135"/>
        <v>190.92725975531826</v>
      </c>
      <c r="L353" s="26">
        <f t="shared" si="130"/>
        <v>217.2179431892269</v>
      </c>
      <c r="V353" s="26">
        <f t="shared" si="144"/>
        <v>207.88719037934294</v>
      </c>
      <c r="W353" s="26">
        <f t="shared" si="147"/>
        <v>209.73002314237863</v>
      </c>
      <c r="X353" s="26">
        <f t="shared" si="146"/>
        <v>-1.8428327630356875</v>
      </c>
      <c r="Y353" s="26">
        <f t="shared" si="126"/>
        <v>-1.3872070217639945</v>
      </c>
      <c r="Z353" s="26">
        <v>12488.93</v>
      </c>
      <c r="AA353" s="26">
        <f t="shared" si="131"/>
        <v>217.71240314875766</v>
      </c>
      <c r="AB353" s="27">
        <f t="shared" si="132"/>
        <v>0.15595414223615617</v>
      </c>
      <c r="BK353" s="24">
        <v>44547</v>
      </c>
      <c r="BL353" s="25">
        <v>188.34</v>
      </c>
      <c r="BM353" s="26">
        <f t="shared" si="129"/>
        <v>192.71</v>
      </c>
      <c r="BN353" s="26">
        <f t="shared" si="133"/>
        <v>197.03199999999998</v>
      </c>
      <c r="BO353" s="26">
        <f t="shared" si="139"/>
        <v>201.70000000000002</v>
      </c>
      <c r="BP353" s="26">
        <f t="shared" si="142"/>
        <v>212.33692307692309</v>
      </c>
      <c r="BQ353" s="26">
        <f t="shared" si="145"/>
        <v>229.25151515151515</v>
      </c>
      <c r="BR353" s="26">
        <f t="shared" si="128"/>
        <v>193.81599999999997</v>
      </c>
      <c r="BS353" s="26">
        <f t="shared" si="136"/>
        <v>194.67208899288289</v>
      </c>
      <c r="BT353" s="26">
        <f t="shared" si="137"/>
        <v>190.92725975531826</v>
      </c>
    </row>
    <row r="354" spans="1:72" x14ac:dyDescent="0.2">
      <c r="A354" s="62"/>
      <c r="B354" s="24">
        <v>44548</v>
      </c>
      <c r="C354" s="25">
        <v>191.94</v>
      </c>
      <c r="D354" s="26">
        <f t="shared" si="138"/>
        <v>190.35999999999999</v>
      </c>
      <c r="E354" s="26">
        <f t="shared" si="140"/>
        <v>193.68200000000002</v>
      </c>
      <c r="F354" s="26">
        <f t="shared" si="141"/>
        <v>198.76428571428571</v>
      </c>
      <c r="G354" s="26">
        <f t="shared" si="143"/>
        <v>210.10923076923081</v>
      </c>
      <c r="H354" s="26">
        <f t="shared" si="125"/>
        <v>228.17242424242423</v>
      </c>
      <c r="I354" s="26">
        <f t="shared" si="127"/>
        <v>192.11866666666668</v>
      </c>
      <c r="J354" s="26">
        <f t="shared" si="134"/>
        <v>193.57925339572972</v>
      </c>
      <c r="K354" s="26">
        <f t="shared" si="135"/>
        <v>191.5349039021273</v>
      </c>
      <c r="L354" s="26">
        <f t="shared" si="130"/>
        <v>217.2031045272268</v>
      </c>
      <c r="V354" s="26">
        <f t="shared" si="144"/>
        <v>205.43377647482865</v>
      </c>
      <c r="W354" s="26">
        <f t="shared" si="147"/>
        <v>206.70591701791011</v>
      </c>
      <c r="X354" s="26">
        <f t="shared" si="146"/>
        <v>-1.2721405430814627</v>
      </c>
      <c r="Y354" s="26">
        <f t="shared" si="126"/>
        <v>-1.3641937260274881</v>
      </c>
      <c r="Z354" s="26">
        <v>12490.74</v>
      </c>
      <c r="AA354" s="26">
        <f t="shared" si="131"/>
        <v>217.7132000363053</v>
      </c>
      <c r="AB354" s="27">
        <f t="shared" si="132"/>
        <v>0.13427737853654942</v>
      </c>
      <c r="BK354" s="24">
        <v>44548</v>
      </c>
      <c r="BL354" s="25">
        <v>191.94</v>
      </c>
      <c r="BM354" s="26">
        <f t="shared" si="129"/>
        <v>190.35999999999999</v>
      </c>
      <c r="BN354" s="26">
        <f t="shared" si="133"/>
        <v>193.68200000000002</v>
      </c>
      <c r="BO354" s="26">
        <f t="shared" si="139"/>
        <v>198.76428571428571</v>
      </c>
      <c r="BP354" s="26">
        <f t="shared" si="142"/>
        <v>210.10923076923081</v>
      </c>
      <c r="BQ354" s="26">
        <f t="shared" si="145"/>
        <v>228.17242424242423</v>
      </c>
      <c r="BR354" s="26">
        <f t="shared" si="128"/>
        <v>192.11866666666668</v>
      </c>
      <c r="BS354" s="26">
        <f t="shared" si="136"/>
        <v>193.57925339572972</v>
      </c>
      <c r="BT354" s="26">
        <f t="shared" si="137"/>
        <v>191.5349039021273</v>
      </c>
    </row>
    <row r="355" spans="1:72" x14ac:dyDescent="0.2">
      <c r="A355" s="62"/>
      <c r="B355" s="24">
        <v>44549</v>
      </c>
      <c r="C355" s="25">
        <v>199.97</v>
      </c>
      <c r="D355" s="26">
        <f t="shared" si="138"/>
        <v>193.41666666666666</v>
      </c>
      <c r="E355" s="26">
        <f t="shared" si="140"/>
        <v>194.00799999999998</v>
      </c>
      <c r="F355" s="26">
        <f t="shared" si="141"/>
        <v>196.72428571428571</v>
      </c>
      <c r="G355" s="26">
        <f t="shared" si="143"/>
        <v>208.44923076923078</v>
      </c>
      <c r="H355" s="26">
        <f t="shared" si="125"/>
        <v>227.13606060606057</v>
      </c>
      <c r="I355" s="26">
        <f t="shared" si="127"/>
        <v>194.21466666666669</v>
      </c>
      <c r="J355" s="26">
        <f t="shared" si="134"/>
        <v>196.13555203743783</v>
      </c>
      <c r="K355" s="26">
        <f t="shared" si="135"/>
        <v>196.59596156085092</v>
      </c>
      <c r="L355" s="26">
        <f t="shared" si="130"/>
        <v>217.18826586522673</v>
      </c>
      <c r="V355" s="26">
        <f t="shared" si="144"/>
        <v>204.59319547870115</v>
      </c>
      <c r="W355" s="26">
        <f t="shared" si="147"/>
        <v>205.02905229150801</v>
      </c>
      <c r="X355" s="26">
        <f t="shared" si="146"/>
        <v>-0.43585681280686117</v>
      </c>
      <c r="Y355" s="26">
        <f t="shared" si="126"/>
        <v>-1.1785263433833626</v>
      </c>
      <c r="Z355" s="26">
        <v>13004.85</v>
      </c>
      <c r="AA355" s="26">
        <f t="shared" si="131"/>
        <v>217.9395469186922</v>
      </c>
      <c r="AB355" s="27">
        <f t="shared" si="132"/>
        <v>8.9861213775527346E-2</v>
      </c>
      <c r="BK355" s="24">
        <v>44549</v>
      </c>
      <c r="BL355" s="25">
        <v>199.97</v>
      </c>
      <c r="BM355" s="26">
        <f t="shared" si="129"/>
        <v>193.41666666666666</v>
      </c>
      <c r="BN355" s="26">
        <f t="shared" si="133"/>
        <v>194.00799999999998</v>
      </c>
      <c r="BO355" s="26">
        <f t="shared" si="139"/>
        <v>196.72428571428571</v>
      </c>
      <c r="BP355" s="26">
        <f t="shared" si="142"/>
        <v>208.44923076923078</v>
      </c>
      <c r="BQ355" s="26">
        <f t="shared" si="145"/>
        <v>227.13606060606057</v>
      </c>
      <c r="BR355" s="26">
        <f t="shared" si="128"/>
        <v>194.21466666666669</v>
      </c>
      <c r="BS355" s="26">
        <f t="shared" si="136"/>
        <v>196.13555203743783</v>
      </c>
      <c r="BT355" s="26">
        <f t="shared" si="137"/>
        <v>196.59596156085092</v>
      </c>
    </row>
    <row r="356" spans="1:72" x14ac:dyDescent="0.2">
      <c r="A356" s="62"/>
      <c r="B356" s="24">
        <v>44550</v>
      </c>
      <c r="C356" s="25">
        <v>197.12</v>
      </c>
      <c r="D356" s="26">
        <f t="shared" si="138"/>
        <v>196.34333333333333</v>
      </c>
      <c r="E356" s="26">
        <f t="shared" si="140"/>
        <v>193.63399999999999</v>
      </c>
      <c r="F356" s="26">
        <f t="shared" si="141"/>
        <v>195.07142857142858</v>
      </c>
      <c r="G356" s="26">
        <f t="shared" si="143"/>
        <v>206.22307692307689</v>
      </c>
      <c r="H356" s="26">
        <f t="shared" si="125"/>
        <v>226.06909090909087</v>
      </c>
      <c r="I356" s="26">
        <f t="shared" si="127"/>
        <v>195.25200000000001</v>
      </c>
      <c r="J356" s="26">
        <f t="shared" si="134"/>
        <v>196.5293312224627</v>
      </c>
      <c r="K356" s="26">
        <f t="shared" si="135"/>
        <v>196.91038462434037</v>
      </c>
      <c r="L356" s="26">
        <f t="shared" si="130"/>
        <v>217.17342720322662</v>
      </c>
      <c r="V356" s="26">
        <f t="shared" si="144"/>
        <v>203.44347309736253</v>
      </c>
      <c r="W356" s="26">
        <f t="shared" si="147"/>
        <v>204.03962544324179</v>
      </c>
      <c r="X356" s="26">
        <f t="shared" si="146"/>
        <v>-0.59615234587926125</v>
      </c>
      <c r="Y356" s="26">
        <f t="shared" si="126"/>
        <v>-1.0620515438825424</v>
      </c>
      <c r="Z356" s="26">
        <v>12839.29</v>
      </c>
      <c r="AA356" s="26">
        <f t="shared" si="131"/>
        <v>217.86665592289756</v>
      </c>
      <c r="AB356" s="27">
        <f t="shared" si="132"/>
        <v>0.10524886324521895</v>
      </c>
      <c r="BK356" s="24">
        <v>44550</v>
      </c>
      <c r="BL356" s="25">
        <v>197.12</v>
      </c>
      <c r="BM356" s="26">
        <f t="shared" si="129"/>
        <v>196.34333333333333</v>
      </c>
      <c r="BN356" s="26">
        <f t="shared" si="133"/>
        <v>193.63399999999999</v>
      </c>
      <c r="BO356" s="26">
        <f t="shared" si="139"/>
        <v>195.07142857142858</v>
      </c>
      <c r="BP356" s="26">
        <f t="shared" si="142"/>
        <v>206.22307692307689</v>
      </c>
      <c r="BQ356" s="26">
        <f t="shared" si="145"/>
        <v>226.06909090909087</v>
      </c>
      <c r="BR356" s="26">
        <f t="shared" si="128"/>
        <v>195.25200000000001</v>
      </c>
      <c r="BS356" s="26">
        <f t="shared" si="136"/>
        <v>196.5293312224627</v>
      </c>
      <c r="BT356" s="26">
        <f t="shared" si="137"/>
        <v>196.91038462434037</v>
      </c>
    </row>
    <row r="357" spans="1:72" x14ac:dyDescent="0.2">
      <c r="A357" s="62"/>
      <c r="B357" s="24">
        <v>44551</v>
      </c>
      <c r="C357" s="25">
        <v>197.35</v>
      </c>
      <c r="D357" s="26">
        <f t="shared" si="138"/>
        <v>198.14666666666668</v>
      </c>
      <c r="E357" s="26">
        <f t="shared" si="140"/>
        <v>194.94400000000002</v>
      </c>
      <c r="F357" s="26">
        <f t="shared" si="141"/>
        <v>194.92999999999998</v>
      </c>
      <c r="G357" s="26">
        <f t="shared" si="143"/>
        <v>203.83461538461535</v>
      </c>
      <c r="H357" s="26">
        <f t="shared" ref="H357:H420" si="148">AVERAGE(C325:C357)</f>
        <v>224.85151515151514</v>
      </c>
      <c r="I357" s="26">
        <f t="shared" si="127"/>
        <v>196.49066666666667</v>
      </c>
      <c r="J357" s="26">
        <f t="shared" si="134"/>
        <v>196.85759873347763</v>
      </c>
      <c r="K357" s="26">
        <f t="shared" si="135"/>
        <v>197.17415384973614</v>
      </c>
      <c r="L357" s="26">
        <f t="shared" si="130"/>
        <v>217.15858854122652</v>
      </c>
      <c r="V357" s="26">
        <f t="shared" si="144"/>
        <v>202.50601569776828</v>
      </c>
      <c r="W357" s="26">
        <f t="shared" si="147"/>
        <v>202.99210471978012</v>
      </c>
      <c r="X357" s="26">
        <f t="shared" si="146"/>
        <v>-0.48608902201183923</v>
      </c>
      <c r="Y357" s="26">
        <f t="shared" si="126"/>
        <v>-0.94685903950840178</v>
      </c>
      <c r="Z357" s="26">
        <v>13174.65</v>
      </c>
      <c r="AA357" s="26">
        <f t="shared" si="131"/>
        <v>218.01430465658737</v>
      </c>
      <c r="AB357" s="27">
        <f t="shared" si="132"/>
        <v>0.10470891642557577</v>
      </c>
      <c r="BK357" s="24">
        <v>44551</v>
      </c>
      <c r="BL357" s="25">
        <v>197.35</v>
      </c>
      <c r="BM357" s="26">
        <f t="shared" si="129"/>
        <v>198.14666666666668</v>
      </c>
      <c r="BN357" s="26">
        <f t="shared" si="133"/>
        <v>194.94400000000002</v>
      </c>
      <c r="BO357" s="26">
        <f t="shared" si="139"/>
        <v>194.92999999999998</v>
      </c>
      <c r="BP357" s="26">
        <f t="shared" si="142"/>
        <v>203.83461538461535</v>
      </c>
      <c r="BQ357" s="26">
        <f t="shared" si="145"/>
        <v>224.85151515151514</v>
      </c>
      <c r="BR357" s="26">
        <f t="shared" si="128"/>
        <v>196.49066666666667</v>
      </c>
      <c r="BS357" s="26">
        <f t="shared" si="136"/>
        <v>196.85759873347763</v>
      </c>
      <c r="BT357" s="26">
        <f t="shared" si="137"/>
        <v>197.17415384973614</v>
      </c>
    </row>
    <row r="358" spans="1:72" x14ac:dyDescent="0.2">
      <c r="A358" s="62"/>
      <c r="B358" s="24">
        <v>44552</v>
      </c>
      <c r="C358" s="25">
        <v>199.15</v>
      </c>
      <c r="D358" s="26">
        <f t="shared" si="138"/>
        <v>197.87333333333333</v>
      </c>
      <c r="E358" s="26">
        <f t="shared" si="140"/>
        <v>197.10599999999999</v>
      </c>
      <c r="F358" s="26">
        <f t="shared" si="141"/>
        <v>194.95285714285714</v>
      </c>
      <c r="G358" s="26">
        <f t="shared" si="143"/>
        <v>201.48999999999998</v>
      </c>
      <c r="H358" s="26">
        <f t="shared" si="148"/>
        <v>223.41424242424239</v>
      </c>
      <c r="I358" s="26">
        <f t="shared" si="127"/>
        <v>197.89266666666668</v>
      </c>
      <c r="J358" s="26">
        <f t="shared" si="134"/>
        <v>197.7745592400866</v>
      </c>
      <c r="K358" s="26">
        <f t="shared" si="135"/>
        <v>198.35966153989446</v>
      </c>
      <c r="L358" s="26">
        <f t="shared" si="130"/>
        <v>217.14374987922645</v>
      </c>
      <c r="V358" s="26">
        <f t="shared" si="144"/>
        <v>201.98970559041931</v>
      </c>
      <c r="W358" s="26">
        <f t="shared" si="147"/>
        <v>202.25742194237804</v>
      </c>
      <c r="X358" s="26">
        <f t="shared" si="146"/>
        <v>-0.26771635195873955</v>
      </c>
      <c r="Y358" s="26">
        <f t="shared" si="126"/>
        <v>-0.81103050199846938</v>
      </c>
      <c r="Z358" s="26">
        <v>13453.07</v>
      </c>
      <c r="AA358" s="26">
        <f t="shared" si="131"/>
        <v>218.13688445272859</v>
      </c>
      <c r="AB358" s="27">
        <f t="shared" si="132"/>
        <v>9.5339615630070748E-2</v>
      </c>
      <c r="BK358" s="24">
        <v>44552</v>
      </c>
      <c r="BL358" s="25">
        <v>199.15</v>
      </c>
      <c r="BM358" s="26">
        <f t="shared" si="129"/>
        <v>197.87333333333333</v>
      </c>
      <c r="BN358" s="26">
        <f t="shared" si="133"/>
        <v>197.10599999999999</v>
      </c>
      <c r="BO358" s="26">
        <f t="shared" si="139"/>
        <v>194.95285714285714</v>
      </c>
      <c r="BP358" s="26">
        <f t="shared" si="142"/>
        <v>201.48999999999998</v>
      </c>
      <c r="BQ358" s="26">
        <f t="shared" si="145"/>
        <v>223.41424242424239</v>
      </c>
      <c r="BR358" s="26">
        <f t="shared" si="128"/>
        <v>197.89266666666668</v>
      </c>
      <c r="BS358" s="26">
        <f t="shared" si="136"/>
        <v>197.7745592400866</v>
      </c>
      <c r="BT358" s="26">
        <f t="shared" si="137"/>
        <v>198.35966153989446</v>
      </c>
    </row>
    <row r="359" spans="1:72" x14ac:dyDescent="0.2">
      <c r="A359" s="62"/>
      <c r="B359" s="24">
        <v>44553</v>
      </c>
      <c r="C359" s="25">
        <v>200.61</v>
      </c>
      <c r="D359" s="26">
        <f t="shared" si="138"/>
        <v>199.03666666666666</v>
      </c>
      <c r="E359" s="26">
        <f t="shared" si="140"/>
        <v>198.84</v>
      </c>
      <c r="F359" s="26">
        <f t="shared" si="141"/>
        <v>196.35428571428571</v>
      </c>
      <c r="G359" s="26">
        <f t="shared" si="143"/>
        <v>199.84923076923081</v>
      </c>
      <c r="H359" s="26">
        <f t="shared" si="148"/>
        <v>222.11454545454541</v>
      </c>
      <c r="I359" s="26">
        <f t="shared" si="127"/>
        <v>199.06066666666663</v>
      </c>
      <c r="J359" s="26">
        <f t="shared" si="134"/>
        <v>198.90873554405198</v>
      </c>
      <c r="K359" s="26">
        <f t="shared" si="135"/>
        <v>199.70986461595777</v>
      </c>
      <c r="L359" s="26">
        <f t="shared" si="130"/>
        <v>217.12891121722635</v>
      </c>
      <c r="V359" s="26">
        <f t="shared" si="144"/>
        <v>201.77744319189327</v>
      </c>
      <c r="W359" s="26">
        <f t="shared" si="147"/>
        <v>201.88750517631416</v>
      </c>
      <c r="X359" s="26">
        <f t="shared" si="146"/>
        <v>-0.11006198442089499</v>
      </c>
      <c r="Y359" s="26">
        <f t="shared" ref="Y359:Y422" si="149">X359*(2/(9+1))+Y358*(1-(2/(9+1)))</f>
        <v>-0.67083679848295452</v>
      </c>
      <c r="Z359" s="26">
        <v>13619.66</v>
      </c>
      <c r="AA359" s="26">
        <f t="shared" si="131"/>
        <v>218.21022892596744</v>
      </c>
      <c r="AB359" s="27">
        <f t="shared" si="132"/>
        <v>8.7733557280132726E-2</v>
      </c>
      <c r="BK359" s="24">
        <v>44553</v>
      </c>
      <c r="BL359" s="25">
        <v>200.61</v>
      </c>
      <c r="BM359" s="26">
        <f t="shared" si="129"/>
        <v>199.03666666666666</v>
      </c>
      <c r="BN359" s="26">
        <f t="shared" si="133"/>
        <v>198.84</v>
      </c>
      <c r="BO359" s="26">
        <f t="shared" si="139"/>
        <v>196.35428571428571</v>
      </c>
      <c r="BP359" s="26">
        <f t="shared" si="142"/>
        <v>199.84923076923081</v>
      </c>
      <c r="BQ359" s="26">
        <f t="shared" si="145"/>
        <v>222.11454545454541</v>
      </c>
      <c r="BR359" s="26">
        <f t="shared" si="128"/>
        <v>199.06066666666663</v>
      </c>
      <c r="BS359" s="26">
        <f t="shared" si="136"/>
        <v>198.90873554405198</v>
      </c>
      <c r="BT359" s="26">
        <f t="shared" si="137"/>
        <v>199.70986461595777</v>
      </c>
    </row>
    <row r="360" spans="1:72" x14ac:dyDescent="0.2">
      <c r="A360" s="62"/>
      <c r="B360" s="24">
        <v>44554</v>
      </c>
      <c r="C360" s="25">
        <v>208.48</v>
      </c>
      <c r="D360" s="26">
        <f t="shared" si="138"/>
        <v>202.74666666666667</v>
      </c>
      <c r="E360" s="26">
        <f t="shared" si="140"/>
        <v>200.542</v>
      </c>
      <c r="F360" s="26">
        <f t="shared" si="141"/>
        <v>199.23142857142855</v>
      </c>
      <c r="G360" s="26">
        <f t="shared" si="143"/>
        <v>199.54076923076926</v>
      </c>
      <c r="H360" s="26">
        <f t="shared" si="148"/>
        <v>221.00787878787875</v>
      </c>
      <c r="I360" s="26">
        <f t="shared" si="127"/>
        <v>202.27399999999997</v>
      </c>
      <c r="J360" s="26">
        <f t="shared" si="134"/>
        <v>202.73724132643116</v>
      </c>
      <c r="K360" s="26">
        <f t="shared" si="135"/>
        <v>204.97194584638311</v>
      </c>
      <c r="L360" s="26">
        <f t="shared" si="130"/>
        <v>217.11407255522624</v>
      </c>
      <c r="V360" s="26">
        <f t="shared" si="144"/>
        <v>202.80860577775584</v>
      </c>
      <c r="W360" s="26">
        <f t="shared" si="147"/>
        <v>202.27392888138266</v>
      </c>
      <c r="X360" s="26">
        <f t="shared" si="146"/>
        <v>0.53467689637318472</v>
      </c>
      <c r="Y360" s="26">
        <f t="shared" si="149"/>
        <v>-0.42973405951172672</v>
      </c>
      <c r="Z360" s="26">
        <v>13332.36</v>
      </c>
      <c r="AA360" s="26">
        <f t="shared" si="131"/>
        <v>218.08373953787978</v>
      </c>
      <c r="AB360" s="27">
        <f t="shared" si="132"/>
        <v>4.6065519655985182E-2</v>
      </c>
      <c r="BK360" s="24">
        <v>44554</v>
      </c>
      <c r="BL360" s="25">
        <v>208.48</v>
      </c>
      <c r="BM360" s="26">
        <f t="shared" si="129"/>
        <v>202.74666666666667</v>
      </c>
      <c r="BN360" s="26">
        <f t="shared" si="133"/>
        <v>200.542</v>
      </c>
      <c r="BO360" s="26">
        <f t="shared" si="139"/>
        <v>199.23142857142855</v>
      </c>
      <c r="BP360" s="26">
        <f t="shared" si="142"/>
        <v>199.54076923076926</v>
      </c>
      <c r="BQ360" s="26">
        <f t="shared" si="145"/>
        <v>221.00787878787875</v>
      </c>
      <c r="BR360" s="26">
        <f t="shared" si="128"/>
        <v>202.27399999999997</v>
      </c>
      <c r="BS360" s="26">
        <f t="shared" si="136"/>
        <v>202.73724132643116</v>
      </c>
      <c r="BT360" s="26">
        <f t="shared" si="137"/>
        <v>204.97194584638311</v>
      </c>
    </row>
    <row r="361" spans="1:72" x14ac:dyDescent="0.2">
      <c r="A361" s="62"/>
      <c r="B361" s="24">
        <v>44555</v>
      </c>
      <c r="C361" s="25">
        <v>204.33</v>
      </c>
      <c r="D361" s="26">
        <f t="shared" si="138"/>
        <v>204.47333333333336</v>
      </c>
      <c r="E361" s="26">
        <f t="shared" si="140"/>
        <v>201.98400000000001</v>
      </c>
      <c r="F361" s="26">
        <f t="shared" si="141"/>
        <v>201.00142857142856</v>
      </c>
      <c r="G361" s="26">
        <f t="shared" si="143"/>
        <v>198.77769230769232</v>
      </c>
      <c r="H361" s="26">
        <f t="shared" si="148"/>
        <v>219.66969696969693</v>
      </c>
      <c r="I361" s="26">
        <f t="shared" si="127"/>
        <v>203.53666666666669</v>
      </c>
      <c r="J361" s="26">
        <f t="shared" si="134"/>
        <v>203.37434479585869</v>
      </c>
      <c r="K361" s="26">
        <f t="shared" si="135"/>
        <v>204.58677833855324</v>
      </c>
      <c r="L361" s="26">
        <f t="shared" si="130"/>
        <v>217.09923389322617</v>
      </c>
      <c r="V361" s="26">
        <f t="shared" si="144"/>
        <v>203.04266642733188</v>
      </c>
      <c r="W361" s="26">
        <f t="shared" si="147"/>
        <v>202.92130164607022</v>
      </c>
      <c r="X361" s="26">
        <f t="shared" si="146"/>
        <v>0.12136478126166139</v>
      </c>
      <c r="Y361" s="26">
        <f t="shared" si="149"/>
        <v>-0.31951429135704912</v>
      </c>
      <c r="Z361" s="26">
        <v>13351.08</v>
      </c>
      <c r="AA361" s="26">
        <f t="shared" si="131"/>
        <v>218.09198138036152</v>
      </c>
      <c r="AB361" s="27">
        <f t="shared" si="132"/>
        <v>6.7351741694129608E-2</v>
      </c>
      <c r="BK361" s="24">
        <v>44555</v>
      </c>
      <c r="BL361" s="25">
        <v>204.33</v>
      </c>
      <c r="BM361" s="26">
        <f t="shared" si="129"/>
        <v>204.47333333333336</v>
      </c>
      <c r="BN361" s="26">
        <f t="shared" si="133"/>
        <v>201.98400000000001</v>
      </c>
      <c r="BO361" s="26">
        <f t="shared" si="139"/>
        <v>201.00142857142856</v>
      </c>
      <c r="BP361" s="26">
        <f t="shared" si="142"/>
        <v>198.77769230769232</v>
      </c>
      <c r="BQ361" s="26">
        <f t="shared" si="145"/>
        <v>219.66969696969693</v>
      </c>
      <c r="BR361" s="26">
        <f t="shared" si="128"/>
        <v>203.53666666666669</v>
      </c>
      <c r="BS361" s="26">
        <f t="shared" si="136"/>
        <v>203.37434479585869</v>
      </c>
      <c r="BT361" s="26">
        <f t="shared" si="137"/>
        <v>204.58677833855324</v>
      </c>
    </row>
    <row r="362" spans="1:72" x14ac:dyDescent="0.2">
      <c r="A362" s="62"/>
      <c r="B362" s="24">
        <v>44556</v>
      </c>
      <c r="C362" s="25">
        <v>205.34</v>
      </c>
      <c r="D362" s="26">
        <f t="shared" si="138"/>
        <v>206.04999999999998</v>
      </c>
      <c r="E362" s="26">
        <f t="shared" si="140"/>
        <v>203.58200000000002</v>
      </c>
      <c r="F362" s="26">
        <f t="shared" si="141"/>
        <v>201.76857142857142</v>
      </c>
      <c r="G362" s="26">
        <f t="shared" si="143"/>
        <v>198.52</v>
      </c>
      <c r="H362" s="26">
        <f t="shared" si="148"/>
        <v>218.35242424242423</v>
      </c>
      <c r="I362" s="26">
        <f t="shared" si="127"/>
        <v>204.65533333333335</v>
      </c>
      <c r="J362" s="26">
        <f t="shared" si="134"/>
        <v>204.16060687751522</v>
      </c>
      <c r="K362" s="26">
        <f t="shared" si="135"/>
        <v>205.03871133542128</v>
      </c>
      <c r="L362" s="26">
        <f t="shared" si="130"/>
        <v>217.08439523122607</v>
      </c>
      <c r="V362" s="26">
        <f t="shared" si="144"/>
        <v>203.39610236158853</v>
      </c>
      <c r="W362" s="26">
        <f t="shared" si="147"/>
        <v>203.21283928456654</v>
      </c>
      <c r="X362" s="26">
        <f t="shared" si="146"/>
        <v>0.18326307702199074</v>
      </c>
      <c r="Y362" s="26">
        <f t="shared" si="149"/>
        <v>-0.21895881768124117</v>
      </c>
      <c r="Z362" s="26">
        <v>13643.59</v>
      </c>
      <c r="AA362" s="26">
        <f t="shared" si="131"/>
        <v>218.22076457183218</v>
      </c>
      <c r="AB362" s="27">
        <f t="shared" si="132"/>
        <v>6.272895963685679E-2</v>
      </c>
      <c r="BK362" s="24">
        <v>44556</v>
      </c>
      <c r="BL362" s="25">
        <v>205.34</v>
      </c>
      <c r="BM362" s="26">
        <f t="shared" si="129"/>
        <v>206.04999999999998</v>
      </c>
      <c r="BN362" s="26">
        <f t="shared" si="133"/>
        <v>203.58200000000002</v>
      </c>
      <c r="BO362" s="26">
        <f t="shared" si="139"/>
        <v>201.76857142857142</v>
      </c>
      <c r="BP362" s="26">
        <f t="shared" si="142"/>
        <v>198.52</v>
      </c>
      <c r="BQ362" s="26">
        <f t="shared" si="145"/>
        <v>218.35242424242423</v>
      </c>
      <c r="BR362" s="26">
        <f t="shared" si="128"/>
        <v>204.65533333333335</v>
      </c>
      <c r="BS362" s="26">
        <f t="shared" si="136"/>
        <v>204.16060687751522</v>
      </c>
      <c r="BT362" s="26">
        <f t="shared" si="137"/>
        <v>205.03871133542128</v>
      </c>
    </row>
    <row r="363" spans="1:72" x14ac:dyDescent="0.2">
      <c r="A363" s="62"/>
      <c r="B363" s="24">
        <v>44557</v>
      </c>
      <c r="C363" s="25">
        <v>204.71</v>
      </c>
      <c r="D363" s="26">
        <f t="shared" si="138"/>
        <v>204.79333333333332</v>
      </c>
      <c r="E363" s="26">
        <f t="shared" si="140"/>
        <v>204.69400000000002</v>
      </c>
      <c r="F363" s="26">
        <f t="shared" si="141"/>
        <v>202.85285714285715</v>
      </c>
      <c r="G363" s="26">
        <f t="shared" si="143"/>
        <v>199.01000000000002</v>
      </c>
      <c r="H363" s="26">
        <f t="shared" si="148"/>
        <v>216.80333333333331</v>
      </c>
      <c r="I363" s="26">
        <f t="shared" si="127"/>
        <v>205.03133333333335</v>
      </c>
      <c r="J363" s="26">
        <f t="shared" si="134"/>
        <v>204.38036412650914</v>
      </c>
      <c r="K363" s="26">
        <f t="shared" si="135"/>
        <v>204.8414845341685</v>
      </c>
      <c r="L363" s="26">
        <f t="shared" si="130"/>
        <v>217.06955656922597</v>
      </c>
      <c r="V363" s="26">
        <f t="shared" si="144"/>
        <v>203.59824045980568</v>
      </c>
      <c r="W363" s="26">
        <f t="shared" si="147"/>
        <v>203.49342811258197</v>
      </c>
      <c r="X363" s="26">
        <f t="shared" si="146"/>
        <v>0.10481234722371369</v>
      </c>
      <c r="Y363" s="26">
        <f t="shared" si="149"/>
        <v>-0.15420458470025022</v>
      </c>
      <c r="Z363" s="26">
        <v>14220.52</v>
      </c>
      <c r="AA363" s="26">
        <f t="shared" si="131"/>
        <v>218.47476917562409</v>
      </c>
      <c r="AB363" s="27">
        <f t="shared" si="132"/>
        <v>6.7240335966118323E-2</v>
      </c>
      <c r="BK363" s="24">
        <v>44557</v>
      </c>
      <c r="BL363" s="25">
        <v>204.71</v>
      </c>
      <c r="BM363" s="26">
        <f t="shared" si="129"/>
        <v>204.79333333333332</v>
      </c>
      <c r="BN363" s="26">
        <f t="shared" si="133"/>
        <v>204.69400000000002</v>
      </c>
      <c r="BO363" s="26">
        <f t="shared" si="139"/>
        <v>202.85285714285715</v>
      </c>
      <c r="BP363" s="26">
        <f t="shared" si="142"/>
        <v>199.01000000000002</v>
      </c>
      <c r="BQ363" s="26">
        <f t="shared" si="145"/>
        <v>216.80333333333331</v>
      </c>
      <c r="BR363" s="26">
        <f t="shared" si="128"/>
        <v>205.03133333333335</v>
      </c>
      <c r="BS363" s="26">
        <f t="shared" si="136"/>
        <v>204.38036412650914</v>
      </c>
      <c r="BT363" s="26">
        <f t="shared" si="137"/>
        <v>204.8414845341685</v>
      </c>
    </row>
    <row r="364" spans="1:72" x14ac:dyDescent="0.2">
      <c r="A364" s="62"/>
      <c r="B364" s="24">
        <v>44558</v>
      </c>
      <c r="C364" s="25">
        <v>212.01</v>
      </c>
      <c r="D364" s="26">
        <f t="shared" si="138"/>
        <v>207.35333333333332</v>
      </c>
      <c r="E364" s="26">
        <f t="shared" si="140"/>
        <v>206.97399999999999</v>
      </c>
      <c r="F364" s="26">
        <f t="shared" si="141"/>
        <v>204.94714285714286</v>
      </c>
      <c r="G364" s="26">
        <f t="shared" si="143"/>
        <v>200.01153846153849</v>
      </c>
      <c r="H364" s="26">
        <f t="shared" si="148"/>
        <v>215.37818181818182</v>
      </c>
      <c r="I364" s="26">
        <f t="shared" si="127"/>
        <v>207.46999999999997</v>
      </c>
      <c r="J364" s="26">
        <f t="shared" si="134"/>
        <v>207.43221847590547</v>
      </c>
      <c r="K364" s="26">
        <f t="shared" si="135"/>
        <v>209.14259381366739</v>
      </c>
      <c r="L364" s="26">
        <f t="shared" si="130"/>
        <v>217.05471790722589</v>
      </c>
      <c r="V364" s="26">
        <f t="shared" si="144"/>
        <v>204.89235731214328</v>
      </c>
      <c r="W364" s="26">
        <f t="shared" si="147"/>
        <v>204.22133375907933</v>
      </c>
      <c r="X364" s="26">
        <f t="shared" si="146"/>
        <v>0.67102355306394657</v>
      </c>
      <c r="Y364" s="26">
        <f t="shared" si="149"/>
        <v>1.0841042852589133E-2</v>
      </c>
      <c r="Z364" s="26">
        <v>14442.28</v>
      </c>
      <c r="AA364" s="26">
        <f t="shared" si="131"/>
        <v>218.57240330963845</v>
      </c>
      <c r="AB364" s="27">
        <f t="shared" si="132"/>
        <v>3.09532725326091E-2</v>
      </c>
      <c r="BK364" s="24">
        <v>44558</v>
      </c>
      <c r="BL364" s="25">
        <v>212.01</v>
      </c>
      <c r="BM364" s="26">
        <f t="shared" si="129"/>
        <v>207.35333333333332</v>
      </c>
      <c r="BN364" s="26">
        <f t="shared" si="133"/>
        <v>206.97399999999999</v>
      </c>
      <c r="BO364" s="26">
        <f t="shared" si="139"/>
        <v>204.94714285714286</v>
      </c>
      <c r="BP364" s="26">
        <f t="shared" si="142"/>
        <v>200.01153846153849</v>
      </c>
      <c r="BQ364" s="26">
        <f t="shared" si="145"/>
        <v>215.37818181818182</v>
      </c>
      <c r="BR364" s="26">
        <f t="shared" si="128"/>
        <v>207.46999999999997</v>
      </c>
      <c r="BS364" s="26">
        <f t="shared" si="136"/>
        <v>207.43221847590547</v>
      </c>
      <c r="BT364" s="26">
        <f t="shared" si="137"/>
        <v>209.14259381366739</v>
      </c>
    </row>
    <row r="365" spans="1:72" x14ac:dyDescent="0.2">
      <c r="A365" s="62"/>
      <c r="B365" s="24">
        <v>44559</v>
      </c>
      <c r="C365" s="25">
        <v>216.58</v>
      </c>
      <c r="D365" s="26">
        <f t="shared" si="138"/>
        <v>211.10000000000002</v>
      </c>
      <c r="E365" s="26">
        <f t="shared" si="140"/>
        <v>208.59399999999999</v>
      </c>
      <c r="F365" s="26">
        <f t="shared" si="141"/>
        <v>207.43714285714285</v>
      </c>
      <c r="G365" s="26">
        <f t="shared" si="143"/>
        <v>201.99461538461534</v>
      </c>
      <c r="H365" s="26">
        <f t="shared" si="148"/>
        <v>214.20303030303032</v>
      </c>
      <c r="I365" s="26">
        <f t="shared" si="127"/>
        <v>210.672</v>
      </c>
      <c r="J365" s="26">
        <f t="shared" si="134"/>
        <v>211.09133108554329</v>
      </c>
      <c r="K365" s="26">
        <f t="shared" si="135"/>
        <v>213.60503752546697</v>
      </c>
      <c r="L365" s="26">
        <f t="shared" si="130"/>
        <v>217.03987924522579</v>
      </c>
      <c r="V365" s="26">
        <f t="shared" si="144"/>
        <v>206.69045618719815</v>
      </c>
      <c r="W365" s="26">
        <f t="shared" si="147"/>
        <v>205.75810862235491</v>
      </c>
      <c r="X365" s="26">
        <f t="shared" si="146"/>
        <v>0.93234756484324066</v>
      </c>
      <c r="Y365" s="26">
        <f t="shared" si="149"/>
        <v>0.19514234725071944</v>
      </c>
      <c r="Z365" s="26">
        <v>14619.64</v>
      </c>
      <c r="AA365" s="26">
        <f t="shared" si="131"/>
        <v>218.65048948392047</v>
      </c>
      <c r="AB365" s="27">
        <f t="shared" si="132"/>
        <v>9.5599292821149408E-3</v>
      </c>
      <c r="BK365" s="24">
        <v>44559</v>
      </c>
      <c r="BL365" s="25">
        <v>216.58</v>
      </c>
      <c r="BM365" s="26">
        <f t="shared" si="129"/>
        <v>211.10000000000002</v>
      </c>
      <c r="BN365" s="26">
        <f t="shared" si="133"/>
        <v>208.59399999999999</v>
      </c>
      <c r="BO365" s="26">
        <f t="shared" si="139"/>
        <v>207.43714285714285</v>
      </c>
      <c r="BP365" s="26">
        <f t="shared" si="142"/>
        <v>201.99461538461534</v>
      </c>
      <c r="BQ365" s="26">
        <f t="shared" si="145"/>
        <v>214.20303030303032</v>
      </c>
      <c r="BR365" s="26">
        <f t="shared" si="128"/>
        <v>210.672</v>
      </c>
      <c r="BS365" s="26">
        <f t="shared" si="136"/>
        <v>211.09133108554329</v>
      </c>
      <c r="BT365" s="26">
        <f t="shared" si="137"/>
        <v>213.60503752546697</v>
      </c>
    </row>
    <row r="366" spans="1:72" x14ac:dyDescent="0.2">
      <c r="A366" s="62"/>
      <c r="B366" s="24">
        <v>44560</v>
      </c>
      <c r="C366" s="25">
        <v>210.18</v>
      </c>
      <c r="D366" s="26">
        <f t="shared" si="138"/>
        <v>212.92333333333332</v>
      </c>
      <c r="E366" s="26">
        <f t="shared" si="140"/>
        <v>209.76399999999998</v>
      </c>
      <c r="F366" s="26">
        <f t="shared" si="141"/>
        <v>208.8042857142857</v>
      </c>
      <c r="G366" s="26">
        <f t="shared" si="143"/>
        <v>203.67461538461535</v>
      </c>
      <c r="H366" s="26">
        <f t="shared" si="148"/>
        <v>212.9909090909091</v>
      </c>
      <c r="I366" s="26">
        <f t="shared" si="127"/>
        <v>211.20066666666668</v>
      </c>
      <c r="J366" s="26">
        <f t="shared" si="134"/>
        <v>210.72679865132596</v>
      </c>
      <c r="K366" s="26">
        <f t="shared" si="135"/>
        <v>211.5500150101868</v>
      </c>
      <c r="L366" s="26">
        <f t="shared" si="130"/>
        <v>217.02504058322569</v>
      </c>
      <c r="V366" s="26">
        <f t="shared" si="144"/>
        <v>207.22730908147534</v>
      </c>
      <c r="W366" s="26">
        <f t="shared" si="147"/>
        <v>206.94894091407238</v>
      </c>
      <c r="X366" s="26">
        <f t="shared" si="146"/>
        <v>0.27836816740295944</v>
      </c>
      <c r="Y366" s="26">
        <f t="shared" si="149"/>
        <v>0.21178751128116746</v>
      </c>
      <c r="Z366" s="26">
        <v>14354.9</v>
      </c>
      <c r="AA366" s="26">
        <f t="shared" si="131"/>
        <v>218.53393257266976</v>
      </c>
      <c r="AB366" s="27">
        <f t="shared" si="132"/>
        <v>3.9746562816013645E-2</v>
      </c>
      <c r="BK366" s="24">
        <v>44560</v>
      </c>
      <c r="BL366" s="25">
        <v>210.18</v>
      </c>
      <c r="BM366" s="26">
        <f t="shared" si="129"/>
        <v>212.92333333333332</v>
      </c>
      <c r="BN366" s="26">
        <f t="shared" si="133"/>
        <v>209.76399999999998</v>
      </c>
      <c r="BO366" s="26">
        <f t="shared" si="139"/>
        <v>208.8042857142857</v>
      </c>
      <c r="BP366" s="26">
        <f t="shared" si="142"/>
        <v>203.67461538461535</v>
      </c>
      <c r="BQ366" s="26">
        <f t="shared" si="145"/>
        <v>212.9909090909091</v>
      </c>
      <c r="BR366" s="26">
        <f t="shared" si="128"/>
        <v>211.20066666666668</v>
      </c>
      <c r="BS366" s="26">
        <f t="shared" si="136"/>
        <v>210.72679865132596</v>
      </c>
      <c r="BT366" s="26">
        <f t="shared" si="137"/>
        <v>211.5500150101868</v>
      </c>
    </row>
    <row r="367" spans="1:72" x14ac:dyDescent="0.2">
      <c r="A367" s="63"/>
      <c r="B367" s="24">
        <v>44561</v>
      </c>
      <c r="C367" s="25">
        <v>212.1</v>
      </c>
      <c r="D367" s="26">
        <f t="shared" si="138"/>
        <v>212.95333333333335</v>
      </c>
      <c r="E367" s="26">
        <f t="shared" si="140"/>
        <v>211.11599999999999</v>
      </c>
      <c r="F367" s="26">
        <f t="shared" si="141"/>
        <v>209.32142857142858</v>
      </c>
      <c r="G367" s="26">
        <f t="shared" si="143"/>
        <v>205.2253846153846</v>
      </c>
      <c r="H367" s="26">
        <f t="shared" si="148"/>
        <v>211.87969696969699</v>
      </c>
      <c r="I367" s="26">
        <f t="shared" si="127"/>
        <v>211.97933333333333</v>
      </c>
      <c r="J367" s="26">
        <f t="shared" si="134"/>
        <v>211.27607919079557</v>
      </c>
      <c r="K367" s="26">
        <f t="shared" si="135"/>
        <v>211.88000600407472</v>
      </c>
      <c r="L367" s="26">
        <f t="shared" si="130"/>
        <v>217.01020192122562</v>
      </c>
      <c r="V367" s="26">
        <f t="shared" si="144"/>
        <v>207.97695383817145</v>
      </c>
      <c r="W367" s="26">
        <f t="shared" si="147"/>
        <v>207.58824914951421</v>
      </c>
      <c r="X367" s="26">
        <f t="shared" si="146"/>
        <v>0.38870468865724206</v>
      </c>
      <c r="Y367" s="26">
        <f t="shared" si="149"/>
        <v>0.2471709467563824</v>
      </c>
      <c r="Z367" s="26">
        <v>14169.3</v>
      </c>
      <c r="AA367" s="26">
        <f t="shared" si="131"/>
        <v>218.45221857883382</v>
      </c>
      <c r="AB367" s="27">
        <f t="shared" si="132"/>
        <v>2.994916821703832E-2</v>
      </c>
      <c r="BK367" s="24">
        <v>44561</v>
      </c>
      <c r="BL367" s="25">
        <v>212.1</v>
      </c>
      <c r="BM367" s="26">
        <f t="shared" si="129"/>
        <v>212.95333333333335</v>
      </c>
      <c r="BN367" s="26">
        <f t="shared" si="133"/>
        <v>211.11599999999999</v>
      </c>
      <c r="BO367" s="26">
        <f t="shared" si="139"/>
        <v>209.32142857142858</v>
      </c>
      <c r="BP367" s="26">
        <f t="shared" si="142"/>
        <v>205.2253846153846</v>
      </c>
      <c r="BQ367" s="26">
        <f t="shared" si="145"/>
        <v>211.87969696969699</v>
      </c>
      <c r="BR367" s="26">
        <f t="shared" si="128"/>
        <v>211.97933333333333</v>
      </c>
      <c r="BS367" s="26">
        <f t="shared" si="136"/>
        <v>211.27607919079557</v>
      </c>
      <c r="BT367" s="26">
        <f t="shared" si="137"/>
        <v>211.88000600407472</v>
      </c>
    </row>
    <row r="368" spans="1:72" x14ac:dyDescent="0.2">
      <c r="A368" s="61">
        <v>44562</v>
      </c>
      <c r="B368" s="24">
        <v>44562</v>
      </c>
      <c r="C368" s="25">
        <v>219.94</v>
      </c>
      <c r="D368" s="26">
        <f t="shared" si="138"/>
        <v>214.07333333333335</v>
      </c>
      <c r="E368" s="26">
        <f t="shared" si="140"/>
        <v>214.16199999999998</v>
      </c>
      <c r="F368" s="26">
        <f t="shared" si="141"/>
        <v>211.55142857142854</v>
      </c>
      <c r="G368" s="26">
        <f t="shared" si="143"/>
        <v>206.76153846153844</v>
      </c>
      <c r="H368" s="26">
        <f t="shared" si="148"/>
        <v>211.10848484848486</v>
      </c>
      <c r="I368" s="26">
        <f t="shared" si="127"/>
        <v>214.92066666666662</v>
      </c>
      <c r="J368" s="26">
        <f t="shared" si="134"/>
        <v>214.74164751447734</v>
      </c>
      <c r="K368" s="26">
        <f t="shared" si="135"/>
        <v>216.71600240162991</v>
      </c>
      <c r="L368" s="26">
        <f t="shared" si="130"/>
        <v>216.99536325922551</v>
      </c>
      <c r="V368" s="26">
        <f t="shared" si="144"/>
        <v>209.81742247845278</v>
      </c>
      <c r="W368" s="26">
        <f t="shared" si="147"/>
        <v>208.86310540571429</v>
      </c>
      <c r="X368" s="26">
        <f t="shared" si="146"/>
        <v>0.95431707273849042</v>
      </c>
      <c r="Y368" s="26">
        <f t="shared" si="149"/>
        <v>0.38860017195280405</v>
      </c>
      <c r="Z368" s="26">
        <v>14191.84</v>
      </c>
      <c r="AA368" s="26">
        <f t="shared" si="131"/>
        <v>218.46214225028351</v>
      </c>
      <c r="AB368" s="27">
        <f t="shared" si="132"/>
        <v>-6.7193677808333714E-3</v>
      </c>
      <c r="BK368" s="24">
        <v>44562</v>
      </c>
      <c r="BL368" s="25">
        <v>219.94</v>
      </c>
      <c r="BM368" s="26">
        <f t="shared" si="129"/>
        <v>214.07333333333335</v>
      </c>
      <c r="BN368" s="26">
        <f t="shared" si="133"/>
        <v>214.16199999999998</v>
      </c>
      <c r="BO368" s="26">
        <f t="shared" si="139"/>
        <v>211.55142857142854</v>
      </c>
      <c r="BP368" s="26">
        <f t="shared" si="142"/>
        <v>206.76153846153844</v>
      </c>
      <c r="BQ368" s="26">
        <f t="shared" si="145"/>
        <v>211.10848484848486</v>
      </c>
      <c r="BR368" s="26">
        <f t="shared" si="128"/>
        <v>214.92066666666662</v>
      </c>
      <c r="BS368" s="26">
        <f t="shared" si="136"/>
        <v>214.74164751447734</v>
      </c>
      <c r="BT368" s="26">
        <f t="shared" si="137"/>
        <v>216.71600240162991</v>
      </c>
    </row>
    <row r="369" spans="1:72" x14ac:dyDescent="0.2">
      <c r="A369" s="62"/>
      <c r="B369" s="24">
        <v>44563</v>
      </c>
      <c r="C369" s="25">
        <v>213.11</v>
      </c>
      <c r="D369" s="26">
        <f t="shared" si="138"/>
        <v>215.04999999999998</v>
      </c>
      <c r="E369" s="26">
        <f t="shared" si="140"/>
        <v>214.38199999999998</v>
      </c>
      <c r="F369" s="26">
        <f t="shared" si="141"/>
        <v>212.66142857142859</v>
      </c>
      <c r="G369" s="26">
        <f t="shared" si="143"/>
        <v>207.99153846153845</v>
      </c>
      <c r="H369" s="26">
        <f t="shared" si="148"/>
        <v>210.82000000000002</v>
      </c>
      <c r="I369" s="26">
        <f t="shared" ref="I369:I422" si="150">(C369*5+C368*4+C367*3+C366*2+C365)/(5+4+3+2+1)</f>
        <v>214.57000000000002</v>
      </c>
      <c r="J369" s="26">
        <f t="shared" si="134"/>
        <v>214.08898850868638</v>
      </c>
      <c r="K369" s="26">
        <f t="shared" si="135"/>
        <v>214.55240096065197</v>
      </c>
      <c r="L369" s="26">
        <f t="shared" si="130"/>
        <v>216.98052459722541</v>
      </c>
      <c r="V369" s="26">
        <f t="shared" si="144"/>
        <v>210.32397286638314</v>
      </c>
      <c r="W369" s="26">
        <f t="shared" si="147"/>
        <v>210.06131710967853</v>
      </c>
      <c r="X369" s="26">
        <f t="shared" si="146"/>
        <v>0.26265575670461772</v>
      </c>
      <c r="Y369" s="26">
        <f t="shared" si="149"/>
        <v>0.36341128890316682</v>
      </c>
      <c r="Z369" s="26">
        <v>13922.6</v>
      </c>
      <c r="AA369" s="26">
        <f t="shared" si="131"/>
        <v>218.34360412689776</v>
      </c>
      <c r="AB369" s="27">
        <f t="shared" si="132"/>
        <v>2.4558228740545938E-2</v>
      </c>
      <c r="BK369" s="24">
        <v>44563</v>
      </c>
      <c r="BL369" s="25">
        <v>213.11</v>
      </c>
      <c r="BM369" s="26">
        <f t="shared" si="129"/>
        <v>215.04999999999998</v>
      </c>
      <c r="BN369" s="26">
        <f t="shared" si="133"/>
        <v>214.38199999999998</v>
      </c>
      <c r="BO369" s="26">
        <f t="shared" si="139"/>
        <v>212.66142857142859</v>
      </c>
      <c r="BP369" s="26">
        <f t="shared" si="142"/>
        <v>207.99153846153845</v>
      </c>
      <c r="BQ369" s="26">
        <f t="shared" si="145"/>
        <v>210.82000000000002</v>
      </c>
      <c r="BR369" s="26">
        <f t="shared" ref="BR369:BR422" si="151">(BL369*5+BL368*4+BL367*3+BL366*2+BL365)/(5+4+3+2+1)</f>
        <v>214.57000000000002</v>
      </c>
      <c r="BS369" s="26">
        <f t="shared" si="136"/>
        <v>214.08898850868638</v>
      </c>
      <c r="BT369" s="26">
        <f t="shared" si="137"/>
        <v>214.55240096065197</v>
      </c>
    </row>
    <row r="370" spans="1:72" x14ac:dyDescent="0.2">
      <c r="A370" s="62"/>
      <c r="B370" s="24">
        <v>44564</v>
      </c>
      <c r="C370" s="25">
        <v>217.08</v>
      </c>
      <c r="D370" s="26">
        <f t="shared" si="138"/>
        <v>216.71</v>
      </c>
      <c r="E370" s="26">
        <f t="shared" si="140"/>
        <v>214.48200000000003</v>
      </c>
      <c r="F370" s="26">
        <f t="shared" si="141"/>
        <v>214.42857142857142</v>
      </c>
      <c r="G370" s="26">
        <f t="shared" si="143"/>
        <v>209.50923076923078</v>
      </c>
      <c r="H370" s="26">
        <f t="shared" si="148"/>
        <v>210.50515151515151</v>
      </c>
      <c r="I370" s="26">
        <f t="shared" si="150"/>
        <v>215.46933333333331</v>
      </c>
      <c r="J370" s="26">
        <f t="shared" si="134"/>
        <v>215.28539310521182</v>
      </c>
      <c r="K370" s="26">
        <f t="shared" si="135"/>
        <v>216.06896038426078</v>
      </c>
      <c r="L370" s="26">
        <f t="shared" si="130"/>
        <v>216.96568593522534</v>
      </c>
      <c r="V370" s="26">
        <f t="shared" si="144"/>
        <v>211.36336165617035</v>
      </c>
      <c r="W370" s="26">
        <f t="shared" si="147"/>
        <v>210.82441932072516</v>
      </c>
      <c r="X370" s="26">
        <f t="shared" si="146"/>
        <v>0.53894233544519921</v>
      </c>
      <c r="Y370" s="26">
        <f t="shared" si="149"/>
        <v>0.39851749821157328</v>
      </c>
      <c r="Z370" s="26">
        <v>14108.82</v>
      </c>
      <c r="AA370" s="26">
        <f t="shared" si="131"/>
        <v>218.42559108773898</v>
      </c>
      <c r="AB370" s="27">
        <f t="shared" si="132"/>
        <v>6.1985953922008797E-3</v>
      </c>
      <c r="BK370" s="24">
        <v>44564</v>
      </c>
      <c r="BL370" s="25">
        <v>217.08</v>
      </c>
      <c r="BM370" s="26">
        <f t="shared" si="129"/>
        <v>216.71</v>
      </c>
      <c r="BN370" s="26">
        <f t="shared" si="133"/>
        <v>214.48200000000003</v>
      </c>
      <c r="BO370" s="26">
        <f t="shared" si="139"/>
        <v>214.42857142857142</v>
      </c>
      <c r="BP370" s="26">
        <f t="shared" si="142"/>
        <v>209.50923076923078</v>
      </c>
      <c r="BQ370" s="26">
        <f t="shared" si="145"/>
        <v>210.50515151515151</v>
      </c>
      <c r="BR370" s="26">
        <f t="shared" si="151"/>
        <v>215.46933333333331</v>
      </c>
      <c r="BS370" s="26">
        <f t="shared" si="136"/>
        <v>215.28539310521182</v>
      </c>
      <c r="BT370" s="26">
        <f t="shared" si="137"/>
        <v>216.06896038426078</v>
      </c>
    </row>
    <row r="371" spans="1:72" x14ac:dyDescent="0.2">
      <c r="A371" s="62"/>
      <c r="B371" s="24">
        <v>44565</v>
      </c>
      <c r="C371" s="25">
        <v>223.06</v>
      </c>
      <c r="D371" s="26">
        <f t="shared" si="138"/>
        <v>217.75</v>
      </c>
      <c r="E371" s="26">
        <f t="shared" si="140"/>
        <v>217.05799999999999</v>
      </c>
      <c r="F371" s="26">
        <f t="shared" si="141"/>
        <v>216.00714285714281</v>
      </c>
      <c r="G371" s="26">
        <f t="shared" si="143"/>
        <v>211.34846153846152</v>
      </c>
      <c r="H371" s="26">
        <f t="shared" si="148"/>
        <v>210.33969696969697</v>
      </c>
      <c r="I371" s="26">
        <f t="shared" si="150"/>
        <v>218.32866666666666</v>
      </c>
      <c r="J371" s="26">
        <f t="shared" si="134"/>
        <v>218.39523586312708</v>
      </c>
      <c r="K371" s="26">
        <f t="shared" si="135"/>
        <v>220.2635841537043</v>
      </c>
      <c r="L371" s="26">
        <f t="shared" si="130"/>
        <v>216.95084727322524</v>
      </c>
      <c r="V371" s="26">
        <f t="shared" si="144"/>
        <v>213.16284447829798</v>
      </c>
      <c r="W371" s="26">
        <f t="shared" si="147"/>
        <v>212.22977931126886</v>
      </c>
      <c r="X371" s="26">
        <f t="shared" si="146"/>
        <v>0.93306516702912745</v>
      </c>
      <c r="Y371" s="26">
        <f t="shared" si="149"/>
        <v>0.5054270319750841</v>
      </c>
      <c r="Z371" s="26">
        <v>13838.46</v>
      </c>
      <c r="AA371" s="26">
        <f t="shared" si="131"/>
        <v>218.30655986266629</v>
      </c>
      <c r="AB371" s="27">
        <f t="shared" si="132"/>
        <v>-2.1310141384980327E-2</v>
      </c>
      <c r="BK371" s="24">
        <v>44565</v>
      </c>
      <c r="BL371" s="25">
        <v>223.06</v>
      </c>
      <c r="BM371" s="26">
        <f t="shared" si="129"/>
        <v>217.75</v>
      </c>
      <c r="BN371" s="26">
        <f t="shared" si="133"/>
        <v>217.05799999999999</v>
      </c>
      <c r="BO371" s="26">
        <f t="shared" si="139"/>
        <v>216.00714285714281</v>
      </c>
      <c r="BP371" s="26">
        <f t="shared" si="142"/>
        <v>211.34846153846152</v>
      </c>
      <c r="BQ371" s="26">
        <f t="shared" si="145"/>
        <v>210.33969696969697</v>
      </c>
      <c r="BR371" s="26">
        <f t="shared" si="151"/>
        <v>218.32866666666666</v>
      </c>
      <c r="BS371" s="26">
        <f t="shared" si="136"/>
        <v>218.39523586312708</v>
      </c>
      <c r="BT371" s="26">
        <f t="shared" si="137"/>
        <v>220.2635841537043</v>
      </c>
    </row>
    <row r="372" spans="1:72" x14ac:dyDescent="0.2">
      <c r="A372" s="62"/>
      <c r="B372" s="24">
        <v>44566</v>
      </c>
      <c r="C372" s="25">
        <v>235.83</v>
      </c>
      <c r="D372" s="26">
        <f t="shared" si="138"/>
        <v>225.32333333333335</v>
      </c>
      <c r="E372" s="26">
        <f t="shared" si="140"/>
        <v>221.804</v>
      </c>
      <c r="F372" s="26">
        <f t="shared" si="141"/>
        <v>218.75714285714284</v>
      </c>
      <c r="G372" s="26">
        <f t="shared" si="143"/>
        <v>214.05769230769226</v>
      </c>
      <c r="H372" s="26">
        <f t="shared" si="148"/>
        <v>210.62848484848485</v>
      </c>
      <c r="I372" s="26">
        <f t="shared" si="150"/>
        <v>224.58600000000004</v>
      </c>
      <c r="J372" s="26">
        <f t="shared" si="134"/>
        <v>225.36914151787624</v>
      </c>
      <c r="K372" s="26">
        <f t="shared" si="135"/>
        <v>229.60343366148172</v>
      </c>
      <c r="L372" s="26">
        <f t="shared" si="130"/>
        <v>216.93600861122513</v>
      </c>
      <c r="V372" s="26">
        <f t="shared" si="144"/>
        <v>216.65009917394445</v>
      </c>
      <c r="W372" s="26">
        <f t="shared" si="147"/>
        <v>214.84189303546111</v>
      </c>
      <c r="X372" s="26">
        <f t="shared" si="146"/>
        <v>1.8082061384833423</v>
      </c>
      <c r="Y372" s="26">
        <f t="shared" si="149"/>
        <v>0.76598285327673588</v>
      </c>
      <c r="Z372" s="26">
        <v>13893.84</v>
      </c>
      <c r="AA372" s="26">
        <f t="shared" si="131"/>
        <v>218.33094198000808</v>
      </c>
      <c r="AB372" s="27">
        <f t="shared" si="132"/>
        <v>-7.4202001526489147E-2</v>
      </c>
      <c r="BK372" s="24">
        <v>44566</v>
      </c>
      <c r="BL372" s="25">
        <v>235.83</v>
      </c>
      <c r="BM372" s="26">
        <f t="shared" si="129"/>
        <v>225.32333333333335</v>
      </c>
      <c r="BN372" s="26">
        <f t="shared" si="133"/>
        <v>221.804</v>
      </c>
      <c r="BO372" s="26">
        <f t="shared" si="139"/>
        <v>218.75714285714284</v>
      </c>
      <c r="BP372" s="26">
        <f t="shared" si="142"/>
        <v>214.05769230769226</v>
      </c>
      <c r="BQ372" s="26">
        <f t="shared" si="145"/>
        <v>210.62848484848485</v>
      </c>
      <c r="BR372" s="26">
        <f t="shared" si="151"/>
        <v>224.58600000000004</v>
      </c>
      <c r="BS372" s="26">
        <f t="shared" si="136"/>
        <v>225.36914151787624</v>
      </c>
      <c r="BT372" s="26">
        <f t="shared" si="137"/>
        <v>229.60343366148172</v>
      </c>
    </row>
    <row r="373" spans="1:72" x14ac:dyDescent="0.2">
      <c r="A373" s="62"/>
      <c r="B373" s="24">
        <v>44567</v>
      </c>
      <c r="C373" s="25">
        <v>235.83</v>
      </c>
      <c r="D373" s="26">
        <f t="shared" si="138"/>
        <v>231.57333333333335</v>
      </c>
      <c r="E373" s="26">
        <f t="shared" si="140"/>
        <v>224.98200000000003</v>
      </c>
      <c r="F373" s="26">
        <f t="shared" si="141"/>
        <v>222.42142857142855</v>
      </c>
      <c r="G373" s="26">
        <f t="shared" si="143"/>
        <v>216.16153846153844</v>
      </c>
      <c r="H373" s="26">
        <f t="shared" si="148"/>
        <v>211.06363636363636</v>
      </c>
      <c r="I373" s="26">
        <f t="shared" si="150"/>
        <v>229.26133333333337</v>
      </c>
      <c r="J373" s="26">
        <f t="shared" si="134"/>
        <v>229.55348491072573</v>
      </c>
      <c r="K373" s="26">
        <f t="shared" si="135"/>
        <v>233.33937346459268</v>
      </c>
      <c r="L373" s="26">
        <f t="shared" si="130"/>
        <v>216.92116994922506</v>
      </c>
      <c r="V373" s="26">
        <f t="shared" si="144"/>
        <v>219.60085314718378</v>
      </c>
      <c r="W373" s="26">
        <f t="shared" si="147"/>
        <v>218.0708325684671</v>
      </c>
      <c r="X373" s="26">
        <f t="shared" si="146"/>
        <v>1.5300205787166874</v>
      </c>
      <c r="Y373" s="26">
        <f t="shared" si="149"/>
        <v>0.91879039836472631</v>
      </c>
      <c r="Z373" s="26">
        <v>13614.78</v>
      </c>
      <c r="AA373" s="26">
        <f t="shared" si="131"/>
        <v>218.20808041147436</v>
      </c>
      <c r="AB373" s="27">
        <f t="shared" si="132"/>
        <v>-7.4722976671863867E-2</v>
      </c>
      <c r="BK373" s="24">
        <v>44567</v>
      </c>
      <c r="BL373" s="25">
        <v>235.83</v>
      </c>
      <c r="BM373" s="26">
        <f t="shared" si="129"/>
        <v>231.57333333333335</v>
      </c>
      <c r="BN373" s="26">
        <f t="shared" si="133"/>
        <v>224.98200000000003</v>
      </c>
      <c r="BO373" s="26">
        <f t="shared" si="139"/>
        <v>222.42142857142855</v>
      </c>
      <c r="BP373" s="26">
        <f t="shared" si="142"/>
        <v>216.16153846153844</v>
      </c>
      <c r="BQ373" s="26">
        <f t="shared" si="145"/>
        <v>211.06363636363636</v>
      </c>
      <c r="BR373" s="26">
        <f t="shared" si="151"/>
        <v>229.26133333333337</v>
      </c>
      <c r="BS373" s="26">
        <f t="shared" si="136"/>
        <v>229.55348491072573</v>
      </c>
      <c r="BT373" s="26">
        <f t="shared" si="137"/>
        <v>233.33937346459268</v>
      </c>
    </row>
    <row r="374" spans="1:72" x14ac:dyDescent="0.2">
      <c r="A374" s="62"/>
      <c r="B374" s="24">
        <v>44568</v>
      </c>
      <c r="C374" s="25">
        <v>233.58</v>
      </c>
      <c r="D374" s="26">
        <f t="shared" si="138"/>
        <v>235.08</v>
      </c>
      <c r="E374" s="26">
        <f t="shared" si="140"/>
        <v>229.07600000000002</v>
      </c>
      <c r="F374" s="26">
        <f t="shared" si="141"/>
        <v>225.48999999999998</v>
      </c>
      <c r="G374" s="26">
        <f t="shared" si="143"/>
        <v>218.41153846153841</v>
      </c>
      <c r="H374" s="26">
        <f t="shared" si="148"/>
        <v>211.44787878787881</v>
      </c>
      <c r="I374" s="26">
        <f t="shared" si="150"/>
        <v>232.12733333333333</v>
      </c>
      <c r="J374" s="26">
        <f t="shared" si="134"/>
        <v>231.16409094643544</v>
      </c>
      <c r="K374" s="26">
        <f t="shared" si="135"/>
        <v>233.48374938583709</v>
      </c>
      <c r="L374" s="26">
        <f t="shared" si="130"/>
        <v>216.90633128722496</v>
      </c>
      <c r="V374" s="26">
        <f t="shared" si="144"/>
        <v>221.75149112454011</v>
      </c>
      <c r="W374" s="26">
        <f t="shared" si="147"/>
        <v>220.63634550665165</v>
      </c>
      <c r="X374" s="26">
        <f t="shared" si="146"/>
        <v>1.1151456178884587</v>
      </c>
      <c r="Y374" s="26">
        <f t="shared" si="149"/>
        <v>0.95806144226947287</v>
      </c>
      <c r="Z374" s="26">
        <v>13436.55</v>
      </c>
      <c r="AA374" s="26">
        <f t="shared" si="131"/>
        <v>218.12961120284621</v>
      </c>
      <c r="AB374" s="27">
        <f t="shared" si="132"/>
        <v>-6.614602618868827E-2</v>
      </c>
      <c r="BK374" s="24">
        <v>44568</v>
      </c>
      <c r="BL374" s="25">
        <v>233.58</v>
      </c>
      <c r="BM374" s="26">
        <f t="shared" si="129"/>
        <v>235.08</v>
      </c>
      <c r="BN374" s="26">
        <f t="shared" si="133"/>
        <v>229.07600000000002</v>
      </c>
      <c r="BO374" s="26">
        <f t="shared" si="139"/>
        <v>225.48999999999998</v>
      </c>
      <c r="BP374" s="26">
        <f t="shared" si="142"/>
        <v>218.41153846153841</v>
      </c>
      <c r="BQ374" s="26">
        <f t="shared" si="145"/>
        <v>211.44787878787881</v>
      </c>
      <c r="BR374" s="26">
        <f t="shared" si="151"/>
        <v>232.12733333333333</v>
      </c>
      <c r="BS374" s="26">
        <f t="shared" si="136"/>
        <v>231.16409094643544</v>
      </c>
      <c r="BT374" s="26">
        <f t="shared" si="137"/>
        <v>233.48374938583709</v>
      </c>
    </row>
    <row r="375" spans="1:72" x14ac:dyDescent="0.2">
      <c r="A375" s="62"/>
      <c r="B375" s="24">
        <v>44569</v>
      </c>
      <c r="C375" s="25">
        <v>228.32</v>
      </c>
      <c r="D375" s="26">
        <f t="shared" si="138"/>
        <v>232.57666666666668</v>
      </c>
      <c r="E375" s="26">
        <f t="shared" si="140"/>
        <v>231.32400000000001</v>
      </c>
      <c r="F375" s="26">
        <f t="shared" si="141"/>
        <v>226.68714285714285</v>
      </c>
      <c r="G375" s="26">
        <f t="shared" si="143"/>
        <v>220.17923076923077</v>
      </c>
      <c r="H375" s="26">
        <f t="shared" si="148"/>
        <v>211.65303030303031</v>
      </c>
      <c r="I375" s="26">
        <f t="shared" si="150"/>
        <v>231.87533333333332</v>
      </c>
      <c r="J375" s="26">
        <f t="shared" si="134"/>
        <v>230.02645456786126</v>
      </c>
      <c r="K375" s="26">
        <f t="shared" si="135"/>
        <v>230.38549975433483</v>
      </c>
      <c r="L375" s="26">
        <f t="shared" si="130"/>
        <v>216.89149262522486</v>
      </c>
      <c r="V375" s="26">
        <f t="shared" si="144"/>
        <v>222.76203095153394</v>
      </c>
      <c r="W375" s="26">
        <f t="shared" si="147"/>
        <v>222.23804733753715</v>
      </c>
      <c r="X375" s="26">
        <f t="shared" si="146"/>
        <v>0.52398361399679061</v>
      </c>
      <c r="Y375" s="26">
        <f t="shared" si="149"/>
        <v>0.87124587661493647</v>
      </c>
      <c r="Z375" s="26">
        <v>12948.62</v>
      </c>
      <c r="AA375" s="26">
        <f t="shared" si="131"/>
        <v>217.91479057239155</v>
      </c>
      <c r="AB375" s="27">
        <f t="shared" si="132"/>
        <v>-4.5572921459392263E-2</v>
      </c>
      <c r="BK375" s="24">
        <v>44569</v>
      </c>
      <c r="BL375" s="25">
        <v>228.32</v>
      </c>
      <c r="BM375" s="26">
        <f t="shared" si="129"/>
        <v>232.57666666666668</v>
      </c>
      <c r="BN375" s="26">
        <f t="shared" si="133"/>
        <v>231.32400000000001</v>
      </c>
      <c r="BO375" s="26">
        <f t="shared" si="139"/>
        <v>226.68714285714285</v>
      </c>
      <c r="BP375" s="26">
        <f t="shared" si="142"/>
        <v>220.17923076923077</v>
      </c>
      <c r="BQ375" s="26">
        <f t="shared" si="145"/>
        <v>211.65303030303031</v>
      </c>
      <c r="BR375" s="26">
        <f t="shared" si="151"/>
        <v>231.87533333333332</v>
      </c>
      <c r="BS375" s="26">
        <f t="shared" si="136"/>
        <v>230.02645456786126</v>
      </c>
      <c r="BT375" s="26">
        <f t="shared" si="137"/>
        <v>230.38549975433483</v>
      </c>
    </row>
    <row r="376" spans="1:72" x14ac:dyDescent="0.2">
      <c r="A376" s="62"/>
      <c r="B376" s="24">
        <v>44570</v>
      </c>
      <c r="C376" s="25">
        <v>224.69</v>
      </c>
      <c r="D376" s="26">
        <f t="shared" si="138"/>
        <v>228.86333333333332</v>
      </c>
      <c r="E376" s="26">
        <f t="shared" si="140"/>
        <v>231.65</v>
      </c>
      <c r="F376" s="26">
        <f t="shared" si="141"/>
        <v>228.34142857142859</v>
      </c>
      <c r="G376" s="26">
        <f t="shared" si="143"/>
        <v>221.71615384615384</v>
      </c>
      <c r="H376" s="26">
        <f t="shared" si="148"/>
        <v>211.61151515151514</v>
      </c>
      <c r="I376" s="26">
        <f t="shared" si="150"/>
        <v>229.66400000000002</v>
      </c>
      <c r="J376" s="26">
        <f t="shared" si="134"/>
        <v>227.89187274071676</v>
      </c>
      <c r="K376" s="26">
        <f t="shared" si="135"/>
        <v>226.96819990173393</v>
      </c>
      <c r="L376" s="26">
        <f t="shared" si="130"/>
        <v>216.87665396322478</v>
      </c>
      <c r="V376" s="26">
        <f t="shared" si="144"/>
        <v>223.05864157437489</v>
      </c>
      <c r="W376" s="26">
        <f t="shared" si="147"/>
        <v>222.90484347364253</v>
      </c>
      <c r="X376" s="26">
        <f t="shared" si="146"/>
        <v>0.15379810073235944</v>
      </c>
      <c r="Y376" s="26">
        <f t="shared" si="149"/>
        <v>0.72775632143842117</v>
      </c>
      <c r="Z376" s="26">
        <v>12581.22</v>
      </c>
      <c r="AA376" s="26">
        <f t="shared" si="131"/>
        <v>217.75303560830034</v>
      </c>
      <c r="AB376" s="27">
        <f t="shared" si="132"/>
        <v>-3.0873489659974458E-2</v>
      </c>
      <c r="BK376" s="24">
        <v>44570</v>
      </c>
      <c r="BL376" s="25">
        <v>224.69</v>
      </c>
      <c r="BM376" s="26">
        <f t="shared" si="129"/>
        <v>228.86333333333332</v>
      </c>
      <c r="BN376" s="26">
        <f t="shared" si="133"/>
        <v>231.65</v>
      </c>
      <c r="BO376" s="26">
        <f t="shared" si="139"/>
        <v>228.34142857142859</v>
      </c>
      <c r="BP376" s="26">
        <f t="shared" si="142"/>
        <v>221.71615384615384</v>
      </c>
      <c r="BQ376" s="26">
        <f t="shared" si="145"/>
        <v>211.61151515151514</v>
      </c>
      <c r="BR376" s="26">
        <f t="shared" si="151"/>
        <v>229.66400000000002</v>
      </c>
      <c r="BS376" s="26">
        <f t="shared" si="136"/>
        <v>227.89187274071676</v>
      </c>
      <c r="BT376" s="26">
        <f t="shared" si="137"/>
        <v>226.96819990173393</v>
      </c>
    </row>
    <row r="377" spans="1:72" x14ac:dyDescent="0.2">
      <c r="A377" s="62"/>
      <c r="B377" s="24">
        <v>44571</v>
      </c>
      <c r="C377" s="25">
        <v>221.33</v>
      </c>
      <c r="D377" s="26">
        <f t="shared" si="138"/>
        <v>224.78</v>
      </c>
      <c r="E377" s="26">
        <f t="shared" si="140"/>
        <v>228.75</v>
      </c>
      <c r="F377" s="26">
        <f t="shared" si="141"/>
        <v>228.94857142857146</v>
      </c>
      <c r="G377" s="26">
        <f t="shared" si="143"/>
        <v>222.4330769230769</v>
      </c>
      <c r="H377" s="26">
        <f t="shared" si="148"/>
        <v>211.39727272727268</v>
      </c>
      <c r="I377" s="26">
        <f t="shared" si="150"/>
        <v>226.22399999999999</v>
      </c>
      <c r="J377" s="26">
        <f t="shared" si="134"/>
        <v>225.26712364443006</v>
      </c>
      <c r="K377" s="26">
        <f t="shared" si="135"/>
        <v>223.58527996069358</v>
      </c>
      <c r="L377" s="26">
        <f t="shared" si="130"/>
        <v>216.86181530122468</v>
      </c>
      <c r="V377" s="26">
        <f t="shared" si="144"/>
        <v>222.79269671677878</v>
      </c>
      <c r="W377" s="26">
        <f t="shared" si="147"/>
        <v>222.93059405034714</v>
      </c>
      <c r="X377" s="26">
        <f t="shared" si="146"/>
        <v>-0.13789733356836109</v>
      </c>
      <c r="Y377" s="26">
        <f t="shared" si="149"/>
        <v>0.55462559043706483</v>
      </c>
      <c r="Z377" s="26">
        <v>13751.4</v>
      </c>
      <c r="AA377" s="26">
        <f t="shared" si="131"/>
        <v>218.26823001189391</v>
      </c>
      <c r="AB377" s="27">
        <f t="shared" si="132"/>
        <v>-1.3833506474974503E-2</v>
      </c>
      <c r="BK377" s="24">
        <v>44571</v>
      </c>
      <c r="BL377" s="25">
        <v>221.33</v>
      </c>
      <c r="BM377" s="26">
        <f t="shared" si="129"/>
        <v>224.78</v>
      </c>
      <c r="BN377" s="26">
        <f t="shared" si="133"/>
        <v>228.75</v>
      </c>
      <c r="BO377" s="26">
        <f t="shared" si="139"/>
        <v>228.94857142857146</v>
      </c>
      <c r="BP377" s="26">
        <f t="shared" si="142"/>
        <v>222.4330769230769</v>
      </c>
      <c r="BQ377" s="26">
        <f t="shared" si="145"/>
        <v>211.39727272727268</v>
      </c>
      <c r="BR377" s="26">
        <f t="shared" si="151"/>
        <v>226.22399999999999</v>
      </c>
      <c r="BS377" s="26">
        <f t="shared" si="136"/>
        <v>225.26712364443006</v>
      </c>
      <c r="BT377" s="26">
        <f t="shared" si="137"/>
        <v>223.58527996069358</v>
      </c>
    </row>
    <row r="378" spans="1:72" x14ac:dyDescent="0.2">
      <c r="A378" s="62"/>
      <c r="B378" s="24">
        <v>44572</v>
      </c>
      <c r="C378" s="25">
        <v>220.22</v>
      </c>
      <c r="D378" s="26">
        <f t="shared" si="138"/>
        <v>222.08</v>
      </c>
      <c r="E378" s="26">
        <f t="shared" si="140"/>
        <v>225.62799999999999</v>
      </c>
      <c r="F378" s="26">
        <f t="shared" si="141"/>
        <v>228.54285714285714</v>
      </c>
      <c r="G378" s="26">
        <f t="shared" si="143"/>
        <v>222.7130769230769</v>
      </c>
      <c r="H378" s="26">
        <f t="shared" si="148"/>
        <v>211.1121212121212</v>
      </c>
      <c r="I378" s="26">
        <f t="shared" si="150"/>
        <v>223.38066666666663</v>
      </c>
      <c r="J378" s="26">
        <f t="shared" si="134"/>
        <v>223.24827418665802</v>
      </c>
      <c r="K378" s="26">
        <f t="shared" si="135"/>
        <v>221.56611198427743</v>
      </c>
      <c r="L378" s="26">
        <f t="shared" si="130"/>
        <v>216.84697663922458</v>
      </c>
      <c r="V378" s="26">
        <f t="shared" si="144"/>
        <v>222.39689722188973</v>
      </c>
      <c r="W378" s="26">
        <f t="shared" si="147"/>
        <v>222.60212658960998</v>
      </c>
      <c r="X378" s="26">
        <f t="shared" si="146"/>
        <v>-0.20522936772024991</v>
      </c>
      <c r="Y378" s="26">
        <f t="shared" si="149"/>
        <v>0.40265459880560189</v>
      </c>
      <c r="Z378" s="26">
        <v>13694.62</v>
      </c>
      <c r="AA378" s="26">
        <f t="shared" si="131"/>
        <v>218.24323151744343</v>
      </c>
      <c r="AB378" s="27">
        <f t="shared" si="132"/>
        <v>-8.9763349493986247E-3</v>
      </c>
      <c r="BK378" s="24">
        <v>44572</v>
      </c>
      <c r="BL378" s="25">
        <v>220.22</v>
      </c>
      <c r="BM378" s="26">
        <f t="shared" si="129"/>
        <v>222.08</v>
      </c>
      <c r="BN378" s="26">
        <f t="shared" si="133"/>
        <v>225.62799999999999</v>
      </c>
      <c r="BO378" s="26">
        <f t="shared" si="139"/>
        <v>228.54285714285714</v>
      </c>
      <c r="BP378" s="26">
        <f t="shared" si="142"/>
        <v>222.7130769230769</v>
      </c>
      <c r="BQ378" s="26">
        <f t="shared" si="145"/>
        <v>211.1121212121212</v>
      </c>
      <c r="BR378" s="26">
        <f t="shared" si="151"/>
        <v>223.38066666666663</v>
      </c>
      <c r="BS378" s="26">
        <f t="shared" si="136"/>
        <v>223.24827418665802</v>
      </c>
      <c r="BT378" s="26">
        <f t="shared" si="137"/>
        <v>221.56611198427743</v>
      </c>
    </row>
    <row r="379" spans="1:72" x14ac:dyDescent="0.2">
      <c r="A379" s="62"/>
      <c r="B379" s="24">
        <v>44573</v>
      </c>
      <c r="C379" s="25">
        <v>221.72</v>
      </c>
      <c r="D379" s="26">
        <f t="shared" si="138"/>
        <v>221.09</v>
      </c>
      <c r="E379" s="26">
        <f t="shared" si="140"/>
        <v>223.256</v>
      </c>
      <c r="F379" s="26">
        <f t="shared" si="141"/>
        <v>226.52714285714288</v>
      </c>
      <c r="G379" s="26">
        <f t="shared" si="143"/>
        <v>223.60076923076915</v>
      </c>
      <c r="H379" s="26">
        <f t="shared" si="148"/>
        <v>211.10545454545453</v>
      </c>
      <c r="I379" s="26">
        <f t="shared" si="150"/>
        <v>222.07800000000003</v>
      </c>
      <c r="J379" s="26">
        <f t="shared" si="134"/>
        <v>222.63696451199479</v>
      </c>
      <c r="K379" s="26">
        <f t="shared" si="135"/>
        <v>221.65844479371094</v>
      </c>
      <c r="L379" s="26">
        <f t="shared" si="130"/>
        <v>216.83213797722451</v>
      </c>
      <c r="V379" s="26">
        <f t="shared" si="144"/>
        <v>222.29275918775284</v>
      </c>
      <c r="W379" s="26">
        <f t="shared" si="147"/>
        <v>222.34675668693492</v>
      </c>
      <c r="X379" s="26">
        <f t="shared" si="146"/>
        <v>-5.3997499182088404E-2</v>
      </c>
      <c r="Y379" s="26">
        <f t="shared" si="149"/>
        <v>0.31132417920806382</v>
      </c>
      <c r="Z379" s="26">
        <v>13473.58</v>
      </c>
      <c r="AA379" s="26">
        <f t="shared" si="131"/>
        <v>218.1459143773707</v>
      </c>
      <c r="AB379" s="27">
        <f t="shared" si="132"/>
        <v>-1.6119816086186622E-2</v>
      </c>
      <c r="BK379" s="24">
        <v>44573</v>
      </c>
      <c r="BL379" s="25">
        <v>221.72</v>
      </c>
      <c r="BM379" s="26">
        <f t="shared" si="129"/>
        <v>221.09</v>
      </c>
      <c r="BN379" s="26">
        <f t="shared" si="133"/>
        <v>223.256</v>
      </c>
      <c r="BO379" s="26">
        <f t="shared" si="139"/>
        <v>226.52714285714288</v>
      </c>
      <c r="BP379" s="26">
        <f t="shared" si="142"/>
        <v>223.60076923076915</v>
      </c>
      <c r="BQ379" s="26">
        <f t="shared" si="145"/>
        <v>211.10545454545453</v>
      </c>
      <c r="BR379" s="26">
        <f t="shared" si="151"/>
        <v>222.07800000000003</v>
      </c>
      <c r="BS379" s="26">
        <f t="shared" si="136"/>
        <v>222.63696451199479</v>
      </c>
      <c r="BT379" s="26">
        <f t="shared" si="137"/>
        <v>221.65844479371094</v>
      </c>
    </row>
    <row r="380" spans="1:72" x14ac:dyDescent="0.2">
      <c r="A380" s="62"/>
      <c r="B380" s="24">
        <v>44574</v>
      </c>
      <c r="C380" s="25">
        <v>220.4</v>
      </c>
      <c r="D380" s="26">
        <f t="shared" si="138"/>
        <v>220.78</v>
      </c>
      <c r="E380" s="26">
        <f t="shared" si="140"/>
        <v>221.67200000000003</v>
      </c>
      <c r="F380" s="26">
        <f t="shared" si="141"/>
        <v>224.32285714285715</v>
      </c>
      <c r="G380" s="26">
        <f t="shared" si="143"/>
        <v>224.23923076923074</v>
      </c>
      <c r="H380" s="26">
        <f t="shared" si="148"/>
        <v>211.34515151515146</v>
      </c>
      <c r="I380" s="26">
        <f t="shared" si="150"/>
        <v>221.126</v>
      </c>
      <c r="J380" s="26">
        <f t="shared" si="134"/>
        <v>221.7421787071969</v>
      </c>
      <c r="K380" s="26">
        <f t="shared" si="135"/>
        <v>220.90337791748439</v>
      </c>
      <c r="L380" s="26">
        <f t="shared" si="130"/>
        <v>216.8172993152244</v>
      </c>
      <c r="V380" s="26">
        <f t="shared" si="144"/>
        <v>222.00156546656009</v>
      </c>
      <c r="W380" s="26">
        <f t="shared" si="147"/>
        <v>222.15255480347486</v>
      </c>
      <c r="X380" s="26">
        <f t="shared" si="146"/>
        <v>-0.15098933691476191</v>
      </c>
      <c r="Y380" s="26">
        <f t="shared" si="149"/>
        <v>0.2188614759834987</v>
      </c>
      <c r="Z380" s="26">
        <v>13037.49</v>
      </c>
      <c r="AA380" s="26">
        <f t="shared" si="131"/>
        <v>217.95391731071163</v>
      </c>
      <c r="AB380" s="27">
        <f t="shared" si="132"/>
        <v>-1.1098378808023477E-2</v>
      </c>
      <c r="BK380" s="24">
        <v>44574</v>
      </c>
      <c r="BL380" s="25">
        <v>220.4</v>
      </c>
      <c r="BM380" s="26">
        <f t="shared" si="129"/>
        <v>220.78</v>
      </c>
      <c r="BN380" s="26">
        <f t="shared" si="133"/>
        <v>221.67200000000003</v>
      </c>
      <c r="BO380" s="26">
        <f t="shared" si="139"/>
        <v>224.32285714285715</v>
      </c>
      <c r="BP380" s="26">
        <f t="shared" si="142"/>
        <v>224.23923076923074</v>
      </c>
      <c r="BQ380" s="26">
        <f t="shared" si="145"/>
        <v>211.34515151515146</v>
      </c>
      <c r="BR380" s="26">
        <f t="shared" si="151"/>
        <v>221.126</v>
      </c>
      <c r="BS380" s="26">
        <f t="shared" si="136"/>
        <v>221.7421787071969</v>
      </c>
      <c r="BT380" s="26">
        <f t="shared" si="137"/>
        <v>220.90337791748439</v>
      </c>
    </row>
    <row r="381" spans="1:72" x14ac:dyDescent="0.2">
      <c r="A381" s="62"/>
      <c r="B381" s="24">
        <v>44575</v>
      </c>
      <c r="C381" s="25">
        <v>222.5</v>
      </c>
      <c r="D381" s="26">
        <f t="shared" si="138"/>
        <v>221.54</v>
      </c>
      <c r="E381" s="26">
        <f t="shared" si="140"/>
        <v>221.23400000000001</v>
      </c>
      <c r="F381" s="26">
        <f t="shared" si="141"/>
        <v>222.74</v>
      </c>
      <c r="G381" s="26">
        <f t="shared" si="143"/>
        <v>224.43615384615381</v>
      </c>
      <c r="H381" s="26">
        <f t="shared" si="148"/>
        <v>211.59515151515149</v>
      </c>
      <c r="I381" s="26">
        <f t="shared" si="150"/>
        <v>221.40199999999999</v>
      </c>
      <c r="J381" s="26">
        <f t="shared" si="134"/>
        <v>222.04530722431812</v>
      </c>
      <c r="K381" s="26">
        <f t="shared" si="135"/>
        <v>221.86135116699376</v>
      </c>
      <c r="L381" s="26">
        <f t="shared" si="130"/>
        <v>216.8024606532243</v>
      </c>
      <c r="V381" s="26">
        <f t="shared" si="144"/>
        <v>222.07824770247393</v>
      </c>
      <c r="W381" s="26">
        <f t="shared" si="147"/>
        <v>222.03848654311122</v>
      </c>
      <c r="X381" s="26">
        <f t="shared" si="146"/>
        <v>3.9761159362711851E-2</v>
      </c>
      <c r="Y381" s="26">
        <f t="shared" si="149"/>
        <v>0.18304141265934135</v>
      </c>
      <c r="Z381" s="26">
        <v>13381.52</v>
      </c>
      <c r="AA381" s="26">
        <f t="shared" si="131"/>
        <v>218.1053831797816</v>
      </c>
      <c r="AB381" s="27">
        <f t="shared" si="132"/>
        <v>-1.9751086832442259E-2</v>
      </c>
      <c r="BK381" s="24">
        <v>44575</v>
      </c>
      <c r="BL381" s="25">
        <v>222.5</v>
      </c>
      <c r="BM381" s="26">
        <f t="shared" si="129"/>
        <v>221.54</v>
      </c>
      <c r="BN381" s="26">
        <f t="shared" si="133"/>
        <v>221.23400000000001</v>
      </c>
      <c r="BO381" s="26">
        <f t="shared" si="139"/>
        <v>222.74</v>
      </c>
      <c r="BP381" s="26">
        <f t="shared" si="142"/>
        <v>224.43615384615381</v>
      </c>
      <c r="BQ381" s="26">
        <f t="shared" si="145"/>
        <v>211.59515151515149</v>
      </c>
      <c r="BR381" s="26">
        <f t="shared" si="151"/>
        <v>221.40199999999999</v>
      </c>
      <c r="BS381" s="26">
        <f t="shared" si="136"/>
        <v>222.04530722431812</v>
      </c>
      <c r="BT381" s="26">
        <f t="shared" si="137"/>
        <v>221.86135116699376</v>
      </c>
    </row>
    <row r="382" spans="1:72" x14ac:dyDescent="0.2">
      <c r="A382" s="62"/>
      <c r="B382" s="24">
        <v>44576</v>
      </c>
      <c r="C382" s="25">
        <v>225.66</v>
      </c>
      <c r="D382" s="26">
        <f t="shared" si="138"/>
        <v>222.85333333333332</v>
      </c>
      <c r="E382" s="26">
        <f t="shared" si="140"/>
        <v>222.1</v>
      </c>
      <c r="F382" s="26">
        <f t="shared" si="141"/>
        <v>222.36000000000004</v>
      </c>
      <c r="G382" s="26">
        <f t="shared" si="143"/>
        <v>225.40153846153845</v>
      </c>
      <c r="H382" s="26">
        <f t="shared" si="148"/>
        <v>212.10939393939393</v>
      </c>
      <c r="I382" s="26">
        <f t="shared" si="150"/>
        <v>222.87733333333333</v>
      </c>
      <c r="J382" s="26">
        <f t="shared" si="134"/>
        <v>223.49118433459088</v>
      </c>
      <c r="K382" s="26">
        <f t="shared" si="135"/>
        <v>224.14054046679749</v>
      </c>
      <c r="L382" s="26">
        <f t="shared" si="130"/>
        <v>216.78762199122423</v>
      </c>
      <c r="V382" s="26">
        <f t="shared" si="144"/>
        <v>222.62928651747794</v>
      </c>
      <c r="W382" s="26">
        <f t="shared" si="147"/>
        <v>222.34356268747587</v>
      </c>
      <c r="X382" s="26">
        <f t="shared" si="146"/>
        <v>0.28572383000206969</v>
      </c>
      <c r="Y382" s="26">
        <f t="shared" si="149"/>
        <v>0.20357789612788701</v>
      </c>
      <c r="Z382" s="26">
        <v>13548.07</v>
      </c>
      <c r="AA382" s="26">
        <f t="shared" si="131"/>
        <v>218.17871004224591</v>
      </c>
      <c r="AB382" s="27">
        <f t="shared" si="132"/>
        <v>-3.3152928998289845E-2</v>
      </c>
      <c r="BK382" s="24">
        <v>44576</v>
      </c>
      <c r="BL382" s="25">
        <v>225.66</v>
      </c>
      <c r="BM382" s="26">
        <f t="shared" si="129"/>
        <v>222.85333333333332</v>
      </c>
      <c r="BN382" s="26">
        <f t="shared" si="133"/>
        <v>222.1</v>
      </c>
      <c r="BO382" s="26">
        <f t="shared" si="139"/>
        <v>222.36000000000004</v>
      </c>
      <c r="BP382" s="26">
        <f t="shared" si="142"/>
        <v>225.40153846153845</v>
      </c>
      <c r="BQ382" s="26">
        <f t="shared" si="145"/>
        <v>212.10939393939393</v>
      </c>
      <c r="BR382" s="26">
        <f t="shared" si="151"/>
        <v>222.87733333333333</v>
      </c>
      <c r="BS382" s="26">
        <f t="shared" si="136"/>
        <v>223.49118433459088</v>
      </c>
      <c r="BT382" s="26">
        <f t="shared" si="137"/>
        <v>224.14054046679749</v>
      </c>
    </row>
    <row r="383" spans="1:72" x14ac:dyDescent="0.2">
      <c r="A383" s="62"/>
      <c r="B383" s="24">
        <v>44577</v>
      </c>
      <c r="C383" s="25">
        <v>226.12</v>
      </c>
      <c r="D383" s="26">
        <f t="shared" si="138"/>
        <v>224.76</v>
      </c>
      <c r="E383" s="26">
        <f t="shared" si="140"/>
        <v>223.28000000000003</v>
      </c>
      <c r="F383" s="26">
        <f t="shared" si="141"/>
        <v>222.56428571428575</v>
      </c>
      <c r="G383" s="26">
        <f t="shared" si="143"/>
        <v>226.09692307692305</v>
      </c>
      <c r="H383" s="26">
        <f t="shared" si="148"/>
        <v>212.95121212121211</v>
      </c>
      <c r="I383" s="26">
        <f t="shared" si="150"/>
        <v>224.21733333333333</v>
      </c>
      <c r="J383" s="26">
        <f t="shared" si="134"/>
        <v>224.54271060075453</v>
      </c>
      <c r="K383" s="26">
        <f t="shared" si="135"/>
        <v>225.328216186719</v>
      </c>
      <c r="L383" s="26">
        <f t="shared" si="130"/>
        <v>216.77278332922413</v>
      </c>
      <c r="V383" s="26">
        <f t="shared" si="144"/>
        <v>223.16631936094288</v>
      </c>
      <c r="W383" s="26">
        <f t="shared" si="147"/>
        <v>222.88785788655363</v>
      </c>
      <c r="X383" s="26">
        <f t="shared" si="146"/>
        <v>0.27846147438924618</v>
      </c>
      <c r="Y383" s="26">
        <f t="shared" si="149"/>
        <v>0.21855461178015886</v>
      </c>
      <c r="Z383" s="26">
        <v>13716.72</v>
      </c>
      <c r="AA383" s="26">
        <f t="shared" si="131"/>
        <v>218.25296147037326</v>
      </c>
      <c r="AB383" s="27">
        <f t="shared" si="132"/>
        <v>-3.4791431671797012E-2</v>
      </c>
      <c r="BK383" s="24">
        <v>44577</v>
      </c>
      <c r="BL383" s="25">
        <v>226.12</v>
      </c>
      <c r="BM383" s="26">
        <f t="shared" si="129"/>
        <v>224.76</v>
      </c>
      <c r="BN383" s="26">
        <f t="shared" si="133"/>
        <v>223.28000000000003</v>
      </c>
      <c r="BO383" s="26">
        <f t="shared" si="139"/>
        <v>222.56428571428575</v>
      </c>
      <c r="BP383" s="26">
        <f t="shared" si="142"/>
        <v>226.09692307692305</v>
      </c>
      <c r="BQ383" s="26">
        <f t="shared" si="145"/>
        <v>212.95121212121211</v>
      </c>
      <c r="BR383" s="26">
        <f t="shared" si="151"/>
        <v>224.21733333333333</v>
      </c>
      <c r="BS383" s="26">
        <f t="shared" si="136"/>
        <v>224.54271060075453</v>
      </c>
      <c r="BT383" s="26">
        <f t="shared" si="137"/>
        <v>225.328216186719</v>
      </c>
    </row>
    <row r="384" spans="1:72" x14ac:dyDescent="0.2">
      <c r="A384" s="62"/>
      <c r="B384" s="24">
        <v>44578</v>
      </c>
      <c r="C384" s="25">
        <v>225.45</v>
      </c>
      <c r="D384" s="26">
        <f t="shared" si="138"/>
        <v>225.74333333333334</v>
      </c>
      <c r="E384" s="26">
        <f t="shared" si="140"/>
        <v>224.02599999999998</v>
      </c>
      <c r="F384" s="26">
        <f t="shared" si="141"/>
        <v>223.15285714285713</v>
      </c>
      <c r="G384" s="26">
        <f t="shared" si="143"/>
        <v>226.28076923076921</v>
      </c>
      <c r="H384" s="26">
        <f t="shared" si="148"/>
        <v>213.7530303030303</v>
      </c>
      <c r="I384" s="26">
        <f t="shared" si="150"/>
        <v>224.94066666666669</v>
      </c>
      <c r="J384" s="26">
        <f t="shared" si="134"/>
        <v>224.90562636045271</v>
      </c>
      <c r="K384" s="26">
        <f t="shared" si="135"/>
        <v>225.40128647468759</v>
      </c>
      <c r="L384" s="26">
        <f t="shared" si="130"/>
        <v>216.75794466722402</v>
      </c>
      <c r="V384" s="26">
        <f t="shared" si="144"/>
        <v>223.51765484387477</v>
      </c>
      <c r="W384" s="26">
        <f t="shared" si="147"/>
        <v>223.33548088976193</v>
      </c>
      <c r="X384" s="26">
        <f t="shared" si="146"/>
        <v>0.18217395411284087</v>
      </c>
      <c r="Y384" s="26">
        <f t="shared" si="149"/>
        <v>0.21127848024669527</v>
      </c>
      <c r="Z384" s="26">
        <v>14124.09</v>
      </c>
      <c r="AA384" s="26">
        <f t="shared" si="131"/>
        <v>218.43231400091719</v>
      </c>
      <c r="AB384" s="27">
        <f t="shared" si="132"/>
        <v>-3.1127460630218678E-2</v>
      </c>
      <c r="BK384" s="24">
        <v>44578</v>
      </c>
      <c r="BL384" s="25">
        <v>225.45</v>
      </c>
      <c r="BM384" s="26">
        <f t="shared" si="129"/>
        <v>225.74333333333334</v>
      </c>
      <c r="BN384" s="26">
        <f t="shared" si="133"/>
        <v>224.02599999999998</v>
      </c>
      <c r="BO384" s="26">
        <f t="shared" si="139"/>
        <v>223.15285714285713</v>
      </c>
      <c r="BP384" s="26">
        <f t="shared" si="142"/>
        <v>226.28076923076921</v>
      </c>
      <c r="BQ384" s="26">
        <f t="shared" si="145"/>
        <v>213.7530303030303</v>
      </c>
      <c r="BR384" s="26">
        <f t="shared" si="151"/>
        <v>224.94066666666669</v>
      </c>
      <c r="BS384" s="26">
        <f t="shared" si="136"/>
        <v>224.90562636045271</v>
      </c>
      <c r="BT384" s="26">
        <f t="shared" si="137"/>
        <v>225.40128647468759</v>
      </c>
    </row>
    <row r="385" spans="1:72" x14ac:dyDescent="0.2">
      <c r="A385" s="62"/>
      <c r="B385" s="24">
        <v>44579</v>
      </c>
      <c r="C385" s="25">
        <v>226</v>
      </c>
      <c r="D385" s="26">
        <f t="shared" si="138"/>
        <v>225.85666666666665</v>
      </c>
      <c r="E385" s="26">
        <f t="shared" si="140"/>
        <v>225.14600000000002</v>
      </c>
      <c r="F385" s="26">
        <f t="shared" si="141"/>
        <v>223.97857142857146</v>
      </c>
      <c r="G385" s="26">
        <f t="shared" si="143"/>
        <v>225.52461538461537</v>
      </c>
      <c r="H385" s="26">
        <f t="shared" si="148"/>
        <v>214.81969696969691</v>
      </c>
      <c r="I385" s="26">
        <f t="shared" si="150"/>
        <v>225.59866666666667</v>
      </c>
      <c r="J385" s="26">
        <f t="shared" si="134"/>
        <v>225.34337581627162</v>
      </c>
      <c r="K385" s="26">
        <f t="shared" si="135"/>
        <v>225.76051458987504</v>
      </c>
      <c r="L385" s="26">
        <f t="shared" si="130"/>
        <v>216.74310600522395</v>
      </c>
      <c r="V385" s="26">
        <f t="shared" si="144"/>
        <v>223.89955409866326</v>
      </c>
      <c r="W385" s="26">
        <f t="shared" si="147"/>
        <v>223.701532262847</v>
      </c>
      <c r="X385" s="26">
        <f t="shared" si="146"/>
        <v>0.19802183581626309</v>
      </c>
      <c r="Y385" s="26">
        <f t="shared" si="149"/>
        <v>0.20862715136060883</v>
      </c>
      <c r="Z385" s="26">
        <v>14139.76</v>
      </c>
      <c r="AA385" s="26">
        <f t="shared" si="131"/>
        <v>218.43921302184074</v>
      </c>
      <c r="AB385" s="27">
        <f t="shared" si="132"/>
        <v>-3.3454809637872819E-2</v>
      </c>
      <c r="BK385" s="24">
        <v>44579</v>
      </c>
      <c r="BL385" s="25">
        <v>226</v>
      </c>
      <c r="BM385" s="26">
        <f t="shared" si="129"/>
        <v>225.85666666666665</v>
      </c>
      <c r="BN385" s="26">
        <f t="shared" si="133"/>
        <v>225.14600000000002</v>
      </c>
      <c r="BO385" s="26">
        <f t="shared" si="139"/>
        <v>223.97857142857146</v>
      </c>
      <c r="BP385" s="26">
        <f t="shared" si="142"/>
        <v>225.52461538461537</v>
      </c>
      <c r="BQ385" s="26">
        <f t="shared" si="145"/>
        <v>214.81969696969691</v>
      </c>
      <c r="BR385" s="26">
        <f t="shared" si="151"/>
        <v>225.59866666666667</v>
      </c>
      <c r="BS385" s="26">
        <f t="shared" si="136"/>
        <v>225.34337581627162</v>
      </c>
      <c r="BT385" s="26">
        <f t="shared" si="137"/>
        <v>225.76051458987504</v>
      </c>
    </row>
    <row r="386" spans="1:72" x14ac:dyDescent="0.2">
      <c r="A386" s="62"/>
      <c r="B386" s="24">
        <v>44580</v>
      </c>
      <c r="C386" s="25">
        <v>221.3</v>
      </c>
      <c r="D386" s="26">
        <f t="shared" si="138"/>
        <v>224.25</v>
      </c>
      <c r="E386" s="26">
        <f t="shared" si="140"/>
        <v>224.90600000000001</v>
      </c>
      <c r="F386" s="26">
        <f t="shared" si="141"/>
        <v>223.9185714285714</v>
      </c>
      <c r="G386" s="26">
        <f t="shared" si="143"/>
        <v>224.40692307692308</v>
      </c>
      <c r="H386" s="26">
        <f t="shared" si="148"/>
        <v>215.81848484848479</v>
      </c>
      <c r="I386" s="26">
        <f t="shared" si="150"/>
        <v>224.31666666666666</v>
      </c>
      <c r="J386" s="26">
        <f t="shared" si="134"/>
        <v>223.72602548976297</v>
      </c>
      <c r="K386" s="26">
        <f t="shared" si="135"/>
        <v>223.08420583595003</v>
      </c>
      <c r="L386" s="26">
        <f t="shared" si="130"/>
        <v>216.72826734322385</v>
      </c>
      <c r="V386" s="26">
        <f t="shared" si="144"/>
        <v>223.49962269886893</v>
      </c>
      <c r="W386" s="26">
        <f t="shared" si="147"/>
        <v>223.70699453579931</v>
      </c>
      <c r="X386" s="26">
        <f t="shared" si="146"/>
        <v>-0.20737183693037764</v>
      </c>
      <c r="Y386" s="26">
        <f t="shared" si="149"/>
        <v>0.12542735370241154</v>
      </c>
      <c r="Z386" s="26">
        <v>13790.92</v>
      </c>
      <c r="AA386" s="26">
        <f t="shared" si="131"/>
        <v>218.2856294571331</v>
      </c>
      <c r="AB386" s="27">
        <f t="shared" si="132"/>
        <v>-1.3621195403826994E-2</v>
      </c>
      <c r="BK386" s="24">
        <v>44580</v>
      </c>
      <c r="BL386" s="25">
        <v>221.3</v>
      </c>
      <c r="BM386" s="26">
        <f t="shared" si="129"/>
        <v>224.25</v>
      </c>
      <c r="BN386" s="26">
        <f t="shared" si="133"/>
        <v>224.90600000000001</v>
      </c>
      <c r="BO386" s="26">
        <f t="shared" si="139"/>
        <v>223.9185714285714</v>
      </c>
      <c r="BP386" s="26">
        <f t="shared" si="142"/>
        <v>224.40692307692308</v>
      </c>
      <c r="BQ386" s="26">
        <f t="shared" si="145"/>
        <v>215.81848484848479</v>
      </c>
      <c r="BR386" s="26">
        <f t="shared" si="151"/>
        <v>224.31666666666666</v>
      </c>
      <c r="BS386" s="26">
        <f t="shared" si="136"/>
        <v>223.72602548976297</v>
      </c>
      <c r="BT386" s="26">
        <f t="shared" si="137"/>
        <v>223.08420583595003</v>
      </c>
    </row>
    <row r="387" spans="1:72" x14ac:dyDescent="0.2">
      <c r="A387" s="62"/>
      <c r="B387" s="24">
        <v>44581</v>
      </c>
      <c r="C387" s="25">
        <v>225.07</v>
      </c>
      <c r="D387" s="26">
        <f t="shared" si="138"/>
        <v>224.12333333333333</v>
      </c>
      <c r="E387" s="26">
        <f t="shared" si="140"/>
        <v>224.78799999999995</v>
      </c>
      <c r="F387" s="26">
        <f t="shared" si="141"/>
        <v>224.58571428571426</v>
      </c>
      <c r="G387" s="26">
        <f t="shared" si="143"/>
        <v>223.75230769230771</v>
      </c>
      <c r="H387" s="26">
        <f t="shared" si="148"/>
        <v>216.8224242424242</v>
      </c>
      <c r="I387" s="26">
        <f t="shared" si="150"/>
        <v>224.37133333333335</v>
      </c>
      <c r="J387" s="26">
        <f t="shared" si="134"/>
        <v>224.26361529385781</v>
      </c>
      <c r="K387" s="26">
        <f t="shared" si="135"/>
        <v>224.27568233438001</v>
      </c>
      <c r="L387" s="26">
        <f t="shared" si="130"/>
        <v>216.71342868122375</v>
      </c>
      <c r="V387" s="26">
        <f t="shared" si="144"/>
        <v>223.74121920673525</v>
      </c>
      <c r="W387" s="26">
        <f t="shared" si="147"/>
        <v>223.61594694339715</v>
      </c>
      <c r="X387" s="26">
        <f t="shared" si="146"/>
        <v>0.12527226333810404</v>
      </c>
      <c r="Y387" s="26">
        <f t="shared" si="149"/>
        <v>0.12539633562955005</v>
      </c>
      <c r="Z387" s="26">
        <v>14239.88</v>
      </c>
      <c r="AA387" s="26">
        <f t="shared" si="131"/>
        <v>218.48329279049835</v>
      </c>
      <c r="AB387" s="27">
        <f t="shared" si="132"/>
        <v>-2.9265149551258009E-2</v>
      </c>
      <c r="BK387" s="24">
        <v>44581</v>
      </c>
      <c r="BL387" s="25">
        <v>225.07</v>
      </c>
      <c r="BM387" s="26">
        <f t="shared" ref="BM387:BM422" si="152">AVERAGE(BL385:BL387)</f>
        <v>224.12333333333333</v>
      </c>
      <c r="BN387" s="26">
        <f t="shared" si="133"/>
        <v>224.78799999999995</v>
      </c>
      <c r="BO387" s="26">
        <f t="shared" si="139"/>
        <v>224.58571428571426</v>
      </c>
      <c r="BP387" s="26">
        <f t="shared" si="142"/>
        <v>223.75230769230771</v>
      </c>
      <c r="BQ387" s="26">
        <f t="shared" si="145"/>
        <v>216.8224242424242</v>
      </c>
      <c r="BR387" s="26">
        <f t="shared" si="151"/>
        <v>224.37133333333335</v>
      </c>
      <c r="BS387" s="26">
        <f t="shared" si="136"/>
        <v>224.26361529385781</v>
      </c>
      <c r="BT387" s="26">
        <f t="shared" si="137"/>
        <v>224.27568233438001</v>
      </c>
    </row>
    <row r="388" spans="1:72" x14ac:dyDescent="0.2">
      <c r="A388" s="62"/>
      <c r="B388" s="24">
        <v>44582</v>
      </c>
      <c r="C388" s="25">
        <v>224.42</v>
      </c>
      <c r="D388" s="26">
        <f t="shared" si="138"/>
        <v>223.59666666666666</v>
      </c>
      <c r="E388" s="26">
        <f t="shared" si="140"/>
        <v>224.44800000000001</v>
      </c>
      <c r="F388" s="26">
        <f t="shared" si="141"/>
        <v>224.85999999999999</v>
      </c>
      <c r="G388" s="26">
        <f t="shared" si="143"/>
        <v>223.45230769230773</v>
      </c>
      <c r="H388" s="26">
        <f t="shared" si="148"/>
        <v>217.56333333333328</v>
      </c>
      <c r="I388" s="26">
        <f t="shared" si="150"/>
        <v>224.24866666666665</v>
      </c>
      <c r="J388" s="26">
        <f t="shared" si="134"/>
        <v>224.32616917631469</v>
      </c>
      <c r="K388" s="26">
        <f t="shared" si="135"/>
        <v>224.362272933752</v>
      </c>
      <c r="L388" s="26">
        <f t="shared" ref="L388:L451" si="153">$N$20+$N$21*A995</f>
        <v>216.69859001922367</v>
      </c>
      <c r="V388" s="26">
        <f t="shared" si="144"/>
        <v>223.84564702108366</v>
      </c>
      <c r="W388" s="26">
        <f t="shared" si="147"/>
        <v>223.79149926549562</v>
      </c>
      <c r="X388" s="26">
        <f t="shared" si="146"/>
        <v>5.414775558804763E-2</v>
      </c>
      <c r="Y388" s="26">
        <f t="shared" si="149"/>
        <v>0.11114661962124957</v>
      </c>
      <c r="Z388" s="26">
        <v>13770.57</v>
      </c>
      <c r="AA388" s="26">
        <f t="shared" ref="AA388:AA451" si="154">$AD$20+$AD$21*Z388</f>
        <v>218.27666997558913</v>
      </c>
      <c r="AB388" s="27">
        <f t="shared" si="132"/>
        <v>-2.7374253740356735E-2</v>
      </c>
      <c r="BK388" s="24">
        <v>44582</v>
      </c>
      <c r="BL388" s="25">
        <v>224.42</v>
      </c>
      <c r="BM388" s="26">
        <f t="shared" si="152"/>
        <v>223.59666666666666</v>
      </c>
      <c r="BN388" s="26">
        <f t="shared" si="133"/>
        <v>224.44800000000001</v>
      </c>
      <c r="BO388" s="26">
        <f t="shared" si="139"/>
        <v>224.85999999999999</v>
      </c>
      <c r="BP388" s="26">
        <f t="shared" si="142"/>
        <v>223.45230769230773</v>
      </c>
      <c r="BQ388" s="26">
        <f t="shared" si="145"/>
        <v>217.56333333333328</v>
      </c>
      <c r="BR388" s="26">
        <f t="shared" si="151"/>
        <v>224.24866666666665</v>
      </c>
      <c r="BS388" s="26">
        <f t="shared" si="136"/>
        <v>224.32616917631469</v>
      </c>
      <c r="BT388" s="26">
        <f t="shared" si="137"/>
        <v>224.362272933752</v>
      </c>
    </row>
    <row r="389" spans="1:72" x14ac:dyDescent="0.2">
      <c r="A389" s="62"/>
      <c r="B389" s="24">
        <v>44583</v>
      </c>
      <c r="C389" s="25">
        <v>223.43</v>
      </c>
      <c r="D389" s="26">
        <f t="shared" si="138"/>
        <v>224.3066666666667</v>
      </c>
      <c r="E389" s="26">
        <f t="shared" si="140"/>
        <v>224.04400000000001</v>
      </c>
      <c r="F389" s="26">
        <f t="shared" si="141"/>
        <v>224.54142857142855</v>
      </c>
      <c r="G389" s="26">
        <f t="shared" si="143"/>
        <v>223.35538461538465</v>
      </c>
      <c r="H389" s="26">
        <f t="shared" si="148"/>
        <v>218.36060606060605</v>
      </c>
      <c r="I389" s="26">
        <f t="shared" si="150"/>
        <v>223.90933333333334</v>
      </c>
      <c r="J389" s="26">
        <f t="shared" si="134"/>
        <v>223.96770150578882</v>
      </c>
      <c r="K389" s="26">
        <f t="shared" si="135"/>
        <v>223.80290917350078</v>
      </c>
      <c r="L389" s="26">
        <f t="shared" si="153"/>
        <v>216.68375135722357</v>
      </c>
      <c r="V389" s="26">
        <f t="shared" si="144"/>
        <v>223.78170132553234</v>
      </c>
      <c r="W389" s="26">
        <f t="shared" si="147"/>
        <v>223.81485835285523</v>
      </c>
      <c r="X389" s="26">
        <f t="shared" si="146"/>
        <v>-3.3157027322886279E-2</v>
      </c>
      <c r="Y389" s="26">
        <f t="shared" si="149"/>
        <v>8.2285890232422401E-2</v>
      </c>
      <c r="Z389" s="26">
        <v>13352.78</v>
      </c>
      <c r="AA389" s="26">
        <f t="shared" si="154"/>
        <v>218.09272983827918</v>
      </c>
      <c r="AB389" s="27">
        <f t="shared" ref="AB389:AB452" si="155">(AA389-C389)/C389</f>
        <v>-2.3887885072375346E-2</v>
      </c>
      <c r="BK389" s="24">
        <v>44583</v>
      </c>
      <c r="BL389" s="25">
        <v>223.43</v>
      </c>
      <c r="BM389" s="26">
        <f t="shared" si="152"/>
        <v>224.3066666666667</v>
      </c>
      <c r="BN389" s="26">
        <f t="shared" ref="BN389:BN452" si="156">AVERAGE(BL385:BL389)</f>
        <v>224.04400000000001</v>
      </c>
      <c r="BO389" s="26">
        <f t="shared" si="139"/>
        <v>224.54142857142855</v>
      </c>
      <c r="BP389" s="26">
        <f t="shared" si="142"/>
        <v>223.35538461538465</v>
      </c>
      <c r="BQ389" s="26">
        <f t="shared" si="145"/>
        <v>218.36060606060605</v>
      </c>
      <c r="BR389" s="26">
        <f t="shared" si="151"/>
        <v>223.90933333333334</v>
      </c>
      <c r="BS389" s="26">
        <f t="shared" si="136"/>
        <v>223.96770150578882</v>
      </c>
      <c r="BT389" s="26">
        <f t="shared" si="137"/>
        <v>223.80290917350078</v>
      </c>
    </row>
    <row r="390" spans="1:72" x14ac:dyDescent="0.2">
      <c r="A390" s="62"/>
      <c r="B390" s="24">
        <v>44584</v>
      </c>
      <c r="C390" s="25">
        <v>225.14</v>
      </c>
      <c r="D390" s="26">
        <f t="shared" si="138"/>
        <v>224.33</v>
      </c>
      <c r="E390" s="26">
        <f t="shared" si="140"/>
        <v>223.87200000000001</v>
      </c>
      <c r="F390" s="26">
        <f t="shared" si="141"/>
        <v>224.40142857142857</v>
      </c>
      <c r="G390" s="26">
        <f t="shared" si="143"/>
        <v>223.64846153846153</v>
      </c>
      <c r="H390" s="26">
        <f t="shared" si="148"/>
        <v>219.20272727272729</v>
      </c>
      <c r="I390" s="26">
        <f t="shared" si="150"/>
        <v>224.27466666666666</v>
      </c>
      <c r="J390" s="26">
        <f t="shared" ref="J390:J453" si="157">C390*$J$3+J389*(1-$J$3)</f>
        <v>224.43662090347328</v>
      </c>
      <c r="K390" s="26">
        <f t="shared" ref="K390:K453" si="158">C390*$K$3+K389*(1-$K$3)</f>
        <v>224.6051636694003</v>
      </c>
      <c r="L390" s="26">
        <f t="shared" si="153"/>
        <v>216.66891269522347</v>
      </c>
      <c r="V390" s="26">
        <f t="shared" si="144"/>
        <v>223.99067035237351</v>
      </c>
      <c r="W390" s="26">
        <f t="shared" si="147"/>
        <v>223.88231604215957</v>
      </c>
      <c r="X390" s="26">
        <f t="shared" si="146"/>
        <v>0.10835431021394015</v>
      </c>
      <c r="Y390" s="26">
        <f t="shared" si="149"/>
        <v>8.7499574228725965E-2</v>
      </c>
      <c r="Z390" s="26">
        <v>13542.12</v>
      </c>
      <c r="AA390" s="26">
        <f t="shared" si="154"/>
        <v>218.17609043953405</v>
      </c>
      <c r="AB390" s="27">
        <f t="shared" si="155"/>
        <v>-3.0931462914035427E-2</v>
      </c>
      <c r="BK390" s="24">
        <v>44584</v>
      </c>
      <c r="BL390" s="25">
        <v>225.14</v>
      </c>
      <c r="BM390" s="26">
        <f t="shared" si="152"/>
        <v>224.33</v>
      </c>
      <c r="BN390" s="26">
        <f t="shared" si="156"/>
        <v>223.87200000000001</v>
      </c>
      <c r="BO390" s="26">
        <f t="shared" si="139"/>
        <v>224.40142857142857</v>
      </c>
      <c r="BP390" s="26">
        <f t="shared" si="142"/>
        <v>223.64846153846153</v>
      </c>
      <c r="BQ390" s="26">
        <f t="shared" si="145"/>
        <v>219.20272727272729</v>
      </c>
      <c r="BR390" s="26">
        <f t="shared" si="151"/>
        <v>224.27466666666666</v>
      </c>
      <c r="BS390" s="26">
        <f t="shared" ref="BS390:BS453" si="159">BL390*$J$3+BS389*(1-$J$3)</f>
        <v>224.43662090347328</v>
      </c>
      <c r="BT390" s="26">
        <f t="shared" ref="BT390:BT453" si="160">BL390*$K$3+BT389*(1-$K$3)</f>
        <v>224.6051636694003</v>
      </c>
    </row>
    <row r="391" spans="1:72" x14ac:dyDescent="0.2">
      <c r="A391" s="62"/>
      <c r="B391" s="24">
        <v>44585</v>
      </c>
      <c r="C391" s="25">
        <v>225.96</v>
      </c>
      <c r="D391" s="26">
        <f t="shared" ref="D391:D422" si="161">AVERAGE(C389:C391)</f>
        <v>224.84333333333333</v>
      </c>
      <c r="E391" s="26">
        <f t="shared" si="140"/>
        <v>224.804</v>
      </c>
      <c r="F391" s="26">
        <f t="shared" si="141"/>
        <v>224.47428571428574</v>
      </c>
      <c r="G391" s="26">
        <f t="shared" si="143"/>
        <v>224.08999999999997</v>
      </c>
      <c r="H391" s="26">
        <f t="shared" si="148"/>
        <v>220.0151515151515</v>
      </c>
      <c r="I391" s="26">
        <f t="shared" si="150"/>
        <v>224.97066666666666</v>
      </c>
      <c r="J391" s="26">
        <f t="shared" si="157"/>
        <v>225.04597254208397</v>
      </c>
      <c r="K391" s="26">
        <f t="shared" si="158"/>
        <v>225.41806546776013</v>
      </c>
      <c r="L391" s="26">
        <f t="shared" si="153"/>
        <v>216.6540740332234</v>
      </c>
      <c r="V391" s="26">
        <f t="shared" si="144"/>
        <v>224.29364414431603</v>
      </c>
      <c r="W391" s="26">
        <f t="shared" si="147"/>
        <v>224.13654662256806</v>
      </c>
      <c r="X391" s="26">
        <f t="shared" si="146"/>
        <v>0.15709752174797131</v>
      </c>
      <c r="Y391" s="26">
        <f t="shared" si="149"/>
        <v>0.10141916373257504</v>
      </c>
      <c r="Z391" s="26">
        <v>13539.29</v>
      </c>
      <c r="AA391" s="26">
        <f t="shared" si="154"/>
        <v>218.17484447723578</v>
      </c>
      <c r="AB391" s="27">
        <f t="shared" si="155"/>
        <v>-3.445368880671016E-2</v>
      </c>
      <c r="BK391" s="24">
        <v>44585</v>
      </c>
      <c r="BL391" s="25">
        <v>225.96</v>
      </c>
      <c r="BM391" s="26">
        <f t="shared" si="152"/>
        <v>224.84333333333333</v>
      </c>
      <c r="BN391" s="26">
        <f t="shared" si="156"/>
        <v>224.804</v>
      </c>
      <c r="BO391" s="26">
        <f t="shared" ref="BO391:BO454" si="162">AVERAGE(BL385:BL391)</f>
        <v>224.47428571428574</v>
      </c>
      <c r="BP391" s="26">
        <f t="shared" si="142"/>
        <v>224.08999999999997</v>
      </c>
      <c r="BQ391" s="26">
        <f t="shared" si="145"/>
        <v>220.0151515151515</v>
      </c>
      <c r="BR391" s="26">
        <f t="shared" si="151"/>
        <v>224.97066666666666</v>
      </c>
      <c r="BS391" s="26">
        <f t="shared" si="159"/>
        <v>225.04597254208397</v>
      </c>
      <c r="BT391" s="26">
        <f t="shared" si="160"/>
        <v>225.41806546776013</v>
      </c>
    </row>
    <row r="392" spans="1:72" x14ac:dyDescent="0.2">
      <c r="A392" s="62"/>
      <c r="B392" s="24">
        <v>44586</v>
      </c>
      <c r="C392" s="25">
        <v>224.55</v>
      </c>
      <c r="D392" s="26">
        <f t="shared" si="161"/>
        <v>225.2166666666667</v>
      </c>
      <c r="E392" s="26">
        <f t="shared" si="140"/>
        <v>224.7</v>
      </c>
      <c r="F392" s="26">
        <f t="shared" si="141"/>
        <v>224.26714285714289</v>
      </c>
      <c r="G392" s="26">
        <f t="shared" si="143"/>
        <v>224.30769230769232</v>
      </c>
      <c r="H392" s="26">
        <f t="shared" si="148"/>
        <v>220.74060606060604</v>
      </c>
      <c r="I392" s="26">
        <f t="shared" si="150"/>
        <v>224.88600000000002</v>
      </c>
      <c r="J392" s="26">
        <f t="shared" si="157"/>
        <v>224.8475835252504</v>
      </c>
      <c r="K392" s="26">
        <f t="shared" si="158"/>
        <v>224.89722618710405</v>
      </c>
      <c r="L392" s="26">
        <f t="shared" si="153"/>
        <v>216.63923537122329</v>
      </c>
      <c r="V392" s="26">
        <f t="shared" si="144"/>
        <v>224.33308350672897</v>
      </c>
      <c r="W392" s="26">
        <f t="shared" si="147"/>
        <v>224.31263346695928</v>
      </c>
      <c r="X392" s="26">
        <f t="shared" si="146"/>
        <v>2.0450039769684736E-2</v>
      </c>
      <c r="Y392" s="26">
        <f t="shared" si="149"/>
        <v>8.5225338939996981E-2</v>
      </c>
      <c r="Z392" s="26">
        <v>13855.13</v>
      </c>
      <c r="AA392" s="26">
        <f t="shared" si="154"/>
        <v>218.31389915295318</v>
      </c>
      <c r="AB392" s="27">
        <f t="shared" si="155"/>
        <v>-2.7771546858369304E-2</v>
      </c>
      <c r="BK392" s="24">
        <v>44586</v>
      </c>
      <c r="BL392" s="25">
        <v>224.55</v>
      </c>
      <c r="BM392" s="26">
        <f t="shared" si="152"/>
        <v>225.2166666666667</v>
      </c>
      <c r="BN392" s="26">
        <f t="shared" si="156"/>
        <v>224.7</v>
      </c>
      <c r="BO392" s="26">
        <f t="shared" si="162"/>
        <v>224.26714285714289</v>
      </c>
      <c r="BP392" s="26">
        <f t="shared" si="142"/>
        <v>224.30769230769232</v>
      </c>
      <c r="BQ392" s="26">
        <f t="shared" si="145"/>
        <v>220.74060606060604</v>
      </c>
      <c r="BR392" s="26">
        <f t="shared" si="151"/>
        <v>224.88600000000002</v>
      </c>
      <c r="BS392" s="26">
        <f t="shared" si="159"/>
        <v>224.8475835252504</v>
      </c>
      <c r="BT392" s="26">
        <f t="shared" si="160"/>
        <v>224.89722618710405</v>
      </c>
    </row>
    <row r="393" spans="1:72" x14ac:dyDescent="0.2">
      <c r="A393" s="62"/>
      <c r="B393" s="24">
        <v>44587</v>
      </c>
      <c r="C393" s="25">
        <v>222.34</v>
      </c>
      <c r="D393" s="26">
        <f t="shared" si="161"/>
        <v>224.28333333333333</v>
      </c>
      <c r="E393" s="26">
        <f t="shared" ref="E393:E456" si="163">AVERAGE(C389:C393)</f>
        <v>224.28399999999996</v>
      </c>
      <c r="F393" s="26">
        <f t="shared" si="141"/>
        <v>224.41571428571427</v>
      </c>
      <c r="G393" s="26">
        <f t="shared" si="143"/>
        <v>224.45692307692312</v>
      </c>
      <c r="H393" s="26">
        <f t="shared" si="148"/>
        <v>221.16060606060606</v>
      </c>
      <c r="I393" s="26">
        <f t="shared" si="150"/>
        <v>224.09933333333336</v>
      </c>
      <c r="J393" s="26">
        <f t="shared" si="157"/>
        <v>223.84455011515024</v>
      </c>
      <c r="K393" s="26">
        <f t="shared" si="158"/>
        <v>223.36289047484161</v>
      </c>
      <c r="L393" s="26">
        <f t="shared" si="153"/>
        <v>216.62439670922319</v>
      </c>
      <c r="V393" s="26">
        <f t="shared" si="144"/>
        <v>224.02645527492453</v>
      </c>
      <c r="W393" s="26">
        <f t="shared" si="147"/>
        <v>224.1854476914157</v>
      </c>
      <c r="X393" s="26">
        <f t="shared" si="146"/>
        <v>-0.15899241649117357</v>
      </c>
      <c r="Y393" s="26">
        <f t="shared" si="149"/>
        <v>3.6381787853762865E-2</v>
      </c>
      <c r="Z393" s="26">
        <v>13768.92</v>
      </c>
      <c r="AA393" s="26">
        <f t="shared" si="154"/>
        <v>218.2759435311396</v>
      </c>
      <c r="AB393" s="27">
        <f t="shared" si="155"/>
        <v>-1.827856646964289E-2</v>
      </c>
      <c r="BK393" s="24">
        <v>44587</v>
      </c>
      <c r="BL393" s="25">
        <v>222.34</v>
      </c>
      <c r="BM393" s="26">
        <f t="shared" si="152"/>
        <v>224.28333333333333</v>
      </c>
      <c r="BN393" s="26">
        <f t="shared" si="156"/>
        <v>224.28399999999996</v>
      </c>
      <c r="BO393" s="26">
        <f t="shared" si="162"/>
        <v>224.41571428571427</v>
      </c>
      <c r="BP393" s="26">
        <f t="shared" si="142"/>
        <v>224.45692307692312</v>
      </c>
      <c r="BQ393" s="26">
        <f t="shared" si="145"/>
        <v>221.16060606060606</v>
      </c>
      <c r="BR393" s="26">
        <f t="shared" si="151"/>
        <v>224.09933333333336</v>
      </c>
      <c r="BS393" s="26">
        <f t="shared" si="159"/>
        <v>223.84455011515024</v>
      </c>
      <c r="BT393" s="26">
        <f t="shared" si="160"/>
        <v>223.36289047484161</v>
      </c>
    </row>
    <row r="394" spans="1:72" x14ac:dyDescent="0.2">
      <c r="A394" s="62"/>
      <c r="B394" s="24">
        <v>44588</v>
      </c>
      <c r="C394" s="25">
        <v>222.88</v>
      </c>
      <c r="D394" s="26">
        <f t="shared" si="161"/>
        <v>223.25666666666666</v>
      </c>
      <c r="E394" s="26">
        <f t="shared" si="163"/>
        <v>224.17400000000004</v>
      </c>
      <c r="F394" s="26">
        <f t="shared" si="141"/>
        <v>224.10285714285712</v>
      </c>
      <c r="G394" s="26">
        <f t="shared" si="143"/>
        <v>224.48615384615388</v>
      </c>
      <c r="H394" s="26">
        <f t="shared" si="148"/>
        <v>221.72272727272727</v>
      </c>
      <c r="I394" s="26">
        <f t="shared" si="150"/>
        <v>223.63133333333334</v>
      </c>
      <c r="J394" s="26">
        <f t="shared" si="157"/>
        <v>223.45873006909017</v>
      </c>
      <c r="K394" s="26">
        <f t="shared" si="158"/>
        <v>223.07315618993664</v>
      </c>
      <c r="L394" s="26">
        <f t="shared" si="153"/>
        <v>216.60955804722312</v>
      </c>
      <c r="V394" s="26">
        <f t="shared" si="144"/>
        <v>223.85007754032074</v>
      </c>
      <c r="W394" s="26">
        <f t="shared" si="147"/>
        <v>223.94153266196713</v>
      </c>
      <c r="X394" s="26">
        <f t="shared" si="146"/>
        <v>-9.145512164639058E-2</v>
      </c>
      <c r="Y394" s="26">
        <f t="shared" si="149"/>
        <v>1.0814405953732176E-2</v>
      </c>
      <c r="Z394" s="26">
        <v>14154.02</v>
      </c>
      <c r="AA394" s="26">
        <f t="shared" si="154"/>
        <v>218.44549126296198</v>
      </c>
      <c r="AB394" s="27">
        <f t="shared" si="155"/>
        <v>-1.9896395984556784E-2</v>
      </c>
      <c r="BK394" s="24">
        <v>44588</v>
      </c>
      <c r="BL394" s="25">
        <v>222.88</v>
      </c>
      <c r="BM394" s="26">
        <f t="shared" si="152"/>
        <v>223.25666666666666</v>
      </c>
      <c r="BN394" s="26">
        <f t="shared" si="156"/>
        <v>224.17400000000004</v>
      </c>
      <c r="BO394" s="26">
        <f t="shared" si="162"/>
        <v>224.10285714285712</v>
      </c>
      <c r="BP394" s="26">
        <f t="shared" si="142"/>
        <v>224.48615384615388</v>
      </c>
      <c r="BQ394" s="26">
        <f t="shared" si="145"/>
        <v>221.72272727272727</v>
      </c>
      <c r="BR394" s="26">
        <f t="shared" si="151"/>
        <v>223.63133333333334</v>
      </c>
      <c r="BS394" s="26">
        <f t="shared" si="159"/>
        <v>223.45873006909017</v>
      </c>
      <c r="BT394" s="26">
        <f t="shared" si="160"/>
        <v>223.07315618993664</v>
      </c>
    </row>
    <row r="395" spans="1:72" x14ac:dyDescent="0.2">
      <c r="A395" s="62"/>
      <c r="B395" s="24">
        <v>44589</v>
      </c>
      <c r="C395" s="25">
        <v>230.33</v>
      </c>
      <c r="D395" s="26">
        <f t="shared" si="161"/>
        <v>225.18333333333337</v>
      </c>
      <c r="E395" s="26">
        <f t="shared" si="163"/>
        <v>225.21199999999999</v>
      </c>
      <c r="F395" s="26">
        <f t="shared" ref="F395:F423" si="164">AVERAGE(C389:C395)</f>
        <v>224.94714285714281</v>
      </c>
      <c r="G395" s="26">
        <f t="shared" si="143"/>
        <v>224.84538461538463</v>
      </c>
      <c r="H395" s="26">
        <f t="shared" si="148"/>
        <v>222.48000000000002</v>
      </c>
      <c r="I395" s="26">
        <f t="shared" si="150"/>
        <v>225.68333333333334</v>
      </c>
      <c r="J395" s="26">
        <f t="shared" si="157"/>
        <v>226.2072380414541</v>
      </c>
      <c r="K395" s="26">
        <f t="shared" si="158"/>
        <v>227.42726247597466</v>
      </c>
      <c r="L395" s="26">
        <f t="shared" si="153"/>
        <v>216.59471938522302</v>
      </c>
      <c r="V395" s="26">
        <f t="shared" si="144"/>
        <v>224.84698868796369</v>
      </c>
      <c r="W395" s="26">
        <f t="shared" si="147"/>
        <v>224.33007179659327</v>
      </c>
      <c r="X395" s="26">
        <f t="shared" si="146"/>
        <v>0.51691689137041408</v>
      </c>
      <c r="Y395" s="26">
        <f t="shared" si="149"/>
        <v>0.11203490303706856</v>
      </c>
      <c r="Z395" s="26">
        <v>14340.25</v>
      </c>
      <c r="AA395" s="26">
        <f t="shared" si="154"/>
        <v>218.52748262649683</v>
      </c>
      <c r="AB395" s="27">
        <f t="shared" si="155"/>
        <v>-5.1241772124791293E-2</v>
      </c>
      <c r="BK395" s="24">
        <v>44589</v>
      </c>
      <c r="BL395" s="25">
        <v>230.33</v>
      </c>
      <c r="BM395" s="26">
        <f t="shared" si="152"/>
        <v>225.18333333333337</v>
      </c>
      <c r="BN395" s="26">
        <f t="shared" si="156"/>
        <v>225.21199999999999</v>
      </c>
      <c r="BO395" s="26">
        <f t="shared" si="162"/>
        <v>224.94714285714281</v>
      </c>
      <c r="BP395" s="26">
        <f t="shared" si="142"/>
        <v>224.84538461538463</v>
      </c>
      <c r="BQ395" s="26">
        <f t="shared" si="145"/>
        <v>222.48000000000002</v>
      </c>
      <c r="BR395" s="26">
        <f t="shared" si="151"/>
        <v>225.68333333333334</v>
      </c>
      <c r="BS395" s="26">
        <f t="shared" si="159"/>
        <v>226.2072380414541</v>
      </c>
      <c r="BT395" s="26">
        <f t="shared" si="160"/>
        <v>227.42726247597466</v>
      </c>
    </row>
    <row r="396" spans="1:72" x14ac:dyDescent="0.2">
      <c r="A396" s="62"/>
      <c r="B396" s="24">
        <v>44590</v>
      </c>
      <c r="C396" s="25">
        <v>227</v>
      </c>
      <c r="D396" s="26">
        <f t="shared" si="161"/>
        <v>226.73666666666668</v>
      </c>
      <c r="E396" s="26">
        <f t="shared" si="163"/>
        <v>225.42</v>
      </c>
      <c r="F396" s="26">
        <f t="shared" si="164"/>
        <v>225.45714285714286</v>
      </c>
      <c r="G396" s="26">
        <f t="shared" si="143"/>
        <v>224.91307692307691</v>
      </c>
      <c r="H396" s="26">
        <f t="shared" si="148"/>
        <v>223.15545454545455</v>
      </c>
      <c r="I396" s="26">
        <f t="shared" si="150"/>
        <v>226.27933333333334</v>
      </c>
      <c r="J396" s="26">
        <f t="shared" si="157"/>
        <v>226.52434282487246</v>
      </c>
      <c r="K396" s="26">
        <f t="shared" si="158"/>
        <v>227.17090499038986</v>
      </c>
      <c r="L396" s="26">
        <f t="shared" si="153"/>
        <v>216.57988072322291</v>
      </c>
      <c r="V396" s="26">
        <f t="shared" si="144"/>
        <v>225.17822119750775</v>
      </c>
      <c r="W396" s="26">
        <f t="shared" si="147"/>
        <v>225.00647100737379</v>
      </c>
      <c r="X396" s="26">
        <f t="shared" si="146"/>
        <v>0.17175019013396309</v>
      </c>
      <c r="Y396" s="26">
        <f t="shared" si="149"/>
        <v>0.12397796045644746</v>
      </c>
      <c r="Z396" s="26">
        <v>14506.9</v>
      </c>
      <c r="AA396" s="26">
        <f t="shared" si="154"/>
        <v>218.60085351589748</v>
      </c>
      <c r="AB396" s="27">
        <f t="shared" si="155"/>
        <v>-3.7000645304416373E-2</v>
      </c>
      <c r="BK396" s="24">
        <v>44590</v>
      </c>
      <c r="BL396" s="25">
        <v>227</v>
      </c>
      <c r="BM396" s="26">
        <f t="shared" si="152"/>
        <v>226.73666666666668</v>
      </c>
      <c r="BN396" s="26">
        <f t="shared" si="156"/>
        <v>225.42</v>
      </c>
      <c r="BO396" s="26">
        <f t="shared" si="162"/>
        <v>225.45714285714286</v>
      </c>
      <c r="BP396" s="26">
        <f t="shared" si="142"/>
        <v>224.91307692307691</v>
      </c>
      <c r="BQ396" s="26">
        <f t="shared" si="145"/>
        <v>223.15545454545455</v>
      </c>
      <c r="BR396" s="26">
        <f t="shared" si="151"/>
        <v>226.27933333333334</v>
      </c>
      <c r="BS396" s="26">
        <f t="shared" si="159"/>
        <v>226.52434282487246</v>
      </c>
      <c r="BT396" s="26">
        <f t="shared" si="160"/>
        <v>227.17090499038986</v>
      </c>
    </row>
    <row r="397" spans="1:72" x14ac:dyDescent="0.2">
      <c r="A397" s="62"/>
      <c r="B397" s="24">
        <v>44591</v>
      </c>
      <c r="C397" s="25">
        <v>221.52</v>
      </c>
      <c r="D397" s="26">
        <f t="shared" si="161"/>
        <v>226.28333333333333</v>
      </c>
      <c r="E397" s="26">
        <f t="shared" si="163"/>
        <v>224.81400000000002</v>
      </c>
      <c r="F397" s="26">
        <f t="shared" si="164"/>
        <v>224.94</v>
      </c>
      <c r="G397" s="26">
        <f t="shared" si="143"/>
        <v>224.61076923076922</v>
      </c>
      <c r="H397" s="26">
        <f t="shared" si="148"/>
        <v>223.44363636363639</v>
      </c>
      <c r="I397" s="26">
        <f t="shared" si="150"/>
        <v>224.97933333333336</v>
      </c>
      <c r="J397" s="26">
        <f t="shared" si="157"/>
        <v>224.52260569492347</v>
      </c>
      <c r="K397" s="26">
        <f t="shared" si="158"/>
        <v>223.78036199615596</v>
      </c>
      <c r="L397" s="26">
        <f t="shared" si="153"/>
        <v>216.56504206122284</v>
      </c>
      <c r="V397" s="26">
        <f t="shared" si="144"/>
        <v>224.61541793635271</v>
      </c>
      <c r="W397" s="26">
        <f t="shared" si="147"/>
        <v>224.90724184954422</v>
      </c>
      <c r="X397" s="26">
        <f t="shared" si="146"/>
        <v>-0.29182391319150724</v>
      </c>
      <c r="Y397" s="26">
        <f t="shared" si="149"/>
        <v>4.081758572685653E-2</v>
      </c>
      <c r="Z397" s="26">
        <v>14893.75</v>
      </c>
      <c r="AA397" s="26">
        <f t="shared" si="154"/>
        <v>218.77117171910569</v>
      </c>
      <c r="AB397" s="27">
        <f t="shared" si="155"/>
        <v>-1.2408939512885136E-2</v>
      </c>
      <c r="BK397" s="24">
        <v>44591</v>
      </c>
      <c r="BL397" s="25">
        <v>221.52</v>
      </c>
      <c r="BM397" s="26">
        <f t="shared" si="152"/>
        <v>226.28333333333333</v>
      </c>
      <c r="BN397" s="26">
        <f t="shared" si="156"/>
        <v>224.81400000000002</v>
      </c>
      <c r="BO397" s="26">
        <f t="shared" si="162"/>
        <v>224.94</v>
      </c>
      <c r="BP397" s="26">
        <f t="shared" ref="BP397:BP460" si="165">AVERAGE(BL385:BL397)</f>
        <v>224.61076923076922</v>
      </c>
      <c r="BQ397" s="26">
        <f t="shared" si="145"/>
        <v>223.44363636363639</v>
      </c>
      <c r="BR397" s="26">
        <f t="shared" si="151"/>
        <v>224.97933333333336</v>
      </c>
      <c r="BS397" s="26">
        <f t="shared" si="159"/>
        <v>224.52260569492347</v>
      </c>
      <c r="BT397" s="26">
        <f t="shared" si="160"/>
        <v>223.78036199615596</v>
      </c>
    </row>
    <row r="398" spans="1:72" x14ac:dyDescent="0.2">
      <c r="A398" s="63"/>
      <c r="B398" s="24">
        <v>44592</v>
      </c>
      <c r="C398" s="25">
        <v>220.92</v>
      </c>
      <c r="D398" s="26">
        <f t="shared" si="161"/>
        <v>223.14666666666665</v>
      </c>
      <c r="E398" s="26">
        <f t="shared" si="163"/>
        <v>224.53000000000003</v>
      </c>
      <c r="F398" s="26">
        <f t="shared" si="164"/>
        <v>224.22</v>
      </c>
      <c r="G398" s="26">
        <f t="shared" si="143"/>
        <v>224.22</v>
      </c>
      <c r="H398" s="26">
        <f t="shared" si="148"/>
        <v>223.57515151515153</v>
      </c>
      <c r="I398" s="26">
        <f t="shared" si="150"/>
        <v>223.68133333333333</v>
      </c>
      <c r="J398" s="26">
        <f t="shared" si="157"/>
        <v>223.08156341695408</v>
      </c>
      <c r="K398" s="26">
        <f t="shared" si="158"/>
        <v>222.06414479846239</v>
      </c>
      <c r="L398" s="26">
        <f t="shared" si="153"/>
        <v>216.55020339922274</v>
      </c>
      <c r="V398" s="26">
        <f t="shared" si="144"/>
        <v>224.04689209999074</v>
      </c>
      <c r="W398" s="26">
        <f t="shared" si="147"/>
        <v>224.34168327440065</v>
      </c>
      <c r="X398" s="26">
        <f t="shared" si="146"/>
        <v>-0.29479117440990876</v>
      </c>
      <c r="Y398" s="26">
        <f t="shared" si="149"/>
        <v>-2.6304166300496534E-2</v>
      </c>
      <c r="Z398" s="26">
        <v>14806.81</v>
      </c>
      <c r="AA398" s="26">
        <f t="shared" si="154"/>
        <v>218.73289470065689</v>
      </c>
      <c r="AB398" s="27">
        <f t="shared" si="155"/>
        <v>-9.8999877754078498E-3</v>
      </c>
      <c r="BK398" s="24">
        <v>44592</v>
      </c>
      <c r="BL398" s="25">
        <v>220.92</v>
      </c>
      <c r="BM398" s="26">
        <f t="shared" si="152"/>
        <v>223.14666666666665</v>
      </c>
      <c r="BN398" s="26">
        <f t="shared" si="156"/>
        <v>224.53000000000003</v>
      </c>
      <c r="BO398" s="26">
        <f t="shared" si="162"/>
        <v>224.22</v>
      </c>
      <c r="BP398" s="26">
        <f t="shared" si="165"/>
        <v>224.22</v>
      </c>
      <c r="BQ398" s="26">
        <f t="shared" si="145"/>
        <v>223.57515151515153</v>
      </c>
      <c r="BR398" s="26">
        <f t="shared" si="151"/>
        <v>223.68133333333333</v>
      </c>
      <c r="BS398" s="26">
        <f t="shared" si="159"/>
        <v>223.08156341695408</v>
      </c>
      <c r="BT398" s="26">
        <f t="shared" si="160"/>
        <v>222.06414479846239</v>
      </c>
    </row>
    <row r="399" spans="1:72" x14ac:dyDescent="0.2">
      <c r="A399" s="73">
        <v>44593</v>
      </c>
      <c r="B399" s="24">
        <v>44593</v>
      </c>
      <c r="C399" s="25">
        <v>220.37</v>
      </c>
      <c r="D399" s="26">
        <f t="shared" si="161"/>
        <v>220.93666666666664</v>
      </c>
      <c r="E399" s="26">
        <f t="shared" si="163"/>
        <v>224.02799999999996</v>
      </c>
      <c r="F399" s="26">
        <f t="shared" si="164"/>
        <v>223.62285714285716</v>
      </c>
      <c r="G399" s="26">
        <f t="shared" si="143"/>
        <v>224.14846153846153</v>
      </c>
      <c r="H399" s="26">
        <f t="shared" si="148"/>
        <v>223.88393939393939</v>
      </c>
      <c r="I399" s="26">
        <f t="shared" si="150"/>
        <v>222.29466666666664</v>
      </c>
      <c r="J399" s="26">
        <f t="shared" si="157"/>
        <v>221.99693805017245</v>
      </c>
      <c r="K399" s="26">
        <f t="shared" si="158"/>
        <v>221.04765791938496</v>
      </c>
      <c r="L399" s="26">
        <f t="shared" si="153"/>
        <v>216.53536473722264</v>
      </c>
      <c r="V399" s="26">
        <f t="shared" si="144"/>
        <v>223.48121639229987</v>
      </c>
      <c r="W399" s="26">
        <f t="shared" si="147"/>
        <v>223.77452972221366</v>
      </c>
      <c r="X399" s="26">
        <f t="shared" si="146"/>
        <v>-0.29331332991378645</v>
      </c>
      <c r="Y399" s="26">
        <f t="shared" si="149"/>
        <v>-7.970599902315452E-2</v>
      </c>
      <c r="Z399" s="26">
        <v>15644.97</v>
      </c>
      <c r="AA399" s="26">
        <f t="shared" si="154"/>
        <v>219.10191087023421</v>
      </c>
      <c r="AB399" s="27">
        <f t="shared" si="155"/>
        <v>-5.7543637054308563E-3</v>
      </c>
      <c r="BK399" s="24">
        <v>44593</v>
      </c>
      <c r="BL399" s="25">
        <v>220.37</v>
      </c>
      <c r="BM399" s="26">
        <f t="shared" si="152"/>
        <v>220.93666666666664</v>
      </c>
      <c r="BN399" s="26">
        <f t="shared" si="156"/>
        <v>224.02799999999996</v>
      </c>
      <c r="BO399" s="26">
        <f t="shared" si="162"/>
        <v>223.62285714285716</v>
      </c>
      <c r="BP399" s="26">
        <f t="shared" si="165"/>
        <v>224.14846153846153</v>
      </c>
      <c r="BQ399" s="26">
        <f t="shared" si="145"/>
        <v>223.88393939393939</v>
      </c>
      <c r="BR399" s="26">
        <f t="shared" si="151"/>
        <v>222.29466666666664</v>
      </c>
      <c r="BS399" s="26">
        <f t="shared" si="159"/>
        <v>221.99693805017245</v>
      </c>
      <c r="BT399" s="26">
        <f t="shared" si="160"/>
        <v>221.04765791938496</v>
      </c>
    </row>
    <row r="400" spans="1:72" x14ac:dyDescent="0.2">
      <c r="A400" s="74"/>
      <c r="B400" s="24">
        <v>44594</v>
      </c>
      <c r="C400" s="25">
        <v>221.53</v>
      </c>
      <c r="D400" s="26">
        <f t="shared" si="161"/>
        <v>220.93999999999997</v>
      </c>
      <c r="E400" s="26">
        <f t="shared" si="163"/>
        <v>222.26799999999997</v>
      </c>
      <c r="F400" s="26">
        <f t="shared" si="164"/>
        <v>223.50714285714284</v>
      </c>
      <c r="G400" s="26">
        <f t="shared" si="143"/>
        <v>223.87615384615384</v>
      </c>
      <c r="H400" s="26">
        <f t="shared" si="148"/>
        <v>224.16969696969699</v>
      </c>
      <c r="I400" s="26">
        <f t="shared" si="150"/>
        <v>221.46200000000002</v>
      </c>
      <c r="J400" s="26">
        <f t="shared" si="157"/>
        <v>221.81016283010348</v>
      </c>
      <c r="K400" s="26">
        <f t="shared" si="158"/>
        <v>221.337063167754</v>
      </c>
      <c r="L400" s="26">
        <f t="shared" si="153"/>
        <v>216.52052607522256</v>
      </c>
      <c r="V400" s="26">
        <f t="shared" si="144"/>
        <v>223.18102925502296</v>
      </c>
      <c r="W400" s="26">
        <f t="shared" si="147"/>
        <v>223.33668184472211</v>
      </c>
      <c r="X400" s="26">
        <f t="shared" si="146"/>
        <v>-0.15565258969914453</v>
      </c>
      <c r="Y400" s="26">
        <f t="shared" si="149"/>
        <v>-9.4895317158352518E-2</v>
      </c>
      <c r="Z400" s="26">
        <v>15741.56</v>
      </c>
      <c r="AA400" s="26">
        <f t="shared" si="154"/>
        <v>219.14443648803925</v>
      </c>
      <c r="AB400" s="27">
        <f t="shared" si="155"/>
        <v>-1.0768579930306298E-2</v>
      </c>
      <c r="BK400" s="24">
        <v>44594</v>
      </c>
      <c r="BL400" s="25">
        <v>221.53</v>
      </c>
      <c r="BM400" s="26">
        <f t="shared" si="152"/>
        <v>220.93999999999997</v>
      </c>
      <c r="BN400" s="26">
        <f t="shared" si="156"/>
        <v>222.26799999999997</v>
      </c>
      <c r="BO400" s="26">
        <f t="shared" si="162"/>
        <v>223.50714285714284</v>
      </c>
      <c r="BP400" s="26">
        <f t="shared" si="165"/>
        <v>223.87615384615384</v>
      </c>
      <c r="BQ400" s="26">
        <f t="shared" si="145"/>
        <v>224.16969696969699</v>
      </c>
      <c r="BR400" s="26">
        <f t="shared" si="151"/>
        <v>221.46200000000002</v>
      </c>
      <c r="BS400" s="26">
        <f t="shared" si="159"/>
        <v>221.81016283010348</v>
      </c>
      <c r="BT400" s="26">
        <f t="shared" si="160"/>
        <v>221.337063167754</v>
      </c>
    </row>
    <row r="401" spans="1:72" x14ac:dyDescent="0.2">
      <c r="A401" s="74"/>
      <c r="B401" s="24">
        <v>44595</v>
      </c>
      <c r="C401" s="25">
        <v>222.49</v>
      </c>
      <c r="D401" s="26">
        <f t="shared" si="161"/>
        <v>221.46333333333334</v>
      </c>
      <c r="E401" s="26">
        <f t="shared" si="163"/>
        <v>221.36599999999999</v>
      </c>
      <c r="F401" s="26">
        <f t="shared" si="164"/>
        <v>223.45142857142855</v>
      </c>
      <c r="G401" s="26">
        <f t="shared" ref="G401:G423" si="166">AVERAGE(C389:C401)</f>
        <v>223.72769230769231</v>
      </c>
      <c r="H401" s="26">
        <f t="shared" si="148"/>
        <v>224.2469696969697</v>
      </c>
      <c r="I401" s="26">
        <f t="shared" si="150"/>
        <v>221.53600000000003</v>
      </c>
      <c r="J401" s="26">
        <f t="shared" si="157"/>
        <v>222.08209769806209</v>
      </c>
      <c r="K401" s="26">
        <f t="shared" si="158"/>
        <v>222.02882526710161</v>
      </c>
      <c r="L401" s="26">
        <f t="shared" si="153"/>
        <v>216.50568741322246</v>
      </c>
      <c r="V401" s="26">
        <f t="shared" ref="V401:V464" si="167">C401*(2/(12+1))+V400*(1-(2/(12+1)))</f>
        <v>223.07471706194252</v>
      </c>
      <c r="W401" s="26">
        <f t="shared" si="147"/>
        <v>223.12984190279903</v>
      </c>
      <c r="X401" s="26">
        <f t="shared" si="146"/>
        <v>-5.5124840856507262E-2</v>
      </c>
      <c r="Y401" s="26">
        <f t="shared" si="149"/>
        <v>-8.6941221897983478E-2</v>
      </c>
      <c r="Z401" s="26">
        <v>15766.22</v>
      </c>
      <c r="AA401" s="26">
        <f t="shared" si="154"/>
        <v>219.15529353053921</v>
      </c>
      <c r="AB401" s="27">
        <f t="shared" si="155"/>
        <v>-1.4988118429865601E-2</v>
      </c>
      <c r="BK401" s="24">
        <v>44595</v>
      </c>
      <c r="BL401" s="25">
        <v>222.49</v>
      </c>
      <c r="BM401" s="26">
        <f t="shared" si="152"/>
        <v>221.46333333333334</v>
      </c>
      <c r="BN401" s="26">
        <f t="shared" si="156"/>
        <v>221.36599999999999</v>
      </c>
      <c r="BO401" s="26">
        <f t="shared" si="162"/>
        <v>223.45142857142855</v>
      </c>
      <c r="BP401" s="26">
        <f t="shared" si="165"/>
        <v>223.72769230769231</v>
      </c>
      <c r="BQ401" s="26">
        <f t="shared" si="145"/>
        <v>224.2469696969697</v>
      </c>
      <c r="BR401" s="26">
        <f t="shared" si="151"/>
        <v>221.53600000000003</v>
      </c>
      <c r="BS401" s="26">
        <f t="shared" si="159"/>
        <v>222.08209769806209</v>
      </c>
      <c r="BT401" s="26">
        <f t="shared" si="160"/>
        <v>222.02882526710161</v>
      </c>
    </row>
    <row r="402" spans="1:72" x14ac:dyDescent="0.2">
      <c r="A402" s="74"/>
      <c r="B402" s="24">
        <v>44596</v>
      </c>
      <c r="C402" s="25">
        <v>220.31</v>
      </c>
      <c r="D402" s="26">
        <f t="shared" si="161"/>
        <v>221.4433333333333</v>
      </c>
      <c r="E402" s="26">
        <f t="shared" si="163"/>
        <v>221.12399999999997</v>
      </c>
      <c r="F402" s="26">
        <f t="shared" si="164"/>
        <v>222.01999999999998</v>
      </c>
      <c r="G402" s="26">
        <f t="shared" si="166"/>
        <v>223.48769230769236</v>
      </c>
      <c r="H402" s="26">
        <f t="shared" si="148"/>
        <v>224.46515151515155</v>
      </c>
      <c r="I402" s="26">
        <f t="shared" si="150"/>
        <v>221.18400000000003</v>
      </c>
      <c r="J402" s="26">
        <f t="shared" si="157"/>
        <v>221.37325861883727</v>
      </c>
      <c r="K402" s="26">
        <f t="shared" si="158"/>
        <v>220.99753010684066</v>
      </c>
      <c r="L402" s="26">
        <f t="shared" si="153"/>
        <v>216.49084875122236</v>
      </c>
      <c r="V402" s="26">
        <f t="shared" si="167"/>
        <v>222.64937597548982</v>
      </c>
      <c r="W402" s="26">
        <f t="shared" si="147"/>
        <v>222.86992320550235</v>
      </c>
      <c r="X402" s="26">
        <f t="shared" si="146"/>
        <v>-0.22054723001252796</v>
      </c>
      <c r="Y402" s="26">
        <f t="shared" si="149"/>
        <v>-0.11366242352089237</v>
      </c>
      <c r="Z402" s="26">
        <v>15781.72</v>
      </c>
      <c r="AA402" s="26">
        <f t="shared" si="154"/>
        <v>219.16211770567099</v>
      </c>
      <c r="AB402" s="27">
        <f t="shared" si="155"/>
        <v>-5.2103049989969058E-3</v>
      </c>
      <c r="BK402" s="24">
        <v>44596</v>
      </c>
      <c r="BL402" s="25">
        <v>220.31</v>
      </c>
      <c r="BM402" s="26">
        <f t="shared" si="152"/>
        <v>221.4433333333333</v>
      </c>
      <c r="BN402" s="26">
        <f t="shared" si="156"/>
        <v>221.12399999999997</v>
      </c>
      <c r="BO402" s="26">
        <f t="shared" si="162"/>
        <v>222.01999999999998</v>
      </c>
      <c r="BP402" s="26">
        <f t="shared" si="165"/>
        <v>223.48769230769236</v>
      </c>
      <c r="BQ402" s="26">
        <f t="shared" si="145"/>
        <v>224.46515151515155</v>
      </c>
      <c r="BR402" s="26">
        <f t="shared" si="151"/>
        <v>221.18400000000003</v>
      </c>
      <c r="BS402" s="26">
        <f t="shared" si="159"/>
        <v>221.37325861883727</v>
      </c>
      <c r="BT402" s="26">
        <f t="shared" si="160"/>
        <v>220.99753010684066</v>
      </c>
    </row>
    <row r="403" spans="1:72" x14ac:dyDescent="0.2">
      <c r="A403" s="74"/>
      <c r="B403" s="24">
        <v>44597</v>
      </c>
      <c r="C403" s="25">
        <v>218.94</v>
      </c>
      <c r="D403" s="26">
        <f t="shared" si="161"/>
        <v>220.58</v>
      </c>
      <c r="E403" s="26">
        <f t="shared" si="163"/>
        <v>220.72800000000001</v>
      </c>
      <c r="F403" s="26">
        <f t="shared" si="164"/>
        <v>220.86857142857141</v>
      </c>
      <c r="G403" s="26">
        <f t="shared" si="166"/>
        <v>223.01076923076926</v>
      </c>
      <c r="H403" s="26">
        <f t="shared" si="148"/>
        <v>224.52151515151519</v>
      </c>
      <c r="I403" s="26">
        <f t="shared" si="150"/>
        <v>220.45599999999999</v>
      </c>
      <c r="J403" s="26">
        <f t="shared" si="157"/>
        <v>220.39995517130234</v>
      </c>
      <c r="K403" s="26">
        <f t="shared" si="158"/>
        <v>219.76301204273628</v>
      </c>
      <c r="L403" s="26">
        <f t="shared" si="153"/>
        <v>216.47601008922229</v>
      </c>
      <c r="V403" s="26">
        <f t="shared" si="167"/>
        <v>222.07870274849139</v>
      </c>
      <c r="W403" s="26">
        <f t="shared" si="147"/>
        <v>222.37460738471279</v>
      </c>
      <c r="X403" s="26">
        <f t="shared" si="146"/>
        <v>-0.29590463622139396</v>
      </c>
      <c r="Y403" s="26">
        <f t="shared" si="149"/>
        <v>-0.15011086606099269</v>
      </c>
      <c r="Z403" s="26">
        <v>15871.26</v>
      </c>
      <c r="AA403" s="26">
        <f t="shared" si="154"/>
        <v>219.20153942446447</v>
      </c>
      <c r="AB403" s="27">
        <f t="shared" si="155"/>
        <v>1.1945712271146127E-3</v>
      </c>
      <c r="BK403" s="24">
        <v>44597</v>
      </c>
      <c r="BL403" s="25">
        <v>218.94</v>
      </c>
      <c r="BM403" s="26">
        <f t="shared" si="152"/>
        <v>220.58</v>
      </c>
      <c r="BN403" s="26">
        <f t="shared" si="156"/>
        <v>220.72800000000001</v>
      </c>
      <c r="BO403" s="26">
        <f t="shared" si="162"/>
        <v>220.86857142857141</v>
      </c>
      <c r="BP403" s="26">
        <f t="shared" si="165"/>
        <v>223.01076923076926</v>
      </c>
      <c r="BQ403" s="26">
        <f t="shared" si="145"/>
        <v>224.52151515151519</v>
      </c>
      <c r="BR403" s="26">
        <f t="shared" si="151"/>
        <v>220.45599999999999</v>
      </c>
      <c r="BS403" s="26">
        <f t="shared" si="159"/>
        <v>220.39995517130234</v>
      </c>
      <c r="BT403" s="26">
        <f t="shared" si="160"/>
        <v>219.76301204273628</v>
      </c>
    </row>
    <row r="404" spans="1:72" x14ac:dyDescent="0.2">
      <c r="A404" s="74"/>
      <c r="B404" s="24">
        <v>44598</v>
      </c>
      <c r="C404" s="25">
        <v>215.23</v>
      </c>
      <c r="D404" s="26">
        <f t="shared" si="161"/>
        <v>218.16</v>
      </c>
      <c r="E404" s="26">
        <f t="shared" si="163"/>
        <v>219.7</v>
      </c>
      <c r="F404" s="26">
        <f t="shared" si="164"/>
        <v>219.97</v>
      </c>
      <c r="G404" s="26">
        <f t="shared" si="166"/>
        <v>222.18538461538461</v>
      </c>
      <c r="H404" s="26">
        <f t="shared" si="148"/>
        <v>224.28424242424242</v>
      </c>
      <c r="I404" s="26">
        <f t="shared" si="150"/>
        <v>218.62333333333336</v>
      </c>
      <c r="J404" s="26">
        <f t="shared" si="157"/>
        <v>218.33197310278138</v>
      </c>
      <c r="K404" s="26">
        <f t="shared" si="158"/>
        <v>217.04320481709448</v>
      </c>
      <c r="L404" s="26">
        <f t="shared" si="153"/>
        <v>216.46117142722218</v>
      </c>
      <c r="V404" s="26">
        <f t="shared" si="167"/>
        <v>221.0250561718004</v>
      </c>
      <c r="W404" s="26">
        <f t="shared" si="147"/>
        <v>221.57139143378831</v>
      </c>
      <c r="X404" s="26">
        <f t="shared" si="146"/>
        <v>-0.54633526198790605</v>
      </c>
      <c r="Y404" s="26">
        <f t="shared" si="149"/>
        <v>-0.22935574524637536</v>
      </c>
      <c r="Z404" s="26">
        <v>15653.37</v>
      </c>
      <c r="AA404" s="26">
        <f t="shared" si="154"/>
        <v>219.10560913288626</v>
      </c>
      <c r="AB404" s="27">
        <f t="shared" si="155"/>
        <v>1.8006825874117307E-2</v>
      </c>
      <c r="BK404" s="24">
        <v>44598</v>
      </c>
      <c r="BL404" s="25">
        <v>215.23</v>
      </c>
      <c r="BM404" s="26">
        <f t="shared" si="152"/>
        <v>218.16</v>
      </c>
      <c r="BN404" s="26">
        <f t="shared" si="156"/>
        <v>219.7</v>
      </c>
      <c r="BO404" s="26">
        <f t="shared" si="162"/>
        <v>219.97</v>
      </c>
      <c r="BP404" s="26">
        <f t="shared" si="165"/>
        <v>222.18538461538461</v>
      </c>
      <c r="BQ404" s="26">
        <f t="shared" si="145"/>
        <v>224.28424242424242</v>
      </c>
      <c r="BR404" s="26">
        <f t="shared" si="151"/>
        <v>218.62333333333336</v>
      </c>
      <c r="BS404" s="26">
        <f t="shared" si="159"/>
        <v>218.33197310278138</v>
      </c>
      <c r="BT404" s="26">
        <f t="shared" si="160"/>
        <v>217.04320481709448</v>
      </c>
    </row>
    <row r="405" spans="1:72" x14ac:dyDescent="0.2">
      <c r="A405" s="74"/>
      <c r="B405" s="24">
        <v>44599</v>
      </c>
      <c r="C405" s="25">
        <v>213.79</v>
      </c>
      <c r="D405" s="26">
        <f t="shared" si="161"/>
        <v>215.98666666666665</v>
      </c>
      <c r="E405" s="26">
        <f t="shared" si="163"/>
        <v>218.15199999999999</v>
      </c>
      <c r="F405" s="26">
        <f t="shared" si="164"/>
        <v>218.95142857142858</v>
      </c>
      <c r="G405" s="26">
        <f t="shared" si="166"/>
        <v>221.3576923076923</v>
      </c>
      <c r="H405" s="26">
        <f t="shared" si="148"/>
        <v>223.61636363636362</v>
      </c>
      <c r="I405" s="26">
        <f t="shared" si="150"/>
        <v>216.65333333333328</v>
      </c>
      <c r="J405" s="26">
        <f t="shared" si="157"/>
        <v>216.51518386166885</v>
      </c>
      <c r="K405" s="26">
        <f t="shared" si="158"/>
        <v>215.09128192683778</v>
      </c>
      <c r="L405" s="26">
        <f t="shared" si="153"/>
        <v>216.44633276522208</v>
      </c>
      <c r="V405" s="26">
        <f t="shared" si="167"/>
        <v>219.91197060690803</v>
      </c>
      <c r="W405" s="26">
        <f t="shared" si="147"/>
        <v>220.48912608500038</v>
      </c>
      <c r="X405" s="26">
        <f t="shared" si="146"/>
        <v>-0.5771554780923509</v>
      </c>
      <c r="Y405" s="26">
        <f t="shared" si="149"/>
        <v>-0.29891569181557048</v>
      </c>
      <c r="Z405" s="26">
        <v>15521.89</v>
      </c>
      <c r="AA405" s="26">
        <f t="shared" si="154"/>
        <v>219.04772251699427</v>
      </c>
      <c r="AB405" s="27">
        <f t="shared" si="155"/>
        <v>2.4592930057506329E-2</v>
      </c>
      <c r="BK405" s="24">
        <v>44599</v>
      </c>
      <c r="BL405" s="25">
        <v>213.79</v>
      </c>
      <c r="BM405" s="26">
        <f t="shared" si="152"/>
        <v>215.98666666666665</v>
      </c>
      <c r="BN405" s="26">
        <f t="shared" si="156"/>
        <v>218.15199999999999</v>
      </c>
      <c r="BO405" s="26">
        <f t="shared" si="162"/>
        <v>218.95142857142858</v>
      </c>
      <c r="BP405" s="26">
        <f t="shared" si="165"/>
        <v>221.3576923076923</v>
      </c>
      <c r="BQ405" s="26">
        <f t="shared" si="145"/>
        <v>223.61636363636362</v>
      </c>
      <c r="BR405" s="26">
        <f t="shared" si="151"/>
        <v>216.65333333333328</v>
      </c>
      <c r="BS405" s="26">
        <f t="shared" si="159"/>
        <v>216.51518386166885</v>
      </c>
      <c r="BT405" s="26">
        <f t="shared" si="160"/>
        <v>215.09128192683778</v>
      </c>
    </row>
    <row r="406" spans="1:72" x14ac:dyDescent="0.2">
      <c r="A406" s="74"/>
      <c r="B406" s="24">
        <v>44600</v>
      </c>
      <c r="C406" s="25">
        <v>213.7</v>
      </c>
      <c r="D406" s="26">
        <f t="shared" si="161"/>
        <v>214.24</v>
      </c>
      <c r="E406" s="26">
        <f t="shared" si="163"/>
        <v>216.39400000000001</v>
      </c>
      <c r="F406" s="26">
        <f t="shared" si="164"/>
        <v>217.99857142857144</v>
      </c>
      <c r="G406" s="26">
        <f t="shared" si="166"/>
        <v>220.69307692307692</v>
      </c>
      <c r="H406" s="26">
        <f t="shared" si="148"/>
        <v>222.94575757575754</v>
      </c>
      <c r="I406" s="26">
        <f t="shared" si="150"/>
        <v>215.16933333333333</v>
      </c>
      <c r="J406" s="26">
        <f t="shared" si="157"/>
        <v>215.38911031700133</v>
      </c>
      <c r="K406" s="26">
        <f t="shared" si="158"/>
        <v>214.25651277073513</v>
      </c>
      <c r="L406" s="26">
        <f t="shared" si="153"/>
        <v>216.43149410322201</v>
      </c>
      <c r="V406" s="26">
        <f t="shared" si="167"/>
        <v>218.95628282122988</v>
      </c>
      <c r="W406" s="26">
        <f t="shared" si="147"/>
        <v>219.45182463602595</v>
      </c>
      <c r="X406" s="26">
        <f t="shared" si="146"/>
        <v>-0.49554181479606996</v>
      </c>
      <c r="Y406" s="26">
        <f t="shared" si="149"/>
        <v>-0.33824091641167042</v>
      </c>
      <c r="Z406" s="26">
        <v>15341.09</v>
      </c>
      <c r="AA406" s="26">
        <f t="shared" si="154"/>
        <v>218.96812181610235</v>
      </c>
      <c r="AB406" s="27">
        <f t="shared" si="155"/>
        <v>2.465195047310419E-2</v>
      </c>
      <c r="BK406" s="24">
        <v>44600</v>
      </c>
      <c r="BL406" s="25">
        <v>213.7</v>
      </c>
      <c r="BM406" s="26">
        <f t="shared" si="152"/>
        <v>214.24</v>
      </c>
      <c r="BN406" s="26">
        <f t="shared" si="156"/>
        <v>216.39400000000001</v>
      </c>
      <c r="BO406" s="26">
        <f t="shared" si="162"/>
        <v>217.99857142857144</v>
      </c>
      <c r="BP406" s="26">
        <f t="shared" si="165"/>
        <v>220.69307692307692</v>
      </c>
      <c r="BQ406" s="26">
        <f t="shared" ref="BQ406:BQ469" si="168">AVERAGE(BL374:BL406)</f>
        <v>222.94575757575754</v>
      </c>
      <c r="BR406" s="26">
        <f t="shared" si="151"/>
        <v>215.16933333333333</v>
      </c>
      <c r="BS406" s="26">
        <f t="shared" si="159"/>
        <v>215.38911031700133</v>
      </c>
      <c r="BT406" s="26">
        <f t="shared" si="160"/>
        <v>214.25651277073513</v>
      </c>
    </row>
    <row r="407" spans="1:72" x14ac:dyDescent="0.2">
      <c r="A407" s="74"/>
      <c r="B407" s="24">
        <v>44601</v>
      </c>
      <c r="C407" s="25">
        <v>212.8</v>
      </c>
      <c r="D407" s="26">
        <f t="shared" si="161"/>
        <v>213.42999999999998</v>
      </c>
      <c r="E407" s="26">
        <f t="shared" si="163"/>
        <v>214.89199999999997</v>
      </c>
      <c r="F407" s="26">
        <f t="shared" si="164"/>
        <v>216.75142857142856</v>
      </c>
      <c r="G407" s="26">
        <f t="shared" si="166"/>
        <v>219.91769230769231</v>
      </c>
      <c r="H407" s="26">
        <f t="shared" si="148"/>
        <v>222.31606060606057</v>
      </c>
      <c r="I407" s="26">
        <f t="shared" si="150"/>
        <v>213.97133333333335</v>
      </c>
      <c r="J407" s="26">
        <f t="shared" si="157"/>
        <v>214.35346619020081</v>
      </c>
      <c r="K407" s="26">
        <f t="shared" si="158"/>
        <v>213.38260510829406</v>
      </c>
      <c r="L407" s="26">
        <f t="shared" si="153"/>
        <v>216.41665544122191</v>
      </c>
      <c r="V407" s="26">
        <f t="shared" si="167"/>
        <v>218.00916238719449</v>
      </c>
      <c r="W407" s="26">
        <f t="shared" si="147"/>
        <v>218.50026187150917</v>
      </c>
      <c r="X407" s="26">
        <f t="shared" si="146"/>
        <v>-0.49109948431467387</v>
      </c>
      <c r="Y407" s="26">
        <f t="shared" si="149"/>
        <v>-0.36881262999227116</v>
      </c>
      <c r="Z407" s="26">
        <v>14980.94</v>
      </c>
      <c r="AA407" s="26">
        <f t="shared" si="154"/>
        <v>218.80955880489535</v>
      </c>
      <c r="AB407" s="27">
        <f t="shared" si="155"/>
        <v>2.8240407917741232E-2</v>
      </c>
      <c r="BK407" s="24">
        <v>44601</v>
      </c>
      <c r="BL407" s="25">
        <v>212.8</v>
      </c>
      <c r="BM407" s="26">
        <f t="shared" si="152"/>
        <v>213.42999999999998</v>
      </c>
      <c r="BN407" s="26">
        <f t="shared" si="156"/>
        <v>214.89199999999997</v>
      </c>
      <c r="BO407" s="26">
        <f t="shared" si="162"/>
        <v>216.75142857142856</v>
      </c>
      <c r="BP407" s="26">
        <f t="shared" si="165"/>
        <v>219.91769230769231</v>
      </c>
      <c r="BQ407" s="26">
        <f t="shared" si="168"/>
        <v>222.31606060606057</v>
      </c>
      <c r="BR407" s="26">
        <f t="shared" si="151"/>
        <v>213.97133333333335</v>
      </c>
      <c r="BS407" s="26">
        <f t="shared" si="159"/>
        <v>214.35346619020081</v>
      </c>
      <c r="BT407" s="26">
        <f t="shared" si="160"/>
        <v>213.38260510829406</v>
      </c>
    </row>
    <row r="408" spans="1:72" x14ac:dyDescent="0.2">
      <c r="A408" s="74"/>
      <c r="B408" s="24">
        <v>44602</v>
      </c>
      <c r="C408" s="25">
        <v>212.8</v>
      </c>
      <c r="D408" s="26">
        <f t="shared" si="161"/>
        <v>213.1</v>
      </c>
      <c r="E408" s="26">
        <f t="shared" si="163"/>
        <v>213.66399999999999</v>
      </c>
      <c r="F408" s="26">
        <f t="shared" si="164"/>
        <v>215.36714285714285</v>
      </c>
      <c r="G408" s="26">
        <f t="shared" si="166"/>
        <v>218.56923076923078</v>
      </c>
      <c r="H408" s="26">
        <f t="shared" si="148"/>
        <v>221.84575757575757</v>
      </c>
      <c r="I408" s="26">
        <f t="shared" si="150"/>
        <v>213.274</v>
      </c>
      <c r="J408" s="26">
        <f t="shared" si="157"/>
        <v>213.73207971412049</v>
      </c>
      <c r="K408" s="26">
        <f t="shared" si="158"/>
        <v>213.03304204331764</v>
      </c>
      <c r="L408" s="26">
        <f t="shared" si="153"/>
        <v>216.4018167792218</v>
      </c>
      <c r="V408" s="26">
        <f t="shared" si="167"/>
        <v>217.20775278916457</v>
      </c>
      <c r="W408" s="26">
        <f t="shared" si="147"/>
        <v>217.62329850666157</v>
      </c>
      <c r="X408" s="26">
        <f t="shared" si="146"/>
        <v>-0.41554571749699676</v>
      </c>
      <c r="Y408" s="26">
        <f t="shared" si="149"/>
        <v>-0.37815924749321628</v>
      </c>
      <c r="Z408" s="26">
        <v>15169.68</v>
      </c>
      <c r="AA408" s="26">
        <f t="shared" si="154"/>
        <v>218.89265524453219</v>
      </c>
      <c r="AB408" s="27">
        <f t="shared" si="155"/>
        <v>2.8630898705508372E-2</v>
      </c>
      <c r="BK408" s="24">
        <v>44602</v>
      </c>
      <c r="BL408" s="25">
        <v>212.8</v>
      </c>
      <c r="BM408" s="26">
        <f t="shared" si="152"/>
        <v>213.1</v>
      </c>
      <c r="BN408" s="26">
        <f t="shared" si="156"/>
        <v>213.66399999999999</v>
      </c>
      <c r="BO408" s="26">
        <f t="shared" si="162"/>
        <v>215.36714285714285</v>
      </c>
      <c r="BP408" s="26">
        <f t="shared" si="165"/>
        <v>218.56923076923078</v>
      </c>
      <c r="BQ408" s="26">
        <f t="shared" si="168"/>
        <v>221.84575757575757</v>
      </c>
      <c r="BR408" s="26">
        <f t="shared" si="151"/>
        <v>213.274</v>
      </c>
      <c r="BS408" s="26">
        <f t="shared" si="159"/>
        <v>213.73207971412049</v>
      </c>
      <c r="BT408" s="26">
        <f t="shared" si="160"/>
        <v>213.03304204331764</v>
      </c>
    </row>
    <row r="409" spans="1:72" x14ac:dyDescent="0.2">
      <c r="A409" s="74"/>
      <c r="B409" s="24">
        <v>44603</v>
      </c>
      <c r="C409" s="25">
        <v>209.4</v>
      </c>
      <c r="D409" s="26">
        <f t="shared" si="161"/>
        <v>211.66666666666666</v>
      </c>
      <c r="E409" s="26">
        <f t="shared" si="163"/>
        <v>212.49799999999999</v>
      </c>
      <c r="F409" s="26">
        <f t="shared" si="164"/>
        <v>213.80857142857141</v>
      </c>
      <c r="G409" s="26">
        <f t="shared" si="166"/>
        <v>217.21538461538464</v>
      </c>
      <c r="H409" s="26">
        <f t="shared" si="148"/>
        <v>221.38242424242424</v>
      </c>
      <c r="I409" s="26">
        <f t="shared" si="150"/>
        <v>211.85266666666669</v>
      </c>
      <c r="J409" s="26">
        <f t="shared" si="157"/>
        <v>211.99924782847228</v>
      </c>
      <c r="K409" s="26">
        <f t="shared" si="158"/>
        <v>210.85321681732705</v>
      </c>
      <c r="L409" s="26">
        <f t="shared" si="153"/>
        <v>216.38697811722173</v>
      </c>
      <c r="V409" s="26">
        <f t="shared" si="167"/>
        <v>216.00656005237002</v>
      </c>
      <c r="W409" s="26">
        <f t="shared" si="147"/>
        <v>216.62940073070794</v>
      </c>
      <c r="X409" s="26">
        <f t="shared" si="146"/>
        <v>-0.62284067833792278</v>
      </c>
      <c r="Y409" s="26">
        <f t="shared" si="149"/>
        <v>-0.42709553366215763</v>
      </c>
      <c r="Z409" s="26">
        <v>15180.43</v>
      </c>
      <c r="AA409" s="26">
        <f t="shared" si="154"/>
        <v>218.8973881401881</v>
      </c>
      <c r="AB409" s="27">
        <f t="shared" si="155"/>
        <v>4.5355244222483729E-2</v>
      </c>
      <c r="BK409" s="24">
        <v>44603</v>
      </c>
      <c r="BL409" s="25">
        <v>209.4</v>
      </c>
      <c r="BM409" s="26">
        <f t="shared" si="152"/>
        <v>211.66666666666666</v>
      </c>
      <c r="BN409" s="26">
        <f t="shared" si="156"/>
        <v>212.49799999999999</v>
      </c>
      <c r="BO409" s="26">
        <f t="shared" si="162"/>
        <v>213.80857142857141</v>
      </c>
      <c r="BP409" s="26">
        <f t="shared" si="165"/>
        <v>217.21538461538464</v>
      </c>
      <c r="BQ409" s="26">
        <f t="shared" si="168"/>
        <v>221.38242424242424</v>
      </c>
      <c r="BR409" s="26">
        <f t="shared" si="151"/>
        <v>211.85266666666669</v>
      </c>
      <c r="BS409" s="26">
        <f t="shared" si="159"/>
        <v>211.99924782847228</v>
      </c>
      <c r="BT409" s="26">
        <f t="shared" si="160"/>
        <v>210.85321681732705</v>
      </c>
    </row>
    <row r="410" spans="1:72" x14ac:dyDescent="0.2">
      <c r="A410" s="74"/>
      <c r="B410" s="24">
        <v>44604</v>
      </c>
      <c r="C410" s="25">
        <v>212.14</v>
      </c>
      <c r="D410" s="26">
        <f t="shared" si="161"/>
        <v>211.44666666666669</v>
      </c>
      <c r="E410" s="26">
        <f t="shared" si="163"/>
        <v>212.16799999999998</v>
      </c>
      <c r="F410" s="26">
        <f t="shared" si="164"/>
        <v>212.83714285714288</v>
      </c>
      <c r="G410" s="26">
        <f t="shared" si="166"/>
        <v>216.49384615384616</v>
      </c>
      <c r="H410" s="26">
        <f t="shared" si="148"/>
        <v>221.10393939393938</v>
      </c>
      <c r="I410" s="26">
        <f t="shared" si="150"/>
        <v>211.73333333333329</v>
      </c>
      <c r="J410" s="26">
        <f t="shared" si="157"/>
        <v>212.05554869708334</v>
      </c>
      <c r="K410" s="26">
        <f t="shared" si="158"/>
        <v>211.62528672693082</v>
      </c>
      <c r="L410" s="26">
        <f t="shared" si="153"/>
        <v>216.37213945522163</v>
      </c>
      <c r="V410" s="26">
        <f t="shared" si="167"/>
        <v>215.4117046596977</v>
      </c>
      <c r="W410" s="26">
        <f t="shared" si="147"/>
        <v>215.72014819663889</v>
      </c>
      <c r="X410" s="26">
        <f t="shared" si="146"/>
        <v>-0.30844353694118354</v>
      </c>
      <c r="Y410" s="26">
        <f t="shared" si="149"/>
        <v>-0.40336513431796284</v>
      </c>
      <c r="Z410" s="26">
        <v>15565.58</v>
      </c>
      <c r="AA410" s="26">
        <f t="shared" si="154"/>
        <v>219.06695788547862</v>
      </c>
      <c r="AB410" s="27">
        <f t="shared" si="155"/>
        <v>3.2652766500794898E-2</v>
      </c>
      <c r="BK410" s="24">
        <v>44604</v>
      </c>
      <c r="BL410" s="25">
        <v>212.14</v>
      </c>
      <c r="BM410" s="26">
        <f t="shared" si="152"/>
        <v>211.44666666666669</v>
      </c>
      <c r="BN410" s="26">
        <f t="shared" si="156"/>
        <v>212.16799999999998</v>
      </c>
      <c r="BO410" s="26">
        <f t="shared" si="162"/>
        <v>212.83714285714288</v>
      </c>
      <c r="BP410" s="26">
        <f t="shared" si="165"/>
        <v>216.49384615384616</v>
      </c>
      <c r="BQ410" s="26">
        <f t="shared" si="168"/>
        <v>221.10393939393938</v>
      </c>
      <c r="BR410" s="26">
        <f t="shared" si="151"/>
        <v>211.73333333333329</v>
      </c>
      <c r="BS410" s="26">
        <f t="shared" si="159"/>
        <v>212.05554869708334</v>
      </c>
      <c r="BT410" s="26">
        <f t="shared" si="160"/>
        <v>211.62528672693082</v>
      </c>
    </row>
    <row r="411" spans="1:72" x14ac:dyDescent="0.2">
      <c r="A411" s="74"/>
      <c r="B411" s="24">
        <v>44605</v>
      </c>
      <c r="C411" s="25">
        <v>216.97</v>
      </c>
      <c r="D411" s="26">
        <f t="shared" si="161"/>
        <v>212.83666666666667</v>
      </c>
      <c r="E411" s="26">
        <f t="shared" si="163"/>
        <v>212.82199999999997</v>
      </c>
      <c r="F411" s="26">
        <f t="shared" si="164"/>
        <v>213.08571428571432</v>
      </c>
      <c r="G411" s="26">
        <f t="shared" si="166"/>
        <v>216.19</v>
      </c>
      <c r="H411" s="26">
        <f t="shared" si="148"/>
        <v>221.00545454545454</v>
      </c>
      <c r="I411" s="26">
        <f t="shared" si="150"/>
        <v>213.33399999999997</v>
      </c>
      <c r="J411" s="26">
        <f t="shared" si="157"/>
        <v>214.02132921825</v>
      </c>
      <c r="K411" s="26">
        <f t="shared" si="158"/>
        <v>214.83211469077233</v>
      </c>
      <c r="L411" s="26">
        <f t="shared" si="153"/>
        <v>216.35730079322153</v>
      </c>
      <c r="V411" s="26">
        <f t="shared" si="167"/>
        <v>215.65144240435959</v>
      </c>
      <c r="W411" s="26">
        <f t="shared" si="147"/>
        <v>215.52713394416455</v>
      </c>
      <c r="X411" s="26">
        <f t="shared" si="146"/>
        <v>0.12430846019503861</v>
      </c>
      <c r="Y411" s="26">
        <f t="shared" si="149"/>
        <v>-0.29783041541536254</v>
      </c>
      <c r="Z411" s="26">
        <v>15237.64</v>
      </c>
      <c r="AA411" s="26">
        <f t="shared" si="154"/>
        <v>218.92257595046479</v>
      </c>
      <c r="AB411" s="27">
        <f t="shared" si="155"/>
        <v>8.9992899961505776E-3</v>
      </c>
      <c r="BK411" s="24">
        <v>44605</v>
      </c>
      <c r="BL411" s="25">
        <v>216.97</v>
      </c>
      <c r="BM411" s="26">
        <f t="shared" si="152"/>
        <v>212.83666666666667</v>
      </c>
      <c r="BN411" s="26">
        <f t="shared" si="156"/>
        <v>212.82199999999997</v>
      </c>
      <c r="BO411" s="26">
        <f t="shared" si="162"/>
        <v>213.08571428571432</v>
      </c>
      <c r="BP411" s="26">
        <f t="shared" si="165"/>
        <v>216.19</v>
      </c>
      <c r="BQ411" s="26">
        <f t="shared" si="168"/>
        <v>221.00545454545454</v>
      </c>
      <c r="BR411" s="26">
        <f t="shared" si="151"/>
        <v>213.33399999999997</v>
      </c>
      <c r="BS411" s="26">
        <f t="shared" si="159"/>
        <v>214.02132921825</v>
      </c>
      <c r="BT411" s="26">
        <f t="shared" si="160"/>
        <v>214.83211469077233</v>
      </c>
    </row>
    <row r="412" spans="1:72" x14ac:dyDescent="0.2">
      <c r="A412" s="74"/>
      <c r="B412" s="24">
        <v>44606</v>
      </c>
      <c r="C412" s="25">
        <v>215.2</v>
      </c>
      <c r="D412" s="26">
        <f t="shared" si="161"/>
        <v>214.76999999999998</v>
      </c>
      <c r="E412" s="26">
        <f t="shared" si="163"/>
        <v>213.30199999999999</v>
      </c>
      <c r="F412" s="26">
        <f t="shared" si="164"/>
        <v>213.28714285714287</v>
      </c>
      <c r="G412" s="26">
        <f t="shared" si="166"/>
        <v>215.79230769230765</v>
      </c>
      <c r="H412" s="26">
        <f t="shared" si="148"/>
        <v>220.80787878787876</v>
      </c>
      <c r="I412" s="26">
        <f t="shared" si="150"/>
        <v>214.12666666666669</v>
      </c>
      <c r="J412" s="26">
        <f t="shared" si="157"/>
        <v>214.49279753094999</v>
      </c>
      <c r="K412" s="26">
        <f t="shared" si="158"/>
        <v>215.05284587630891</v>
      </c>
      <c r="L412" s="26">
        <f t="shared" si="153"/>
        <v>216.34246213122145</v>
      </c>
      <c r="V412" s="26">
        <f t="shared" si="167"/>
        <v>215.58198972676578</v>
      </c>
      <c r="W412" s="26">
        <f t="shared" si="147"/>
        <v>215.61800222625888</v>
      </c>
      <c r="X412" s="26">
        <f t="shared" si="146"/>
        <v>-3.6012499493097039E-2</v>
      </c>
      <c r="Y412" s="26">
        <f t="shared" si="149"/>
        <v>-0.24546683223090945</v>
      </c>
      <c r="Z412" s="26">
        <v>15413.28</v>
      </c>
      <c r="AA412" s="26">
        <f t="shared" si="154"/>
        <v>218.99990486144188</v>
      </c>
      <c r="AB412" s="27">
        <f t="shared" si="155"/>
        <v>1.7657550471384238E-2</v>
      </c>
      <c r="BK412" s="24">
        <v>44606</v>
      </c>
      <c r="BL412" s="25">
        <v>215.2</v>
      </c>
      <c r="BM412" s="26">
        <f t="shared" si="152"/>
        <v>214.76999999999998</v>
      </c>
      <c r="BN412" s="26">
        <f t="shared" si="156"/>
        <v>213.30199999999999</v>
      </c>
      <c r="BO412" s="26">
        <f t="shared" si="162"/>
        <v>213.28714285714287</v>
      </c>
      <c r="BP412" s="26">
        <f t="shared" si="165"/>
        <v>215.79230769230765</v>
      </c>
      <c r="BQ412" s="26">
        <f t="shared" si="168"/>
        <v>220.80787878787876</v>
      </c>
      <c r="BR412" s="26">
        <f t="shared" si="151"/>
        <v>214.12666666666669</v>
      </c>
      <c r="BS412" s="26">
        <f t="shared" si="159"/>
        <v>214.49279753094999</v>
      </c>
      <c r="BT412" s="26">
        <f t="shared" si="160"/>
        <v>215.05284587630891</v>
      </c>
    </row>
    <row r="413" spans="1:72" x14ac:dyDescent="0.2">
      <c r="A413" s="74"/>
      <c r="B413" s="24">
        <v>44607</v>
      </c>
      <c r="C413" s="25">
        <v>216.76</v>
      </c>
      <c r="D413" s="26">
        <f t="shared" si="161"/>
        <v>216.30999999999997</v>
      </c>
      <c r="E413" s="26">
        <f t="shared" si="163"/>
        <v>214.09399999999999</v>
      </c>
      <c r="F413" s="26">
        <f t="shared" si="164"/>
        <v>213.72428571428571</v>
      </c>
      <c r="G413" s="26">
        <f t="shared" si="166"/>
        <v>215.42538461538459</v>
      </c>
      <c r="H413" s="26">
        <f t="shared" si="148"/>
        <v>220.69757575757578</v>
      </c>
      <c r="I413" s="26">
        <f t="shared" si="150"/>
        <v>215.27933333333334</v>
      </c>
      <c r="J413" s="26">
        <f t="shared" si="157"/>
        <v>215.39967851857</v>
      </c>
      <c r="K413" s="26">
        <f t="shared" si="158"/>
        <v>216.07713835052357</v>
      </c>
      <c r="L413" s="26">
        <f t="shared" si="153"/>
        <v>216.32762346922135</v>
      </c>
      <c r="V413" s="26">
        <f t="shared" si="167"/>
        <v>215.76322207649412</v>
      </c>
      <c r="W413" s="26">
        <f t="shared" si="147"/>
        <v>215.66924974700535</v>
      </c>
      <c r="X413" s="26">
        <f t="shared" si="146"/>
        <v>9.3972329488764217E-2</v>
      </c>
      <c r="Y413" s="26">
        <f t="shared" si="149"/>
        <v>-0.17757899988697473</v>
      </c>
      <c r="Z413" s="26">
        <v>15537.69</v>
      </c>
      <c r="AA413" s="26">
        <f t="shared" si="154"/>
        <v>219.05467877293506</v>
      </c>
      <c r="AB413" s="27">
        <f t="shared" si="155"/>
        <v>1.0586264868679977E-2</v>
      </c>
      <c r="BK413" s="24">
        <v>44607</v>
      </c>
      <c r="BL413" s="25">
        <v>216.76</v>
      </c>
      <c r="BM413" s="26">
        <f t="shared" si="152"/>
        <v>216.30999999999997</v>
      </c>
      <c r="BN413" s="26">
        <f t="shared" si="156"/>
        <v>214.09399999999999</v>
      </c>
      <c r="BO413" s="26">
        <f t="shared" si="162"/>
        <v>213.72428571428571</v>
      </c>
      <c r="BP413" s="26">
        <f t="shared" si="165"/>
        <v>215.42538461538459</v>
      </c>
      <c r="BQ413" s="26">
        <f t="shared" si="168"/>
        <v>220.69757575757578</v>
      </c>
      <c r="BR413" s="26">
        <f t="shared" si="151"/>
        <v>215.27933333333334</v>
      </c>
      <c r="BS413" s="26">
        <f t="shared" si="159"/>
        <v>215.39967851857</v>
      </c>
      <c r="BT413" s="26">
        <f t="shared" si="160"/>
        <v>216.07713835052357</v>
      </c>
    </row>
    <row r="414" spans="1:72" x14ac:dyDescent="0.2">
      <c r="A414" s="74"/>
      <c r="B414" s="24">
        <v>44608</v>
      </c>
      <c r="C414" s="25">
        <v>217.71</v>
      </c>
      <c r="D414" s="26">
        <f t="shared" si="161"/>
        <v>216.55666666666664</v>
      </c>
      <c r="E414" s="26">
        <f t="shared" si="163"/>
        <v>215.756</v>
      </c>
      <c r="F414" s="26">
        <f t="shared" si="164"/>
        <v>214.42571428571429</v>
      </c>
      <c r="G414" s="26">
        <f t="shared" si="166"/>
        <v>215.05769230769232</v>
      </c>
      <c r="H414" s="26">
        <f t="shared" si="148"/>
        <v>220.55242424242425</v>
      </c>
      <c r="I414" s="26">
        <f t="shared" si="150"/>
        <v>216.48466666666664</v>
      </c>
      <c r="J414" s="26">
        <f t="shared" si="157"/>
        <v>216.323807111142</v>
      </c>
      <c r="K414" s="26">
        <f t="shared" si="158"/>
        <v>217.05685534020944</v>
      </c>
      <c r="L414" s="26">
        <f t="shared" si="153"/>
        <v>216.31278480722125</v>
      </c>
      <c r="V414" s="26">
        <f t="shared" si="167"/>
        <v>216.0627263724181</v>
      </c>
      <c r="W414" s="26">
        <f t="shared" si="147"/>
        <v>215.90742784860566</v>
      </c>
      <c r="X414" s="26">
        <f t="shared" ref="X414:X477" si="169">V414-W414</f>
        <v>0.15529852381243359</v>
      </c>
      <c r="Y414" s="26">
        <f t="shared" si="149"/>
        <v>-0.11100349514709308</v>
      </c>
      <c r="Z414" s="26">
        <v>15782.83</v>
      </c>
      <c r="AA414" s="26">
        <f t="shared" si="154"/>
        <v>219.1626064046643</v>
      </c>
      <c r="AB414" s="27">
        <f t="shared" si="155"/>
        <v>6.6722080045211254E-3</v>
      </c>
      <c r="BK414" s="24">
        <v>44608</v>
      </c>
      <c r="BL414" s="25">
        <v>217.71</v>
      </c>
      <c r="BM414" s="26">
        <f t="shared" si="152"/>
        <v>216.55666666666664</v>
      </c>
      <c r="BN414" s="26">
        <f t="shared" si="156"/>
        <v>215.756</v>
      </c>
      <c r="BO414" s="26">
        <f t="shared" si="162"/>
        <v>214.42571428571429</v>
      </c>
      <c r="BP414" s="26">
        <f t="shared" si="165"/>
        <v>215.05769230769232</v>
      </c>
      <c r="BQ414" s="26">
        <f t="shared" si="168"/>
        <v>220.55242424242425</v>
      </c>
      <c r="BR414" s="26">
        <f t="shared" si="151"/>
        <v>216.48466666666664</v>
      </c>
      <c r="BS414" s="26">
        <f t="shared" si="159"/>
        <v>216.323807111142</v>
      </c>
      <c r="BT414" s="26">
        <f t="shared" si="160"/>
        <v>217.05685534020944</v>
      </c>
    </row>
    <row r="415" spans="1:72" x14ac:dyDescent="0.2">
      <c r="A415" s="74"/>
      <c r="B415" s="24">
        <v>44609</v>
      </c>
      <c r="C415" s="25">
        <v>218.36</v>
      </c>
      <c r="D415" s="26">
        <f t="shared" si="161"/>
        <v>217.61</v>
      </c>
      <c r="E415" s="26">
        <f t="shared" si="163"/>
        <v>217</v>
      </c>
      <c r="F415" s="26">
        <f t="shared" si="164"/>
        <v>215.22</v>
      </c>
      <c r="G415" s="26">
        <f t="shared" si="166"/>
        <v>214.90769230769229</v>
      </c>
      <c r="H415" s="26">
        <f t="shared" si="148"/>
        <v>220.33121212121213</v>
      </c>
      <c r="I415" s="26">
        <f t="shared" si="150"/>
        <v>217.35266666666666</v>
      </c>
      <c r="J415" s="26">
        <f t="shared" si="157"/>
        <v>217.13828426668522</v>
      </c>
      <c r="K415" s="26">
        <f t="shared" si="158"/>
        <v>217.83874213608377</v>
      </c>
      <c r="L415" s="26">
        <f t="shared" si="153"/>
        <v>216.29794614522118</v>
      </c>
      <c r="V415" s="26">
        <f t="shared" si="167"/>
        <v>216.41615308435377</v>
      </c>
      <c r="W415" s="26">
        <f t="shared" ref="W415:W478" si="170">C415*(2/(26+1))+V414*(1-(2/(26+1)))</f>
        <v>216.23289478927603</v>
      </c>
      <c r="X415" s="26">
        <f t="shared" si="169"/>
        <v>0.18325829507773506</v>
      </c>
      <c r="Y415" s="26">
        <f t="shared" si="149"/>
        <v>-5.2151137102127459E-2</v>
      </c>
      <c r="Z415" s="26">
        <v>15491.66</v>
      </c>
      <c r="AA415" s="26">
        <f t="shared" si="154"/>
        <v>219.0344131741405</v>
      </c>
      <c r="AB415" s="27">
        <f t="shared" si="155"/>
        <v>3.0885380753823172E-3</v>
      </c>
      <c r="BK415" s="24">
        <v>44609</v>
      </c>
      <c r="BL415" s="25">
        <v>218.36</v>
      </c>
      <c r="BM415" s="26">
        <f t="shared" si="152"/>
        <v>217.61</v>
      </c>
      <c r="BN415" s="26">
        <f t="shared" si="156"/>
        <v>217</v>
      </c>
      <c r="BO415" s="26">
        <f t="shared" si="162"/>
        <v>215.22</v>
      </c>
      <c r="BP415" s="26">
        <f t="shared" si="165"/>
        <v>214.90769230769229</v>
      </c>
      <c r="BQ415" s="26">
        <f t="shared" si="168"/>
        <v>220.33121212121213</v>
      </c>
      <c r="BR415" s="26">
        <f t="shared" si="151"/>
        <v>217.35266666666666</v>
      </c>
      <c r="BS415" s="26">
        <f t="shared" si="159"/>
        <v>217.13828426668522</v>
      </c>
      <c r="BT415" s="26">
        <f t="shared" si="160"/>
        <v>217.83874213608377</v>
      </c>
    </row>
    <row r="416" spans="1:72" x14ac:dyDescent="0.2">
      <c r="A416" s="74"/>
      <c r="B416" s="24">
        <v>44610</v>
      </c>
      <c r="C416" s="25">
        <v>219.02</v>
      </c>
      <c r="D416" s="26">
        <f t="shared" si="161"/>
        <v>218.36333333333334</v>
      </c>
      <c r="E416" s="26">
        <f t="shared" si="163"/>
        <v>217.41</v>
      </c>
      <c r="F416" s="26">
        <f t="shared" si="164"/>
        <v>216.59428571428569</v>
      </c>
      <c r="G416" s="26">
        <f t="shared" si="166"/>
        <v>214.91384615384615</v>
      </c>
      <c r="H416" s="26">
        <f t="shared" si="148"/>
        <v>220.11606060606061</v>
      </c>
      <c r="I416" s="26">
        <f t="shared" si="150"/>
        <v>218.02599999999998</v>
      </c>
      <c r="J416" s="26">
        <f t="shared" si="157"/>
        <v>217.89097056001114</v>
      </c>
      <c r="K416" s="26">
        <f t="shared" si="158"/>
        <v>218.54749685443352</v>
      </c>
      <c r="L416" s="26">
        <f t="shared" si="153"/>
        <v>216.28310748322107</v>
      </c>
      <c r="V416" s="26">
        <f t="shared" si="167"/>
        <v>216.81674491753012</v>
      </c>
      <c r="W416" s="26">
        <f t="shared" si="170"/>
        <v>216.60903063366089</v>
      </c>
      <c r="X416" s="26">
        <f t="shared" si="169"/>
        <v>0.20771428386922253</v>
      </c>
      <c r="Y416" s="26">
        <f t="shared" si="149"/>
        <v>-1.7805290785746775E-4</v>
      </c>
      <c r="Z416" s="26">
        <v>15845.23</v>
      </c>
      <c r="AA416" s="26">
        <f t="shared" si="154"/>
        <v>219.19007921293672</v>
      </c>
      <c r="AB416" s="27">
        <f t="shared" si="155"/>
        <v>7.7654649318196058E-4</v>
      </c>
      <c r="BK416" s="24">
        <v>44610</v>
      </c>
      <c r="BL416" s="25">
        <v>219.02</v>
      </c>
      <c r="BM416" s="26">
        <f t="shared" si="152"/>
        <v>218.36333333333334</v>
      </c>
      <c r="BN416" s="26">
        <f t="shared" si="156"/>
        <v>217.41</v>
      </c>
      <c r="BO416" s="26">
        <f t="shared" si="162"/>
        <v>216.59428571428569</v>
      </c>
      <c r="BP416" s="26">
        <f t="shared" si="165"/>
        <v>214.91384615384615</v>
      </c>
      <c r="BQ416" s="26">
        <f t="shared" si="168"/>
        <v>220.11606060606061</v>
      </c>
      <c r="BR416" s="26">
        <f t="shared" si="151"/>
        <v>218.02599999999998</v>
      </c>
      <c r="BS416" s="26">
        <f t="shared" si="159"/>
        <v>217.89097056001114</v>
      </c>
      <c r="BT416" s="26">
        <f t="shared" si="160"/>
        <v>218.54749685443352</v>
      </c>
    </row>
    <row r="417" spans="1:72" x14ac:dyDescent="0.2">
      <c r="A417" s="74"/>
      <c r="B417" s="24">
        <v>44611</v>
      </c>
      <c r="C417" s="25">
        <v>219.55</v>
      </c>
      <c r="D417" s="26">
        <f t="shared" si="161"/>
        <v>218.97666666666669</v>
      </c>
      <c r="E417" s="26">
        <f t="shared" si="163"/>
        <v>218.28000000000003</v>
      </c>
      <c r="F417" s="26">
        <f t="shared" si="164"/>
        <v>217.65285714285713</v>
      </c>
      <c r="G417" s="26">
        <f t="shared" si="166"/>
        <v>215.24615384615387</v>
      </c>
      <c r="H417" s="26">
        <f t="shared" si="148"/>
        <v>219.93727272727273</v>
      </c>
      <c r="I417" s="26">
        <f t="shared" si="150"/>
        <v>218.73933333333335</v>
      </c>
      <c r="J417" s="26">
        <f t="shared" si="157"/>
        <v>218.55458233600666</v>
      </c>
      <c r="K417" s="26">
        <f t="shared" si="158"/>
        <v>219.1489987417734</v>
      </c>
      <c r="L417" s="26">
        <f t="shared" si="153"/>
        <v>216.26826882122097</v>
      </c>
      <c r="V417" s="26">
        <f t="shared" si="167"/>
        <v>217.23724569944855</v>
      </c>
      <c r="W417" s="26">
        <f t="shared" si="170"/>
        <v>217.01920825697235</v>
      </c>
      <c r="X417" s="26">
        <f t="shared" si="169"/>
        <v>0.21803744247620216</v>
      </c>
      <c r="Y417" s="26">
        <f t="shared" si="149"/>
        <v>4.3465046168954455E-2</v>
      </c>
      <c r="Z417" s="26">
        <v>15775.14</v>
      </c>
      <c r="AA417" s="26">
        <f t="shared" si="154"/>
        <v>219.15922073326021</v>
      </c>
      <c r="AB417" s="27">
        <f t="shared" si="155"/>
        <v>-1.7799101195162762E-3</v>
      </c>
      <c r="BK417" s="24">
        <v>44611</v>
      </c>
      <c r="BL417" s="25">
        <v>219.55</v>
      </c>
      <c r="BM417" s="26">
        <f t="shared" si="152"/>
        <v>218.97666666666669</v>
      </c>
      <c r="BN417" s="26">
        <f t="shared" si="156"/>
        <v>218.28000000000003</v>
      </c>
      <c r="BO417" s="26">
        <f t="shared" si="162"/>
        <v>217.65285714285713</v>
      </c>
      <c r="BP417" s="26">
        <f t="shared" si="165"/>
        <v>215.24615384615387</v>
      </c>
      <c r="BQ417" s="26">
        <f t="shared" si="168"/>
        <v>219.93727272727273</v>
      </c>
      <c r="BR417" s="26">
        <f t="shared" si="151"/>
        <v>218.73933333333335</v>
      </c>
      <c r="BS417" s="26">
        <f t="shared" si="159"/>
        <v>218.55458233600666</v>
      </c>
      <c r="BT417" s="26">
        <f t="shared" si="160"/>
        <v>219.1489987417734</v>
      </c>
    </row>
    <row r="418" spans="1:72" x14ac:dyDescent="0.2">
      <c r="A418" s="74"/>
      <c r="B418" s="24">
        <v>44612</v>
      </c>
      <c r="C418" s="25">
        <v>221.79</v>
      </c>
      <c r="D418" s="26">
        <f t="shared" si="161"/>
        <v>220.12</v>
      </c>
      <c r="E418" s="26">
        <f t="shared" si="163"/>
        <v>219.286</v>
      </c>
      <c r="F418" s="26">
        <f t="shared" si="164"/>
        <v>218.34142857142857</v>
      </c>
      <c r="G418" s="26">
        <f t="shared" si="166"/>
        <v>215.86153846153849</v>
      </c>
      <c r="H418" s="26">
        <f t="shared" si="148"/>
        <v>219.80969696969697</v>
      </c>
      <c r="I418" s="26">
        <f t="shared" si="150"/>
        <v>219.90933333333336</v>
      </c>
      <c r="J418" s="26">
        <f t="shared" si="157"/>
        <v>219.84874940160401</v>
      </c>
      <c r="K418" s="26">
        <f t="shared" si="158"/>
        <v>220.73359949670936</v>
      </c>
      <c r="L418" s="26">
        <f t="shared" si="153"/>
        <v>216.2534301592209</v>
      </c>
      <c r="V418" s="26">
        <f t="shared" si="167"/>
        <v>217.93766943799494</v>
      </c>
      <c r="W418" s="26">
        <f t="shared" si="170"/>
        <v>217.57448675874863</v>
      </c>
      <c r="X418" s="26">
        <f t="shared" si="169"/>
        <v>0.36318267924630732</v>
      </c>
      <c r="Y418" s="26">
        <f t="shared" si="149"/>
        <v>0.10740857278442503</v>
      </c>
      <c r="Z418" s="26">
        <v>15854.76</v>
      </c>
      <c r="AA418" s="26">
        <f t="shared" si="154"/>
        <v>219.19427497996935</v>
      </c>
      <c r="AB418" s="27">
        <f t="shared" si="155"/>
        <v>-1.1703525948106957E-2</v>
      </c>
      <c r="BK418" s="24">
        <v>44612</v>
      </c>
      <c r="BL418" s="25">
        <v>221.79</v>
      </c>
      <c r="BM418" s="26">
        <f t="shared" si="152"/>
        <v>220.12</v>
      </c>
      <c r="BN418" s="26">
        <f t="shared" si="156"/>
        <v>219.286</v>
      </c>
      <c r="BO418" s="26">
        <f t="shared" si="162"/>
        <v>218.34142857142857</v>
      </c>
      <c r="BP418" s="26">
        <f t="shared" si="165"/>
        <v>215.86153846153849</v>
      </c>
      <c r="BQ418" s="26">
        <f t="shared" si="168"/>
        <v>219.80969696969697</v>
      </c>
      <c r="BR418" s="26">
        <f t="shared" si="151"/>
        <v>219.90933333333336</v>
      </c>
      <c r="BS418" s="26">
        <f t="shared" si="159"/>
        <v>219.84874940160401</v>
      </c>
      <c r="BT418" s="26">
        <f t="shared" si="160"/>
        <v>220.73359949670936</v>
      </c>
    </row>
    <row r="419" spans="1:72" x14ac:dyDescent="0.2">
      <c r="A419" s="74"/>
      <c r="B419" s="24">
        <v>44613</v>
      </c>
      <c r="C419" s="25">
        <v>222.11</v>
      </c>
      <c r="D419" s="26">
        <f t="shared" si="161"/>
        <v>221.15</v>
      </c>
      <c r="E419" s="26">
        <f t="shared" si="163"/>
        <v>220.166</v>
      </c>
      <c r="F419" s="26">
        <f t="shared" si="164"/>
        <v>219.32857142857145</v>
      </c>
      <c r="G419" s="26">
        <f t="shared" si="166"/>
        <v>216.50846153846155</v>
      </c>
      <c r="H419" s="26">
        <f t="shared" si="148"/>
        <v>219.83424242424243</v>
      </c>
      <c r="I419" s="26">
        <f t="shared" si="150"/>
        <v>220.85066666666668</v>
      </c>
      <c r="J419" s="26">
        <f t="shared" si="157"/>
        <v>220.75324964096239</v>
      </c>
      <c r="K419" s="26">
        <f t="shared" si="158"/>
        <v>221.55943979868374</v>
      </c>
      <c r="L419" s="26">
        <f t="shared" si="153"/>
        <v>216.2385914972208</v>
      </c>
      <c r="V419" s="26">
        <f t="shared" si="167"/>
        <v>218.57956644753418</v>
      </c>
      <c r="W419" s="26">
        <f t="shared" si="170"/>
        <v>218.24673096110644</v>
      </c>
      <c r="X419" s="26">
        <f t="shared" si="169"/>
        <v>0.33283548642774008</v>
      </c>
      <c r="Y419" s="26">
        <f t="shared" si="149"/>
        <v>0.15249395551308806</v>
      </c>
      <c r="Z419" s="26">
        <v>16057.44</v>
      </c>
      <c r="AA419" s="26">
        <f t="shared" si="154"/>
        <v>219.28350877453119</v>
      </c>
      <c r="AB419" s="27">
        <f t="shared" si="155"/>
        <v>-1.2725636961275171E-2</v>
      </c>
      <c r="BK419" s="24">
        <v>44613</v>
      </c>
      <c r="BL419" s="25">
        <v>222.11</v>
      </c>
      <c r="BM419" s="26">
        <f t="shared" si="152"/>
        <v>221.15</v>
      </c>
      <c r="BN419" s="26">
        <f t="shared" si="156"/>
        <v>220.166</v>
      </c>
      <c r="BO419" s="26">
        <f t="shared" si="162"/>
        <v>219.32857142857145</v>
      </c>
      <c r="BP419" s="26">
        <f t="shared" si="165"/>
        <v>216.50846153846155</v>
      </c>
      <c r="BQ419" s="26">
        <f t="shared" si="168"/>
        <v>219.83424242424243</v>
      </c>
      <c r="BR419" s="26">
        <f t="shared" si="151"/>
        <v>220.85066666666668</v>
      </c>
      <c r="BS419" s="26">
        <f t="shared" si="159"/>
        <v>220.75324964096239</v>
      </c>
      <c r="BT419" s="26">
        <f t="shared" si="160"/>
        <v>221.55943979868374</v>
      </c>
    </row>
    <row r="420" spans="1:72" x14ac:dyDescent="0.2">
      <c r="A420" s="74"/>
      <c r="B420" s="24">
        <v>44614</v>
      </c>
      <c r="C420" s="25">
        <v>221.56</v>
      </c>
      <c r="D420" s="26">
        <f t="shared" si="161"/>
        <v>221.82000000000002</v>
      </c>
      <c r="E420" s="26">
        <f t="shared" si="163"/>
        <v>220.80599999999998</v>
      </c>
      <c r="F420" s="26">
        <f t="shared" si="164"/>
        <v>220.01428571428571</v>
      </c>
      <c r="G420" s="26">
        <f t="shared" si="166"/>
        <v>217.18230769230772</v>
      </c>
      <c r="H420" s="26">
        <f t="shared" si="148"/>
        <v>219.72787878787884</v>
      </c>
      <c r="I420" s="26">
        <f t="shared" si="150"/>
        <v>221.31533333333334</v>
      </c>
      <c r="J420" s="26">
        <f t="shared" si="157"/>
        <v>221.07594978457746</v>
      </c>
      <c r="K420" s="26">
        <f t="shared" si="158"/>
        <v>221.55977591947351</v>
      </c>
      <c r="L420" s="26">
        <f t="shared" si="153"/>
        <v>216.22375283522069</v>
      </c>
      <c r="V420" s="26">
        <f t="shared" si="167"/>
        <v>219.03809468637508</v>
      </c>
      <c r="W420" s="26">
        <f t="shared" si="170"/>
        <v>218.80033930327238</v>
      </c>
      <c r="X420" s="26">
        <f t="shared" si="169"/>
        <v>0.2377553831026944</v>
      </c>
      <c r="Y420" s="26">
        <f t="shared" si="149"/>
        <v>0.16954624103100935</v>
      </c>
      <c r="Z420" s="26">
        <v>15993.71</v>
      </c>
      <c r="AA420" s="26">
        <f t="shared" si="154"/>
        <v>219.25545040800549</v>
      </c>
      <c r="AB420" s="27">
        <f t="shared" si="155"/>
        <v>-1.0401469543214097E-2</v>
      </c>
      <c r="BK420" s="24">
        <v>44614</v>
      </c>
      <c r="BL420" s="25">
        <v>221.56</v>
      </c>
      <c r="BM420" s="26">
        <f t="shared" si="152"/>
        <v>221.82000000000002</v>
      </c>
      <c r="BN420" s="26">
        <f t="shared" si="156"/>
        <v>220.80599999999998</v>
      </c>
      <c r="BO420" s="26">
        <f t="shared" si="162"/>
        <v>220.01428571428571</v>
      </c>
      <c r="BP420" s="26">
        <f t="shared" si="165"/>
        <v>217.18230769230772</v>
      </c>
      <c r="BQ420" s="26">
        <f t="shared" si="168"/>
        <v>219.72787878787884</v>
      </c>
      <c r="BR420" s="26">
        <f t="shared" si="151"/>
        <v>221.31533333333334</v>
      </c>
      <c r="BS420" s="26">
        <f t="shared" si="159"/>
        <v>221.07594978457746</v>
      </c>
      <c r="BT420" s="26">
        <f t="shared" si="160"/>
        <v>221.55977591947351</v>
      </c>
    </row>
    <row r="421" spans="1:72" x14ac:dyDescent="0.2">
      <c r="A421" s="74"/>
      <c r="B421" s="24">
        <v>44615</v>
      </c>
      <c r="C421" s="25">
        <v>216.97</v>
      </c>
      <c r="D421" s="26">
        <f t="shared" si="161"/>
        <v>220.21333333333334</v>
      </c>
      <c r="E421" s="26">
        <f t="shared" si="163"/>
        <v>220.39600000000002</v>
      </c>
      <c r="F421" s="26">
        <f t="shared" si="164"/>
        <v>219.90857142857141</v>
      </c>
      <c r="G421" s="26">
        <f t="shared" si="166"/>
        <v>217.50307692307692</v>
      </c>
      <c r="H421" s="26">
        <f t="shared" ref="H421:H423" si="171">AVERAGE(C389:C421)</f>
        <v>219.50212121212124</v>
      </c>
      <c r="I421" s="26">
        <f t="shared" si="150"/>
        <v>220.03666666666669</v>
      </c>
      <c r="J421" s="26">
        <f t="shared" si="157"/>
        <v>219.43356987074648</v>
      </c>
      <c r="K421" s="26">
        <f t="shared" si="158"/>
        <v>218.80591036778941</v>
      </c>
      <c r="L421" s="26">
        <f t="shared" si="153"/>
        <v>216.20891417322062</v>
      </c>
      <c r="V421" s="26">
        <f t="shared" si="167"/>
        <v>218.7199262730866</v>
      </c>
      <c r="W421" s="26">
        <f t="shared" si="170"/>
        <v>218.88490248738432</v>
      </c>
      <c r="X421" s="26">
        <f t="shared" si="169"/>
        <v>-0.1649762142977238</v>
      </c>
      <c r="Y421" s="26">
        <f t="shared" si="149"/>
        <v>0.10264174996526272</v>
      </c>
      <c r="Z421" s="26">
        <v>15921.57</v>
      </c>
      <c r="AA421" s="26">
        <f t="shared" si="154"/>
        <v>219.22368937613413</v>
      </c>
      <c r="AB421" s="27">
        <f t="shared" si="155"/>
        <v>1.0387101332599591E-2</v>
      </c>
      <c r="BK421" s="24">
        <v>44615</v>
      </c>
      <c r="BL421" s="25">
        <v>216.97</v>
      </c>
      <c r="BM421" s="26">
        <f t="shared" si="152"/>
        <v>220.21333333333334</v>
      </c>
      <c r="BN421" s="26">
        <f t="shared" si="156"/>
        <v>220.39600000000002</v>
      </c>
      <c r="BO421" s="26">
        <f t="shared" si="162"/>
        <v>219.90857142857141</v>
      </c>
      <c r="BP421" s="26">
        <f t="shared" si="165"/>
        <v>217.50307692307692</v>
      </c>
      <c r="BQ421" s="26">
        <f t="shared" si="168"/>
        <v>219.50212121212124</v>
      </c>
      <c r="BR421" s="26">
        <f t="shared" si="151"/>
        <v>220.03666666666669</v>
      </c>
      <c r="BS421" s="26">
        <f t="shared" si="159"/>
        <v>219.43356987074648</v>
      </c>
      <c r="BT421" s="26">
        <f t="shared" si="160"/>
        <v>218.80591036778941</v>
      </c>
    </row>
    <row r="422" spans="1:72" x14ac:dyDescent="0.2">
      <c r="A422" s="74"/>
      <c r="B422" s="24">
        <v>44616</v>
      </c>
      <c r="C422" s="25">
        <v>216.29</v>
      </c>
      <c r="D422" s="26">
        <f t="shared" si="161"/>
        <v>218.27333333333331</v>
      </c>
      <c r="E422" s="26">
        <f t="shared" si="163"/>
        <v>219.744</v>
      </c>
      <c r="F422" s="26">
        <f t="shared" si="164"/>
        <v>219.61285714285714</v>
      </c>
      <c r="G422" s="26">
        <f t="shared" si="166"/>
        <v>218.03307692307686</v>
      </c>
      <c r="H422" s="26">
        <f t="shared" si="171"/>
        <v>219.2857575757576</v>
      </c>
      <c r="I422" s="26">
        <f t="shared" si="150"/>
        <v>218.66800000000003</v>
      </c>
      <c r="J422" s="26">
        <f t="shared" si="157"/>
        <v>218.17614192244787</v>
      </c>
      <c r="K422" s="26">
        <f t="shared" si="158"/>
        <v>217.29636414711575</v>
      </c>
      <c r="L422" s="26">
        <f t="shared" si="153"/>
        <v>216.19407551122052</v>
      </c>
      <c r="V422" s="26">
        <f t="shared" si="167"/>
        <v>218.34609146184249</v>
      </c>
      <c r="W422" s="26">
        <f t="shared" si="170"/>
        <v>218.53993173433946</v>
      </c>
      <c r="X422" s="26">
        <f t="shared" si="169"/>
        <v>-0.19384027249697056</v>
      </c>
      <c r="Y422" s="26">
        <f t="shared" si="149"/>
        <v>4.3345345472816064E-2</v>
      </c>
      <c r="Z422" s="26">
        <v>15973.86</v>
      </c>
      <c r="AA422" s="26">
        <f t="shared" si="154"/>
        <v>219.2467110611432</v>
      </c>
      <c r="AB422" s="27">
        <f t="shared" si="155"/>
        <v>1.3670123728065144E-2</v>
      </c>
      <c r="BK422" s="24">
        <v>44616</v>
      </c>
      <c r="BL422" s="25">
        <v>216.29</v>
      </c>
      <c r="BM422" s="26">
        <f t="shared" si="152"/>
        <v>218.27333333333331</v>
      </c>
      <c r="BN422" s="26">
        <f t="shared" si="156"/>
        <v>219.744</v>
      </c>
      <c r="BO422" s="26">
        <f t="shared" si="162"/>
        <v>219.61285714285714</v>
      </c>
      <c r="BP422" s="26">
        <f t="shared" si="165"/>
        <v>218.03307692307686</v>
      </c>
      <c r="BQ422" s="26">
        <f t="shared" si="168"/>
        <v>219.2857575757576</v>
      </c>
      <c r="BR422" s="26">
        <f t="shared" si="151"/>
        <v>218.66800000000003</v>
      </c>
      <c r="BS422" s="26">
        <f t="shared" si="159"/>
        <v>218.17614192244787</v>
      </c>
      <c r="BT422" s="26">
        <f t="shared" si="160"/>
        <v>217.29636414711575</v>
      </c>
    </row>
    <row r="423" spans="1:72" x14ac:dyDescent="0.2">
      <c r="A423" s="74"/>
      <c r="B423" s="24">
        <v>44617</v>
      </c>
      <c r="C423" s="25">
        <v>217.6</v>
      </c>
      <c r="D423" s="26">
        <f>AVERAGE(C421:C423)</f>
        <v>216.95333333333335</v>
      </c>
      <c r="E423" s="26">
        <f t="shared" si="163"/>
        <v>218.90600000000001</v>
      </c>
      <c r="F423" s="26">
        <f t="shared" si="164"/>
        <v>219.41</v>
      </c>
      <c r="G423" s="26">
        <f t="shared" si="166"/>
        <v>218.45307692307688</v>
      </c>
      <c r="H423" s="26">
        <f t="shared" si="171"/>
        <v>219.05727272727279</v>
      </c>
      <c r="I423" s="26">
        <f>(C423*5+C422*4+C421*3+C420*2+C419)/(5+4+3+2+1)</f>
        <v>217.95333333333332</v>
      </c>
      <c r="J423" s="26">
        <f t="shared" si="157"/>
        <v>217.94568515346873</v>
      </c>
      <c r="K423" s="26">
        <f t="shared" si="158"/>
        <v>217.47854565884631</v>
      </c>
      <c r="L423" s="26">
        <f t="shared" si="153"/>
        <v>216.17923684922042</v>
      </c>
      <c r="V423" s="26">
        <f t="shared" si="167"/>
        <v>218.23130816002057</v>
      </c>
      <c r="W423" s="26">
        <f t="shared" si="170"/>
        <v>218.29082542763194</v>
      </c>
      <c r="X423" s="26">
        <f t="shared" si="169"/>
        <v>-5.9517267611369107E-2</v>
      </c>
      <c r="Y423" s="26">
        <f t="shared" ref="Y423:Y486" si="172">X423*(2/(9+1))+Y422*(1-(2/(9+1)))</f>
        <v>2.2772822855979029E-2</v>
      </c>
      <c r="Z423" s="26">
        <v>15853.85</v>
      </c>
      <c r="AA423" s="26">
        <f t="shared" si="154"/>
        <v>219.19387433484872</v>
      </c>
      <c r="AB423" s="27">
        <f t="shared" si="155"/>
        <v>7.3247901417680186E-3</v>
      </c>
      <c r="BK423" s="24">
        <v>44617</v>
      </c>
      <c r="BL423" s="25">
        <v>217.6</v>
      </c>
      <c r="BM423" s="26">
        <f>AVERAGE(BL421:BL423)</f>
        <v>216.95333333333335</v>
      </c>
      <c r="BN423" s="26">
        <f t="shared" si="156"/>
        <v>218.90600000000001</v>
      </c>
      <c r="BO423" s="26">
        <f t="shared" si="162"/>
        <v>219.41</v>
      </c>
      <c r="BP423" s="26">
        <f t="shared" si="165"/>
        <v>218.45307692307688</v>
      </c>
      <c r="BQ423" s="26">
        <f t="shared" si="168"/>
        <v>219.05727272727279</v>
      </c>
      <c r="BR423" s="26">
        <f>(BL423*5+BL422*4+BL421*3+BL420*2+BL419)/(5+4+3+2+1)</f>
        <v>217.95333333333332</v>
      </c>
      <c r="BS423" s="26">
        <f t="shared" si="159"/>
        <v>217.94568515346873</v>
      </c>
      <c r="BT423" s="26">
        <f t="shared" si="160"/>
        <v>217.47854565884631</v>
      </c>
    </row>
    <row r="424" spans="1:72" x14ac:dyDescent="0.2">
      <c r="A424" s="74"/>
      <c r="B424" s="24">
        <v>44618</v>
      </c>
      <c r="C424" s="25">
        <v>222.91</v>
      </c>
      <c r="D424" s="26">
        <f t="shared" ref="D424:D487" si="173">AVERAGE(C422:C424)</f>
        <v>218.93333333333331</v>
      </c>
      <c r="E424" s="26">
        <f t="shared" si="163"/>
        <v>219.06599999999997</v>
      </c>
      <c r="F424" s="26">
        <f t="shared" ref="F424" si="174">AVERAGE(C418:C424)</f>
        <v>219.89000000000001</v>
      </c>
      <c r="G424" s="26">
        <f t="shared" ref="G424" si="175">AVERAGE(C412:C424)</f>
        <v>218.90999999999997</v>
      </c>
      <c r="H424" s="26">
        <f t="shared" ref="H424" si="176">AVERAGE(C392:C424)</f>
        <v>218.96484848484852</v>
      </c>
      <c r="I424" s="26">
        <f t="shared" ref="I424:I487" si="177">(C424*5+C423*4+C422*3+C421*2+C420)/(5+4+3+2+1)</f>
        <v>219.28799999999998</v>
      </c>
      <c r="J424" s="26">
        <f t="shared" si="157"/>
        <v>219.93141109208125</v>
      </c>
      <c r="K424" s="26">
        <f t="shared" si="158"/>
        <v>220.73741826353853</v>
      </c>
      <c r="L424" s="26">
        <f t="shared" si="153"/>
        <v>216.16439818722034</v>
      </c>
      <c r="V424" s="26">
        <f t="shared" si="167"/>
        <v>218.95110690463278</v>
      </c>
      <c r="W424" s="26">
        <f t="shared" si="170"/>
        <v>218.57787792594496</v>
      </c>
      <c r="X424" s="26">
        <f t="shared" si="169"/>
        <v>0.37322897868781979</v>
      </c>
      <c r="Y424" s="26">
        <f t="shared" si="172"/>
        <v>9.2864054022347181E-2</v>
      </c>
      <c r="Z424" s="26">
        <v>15498.39</v>
      </c>
      <c r="AA424" s="26">
        <f t="shared" si="154"/>
        <v>219.03737618695578</v>
      </c>
      <c r="AB424" s="27">
        <f t="shared" si="155"/>
        <v>-1.7373037607304357E-2</v>
      </c>
      <c r="BK424" s="24">
        <v>44618</v>
      </c>
      <c r="BL424" s="25">
        <v>222.91</v>
      </c>
      <c r="BM424" s="26">
        <f t="shared" ref="BM424:BM487" si="178">AVERAGE(BL422:BL424)</f>
        <v>218.93333333333331</v>
      </c>
      <c r="BN424" s="26">
        <f t="shared" si="156"/>
        <v>219.06599999999997</v>
      </c>
      <c r="BO424" s="26">
        <f t="shared" si="162"/>
        <v>219.89000000000001</v>
      </c>
      <c r="BP424" s="26">
        <f t="shared" si="165"/>
        <v>218.90999999999997</v>
      </c>
      <c r="BQ424" s="26">
        <f t="shared" si="168"/>
        <v>218.96484848484852</v>
      </c>
      <c r="BR424" s="26">
        <f t="shared" ref="BR424:BR487" si="179">(BL424*5+BL423*4+BL422*3+BL421*2+BL420)/(5+4+3+2+1)</f>
        <v>219.28799999999998</v>
      </c>
      <c r="BS424" s="26">
        <f t="shared" si="159"/>
        <v>219.93141109208125</v>
      </c>
      <c r="BT424" s="26">
        <f t="shared" si="160"/>
        <v>220.73741826353853</v>
      </c>
    </row>
    <row r="425" spans="1:72" x14ac:dyDescent="0.2">
      <c r="A425" s="74"/>
      <c r="B425" s="24">
        <v>44619</v>
      </c>
      <c r="C425" s="25">
        <v>225.36</v>
      </c>
      <c r="D425" s="26">
        <f t="shared" si="173"/>
        <v>221.95666666666668</v>
      </c>
      <c r="E425" s="26">
        <f t="shared" si="163"/>
        <v>219.82600000000002</v>
      </c>
      <c r="F425" s="26">
        <f t="shared" ref="F425:F488" si="180">AVERAGE(C419:C425)</f>
        <v>220.40000000000003</v>
      </c>
      <c r="G425" s="26">
        <f t="shared" ref="G425:G488" si="181">AVERAGE(C413:C425)</f>
        <v>219.69153846153847</v>
      </c>
      <c r="H425" s="26">
        <f t="shared" ref="H425:H488" si="182">AVERAGE(C393:C425)</f>
        <v>218.98939393939395</v>
      </c>
      <c r="I425" s="26">
        <f t="shared" si="177"/>
        <v>221.38599999999997</v>
      </c>
      <c r="J425" s="26">
        <f t="shared" si="157"/>
        <v>222.10284665524875</v>
      </c>
      <c r="K425" s="26">
        <f t="shared" si="158"/>
        <v>223.51096730541542</v>
      </c>
      <c r="L425" s="26">
        <f t="shared" si="153"/>
        <v>216.14955952522024</v>
      </c>
      <c r="V425" s="26">
        <f t="shared" si="167"/>
        <v>219.9370904577662</v>
      </c>
      <c r="W425" s="26">
        <f t="shared" si="170"/>
        <v>219.42583972651184</v>
      </c>
      <c r="X425" s="26">
        <f t="shared" si="169"/>
        <v>0.51125073125436415</v>
      </c>
      <c r="Y425" s="26">
        <f t="shared" si="172"/>
        <v>0.17654138946875059</v>
      </c>
      <c r="Z425" s="26">
        <v>15448.12</v>
      </c>
      <c r="AA425" s="26">
        <f t="shared" si="154"/>
        <v>219.01524384606066</v>
      </c>
      <c r="AB425" s="27">
        <f t="shared" si="155"/>
        <v>-2.8153870047654229E-2</v>
      </c>
      <c r="BK425" s="24">
        <v>44619</v>
      </c>
      <c r="BL425" s="25">
        <v>225.36</v>
      </c>
      <c r="BM425" s="26">
        <f t="shared" si="178"/>
        <v>221.95666666666668</v>
      </c>
      <c r="BN425" s="26">
        <f t="shared" si="156"/>
        <v>219.82600000000002</v>
      </c>
      <c r="BO425" s="26">
        <f t="shared" si="162"/>
        <v>220.40000000000003</v>
      </c>
      <c r="BP425" s="26">
        <f t="shared" si="165"/>
        <v>219.69153846153847</v>
      </c>
      <c r="BQ425" s="26">
        <f t="shared" si="168"/>
        <v>218.98939393939395</v>
      </c>
      <c r="BR425" s="26">
        <f t="shared" si="179"/>
        <v>221.38599999999997</v>
      </c>
      <c r="BS425" s="26">
        <f t="shared" si="159"/>
        <v>222.10284665524875</v>
      </c>
      <c r="BT425" s="26">
        <f t="shared" si="160"/>
        <v>223.51096730541542</v>
      </c>
    </row>
    <row r="426" spans="1:72" x14ac:dyDescent="0.2">
      <c r="A426" s="74"/>
      <c r="B426" s="24">
        <v>44620</v>
      </c>
      <c r="C426" s="25">
        <v>225.25</v>
      </c>
      <c r="D426" s="26">
        <f t="shared" si="173"/>
        <v>224.50666666666666</v>
      </c>
      <c r="E426" s="26">
        <f t="shared" si="163"/>
        <v>221.48199999999997</v>
      </c>
      <c r="F426" s="26">
        <f t="shared" si="180"/>
        <v>220.84857142857143</v>
      </c>
      <c r="G426" s="26">
        <f t="shared" si="181"/>
        <v>220.34461538461539</v>
      </c>
      <c r="H426" s="26">
        <f t="shared" si="182"/>
        <v>219.07757575757577</v>
      </c>
      <c r="I426" s="26">
        <f t="shared" si="177"/>
        <v>223.19399999999999</v>
      </c>
      <c r="J426" s="26">
        <f t="shared" si="157"/>
        <v>223.36170799314925</v>
      </c>
      <c r="K426" s="26">
        <f t="shared" si="158"/>
        <v>224.55438692216617</v>
      </c>
      <c r="L426" s="26">
        <f t="shared" si="153"/>
        <v>216.13472086322014</v>
      </c>
      <c r="V426" s="26">
        <f t="shared" si="167"/>
        <v>220.75446115657141</v>
      </c>
      <c r="W426" s="26">
        <f t="shared" si="170"/>
        <v>220.33063931274648</v>
      </c>
      <c r="X426" s="26">
        <f t="shared" si="169"/>
        <v>0.42382184382492483</v>
      </c>
      <c r="Y426" s="26">
        <f t="shared" si="172"/>
        <v>0.22599748033998546</v>
      </c>
      <c r="Z426" s="26">
        <v>15235.84</v>
      </c>
      <c r="AA426" s="26">
        <f t="shared" si="154"/>
        <v>218.92178346561079</v>
      </c>
      <c r="AB426" s="27">
        <f t="shared" si="155"/>
        <v>-2.8094191051672421E-2</v>
      </c>
      <c r="BK426" s="24">
        <v>44620</v>
      </c>
      <c r="BL426" s="25">
        <v>225.25</v>
      </c>
      <c r="BM426" s="26">
        <f t="shared" si="178"/>
        <v>224.50666666666666</v>
      </c>
      <c r="BN426" s="26">
        <f t="shared" si="156"/>
        <v>221.48199999999997</v>
      </c>
      <c r="BO426" s="26">
        <f t="shared" si="162"/>
        <v>220.84857142857143</v>
      </c>
      <c r="BP426" s="26">
        <f t="shared" si="165"/>
        <v>220.34461538461539</v>
      </c>
      <c r="BQ426" s="26">
        <f t="shared" si="168"/>
        <v>219.07757575757577</v>
      </c>
      <c r="BR426" s="26">
        <f t="shared" si="179"/>
        <v>223.19399999999999</v>
      </c>
      <c r="BS426" s="26">
        <f t="shared" si="159"/>
        <v>223.36170799314925</v>
      </c>
      <c r="BT426" s="26">
        <f t="shared" si="160"/>
        <v>224.55438692216617</v>
      </c>
    </row>
    <row r="427" spans="1:72" x14ac:dyDescent="0.2">
      <c r="A427" s="73">
        <v>44621</v>
      </c>
      <c r="B427" s="24">
        <v>44621</v>
      </c>
      <c r="C427" s="25">
        <v>225.9</v>
      </c>
      <c r="D427" s="26">
        <f t="shared" si="173"/>
        <v>225.50333333333333</v>
      </c>
      <c r="E427" s="26">
        <f t="shared" si="163"/>
        <v>223.404</v>
      </c>
      <c r="F427" s="26">
        <f t="shared" si="180"/>
        <v>221.46857142857147</v>
      </c>
      <c r="G427" s="26">
        <f t="shared" si="181"/>
        <v>220.97461538461539</v>
      </c>
      <c r="H427" s="26">
        <f t="shared" si="182"/>
        <v>219.1690909090909</v>
      </c>
      <c r="I427" s="26">
        <f t="shared" si="177"/>
        <v>224.66666666666666</v>
      </c>
      <c r="J427" s="26">
        <f t="shared" si="157"/>
        <v>224.37702479588955</v>
      </c>
      <c r="K427" s="26">
        <f t="shared" si="158"/>
        <v>225.36175476886646</v>
      </c>
      <c r="L427" s="26">
        <f t="shared" si="153"/>
        <v>216.11988220122007</v>
      </c>
      <c r="V427" s="26">
        <f t="shared" si="167"/>
        <v>221.54608251709888</v>
      </c>
      <c r="W427" s="26">
        <f t="shared" si="170"/>
        <v>221.13561218201056</v>
      </c>
      <c r="X427" s="26">
        <f t="shared" si="169"/>
        <v>0.41047033508831987</v>
      </c>
      <c r="Y427" s="26">
        <f t="shared" si="172"/>
        <v>0.26289205128965232</v>
      </c>
      <c r="Z427" s="26">
        <v>15235.71</v>
      </c>
      <c r="AA427" s="26">
        <f t="shared" si="154"/>
        <v>218.92172623059355</v>
      </c>
      <c r="AB427" s="27">
        <f t="shared" si="155"/>
        <v>-3.089098614168418E-2</v>
      </c>
      <c r="BK427" s="24">
        <v>44621</v>
      </c>
      <c r="BL427" s="25">
        <v>225.9</v>
      </c>
      <c r="BM427" s="26">
        <f t="shared" si="178"/>
        <v>225.50333333333333</v>
      </c>
      <c r="BN427" s="26">
        <f t="shared" si="156"/>
        <v>223.404</v>
      </c>
      <c r="BO427" s="26">
        <f t="shared" si="162"/>
        <v>221.46857142857147</v>
      </c>
      <c r="BP427" s="26">
        <f t="shared" si="165"/>
        <v>220.97461538461539</v>
      </c>
      <c r="BQ427" s="26">
        <f t="shared" si="168"/>
        <v>219.1690909090909</v>
      </c>
      <c r="BR427" s="26">
        <f t="shared" si="179"/>
        <v>224.66666666666666</v>
      </c>
      <c r="BS427" s="26">
        <f t="shared" si="159"/>
        <v>224.37702479588955</v>
      </c>
      <c r="BT427" s="26">
        <f t="shared" si="160"/>
        <v>225.36175476886646</v>
      </c>
    </row>
    <row r="428" spans="1:72" x14ac:dyDescent="0.2">
      <c r="A428" s="74"/>
      <c r="B428" s="24">
        <v>44622</v>
      </c>
      <c r="C428" s="25">
        <v>234.74</v>
      </c>
      <c r="D428" s="26">
        <f t="shared" si="173"/>
        <v>228.63</v>
      </c>
      <c r="E428" s="26">
        <f t="shared" si="163"/>
        <v>226.83199999999997</v>
      </c>
      <c r="F428" s="26">
        <f t="shared" si="180"/>
        <v>224.00714285714284</v>
      </c>
      <c r="G428" s="26">
        <f t="shared" si="181"/>
        <v>222.23461538461541</v>
      </c>
      <c r="H428" s="26">
        <f t="shared" si="182"/>
        <v>219.30272727272725</v>
      </c>
      <c r="I428" s="26">
        <f t="shared" si="177"/>
        <v>228.44533333333337</v>
      </c>
      <c r="J428" s="26">
        <f t="shared" si="157"/>
        <v>228.52221487753374</v>
      </c>
      <c r="K428" s="26">
        <f t="shared" si="158"/>
        <v>230.98870190754658</v>
      </c>
      <c r="L428" s="26">
        <f t="shared" si="153"/>
        <v>216.10504353921996</v>
      </c>
      <c r="V428" s="26">
        <f t="shared" si="167"/>
        <v>223.57591597600674</v>
      </c>
      <c r="W428" s="26">
        <f t="shared" si="170"/>
        <v>222.52340973805451</v>
      </c>
      <c r="X428" s="26">
        <f t="shared" si="169"/>
        <v>1.0525062379522296</v>
      </c>
      <c r="Y428" s="26">
        <f t="shared" si="172"/>
        <v>0.42081488862216782</v>
      </c>
      <c r="Z428" s="26">
        <v>15226.71</v>
      </c>
      <c r="AA428" s="26">
        <f t="shared" si="154"/>
        <v>218.91776380632348</v>
      </c>
      <c r="AB428" s="27">
        <f t="shared" si="155"/>
        <v>-6.7403238449674233E-2</v>
      </c>
      <c r="BK428" s="24">
        <v>44622</v>
      </c>
      <c r="BL428" s="25">
        <v>234.74</v>
      </c>
      <c r="BM428" s="26">
        <f t="shared" si="178"/>
        <v>228.63</v>
      </c>
      <c r="BN428" s="26">
        <f t="shared" si="156"/>
        <v>226.83199999999997</v>
      </c>
      <c r="BO428" s="26">
        <f t="shared" si="162"/>
        <v>224.00714285714284</v>
      </c>
      <c r="BP428" s="26">
        <f t="shared" si="165"/>
        <v>222.23461538461541</v>
      </c>
      <c r="BQ428" s="26">
        <f t="shared" si="168"/>
        <v>219.30272727272725</v>
      </c>
      <c r="BR428" s="26">
        <f t="shared" si="179"/>
        <v>228.44533333333337</v>
      </c>
      <c r="BS428" s="26">
        <f t="shared" si="159"/>
        <v>228.52221487753374</v>
      </c>
      <c r="BT428" s="26">
        <f t="shared" si="160"/>
        <v>230.98870190754658</v>
      </c>
    </row>
    <row r="429" spans="1:72" x14ac:dyDescent="0.2">
      <c r="A429" s="74"/>
      <c r="B429" s="24">
        <v>44623</v>
      </c>
      <c r="C429" s="25">
        <v>232.75</v>
      </c>
      <c r="D429" s="26">
        <f t="shared" si="173"/>
        <v>231.13</v>
      </c>
      <c r="E429" s="26">
        <f t="shared" si="163"/>
        <v>228.8</v>
      </c>
      <c r="F429" s="26">
        <f t="shared" si="180"/>
        <v>226.35857142857142</v>
      </c>
      <c r="G429" s="26">
        <f t="shared" si="181"/>
        <v>223.2907692307692</v>
      </c>
      <c r="H429" s="26">
        <f t="shared" si="182"/>
        <v>219.47696969696969</v>
      </c>
      <c r="I429" s="26">
        <f t="shared" si="177"/>
        <v>230.41800000000001</v>
      </c>
      <c r="J429" s="26">
        <f t="shared" si="157"/>
        <v>230.21332892652026</v>
      </c>
      <c r="K429" s="26">
        <f t="shared" si="158"/>
        <v>232.04548076301865</v>
      </c>
      <c r="L429" s="26">
        <f t="shared" si="153"/>
        <v>216.09020487721986</v>
      </c>
      <c r="V429" s="26">
        <f t="shared" si="167"/>
        <v>224.98731351815957</v>
      </c>
      <c r="W429" s="26">
        <f t="shared" si="170"/>
        <v>224.2554777555618</v>
      </c>
      <c r="X429" s="26">
        <f t="shared" si="169"/>
        <v>0.73183576259776828</v>
      </c>
      <c r="Y429" s="26">
        <f t="shared" si="172"/>
        <v>0.48301906341728795</v>
      </c>
      <c r="Z429" s="26">
        <v>15090.2</v>
      </c>
      <c r="AA429" s="26">
        <f t="shared" si="154"/>
        <v>218.8576626355339</v>
      </c>
      <c r="AB429" s="27">
        <f t="shared" si="155"/>
        <v>-5.9687808225418262E-2</v>
      </c>
      <c r="BK429" s="24">
        <v>44623</v>
      </c>
      <c r="BL429" s="25">
        <v>232.75</v>
      </c>
      <c r="BM429" s="26">
        <f t="shared" si="178"/>
        <v>231.13</v>
      </c>
      <c r="BN429" s="26">
        <f t="shared" si="156"/>
        <v>228.8</v>
      </c>
      <c r="BO429" s="26">
        <f t="shared" si="162"/>
        <v>226.35857142857142</v>
      </c>
      <c r="BP429" s="26">
        <f t="shared" si="165"/>
        <v>223.2907692307692</v>
      </c>
      <c r="BQ429" s="26">
        <f t="shared" si="168"/>
        <v>219.47696969696969</v>
      </c>
      <c r="BR429" s="26">
        <f t="shared" si="179"/>
        <v>230.41800000000001</v>
      </c>
      <c r="BS429" s="26">
        <f t="shared" si="159"/>
        <v>230.21332892652026</v>
      </c>
      <c r="BT429" s="26">
        <f t="shared" si="160"/>
        <v>232.04548076301865</v>
      </c>
    </row>
    <row r="430" spans="1:72" x14ac:dyDescent="0.2">
      <c r="A430" s="74"/>
      <c r="B430" s="24">
        <v>44624</v>
      </c>
      <c r="C430" s="25">
        <v>234.64</v>
      </c>
      <c r="D430" s="26">
        <f t="shared" si="173"/>
        <v>234.04333333333332</v>
      </c>
      <c r="E430" s="26">
        <f t="shared" si="163"/>
        <v>230.65600000000001</v>
      </c>
      <c r="F430" s="26">
        <f t="shared" si="180"/>
        <v>228.79285714285712</v>
      </c>
      <c r="G430" s="26">
        <f t="shared" si="181"/>
        <v>224.45153846153849</v>
      </c>
      <c r="H430" s="26">
        <f t="shared" si="182"/>
        <v>219.87454545454545</v>
      </c>
      <c r="I430" s="26">
        <f t="shared" si="177"/>
        <v>232.36466666666669</v>
      </c>
      <c r="J430" s="26">
        <f t="shared" si="157"/>
        <v>231.98399735591215</v>
      </c>
      <c r="K430" s="26">
        <f t="shared" si="158"/>
        <v>233.60219230520744</v>
      </c>
      <c r="L430" s="26">
        <f t="shared" si="153"/>
        <v>216.07536621521979</v>
      </c>
      <c r="V430" s="26">
        <f t="shared" si="167"/>
        <v>226.47234220767348</v>
      </c>
      <c r="W430" s="26">
        <f t="shared" si="170"/>
        <v>225.70232733162925</v>
      </c>
      <c r="X430" s="26">
        <f t="shared" si="169"/>
        <v>0.77001487604422891</v>
      </c>
      <c r="Y430" s="26">
        <f t="shared" si="172"/>
        <v>0.54041822594267619</v>
      </c>
      <c r="Z430" s="26">
        <v>15215.7</v>
      </c>
      <c r="AA430" s="26">
        <f t="shared" si="154"/>
        <v>218.9129164406331</v>
      </c>
      <c r="AB430" s="27">
        <f t="shared" si="155"/>
        <v>-6.7026438626691484E-2</v>
      </c>
      <c r="BK430" s="24">
        <v>44624</v>
      </c>
      <c r="BL430" s="25">
        <v>234.64</v>
      </c>
      <c r="BM430" s="26">
        <f t="shared" si="178"/>
        <v>234.04333333333332</v>
      </c>
      <c r="BN430" s="26">
        <f t="shared" si="156"/>
        <v>230.65600000000001</v>
      </c>
      <c r="BO430" s="26">
        <f t="shared" si="162"/>
        <v>228.79285714285712</v>
      </c>
      <c r="BP430" s="26">
        <f t="shared" si="165"/>
        <v>224.45153846153849</v>
      </c>
      <c r="BQ430" s="26">
        <f t="shared" si="168"/>
        <v>219.87454545454545</v>
      </c>
      <c r="BR430" s="26">
        <f t="shared" si="179"/>
        <v>232.36466666666669</v>
      </c>
      <c r="BS430" s="26">
        <f t="shared" si="159"/>
        <v>231.98399735591215</v>
      </c>
      <c r="BT430" s="26">
        <f t="shared" si="160"/>
        <v>233.60219230520744</v>
      </c>
    </row>
    <row r="431" spans="1:72" x14ac:dyDescent="0.2">
      <c r="A431" s="74"/>
      <c r="B431" s="24">
        <v>44625</v>
      </c>
      <c r="C431" s="25">
        <v>234.78</v>
      </c>
      <c r="D431" s="26">
        <f t="shared" si="173"/>
        <v>234.05666666666664</v>
      </c>
      <c r="E431" s="26">
        <f t="shared" si="163"/>
        <v>232.56199999999998</v>
      </c>
      <c r="F431" s="26">
        <f t="shared" si="180"/>
        <v>230.48857142857142</v>
      </c>
      <c r="G431" s="26">
        <f t="shared" si="181"/>
        <v>225.45076923076928</v>
      </c>
      <c r="H431" s="26">
        <f t="shared" si="182"/>
        <v>220.29454545454544</v>
      </c>
      <c r="I431" s="26">
        <f t="shared" si="177"/>
        <v>233.73933333333335</v>
      </c>
      <c r="J431" s="26">
        <f t="shared" si="157"/>
        <v>233.10239841354729</v>
      </c>
      <c r="K431" s="26">
        <f t="shared" si="158"/>
        <v>234.30887692208296</v>
      </c>
      <c r="L431" s="26">
        <f t="shared" si="153"/>
        <v>216.06052755321969</v>
      </c>
      <c r="V431" s="26">
        <f t="shared" si="167"/>
        <v>227.75044340649293</v>
      </c>
      <c r="W431" s="26">
        <f t="shared" si="170"/>
        <v>227.08772426636435</v>
      </c>
      <c r="X431" s="26">
        <f t="shared" si="169"/>
        <v>0.66271914012858701</v>
      </c>
      <c r="Y431" s="26">
        <f t="shared" si="172"/>
        <v>0.5648784087798584</v>
      </c>
      <c r="Z431" s="26">
        <v>15121.68</v>
      </c>
      <c r="AA431" s="26">
        <f t="shared" si="154"/>
        <v>218.87152231509185</v>
      </c>
      <c r="AB431" s="27">
        <f t="shared" si="155"/>
        <v>-6.7759083758872768E-2</v>
      </c>
      <c r="BK431" s="24">
        <v>44625</v>
      </c>
      <c r="BL431" s="25">
        <v>234.78</v>
      </c>
      <c r="BM431" s="26">
        <f t="shared" si="178"/>
        <v>234.05666666666664</v>
      </c>
      <c r="BN431" s="26">
        <f t="shared" si="156"/>
        <v>232.56199999999998</v>
      </c>
      <c r="BO431" s="26">
        <f t="shared" si="162"/>
        <v>230.48857142857142</v>
      </c>
      <c r="BP431" s="26">
        <f t="shared" si="165"/>
        <v>225.45076923076928</v>
      </c>
      <c r="BQ431" s="26">
        <f t="shared" si="168"/>
        <v>220.29454545454544</v>
      </c>
      <c r="BR431" s="26">
        <f t="shared" si="179"/>
        <v>233.73933333333335</v>
      </c>
      <c r="BS431" s="26">
        <f t="shared" si="159"/>
        <v>233.10239841354729</v>
      </c>
      <c r="BT431" s="26">
        <f t="shared" si="160"/>
        <v>234.30887692208296</v>
      </c>
    </row>
    <row r="432" spans="1:72" x14ac:dyDescent="0.2">
      <c r="A432" s="74"/>
      <c r="B432" s="24">
        <v>44626</v>
      </c>
      <c r="C432" s="25">
        <v>232.47</v>
      </c>
      <c r="D432" s="26">
        <f t="shared" si="173"/>
        <v>233.96333333333334</v>
      </c>
      <c r="E432" s="26">
        <f t="shared" si="163"/>
        <v>233.87599999999998</v>
      </c>
      <c r="F432" s="26">
        <f t="shared" si="180"/>
        <v>231.50428571428571</v>
      </c>
      <c r="G432" s="26">
        <f t="shared" si="181"/>
        <v>226.24769230769229</v>
      </c>
      <c r="H432" s="26">
        <f t="shared" si="182"/>
        <v>220.66121212121212</v>
      </c>
      <c r="I432" s="26">
        <f t="shared" si="177"/>
        <v>233.70866666666669</v>
      </c>
      <c r="J432" s="26">
        <f t="shared" si="157"/>
        <v>232.84943904812837</v>
      </c>
      <c r="K432" s="26">
        <f t="shared" si="158"/>
        <v>233.20555076883318</v>
      </c>
      <c r="L432" s="26">
        <f t="shared" si="153"/>
        <v>216.04568889121958</v>
      </c>
      <c r="V432" s="26">
        <f t="shared" si="167"/>
        <v>228.47652903626326</v>
      </c>
      <c r="W432" s="26">
        <f t="shared" si="170"/>
        <v>228.10004019119717</v>
      </c>
      <c r="X432" s="26">
        <f t="shared" si="169"/>
        <v>0.37648884506609193</v>
      </c>
      <c r="Y432" s="26">
        <f t="shared" si="172"/>
        <v>0.52720049603710506</v>
      </c>
      <c r="Z432" s="26">
        <v>15129.09</v>
      </c>
      <c r="AA432" s="26">
        <f t="shared" si="154"/>
        <v>218.8747847110742</v>
      </c>
      <c r="AB432" s="27">
        <f t="shared" si="155"/>
        <v>-5.8481590265091414E-2</v>
      </c>
      <c r="BK432" s="24">
        <v>44626</v>
      </c>
      <c r="BL432" s="25">
        <v>232.47</v>
      </c>
      <c r="BM432" s="26">
        <f t="shared" si="178"/>
        <v>233.96333333333334</v>
      </c>
      <c r="BN432" s="26">
        <f t="shared" si="156"/>
        <v>233.87599999999998</v>
      </c>
      <c r="BO432" s="26">
        <f t="shared" si="162"/>
        <v>231.50428571428571</v>
      </c>
      <c r="BP432" s="26">
        <f t="shared" si="165"/>
        <v>226.24769230769229</v>
      </c>
      <c r="BQ432" s="26">
        <f t="shared" si="168"/>
        <v>220.66121212121212</v>
      </c>
      <c r="BR432" s="26">
        <f t="shared" si="179"/>
        <v>233.70866666666669</v>
      </c>
      <c r="BS432" s="26">
        <f t="shared" si="159"/>
        <v>232.84943904812837</v>
      </c>
      <c r="BT432" s="26">
        <f t="shared" si="160"/>
        <v>233.20555076883318</v>
      </c>
    </row>
    <row r="433" spans="1:72" x14ac:dyDescent="0.2">
      <c r="A433" s="74"/>
      <c r="B433" s="24">
        <v>44627</v>
      </c>
      <c r="C433" s="25">
        <v>231.64</v>
      </c>
      <c r="D433" s="26">
        <f t="shared" si="173"/>
        <v>232.96333333333334</v>
      </c>
      <c r="E433" s="26">
        <f t="shared" si="163"/>
        <v>233.256</v>
      </c>
      <c r="F433" s="26">
        <f t="shared" si="180"/>
        <v>232.41714285714286</v>
      </c>
      <c r="G433" s="26">
        <f t="shared" si="181"/>
        <v>227.02307692307693</v>
      </c>
      <c r="H433" s="26">
        <f t="shared" si="182"/>
        <v>220.96757575757576</v>
      </c>
      <c r="I433" s="26">
        <f t="shared" si="177"/>
        <v>232.96333333333331</v>
      </c>
      <c r="J433" s="26">
        <f t="shared" si="157"/>
        <v>232.36566342887701</v>
      </c>
      <c r="K433" s="26">
        <f t="shared" si="158"/>
        <v>232.26622030753327</v>
      </c>
      <c r="L433" s="26">
        <f t="shared" si="153"/>
        <v>216.03085022921951</v>
      </c>
      <c r="V433" s="26">
        <f t="shared" si="167"/>
        <v>228.96321687683812</v>
      </c>
      <c r="W433" s="26">
        <f t="shared" si="170"/>
        <v>228.71086021876229</v>
      </c>
      <c r="X433" s="26">
        <f t="shared" si="169"/>
        <v>0.25235665807582564</v>
      </c>
      <c r="Y433" s="26">
        <f t="shared" si="172"/>
        <v>0.47223172844484923</v>
      </c>
      <c r="Z433" s="26">
        <v>15021.81</v>
      </c>
      <c r="AA433" s="26">
        <f t="shared" si="154"/>
        <v>218.82755261377505</v>
      </c>
      <c r="AB433" s="27">
        <f t="shared" si="155"/>
        <v>-5.5311895122711674E-2</v>
      </c>
      <c r="BK433" s="24">
        <v>44627</v>
      </c>
      <c r="BL433" s="25">
        <v>231.64</v>
      </c>
      <c r="BM433" s="26">
        <f t="shared" si="178"/>
        <v>232.96333333333334</v>
      </c>
      <c r="BN433" s="26">
        <f t="shared" si="156"/>
        <v>233.256</v>
      </c>
      <c r="BO433" s="26">
        <f t="shared" si="162"/>
        <v>232.41714285714286</v>
      </c>
      <c r="BP433" s="26">
        <f t="shared" si="165"/>
        <v>227.02307692307693</v>
      </c>
      <c r="BQ433" s="26">
        <f t="shared" si="168"/>
        <v>220.96757575757576</v>
      </c>
      <c r="BR433" s="26">
        <f t="shared" si="179"/>
        <v>232.96333333333331</v>
      </c>
      <c r="BS433" s="26">
        <f t="shared" si="159"/>
        <v>232.36566342887701</v>
      </c>
      <c r="BT433" s="26">
        <f t="shared" si="160"/>
        <v>232.26622030753327</v>
      </c>
    </row>
    <row r="434" spans="1:72" x14ac:dyDescent="0.2">
      <c r="A434" s="74"/>
      <c r="B434" s="24">
        <v>44628</v>
      </c>
      <c r="C434" s="25">
        <v>231.54</v>
      </c>
      <c r="D434" s="26">
        <f t="shared" si="173"/>
        <v>231.88333333333333</v>
      </c>
      <c r="E434" s="26">
        <f t="shared" si="163"/>
        <v>233.01399999999998</v>
      </c>
      <c r="F434" s="26">
        <f t="shared" si="180"/>
        <v>233.22285714285712</v>
      </c>
      <c r="G434" s="26">
        <f t="shared" si="181"/>
        <v>228.14384615384614</v>
      </c>
      <c r="H434" s="26">
        <f t="shared" si="182"/>
        <v>221.24181818181819</v>
      </c>
      <c r="I434" s="26">
        <f t="shared" si="177"/>
        <v>232.39133333333334</v>
      </c>
      <c r="J434" s="26">
        <f t="shared" si="157"/>
        <v>232.03539805732618</v>
      </c>
      <c r="K434" s="26">
        <f t="shared" si="158"/>
        <v>231.83048812301331</v>
      </c>
      <c r="L434" s="26">
        <f t="shared" si="153"/>
        <v>216.01601156721941</v>
      </c>
      <c r="V434" s="26">
        <f t="shared" si="167"/>
        <v>229.35964504963226</v>
      </c>
      <c r="W434" s="26">
        <f t="shared" si="170"/>
        <v>229.15408970077604</v>
      </c>
      <c r="X434" s="26">
        <f t="shared" si="169"/>
        <v>0.20555534885622251</v>
      </c>
      <c r="Y434" s="26">
        <f t="shared" si="172"/>
        <v>0.41889645252712393</v>
      </c>
      <c r="Z434" s="26">
        <v>14897.34</v>
      </c>
      <c r="AA434" s="26">
        <f t="shared" si="154"/>
        <v>218.7727522861201</v>
      </c>
      <c r="AB434" s="27">
        <f t="shared" si="155"/>
        <v>-5.5140570587716584E-2</v>
      </c>
      <c r="BK434" s="24">
        <v>44628</v>
      </c>
      <c r="BL434" s="25">
        <v>231.54</v>
      </c>
      <c r="BM434" s="26">
        <f t="shared" si="178"/>
        <v>231.88333333333333</v>
      </c>
      <c r="BN434" s="26">
        <f t="shared" si="156"/>
        <v>233.01399999999998</v>
      </c>
      <c r="BO434" s="26">
        <f t="shared" si="162"/>
        <v>233.22285714285712</v>
      </c>
      <c r="BP434" s="26">
        <f t="shared" si="165"/>
        <v>228.14384615384614</v>
      </c>
      <c r="BQ434" s="26">
        <f t="shared" si="168"/>
        <v>221.24181818181819</v>
      </c>
      <c r="BR434" s="26">
        <f t="shared" si="179"/>
        <v>232.39133333333334</v>
      </c>
      <c r="BS434" s="26">
        <f t="shared" si="159"/>
        <v>232.03539805732618</v>
      </c>
      <c r="BT434" s="26">
        <f t="shared" si="160"/>
        <v>231.83048812301331</v>
      </c>
    </row>
    <row r="435" spans="1:72" x14ac:dyDescent="0.2">
      <c r="A435" s="74"/>
      <c r="B435" s="24">
        <v>44629</v>
      </c>
      <c r="C435" s="25">
        <v>237.84</v>
      </c>
      <c r="D435" s="26">
        <f t="shared" si="173"/>
        <v>233.67333333333332</v>
      </c>
      <c r="E435" s="26">
        <f t="shared" si="163"/>
        <v>233.654</v>
      </c>
      <c r="F435" s="26">
        <f t="shared" si="180"/>
        <v>233.66571428571427</v>
      </c>
      <c r="G435" s="26">
        <f t="shared" si="181"/>
        <v>229.80153846153846</v>
      </c>
      <c r="H435" s="26">
        <f t="shared" si="182"/>
        <v>221.77303030303031</v>
      </c>
      <c r="I435" s="26">
        <f t="shared" si="177"/>
        <v>234.00000000000003</v>
      </c>
      <c r="J435" s="26">
        <f t="shared" si="157"/>
        <v>234.35723883439573</v>
      </c>
      <c r="K435" s="26">
        <f t="shared" si="158"/>
        <v>235.43619524920535</v>
      </c>
      <c r="L435" s="26">
        <f t="shared" si="153"/>
        <v>216.00117290521931</v>
      </c>
      <c r="V435" s="26">
        <f t="shared" si="167"/>
        <v>230.66431504199653</v>
      </c>
      <c r="W435" s="26">
        <f t="shared" si="170"/>
        <v>229.98781949040026</v>
      </c>
      <c r="X435" s="26">
        <f t="shared" si="169"/>
        <v>0.67649555159627539</v>
      </c>
      <c r="Y435" s="26">
        <f t="shared" si="172"/>
        <v>0.47041627234095429</v>
      </c>
      <c r="Z435" s="26">
        <v>14823.43</v>
      </c>
      <c r="AA435" s="26">
        <f t="shared" si="154"/>
        <v>218.74021197747561</v>
      </c>
      <c r="AB435" s="27">
        <f t="shared" si="155"/>
        <v>-8.0305196865642414E-2</v>
      </c>
      <c r="BK435" s="24">
        <v>44629</v>
      </c>
      <c r="BL435" s="25">
        <v>237.84</v>
      </c>
      <c r="BM435" s="26">
        <f t="shared" si="178"/>
        <v>233.67333333333332</v>
      </c>
      <c r="BN435" s="26">
        <f t="shared" si="156"/>
        <v>233.654</v>
      </c>
      <c r="BO435" s="26">
        <f t="shared" si="162"/>
        <v>233.66571428571427</v>
      </c>
      <c r="BP435" s="26">
        <f t="shared" si="165"/>
        <v>229.80153846153846</v>
      </c>
      <c r="BQ435" s="26">
        <f t="shared" si="168"/>
        <v>221.77303030303031</v>
      </c>
      <c r="BR435" s="26">
        <f t="shared" si="179"/>
        <v>234.00000000000003</v>
      </c>
      <c r="BS435" s="26">
        <f t="shared" si="159"/>
        <v>234.35723883439573</v>
      </c>
      <c r="BT435" s="26">
        <f t="shared" si="160"/>
        <v>235.43619524920535</v>
      </c>
    </row>
    <row r="436" spans="1:72" x14ac:dyDescent="0.2">
      <c r="A436" s="74"/>
      <c r="B436" s="24">
        <v>44630</v>
      </c>
      <c r="C436" s="25">
        <v>236.76</v>
      </c>
      <c r="D436" s="26">
        <f t="shared" si="173"/>
        <v>235.38</v>
      </c>
      <c r="E436" s="26">
        <f t="shared" si="163"/>
        <v>234.05</v>
      </c>
      <c r="F436" s="26">
        <f t="shared" si="180"/>
        <v>234.23857142857142</v>
      </c>
      <c r="G436" s="26">
        <f t="shared" si="181"/>
        <v>231.27538461538461</v>
      </c>
      <c r="H436" s="26">
        <f t="shared" si="182"/>
        <v>222.31303030303033</v>
      </c>
      <c r="I436" s="26">
        <f t="shared" si="177"/>
        <v>235.03533333333328</v>
      </c>
      <c r="J436" s="26">
        <f t="shared" si="157"/>
        <v>235.31834330063745</v>
      </c>
      <c r="K436" s="26">
        <f t="shared" si="158"/>
        <v>236.23047809968213</v>
      </c>
      <c r="L436" s="26">
        <f t="shared" si="153"/>
        <v>215.98633424321923</v>
      </c>
      <c r="V436" s="26">
        <f t="shared" si="167"/>
        <v>231.60211272784321</v>
      </c>
      <c r="W436" s="26">
        <f t="shared" si="170"/>
        <v>231.11584726110789</v>
      </c>
      <c r="X436" s="26">
        <f t="shared" si="169"/>
        <v>0.48626546673531834</v>
      </c>
      <c r="Y436" s="26">
        <f t="shared" si="172"/>
        <v>0.47358611121982713</v>
      </c>
      <c r="Z436" s="26">
        <v>14571.63</v>
      </c>
      <c r="AA436" s="26">
        <f t="shared" si="154"/>
        <v>218.62935215178652</v>
      </c>
      <c r="AB436" s="27">
        <f t="shared" si="155"/>
        <v>-7.6578171347412877E-2</v>
      </c>
      <c r="BK436" s="24">
        <v>44630</v>
      </c>
      <c r="BL436" s="25">
        <v>236.76</v>
      </c>
      <c r="BM436" s="26">
        <f t="shared" si="178"/>
        <v>235.38</v>
      </c>
      <c r="BN436" s="26">
        <f t="shared" si="156"/>
        <v>234.05</v>
      </c>
      <c r="BO436" s="26">
        <f t="shared" si="162"/>
        <v>234.23857142857142</v>
      </c>
      <c r="BP436" s="26">
        <f t="shared" si="165"/>
        <v>231.27538461538461</v>
      </c>
      <c r="BQ436" s="26">
        <f t="shared" si="168"/>
        <v>222.31303030303033</v>
      </c>
      <c r="BR436" s="26">
        <f t="shared" si="179"/>
        <v>235.03533333333328</v>
      </c>
      <c r="BS436" s="26">
        <f t="shared" si="159"/>
        <v>235.31834330063745</v>
      </c>
      <c r="BT436" s="26">
        <f t="shared" si="160"/>
        <v>236.23047809968213</v>
      </c>
    </row>
    <row r="437" spans="1:72" x14ac:dyDescent="0.2">
      <c r="A437" s="74"/>
      <c r="B437" s="24">
        <v>44631</v>
      </c>
      <c r="C437" s="25">
        <v>232.64</v>
      </c>
      <c r="D437" s="26">
        <f t="shared" si="173"/>
        <v>235.74666666666667</v>
      </c>
      <c r="E437" s="26">
        <f t="shared" si="163"/>
        <v>234.084</v>
      </c>
      <c r="F437" s="26">
        <f t="shared" si="180"/>
        <v>233.95285714285714</v>
      </c>
      <c r="G437" s="26">
        <f t="shared" si="181"/>
        <v>232.02384615384614</v>
      </c>
      <c r="H437" s="26">
        <f t="shared" si="182"/>
        <v>222.84060606060609</v>
      </c>
      <c r="I437" s="26">
        <f t="shared" si="177"/>
        <v>234.56533333333331</v>
      </c>
      <c r="J437" s="26">
        <f t="shared" si="157"/>
        <v>234.24700598038248</v>
      </c>
      <c r="K437" s="26">
        <f t="shared" si="158"/>
        <v>234.07619123987283</v>
      </c>
      <c r="L437" s="26">
        <f t="shared" si="153"/>
        <v>215.97149558121913</v>
      </c>
      <c r="V437" s="26">
        <f t="shared" si="167"/>
        <v>231.76178769279039</v>
      </c>
      <c r="W437" s="26">
        <f t="shared" si="170"/>
        <v>231.6789932665215</v>
      </c>
      <c r="X437" s="26">
        <f t="shared" si="169"/>
        <v>8.279442626889022E-2</v>
      </c>
      <c r="Y437" s="26">
        <f t="shared" si="172"/>
        <v>0.39542777422963976</v>
      </c>
      <c r="Z437" s="26">
        <v>14448.58</v>
      </c>
      <c r="AA437" s="26">
        <f t="shared" si="154"/>
        <v>218.57517700662748</v>
      </c>
      <c r="AB437" s="27">
        <f t="shared" si="155"/>
        <v>-6.0457457846339852E-2</v>
      </c>
      <c r="BK437" s="24">
        <v>44631</v>
      </c>
      <c r="BL437" s="25">
        <v>232.64</v>
      </c>
      <c r="BM437" s="26">
        <f t="shared" si="178"/>
        <v>235.74666666666667</v>
      </c>
      <c r="BN437" s="26">
        <f t="shared" si="156"/>
        <v>234.084</v>
      </c>
      <c r="BO437" s="26">
        <f t="shared" si="162"/>
        <v>233.95285714285714</v>
      </c>
      <c r="BP437" s="26">
        <f t="shared" si="165"/>
        <v>232.02384615384614</v>
      </c>
      <c r="BQ437" s="26">
        <f t="shared" si="168"/>
        <v>222.84060606060609</v>
      </c>
      <c r="BR437" s="26">
        <f t="shared" si="179"/>
        <v>234.56533333333331</v>
      </c>
      <c r="BS437" s="26">
        <f t="shared" si="159"/>
        <v>234.24700598038248</v>
      </c>
      <c r="BT437" s="26">
        <f t="shared" si="160"/>
        <v>234.07619123987283</v>
      </c>
    </row>
    <row r="438" spans="1:72" x14ac:dyDescent="0.2">
      <c r="A438" s="74"/>
      <c r="B438" s="24">
        <v>44632</v>
      </c>
      <c r="C438" s="25">
        <v>233</v>
      </c>
      <c r="D438" s="26">
        <f t="shared" si="173"/>
        <v>234.13333333333333</v>
      </c>
      <c r="E438" s="26">
        <f t="shared" si="163"/>
        <v>234.35599999999999</v>
      </c>
      <c r="F438" s="26">
        <f t="shared" si="180"/>
        <v>233.6985714285714</v>
      </c>
      <c r="G438" s="26">
        <f t="shared" si="181"/>
        <v>232.61153846153849</v>
      </c>
      <c r="H438" s="26">
        <f t="shared" si="182"/>
        <v>223.42272727272729</v>
      </c>
      <c r="I438" s="26">
        <f t="shared" si="177"/>
        <v>234.20400000000001</v>
      </c>
      <c r="J438" s="26">
        <f t="shared" si="157"/>
        <v>233.7482035882295</v>
      </c>
      <c r="K438" s="26">
        <f t="shared" si="158"/>
        <v>233.43047649594911</v>
      </c>
      <c r="L438" s="26">
        <f t="shared" si="153"/>
        <v>215.95665691921903</v>
      </c>
      <c r="V438" s="26">
        <f t="shared" si="167"/>
        <v>231.95228189389957</v>
      </c>
      <c r="W438" s="26">
        <f t="shared" si="170"/>
        <v>231.85350712295408</v>
      </c>
      <c r="X438" s="26">
        <f t="shared" si="169"/>
        <v>9.877477094548226E-2</v>
      </c>
      <c r="Y438" s="26">
        <f t="shared" si="172"/>
        <v>0.33609717357280827</v>
      </c>
      <c r="Z438" s="26">
        <v>14512.44</v>
      </c>
      <c r="AA438" s="26">
        <f t="shared" si="154"/>
        <v>218.60329260817039</v>
      </c>
      <c r="AB438" s="27">
        <f t="shared" si="155"/>
        <v>-6.1788443741757973E-2</v>
      </c>
      <c r="BK438" s="24">
        <v>44632</v>
      </c>
      <c r="BL438" s="25">
        <v>233</v>
      </c>
      <c r="BM438" s="26">
        <f t="shared" si="178"/>
        <v>234.13333333333333</v>
      </c>
      <c r="BN438" s="26">
        <f t="shared" si="156"/>
        <v>234.35599999999999</v>
      </c>
      <c r="BO438" s="26">
        <f t="shared" si="162"/>
        <v>233.6985714285714</v>
      </c>
      <c r="BP438" s="26">
        <f t="shared" si="165"/>
        <v>232.61153846153849</v>
      </c>
      <c r="BQ438" s="26">
        <f t="shared" si="168"/>
        <v>223.42272727272729</v>
      </c>
      <c r="BR438" s="26">
        <f t="shared" si="179"/>
        <v>234.20400000000001</v>
      </c>
      <c r="BS438" s="26">
        <f t="shared" si="159"/>
        <v>233.7482035882295</v>
      </c>
      <c r="BT438" s="26">
        <f t="shared" si="160"/>
        <v>233.43047649594911</v>
      </c>
    </row>
    <row r="439" spans="1:72" x14ac:dyDescent="0.2">
      <c r="A439" s="74"/>
      <c r="B439" s="24">
        <v>44633</v>
      </c>
      <c r="C439" s="25">
        <v>230.06</v>
      </c>
      <c r="D439" s="26">
        <f t="shared" si="173"/>
        <v>231.9</v>
      </c>
      <c r="E439" s="26">
        <f t="shared" si="163"/>
        <v>234.06</v>
      </c>
      <c r="F439" s="26">
        <f t="shared" si="180"/>
        <v>233.35428571428571</v>
      </c>
      <c r="G439" s="26">
        <f t="shared" si="181"/>
        <v>232.98153846153849</v>
      </c>
      <c r="H439" s="26">
        <f t="shared" si="182"/>
        <v>223.91848484848487</v>
      </c>
      <c r="I439" s="26">
        <f t="shared" si="177"/>
        <v>232.77200000000002</v>
      </c>
      <c r="J439" s="26">
        <f t="shared" si="157"/>
        <v>232.2729221529377</v>
      </c>
      <c r="K439" s="26">
        <f t="shared" si="158"/>
        <v>231.40819059837963</v>
      </c>
      <c r="L439" s="26">
        <f t="shared" si="153"/>
        <v>215.94181825721896</v>
      </c>
      <c r="V439" s="26">
        <f t="shared" si="167"/>
        <v>231.6611616025304</v>
      </c>
      <c r="W439" s="26">
        <f t="shared" si="170"/>
        <v>231.8121128647218</v>
      </c>
      <c r="X439" s="26">
        <f t="shared" si="169"/>
        <v>-0.15095126219139843</v>
      </c>
      <c r="Y439" s="26">
        <f t="shared" si="172"/>
        <v>0.23868748641996693</v>
      </c>
      <c r="Z439" s="26">
        <v>14546.68</v>
      </c>
      <c r="AA439" s="26">
        <f t="shared" si="154"/>
        <v>218.61836743117118</v>
      </c>
      <c r="AB439" s="27">
        <f t="shared" si="155"/>
        <v>-4.9733254667603331E-2</v>
      </c>
      <c r="BK439" s="24">
        <v>44633</v>
      </c>
      <c r="BL439" s="25">
        <v>230.06</v>
      </c>
      <c r="BM439" s="26">
        <f t="shared" si="178"/>
        <v>231.9</v>
      </c>
      <c r="BN439" s="26">
        <f t="shared" si="156"/>
        <v>234.06</v>
      </c>
      <c r="BO439" s="26">
        <f t="shared" si="162"/>
        <v>233.35428571428571</v>
      </c>
      <c r="BP439" s="26">
        <f t="shared" si="165"/>
        <v>232.98153846153849</v>
      </c>
      <c r="BQ439" s="26">
        <f t="shared" si="168"/>
        <v>223.91848484848487</v>
      </c>
      <c r="BR439" s="26">
        <f t="shared" si="179"/>
        <v>232.77200000000002</v>
      </c>
      <c r="BS439" s="26">
        <f t="shared" si="159"/>
        <v>232.2729221529377</v>
      </c>
      <c r="BT439" s="26">
        <f t="shared" si="160"/>
        <v>231.40819059837963</v>
      </c>
    </row>
    <row r="440" spans="1:72" x14ac:dyDescent="0.2">
      <c r="A440" s="74"/>
      <c r="B440" s="24">
        <v>44634</v>
      </c>
      <c r="C440" s="25">
        <v>230.15</v>
      </c>
      <c r="D440" s="26">
        <f t="shared" si="173"/>
        <v>231.07000000000002</v>
      </c>
      <c r="E440" s="26">
        <f t="shared" si="163"/>
        <v>232.52200000000002</v>
      </c>
      <c r="F440" s="26">
        <f t="shared" si="180"/>
        <v>233.14142857142858</v>
      </c>
      <c r="G440" s="26">
        <f t="shared" si="181"/>
        <v>233.30846153846153</v>
      </c>
      <c r="H440" s="26">
        <f t="shared" si="182"/>
        <v>224.44424242424245</v>
      </c>
      <c r="I440" s="26">
        <f t="shared" si="177"/>
        <v>231.46866666666665</v>
      </c>
      <c r="J440" s="26">
        <f t="shared" si="157"/>
        <v>231.42375329176261</v>
      </c>
      <c r="K440" s="26">
        <f t="shared" si="158"/>
        <v>230.65327623935187</v>
      </c>
      <c r="L440" s="26">
        <f t="shared" si="153"/>
        <v>215.92697959521885</v>
      </c>
      <c r="V440" s="26">
        <f t="shared" si="167"/>
        <v>231.42867520214111</v>
      </c>
      <c r="W440" s="26">
        <f t="shared" si="170"/>
        <v>231.54922370604669</v>
      </c>
      <c r="X440" s="26">
        <f t="shared" si="169"/>
        <v>-0.12054850390558158</v>
      </c>
      <c r="Y440" s="26">
        <f t="shared" si="172"/>
        <v>0.16684028835485723</v>
      </c>
      <c r="Z440" s="26">
        <v>14969.97</v>
      </c>
      <c r="AA440" s="26">
        <f t="shared" si="154"/>
        <v>218.8047290499795</v>
      </c>
      <c r="AB440" s="27">
        <f t="shared" si="155"/>
        <v>-4.929511601138608E-2</v>
      </c>
      <c r="BK440" s="24">
        <v>44634</v>
      </c>
      <c r="BL440" s="25">
        <v>230.15</v>
      </c>
      <c r="BM440" s="26">
        <f t="shared" si="178"/>
        <v>231.07000000000002</v>
      </c>
      <c r="BN440" s="26">
        <f t="shared" si="156"/>
        <v>232.52200000000002</v>
      </c>
      <c r="BO440" s="26">
        <f t="shared" si="162"/>
        <v>233.14142857142858</v>
      </c>
      <c r="BP440" s="26">
        <f t="shared" si="165"/>
        <v>233.30846153846153</v>
      </c>
      <c r="BQ440" s="26">
        <f t="shared" si="168"/>
        <v>224.44424242424245</v>
      </c>
      <c r="BR440" s="26">
        <f t="shared" si="179"/>
        <v>231.46866666666665</v>
      </c>
      <c r="BS440" s="26">
        <f t="shared" si="159"/>
        <v>231.42375329176261</v>
      </c>
      <c r="BT440" s="26">
        <f t="shared" si="160"/>
        <v>230.65327623935187</v>
      </c>
    </row>
    <row r="441" spans="1:72" x14ac:dyDescent="0.2">
      <c r="A441" s="74"/>
      <c r="B441" s="24">
        <v>44635</v>
      </c>
      <c r="C441" s="25">
        <v>229.97</v>
      </c>
      <c r="D441" s="26">
        <f t="shared" si="173"/>
        <v>230.06000000000003</v>
      </c>
      <c r="E441" s="26">
        <f t="shared" si="163"/>
        <v>231.16399999999999</v>
      </c>
      <c r="F441" s="26">
        <f t="shared" si="180"/>
        <v>232.91714285714286</v>
      </c>
      <c r="G441" s="26">
        <f t="shared" si="181"/>
        <v>232.94153846153844</v>
      </c>
      <c r="H441" s="26">
        <f t="shared" si="182"/>
        <v>224.96454545454549</v>
      </c>
      <c r="I441" s="26">
        <f t="shared" si="177"/>
        <v>230.61799999999999</v>
      </c>
      <c r="J441" s="26">
        <f t="shared" si="157"/>
        <v>230.84225197505756</v>
      </c>
      <c r="K441" s="26">
        <f t="shared" si="158"/>
        <v>230.24331049574076</v>
      </c>
      <c r="L441" s="26">
        <f t="shared" si="153"/>
        <v>215.91214093321875</v>
      </c>
      <c r="V441" s="26">
        <f t="shared" si="167"/>
        <v>231.20426363258093</v>
      </c>
      <c r="W441" s="26">
        <f t="shared" si="170"/>
        <v>231.32062518716768</v>
      </c>
      <c r="X441" s="26">
        <f t="shared" si="169"/>
        <v>-0.1163615545867458</v>
      </c>
      <c r="Y441" s="26">
        <f t="shared" si="172"/>
        <v>0.11019991976653662</v>
      </c>
      <c r="Z441" s="26">
        <v>15047.7</v>
      </c>
      <c r="AA441" s="26">
        <f t="shared" si="154"/>
        <v>218.83895118759193</v>
      </c>
      <c r="AB441" s="27">
        <f t="shared" si="155"/>
        <v>-4.8402177729304115E-2</v>
      </c>
      <c r="BK441" s="24">
        <v>44635</v>
      </c>
      <c r="BL441" s="25">
        <v>229.97</v>
      </c>
      <c r="BM441" s="26">
        <f t="shared" si="178"/>
        <v>230.06000000000003</v>
      </c>
      <c r="BN441" s="26">
        <f t="shared" si="156"/>
        <v>231.16399999999999</v>
      </c>
      <c r="BO441" s="26">
        <f t="shared" si="162"/>
        <v>232.91714285714286</v>
      </c>
      <c r="BP441" s="26">
        <f t="shared" si="165"/>
        <v>232.94153846153844</v>
      </c>
      <c r="BQ441" s="26">
        <f t="shared" si="168"/>
        <v>224.96454545454549</v>
      </c>
      <c r="BR441" s="26">
        <f t="shared" si="179"/>
        <v>230.61799999999999</v>
      </c>
      <c r="BS441" s="26">
        <f t="shared" si="159"/>
        <v>230.84225197505756</v>
      </c>
      <c r="BT441" s="26">
        <f t="shared" si="160"/>
        <v>230.24331049574076</v>
      </c>
    </row>
    <row r="442" spans="1:72" x14ac:dyDescent="0.2">
      <c r="A442" s="74"/>
      <c r="B442" s="24">
        <v>44636</v>
      </c>
      <c r="C442" s="25">
        <v>228.9</v>
      </c>
      <c r="D442" s="26">
        <f t="shared" si="173"/>
        <v>229.67333333333332</v>
      </c>
      <c r="E442" s="26">
        <f t="shared" si="163"/>
        <v>230.41600000000003</v>
      </c>
      <c r="F442" s="26">
        <f t="shared" si="180"/>
        <v>231.64000000000004</v>
      </c>
      <c r="G442" s="26">
        <f t="shared" si="181"/>
        <v>232.64538461538461</v>
      </c>
      <c r="H442" s="26">
        <f t="shared" si="182"/>
        <v>225.55545454545458</v>
      </c>
      <c r="I442" s="26">
        <f t="shared" si="177"/>
        <v>229.86333333333332</v>
      </c>
      <c r="J442" s="26">
        <f t="shared" si="157"/>
        <v>230.06535118503453</v>
      </c>
      <c r="K442" s="26">
        <f t="shared" si="158"/>
        <v>229.43732419829632</v>
      </c>
      <c r="L442" s="26">
        <f t="shared" si="153"/>
        <v>215.89730227121868</v>
      </c>
      <c r="V442" s="26">
        <f t="shared" si="167"/>
        <v>230.84976153526077</v>
      </c>
      <c r="W442" s="26">
        <f t="shared" si="170"/>
        <v>231.03357743757493</v>
      </c>
      <c r="X442" s="26">
        <f t="shared" si="169"/>
        <v>-0.18381590231416567</v>
      </c>
      <c r="Y442" s="26">
        <f t="shared" si="172"/>
        <v>5.1396755350396166E-2</v>
      </c>
      <c r="Z442" s="26">
        <v>15052.24</v>
      </c>
      <c r="AA442" s="26">
        <f t="shared" si="154"/>
        <v>218.8409500105015</v>
      </c>
      <c r="AB442" s="27">
        <f t="shared" si="155"/>
        <v>-4.3945172518560525E-2</v>
      </c>
      <c r="BK442" s="24">
        <v>44636</v>
      </c>
      <c r="BL442" s="25">
        <v>228.9</v>
      </c>
      <c r="BM442" s="26">
        <f t="shared" si="178"/>
        <v>229.67333333333332</v>
      </c>
      <c r="BN442" s="26">
        <f t="shared" si="156"/>
        <v>230.41600000000003</v>
      </c>
      <c r="BO442" s="26">
        <f t="shared" si="162"/>
        <v>231.64000000000004</v>
      </c>
      <c r="BP442" s="26">
        <f t="shared" si="165"/>
        <v>232.64538461538461</v>
      </c>
      <c r="BQ442" s="26">
        <f t="shared" si="168"/>
        <v>225.55545454545458</v>
      </c>
      <c r="BR442" s="26">
        <f t="shared" si="179"/>
        <v>229.86333333333332</v>
      </c>
      <c r="BS442" s="26">
        <f t="shared" si="159"/>
        <v>230.06535118503453</v>
      </c>
      <c r="BT442" s="26">
        <f t="shared" si="160"/>
        <v>229.43732419829632</v>
      </c>
    </row>
    <row r="443" spans="1:72" x14ac:dyDescent="0.2">
      <c r="A443" s="74"/>
      <c r="B443" s="24">
        <v>44637</v>
      </c>
      <c r="C443" s="25">
        <v>225.59</v>
      </c>
      <c r="D443" s="26">
        <f t="shared" si="173"/>
        <v>228.15333333333334</v>
      </c>
      <c r="E443" s="26">
        <f t="shared" si="163"/>
        <v>228.93400000000003</v>
      </c>
      <c r="F443" s="26">
        <f t="shared" si="180"/>
        <v>230.04428571428571</v>
      </c>
      <c r="G443" s="26">
        <f t="shared" si="181"/>
        <v>231.94923076923078</v>
      </c>
      <c r="H443" s="26">
        <f t="shared" si="182"/>
        <v>225.96303030303034</v>
      </c>
      <c r="I443" s="26">
        <f t="shared" si="177"/>
        <v>228.25466666666668</v>
      </c>
      <c r="J443" s="26">
        <f t="shared" si="157"/>
        <v>228.27521071102069</v>
      </c>
      <c r="K443" s="26">
        <f t="shared" si="158"/>
        <v>227.1289296793185</v>
      </c>
      <c r="L443" s="26">
        <f t="shared" si="153"/>
        <v>215.88246360921858</v>
      </c>
      <c r="V443" s="26">
        <f t="shared" si="167"/>
        <v>230.04056745291297</v>
      </c>
      <c r="W443" s="26">
        <f t="shared" si="170"/>
        <v>230.46014956968588</v>
      </c>
      <c r="X443" s="26">
        <f t="shared" si="169"/>
        <v>-0.41958211677291501</v>
      </c>
      <c r="Y443" s="26">
        <f t="shared" si="172"/>
        <v>-4.2799019074266073E-2</v>
      </c>
      <c r="Z443" s="26">
        <v>14896.85</v>
      </c>
      <c r="AA443" s="26">
        <f t="shared" si="154"/>
        <v>218.77253655413205</v>
      </c>
      <c r="AB443" s="27">
        <f t="shared" si="155"/>
        <v>-3.0220592428157087E-2</v>
      </c>
      <c r="BK443" s="24">
        <v>44637</v>
      </c>
      <c r="BL443" s="25">
        <v>225.59</v>
      </c>
      <c r="BM443" s="26">
        <f t="shared" si="178"/>
        <v>228.15333333333334</v>
      </c>
      <c r="BN443" s="26">
        <f t="shared" si="156"/>
        <v>228.93400000000003</v>
      </c>
      <c r="BO443" s="26">
        <f t="shared" si="162"/>
        <v>230.04428571428571</v>
      </c>
      <c r="BP443" s="26">
        <f t="shared" si="165"/>
        <v>231.94923076923078</v>
      </c>
      <c r="BQ443" s="26">
        <f t="shared" si="168"/>
        <v>225.96303030303034</v>
      </c>
      <c r="BR443" s="26">
        <f t="shared" si="179"/>
        <v>228.25466666666668</v>
      </c>
      <c r="BS443" s="26">
        <f t="shared" si="159"/>
        <v>228.27521071102069</v>
      </c>
      <c r="BT443" s="26">
        <f t="shared" si="160"/>
        <v>227.1289296793185</v>
      </c>
    </row>
    <row r="444" spans="1:72" x14ac:dyDescent="0.2">
      <c r="A444" s="74"/>
      <c r="B444" s="24">
        <v>44638</v>
      </c>
      <c r="C444" s="25">
        <v>224.22</v>
      </c>
      <c r="D444" s="26">
        <f t="shared" si="173"/>
        <v>226.23666666666668</v>
      </c>
      <c r="E444" s="26">
        <f t="shared" si="163"/>
        <v>227.76599999999999</v>
      </c>
      <c r="F444" s="26">
        <f t="shared" si="180"/>
        <v>228.84142857142859</v>
      </c>
      <c r="G444" s="26">
        <f t="shared" si="181"/>
        <v>231.13692307692307</v>
      </c>
      <c r="H444" s="26">
        <f t="shared" si="182"/>
        <v>226.18272727272733</v>
      </c>
      <c r="I444" s="26">
        <f t="shared" si="177"/>
        <v>226.68333333333334</v>
      </c>
      <c r="J444" s="26">
        <f t="shared" si="157"/>
        <v>226.6531264266124</v>
      </c>
      <c r="K444" s="26">
        <f t="shared" si="158"/>
        <v>225.38357187172738</v>
      </c>
      <c r="L444" s="26">
        <f t="shared" si="153"/>
        <v>215.86762494721847</v>
      </c>
      <c r="V444" s="26">
        <f t="shared" si="167"/>
        <v>229.14509553708018</v>
      </c>
      <c r="W444" s="26">
        <f t="shared" si="170"/>
        <v>229.60941430825275</v>
      </c>
      <c r="X444" s="26">
        <f t="shared" si="169"/>
        <v>-0.46431877117257159</v>
      </c>
      <c r="Y444" s="26">
        <f t="shared" si="172"/>
        <v>-0.12710296949392719</v>
      </c>
      <c r="Z444" s="26">
        <v>14746.4</v>
      </c>
      <c r="AA444" s="26">
        <f t="shared" si="154"/>
        <v>218.70629802841751</v>
      </c>
      <c r="AB444" s="27">
        <f t="shared" si="155"/>
        <v>-2.459058947276109E-2</v>
      </c>
      <c r="BK444" s="24">
        <v>44638</v>
      </c>
      <c r="BL444" s="25">
        <v>224.22</v>
      </c>
      <c r="BM444" s="26">
        <f t="shared" si="178"/>
        <v>226.23666666666668</v>
      </c>
      <c r="BN444" s="26">
        <f t="shared" si="156"/>
        <v>227.76599999999999</v>
      </c>
      <c r="BO444" s="26">
        <f t="shared" si="162"/>
        <v>228.84142857142859</v>
      </c>
      <c r="BP444" s="26">
        <f t="shared" si="165"/>
        <v>231.13692307692307</v>
      </c>
      <c r="BQ444" s="26">
        <f t="shared" si="168"/>
        <v>226.18272727272733</v>
      </c>
      <c r="BR444" s="26">
        <f t="shared" si="179"/>
        <v>226.68333333333334</v>
      </c>
      <c r="BS444" s="26">
        <f t="shared" si="159"/>
        <v>226.6531264266124</v>
      </c>
      <c r="BT444" s="26">
        <f t="shared" si="160"/>
        <v>225.38357187172738</v>
      </c>
    </row>
    <row r="445" spans="1:72" x14ac:dyDescent="0.2">
      <c r="A445" s="74"/>
      <c r="B445" s="24">
        <v>44639</v>
      </c>
      <c r="C445" s="25">
        <v>226.41</v>
      </c>
      <c r="D445" s="26">
        <f t="shared" si="173"/>
        <v>225.40666666666667</v>
      </c>
      <c r="E445" s="26">
        <f t="shared" si="163"/>
        <v>227.01800000000003</v>
      </c>
      <c r="F445" s="26">
        <f t="shared" si="180"/>
        <v>227.90000000000003</v>
      </c>
      <c r="G445" s="26">
        <f t="shared" si="181"/>
        <v>230.67076923076922</v>
      </c>
      <c r="H445" s="26">
        <f t="shared" si="182"/>
        <v>226.52242424242428</v>
      </c>
      <c r="I445" s="26">
        <f t="shared" si="177"/>
        <v>226.23133333333331</v>
      </c>
      <c r="J445" s="26">
        <f t="shared" si="157"/>
        <v>226.55587585596743</v>
      </c>
      <c r="K445" s="26">
        <f t="shared" si="158"/>
        <v>225.99942874869095</v>
      </c>
      <c r="L445" s="26">
        <f t="shared" si="153"/>
        <v>215.8527862852184</v>
      </c>
      <c r="V445" s="26">
        <f t="shared" si="167"/>
        <v>228.72431160829862</v>
      </c>
      <c r="W445" s="26">
        <f t="shared" si="170"/>
        <v>228.94249586766682</v>
      </c>
      <c r="X445" s="26">
        <f t="shared" si="169"/>
        <v>-0.21818425936820063</v>
      </c>
      <c r="Y445" s="26">
        <f t="shared" si="172"/>
        <v>-0.1453192274687819</v>
      </c>
      <c r="Z445" s="26">
        <v>14713.9</v>
      </c>
      <c r="AA445" s="26">
        <f t="shared" si="154"/>
        <v>218.69198927410895</v>
      </c>
      <c r="AB445" s="27">
        <f t="shared" si="155"/>
        <v>-3.4088647700592063E-2</v>
      </c>
      <c r="BK445" s="24">
        <v>44639</v>
      </c>
      <c r="BL445" s="25">
        <v>226.41</v>
      </c>
      <c r="BM445" s="26">
        <f t="shared" si="178"/>
        <v>225.40666666666667</v>
      </c>
      <c r="BN445" s="26">
        <f t="shared" si="156"/>
        <v>227.01800000000003</v>
      </c>
      <c r="BO445" s="26">
        <f t="shared" si="162"/>
        <v>227.90000000000003</v>
      </c>
      <c r="BP445" s="26">
        <f t="shared" si="165"/>
        <v>230.67076923076922</v>
      </c>
      <c r="BQ445" s="26">
        <f t="shared" si="168"/>
        <v>226.52242424242428</v>
      </c>
      <c r="BR445" s="26">
        <f t="shared" si="179"/>
        <v>226.23133333333331</v>
      </c>
      <c r="BS445" s="26">
        <f t="shared" si="159"/>
        <v>226.55587585596743</v>
      </c>
      <c r="BT445" s="26">
        <f t="shared" si="160"/>
        <v>225.99942874869095</v>
      </c>
    </row>
    <row r="446" spans="1:72" x14ac:dyDescent="0.2">
      <c r="A446" s="74"/>
      <c r="B446" s="24">
        <v>44640</v>
      </c>
      <c r="C446" s="25">
        <v>224.27</v>
      </c>
      <c r="D446" s="26">
        <f t="shared" si="173"/>
        <v>224.96666666666667</v>
      </c>
      <c r="E446" s="26">
        <f t="shared" si="163"/>
        <v>225.87800000000001</v>
      </c>
      <c r="F446" s="26">
        <f t="shared" si="180"/>
        <v>227.07285714285715</v>
      </c>
      <c r="G446" s="26">
        <f t="shared" si="181"/>
        <v>230.10384615384615</v>
      </c>
      <c r="H446" s="26">
        <f t="shared" si="182"/>
        <v>226.75000000000006</v>
      </c>
      <c r="I446" s="26">
        <f t="shared" si="177"/>
        <v>225.31533333333334</v>
      </c>
      <c r="J446" s="26">
        <f t="shared" si="157"/>
        <v>225.64152551358046</v>
      </c>
      <c r="K446" s="26">
        <f t="shared" si="158"/>
        <v>224.96177149947641</v>
      </c>
      <c r="L446" s="26">
        <f t="shared" si="153"/>
        <v>215.8379476232183</v>
      </c>
      <c r="V446" s="26">
        <f t="shared" si="167"/>
        <v>228.03903289932958</v>
      </c>
      <c r="W446" s="26">
        <f t="shared" si="170"/>
        <v>228.39436260027651</v>
      </c>
      <c r="X446" s="26">
        <f t="shared" si="169"/>
        <v>-0.35532970094692473</v>
      </c>
      <c r="Y446" s="26">
        <f t="shared" si="172"/>
        <v>-0.18732132216441047</v>
      </c>
      <c r="Z446" s="26">
        <v>15043.97</v>
      </c>
      <c r="AA446" s="26">
        <f t="shared" si="154"/>
        <v>218.83730898286666</v>
      </c>
      <c r="AB446" s="27">
        <f t="shared" si="155"/>
        <v>-2.4223886463340397E-2</v>
      </c>
      <c r="BK446" s="24">
        <v>44640</v>
      </c>
      <c r="BL446" s="25">
        <v>224.27</v>
      </c>
      <c r="BM446" s="26">
        <f t="shared" si="178"/>
        <v>224.96666666666667</v>
      </c>
      <c r="BN446" s="26">
        <f t="shared" si="156"/>
        <v>225.87800000000001</v>
      </c>
      <c r="BO446" s="26">
        <f t="shared" si="162"/>
        <v>227.07285714285715</v>
      </c>
      <c r="BP446" s="26">
        <f t="shared" si="165"/>
        <v>230.10384615384615</v>
      </c>
      <c r="BQ446" s="26">
        <f t="shared" si="168"/>
        <v>226.75000000000006</v>
      </c>
      <c r="BR446" s="26">
        <f t="shared" si="179"/>
        <v>225.31533333333334</v>
      </c>
      <c r="BS446" s="26">
        <f t="shared" si="159"/>
        <v>225.64152551358046</v>
      </c>
      <c r="BT446" s="26">
        <f t="shared" si="160"/>
        <v>224.96177149947641</v>
      </c>
    </row>
    <row r="447" spans="1:72" x14ac:dyDescent="0.2">
      <c r="A447" s="74"/>
      <c r="B447" s="24">
        <v>44641</v>
      </c>
      <c r="C447" s="25">
        <v>222.17</v>
      </c>
      <c r="D447" s="26">
        <f t="shared" si="173"/>
        <v>224.28333333333333</v>
      </c>
      <c r="E447" s="26">
        <f t="shared" si="163"/>
        <v>224.53200000000001</v>
      </c>
      <c r="F447" s="26">
        <f t="shared" si="180"/>
        <v>225.93285714285716</v>
      </c>
      <c r="G447" s="26">
        <f t="shared" si="181"/>
        <v>229.38307692307691</v>
      </c>
      <c r="H447" s="26">
        <f t="shared" si="182"/>
        <v>226.88515151515153</v>
      </c>
      <c r="I447" s="26">
        <f t="shared" si="177"/>
        <v>224.07933333333332</v>
      </c>
      <c r="J447" s="26">
        <f t="shared" si="157"/>
        <v>224.25291530814826</v>
      </c>
      <c r="K447" s="26">
        <f t="shared" si="158"/>
        <v>223.28670859979056</v>
      </c>
      <c r="L447" s="26">
        <f t="shared" si="153"/>
        <v>215.8231089612182</v>
      </c>
      <c r="V447" s="26">
        <f t="shared" si="167"/>
        <v>227.13610476097119</v>
      </c>
      <c r="W447" s="26">
        <f t="shared" si="170"/>
        <v>227.60428972160145</v>
      </c>
      <c r="X447" s="26">
        <f t="shared" si="169"/>
        <v>-0.4681849606302535</v>
      </c>
      <c r="Y447" s="26">
        <f t="shared" si="172"/>
        <v>-0.24349404985757908</v>
      </c>
      <c r="Z447" s="26">
        <v>15181.92</v>
      </c>
      <c r="AA447" s="26">
        <f t="shared" si="154"/>
        <v>218.89804414153946</v>
      </c>
      <c r="AB447" s="27">
        <f t="shared" si="155"/>
        <v>-1.4727262269705764E-2</v>
      </c>
      <c r="BK447" s="24">
        <v>44641</v>
      </c>
      <c r="BL447" s="25">
        <v>222.17</v>
      </c>
      <c r="BM447" s="26">
        <f t="shared" si="178"/>
        <v>224.28333333333333</v>
      </c>
      <c r="BN447" s="26">
        <f t="shared" si="156"/>
        <v>224.53200000000001</v>
      </c>
      <c r="BO447" s="26">
        <f t="shared" si="162"/>
        <v>225.93285714285716</v>
      </c>
      <c r="BP447" s="26">
        <f t="shared" si="165"/>
        <v>229.38307692307691</v>
      </c>
      <c r="BQ447" s="26">
        <f t="shared" si="168"/>
        <v>226.88515151515153</v>
      </c>
      <c r="BR447" s="26">
        <f t="shared" si="179"/>
        <v>224.07933333333332</v>
      </c>
      <c r="BS447" s="26">
        <f t="shared" si="159"/>
        <v>224.25291530814826</v>
      </c>
      <c r="BT447" s="26">
        <f t="shared" si="160"/>
        <v>223.28670859979056</v>
      </c>
    </row>
    <row r="448" spans="1:72" x14ac:dyDescent="0.2">
      <c r="A448" s="74"/>
      <c r="B448" s="24">
        <v>44642</v>
      </c>
      <c r="C448" s="25">
        <v>221.95</v>
      </c>
      <c r="D448" s="26">
        <f t="shared" si="173"/>
        <v>222.79666666666665</v>
      </c>
      <c r="E448" s="26">
        <f t="shared" si="163"/>
        <v>223.804</v>
      </c>
      <c r="F448" s="26">
        <f t="shared" si="180"/>
        <v>224.7871428571429</v>
      </c>
      <c r="G448" s="26">
        <f t="shared" si="181"/>
        <v>228.1607692307692</v>
      </c>
      <c r="H448" s="26">
        <f t="shared" si="182"/>
        <v>226.99393939393943</v>
      </c>
      <c r="I448" s="26">
        <f t="shared" si="177"/>
        <v>223.21866666666665</v>
      </c>
      <c r="J448" s="26">
        <f t="shared" si="157"/>
        <v>223.33174918488896</v>
      </c>
      <c r="K448" s="26">
        <f t="shared" si="158"/>
        <v>222.48468343991621</v>
      </c>
      <c r="L448" s="26">
        <f t="shared" si="153"/>
        <v>215.80827029921812</v>
      </c>
      <c r="V448" s="26">
        <f t="shared" si="167"/>
        <v>226.33824249005255</v>
      </c>
      <c r="W448" s="26">
        <f t="shared" si="170"/>
        <v>226.75194885275113</v>
      </c>
      <c r="X448" s="26">
        <f t="shared" si="169"/>
        <v>-0.41370636269857641</v>
      </c>
      <c r="Y448" s="26">
        <f t="shared" si="172"/>
        <v>-0.27753651242577859</v>
      </c>
      <c r="Z448" s="26">
        <v>15161.53</v>
      </c>
      <c r="AA448" s="26">
        <f t="shared" si="154"/>
        <v>218.88906704922096</v>
      </c>
      <c r="AB448" s="27">
        <f t="shared" si="155"/>
        <v>-1.3791092366654803E-2</v>
      </c>
      <c r="BK448" s="24">
        <v>44642</v>
      </c>
      <c r="BL448" s="25">
        <v>221.95</v>
      </c>
      <c r="BM448" s="26">
        <f t="shared" si="178"/>
        <v>222.79666666666665</v>
      </c>
      <c r="BN448" s="26">
        <f t="shared" si="156"/>
        <v>223.804</v>
      </c>
      <c r="BO448" s="26">
        <f t="shared" si="162"/>
        <v>224.7871428571429</v>
      </c>
      <c r="BP448" s="26">
        <f t="shared" si="165"/>
        <v>228.1607692307692</v>
      </c>
      <c r="BQ448" s="26">
        <f t="shared" si="168"/>
        <v>226.99393939393943</v>
      </c>
      <c r="BR448" s="26">
        <f t="shared" si="179"/>
        <v>223.21866666666665</v>
      </c>
      <c r="BS448" s="26">
        <f t="shared" si="159"/>
        <v>223.33174918488896</v>
      </c>
      <c r="BT448" s="26">
        <f t="shared" si="160"/>
        <v>222.48468343991621</v>
      </c>
    </row>
    <row r="449" spans="1:72" x14ac:dyDescent="0.2">
      <c r="A449" s="74"/>
      <c r="B449" s="24">
        <v>44643</v>
      </c>
      <c r="C449" s="25">
        <v>220.89</v>
      </c>
      <c r="D449" s="26">
        <f t="shared" si="173"/>
        <v>221.67</v>
      </c>
      <c r="E449" s="26">
        <f t="shared" si="163"/>
        <v>223.13800000000001</v>
      </c>
      <c r="F449" s="26">
        <f t="shared" si="180"/>
        <v>223.64285714285714</v>
      </c>
      <c r="G449" s="26">
        <f t="shared" si="181"/>
        <v>226.94</v>
      </c>
      <c r="H449" s="26">
        <f t="shared" si="182"/>
        <v>227.0506060606061</v>
      </c>
      <c r="I449" s="26">
        <f t="shared" si="177"/>
        <v>222.2473333333333</v>
      </c>
      <c r="J449" s="26">
        <f t="shared" si="157"/>
        <v>222.35504951093336</v>
      </c>
      <c r="K449" s="26">
        <f t="shared" si="158"/>
        <v>221.52787337596646</v>
      </c>
      <c r="L449" s="26">
        <f t="shared" si="153"/>
        <v>215.79343163721802</v>
      </c>
      <c r="V449" s="26">
        <f t="shared" si="167"/>
        <v>225.50005133773675</v>
      </c>
      <c r="W449" s="26">
        <f t="shared" si="170"/>
        <v>225.93466897227088</v>
      </c>
      <c r="X449" s="26">
        <f t="shared" si="169"/>
        <v>-0.43461763453413482</v>
      </c>
      <c r="Y449" s="26">
        <f t="shared" si="172"/>
        <v>-0.30895273684744984</v>
      </c>
      <c r="Z449" s="26">
        <v>15037.76</v>
      </c>
      <c r="AA449" s="26">
        <f t="shared" si="154"/>
        <v>218.83457491012032</v>
      </c>
      <c r="AB449" s="27">
        <f t="shared" si="155"/>
        <v>-9.3051975638537843E-3</v>
      </c>
      <c r="BK449" s="24">
        <v>44643</v>
      </c>
      <c r="BL449" s="25">
        <v>220.89</v>
      </c>
      <c r="BM449" s="26">
        <f t="shared" si="178"/>
        <v>221.67</v>
      </c>
      <c r="BN449" s="26">
        <f t="shared" si="156"/>
        <v>223.13800000000001</v>
      </c>
      <c r="BO449" s="26">
        <f t="shared" si="162"/>
        <v>223.64285714285714</v>
      </c>
      <c r="BP449" s="26">
        <f t="shared" si="165"/>
        <v>226.94</v>
      </c>
      <c r="BQ449" s="26">
        <f t="shared" si="168"/>
        <v>227.0506060606061</v>
      </c>
      <c r="BR449" s="26">
        <f t="shared" si="179"/>
        <v>222.2473333333333</v>
      </c>
      <c r="BS449" s="26">
        <f t="shared" si="159"/>
        <v>222.35504951093336</v>
      </c>
      <c r="BT449" s="26">
        <f t="shared" si="160"/>
        <v>221.52787337596646</v>
      </c>
    </row>
    <row r="450" spans="1:72" x14ac:dyDescent="0.2">
      <c r="A450" s="74"/>
      <c r="B450" s="24">
        <v>44644</v>
      </c>
      <c r="C450" s="25">
        <v>220.02</v>
      </c>
      <c r="D450" s="26">
        <f t="shared" si="173"/>
        <v>220.95333333333335</v>
      </c>
      <c r="E450" s="26">
        <f t="shared" si="163"/>
        <v>221.85999999999999</v>
      </c>
      <c r="F450" s="26">
        <f t="shared" si="180"/>
        <v>222.84714285714284</v>
      </c>
      <c r="G450" s="26">
        <f t="shared" si="181"/>
        <v>225.96923076923076</v>
      </c>
      <c r="H450" s="26">
        <f t="shared" si="182"/>
        <v>227.06484848484854</v>
      </c>
      <c r="I450" s="26">
        <f t="shared" si="177"/>
        <v>221.20800000000003</v>
      </c>
      <c r="J450" s="26">
        <f t="shared" si="157"/>
        <v>221.42102970656001</v>
      </c>
      <c r="K450" s="26">
        <f t="shared" si="158"/>
        <v>220.6231493503866</v>
      </c>
      <c r="L450" s="26">
        <f t="shared" si="153"/>
        <v>215.77859297521792</v>
      </c>
      <c r="V450" s="26">
        <f t="shared" si="167"/>
        <v>224.6569665165465</v>
      </c>
      <c r="W450" s="26">
        <f t="shared" si="170"/>
        <v>225.0941216090155</v>
      </c>
      <c r="X450" s="26">
        <f t="shared" si="169"/>
        <v>-0.43715509246899842</v>
      </c>
      <c r="Y450" s="26">
        <f t="shared" si="172"/>
        <v>-0.33459320797175957</v>
      </c>
      <c r="Z450" s="26">
        <v>15105.58</v>
      </c>
      <c r="AA450" s="26">
        <f t="shared" si="154"/>
        <v>218.86443397834208</v>
      </c>
      <c r="AB450" s="27">
        <f t="shared" si="155"/>
        <v>-5.2520953625031022E-3</v>
      </c>
      <c r="BK450" s="24">
        <v>44644</v>
      </c>
      <c r="BL450" s="25">
        <v>220.02</v>
      </c>
      <c r="BM450" s="26">
        <f t="shared" si="178"/>
        <v>220.95333333333335</v>
      </c>
      <c r="BN450" s="26">
        <f t="shared" si="156"/>
        <v>221.85999999999999</v>
      </c>
      <c r="BO450" s="26">
        <f t="shared" si="162"/>
        <v>222.84714285714284</v>
      </c>
      <c r="BP450" s="26">
        <f t="shared" si="165"/>
        <v>225.96923076923076</v>
      </c>
      <c r="BQ450" s="26">
        <f t="shared" si="168"/>
        <v>227.06484848484854</v>
      </c>
      <c r="BR450" s="26">
        <f t="shared" si="179"/>
        <v>221.20800000000003</v>
      </c>
      <c r="BS450" s="26">
        <f t="shared" si="159"/>
        <v>221.42102970656001</v>
      </c>
      <c r="BT450" s="26">
        <f t="shared" si="160"/>
        <v>220.6231493503866</v>
      </c>
    </row>
    <row r="451" spans="1:72" x14ac:dyDescent="0.2">
      <c r="A451" s="74"/>
      <c r="B451" s="24">
        <v>44645</v>
      </c>
      <c r="C451" s="25">
        <v>216.39</v>
      </c>
      <c r="D451" s="26">
        <f t="shared" si="173"/>
        <v>219.1</v>
      </c>
      <c r="E451" s="26">
        <f t="shared" si="163"/>
        <v>220.28400000000002</v>
      </c>
      <c r="F451" s="26">
        <f t="shared" si="180"/>
        <v>221.72857142857143</v>
      </c>
      <c r="G451" s="26">
        <f t="shared" si="181"/>
        <v>224.69153846153844</v>
      </c>
      <c r="H451" s="26">
        <f t="shared" si="182"/>
        <v>226.90121212121221</v>
      </c>
      <c r="I451" s="26">
        <f t="shared" si="177"/>
        <v>219.38466666666667</v>
      </c>
      <c r="J451" s="26">
        <f t="shared" si="157"/>
        <v>219.40861782393597</v>
      </c>
      <c r="K451" s="26">
        <f t="shared" si="158"/>
        <v>218.08325974015463</v>
      </c>
      <c r="L451" s="26">
        <f t="shared" si="153"/>
        <v>215.76375431321785</v>
      </c>
      <c r="V451" s="26">
        <f t="shared" si="167"/>
        <v>223.38512551400089</v>
      </c>
      <c r="W451" s="26">
        <f t="shared" si="170"/>
        <v>224.04459862643193</v>
      </c>
      <c r="X451" s="26">
        <f t="shared" si="169"/>
        <v>-0.65947311243104423</v>
      </c>
      <c r="Y451" s="26">
        <f t="shared" si="172"/>
        <v>-0.39956918886361648</v>
      </c>
      <c r="Z451" s="26">
        <v>15259.24</v>
      </c>
      <c r="AA451" s="26">
        <f t="shared" si="154"/>
        <v>218.93208576871294</v>
      </c>
      <c r="AB451" s="27">
        <f t="shared" si="155"/>
        <v>1.1747704462835396E-2</v>
      </c>
      <c r="BK451" s="24">
        <v>44645</v>
      </c>
      <c r="BL451" s="25">
        <v>216.39</v>
      </c>
      <c r="BM451" s="26">
        <f t="shared" si="178"/>
        <v>219.1</v>
      </c>
      <c r="BN451" s="26">
        <f t="shared" si="156"/>
        <v>220.28400000000002</v>
      </c>
      <c r="BO451" s="26">
        <f t="shared" si="162"/>
        <v>221.72857142857143</v>
      </c>
      <c r="BP451" s="26">
        <f t="shared" si="165"/>
        <v>224.69153846153844</v>
      </c>
      <c r="BQ451" s="26">
        <f t="shared" si="168"/>
        <v>226.90121212121221</v>
      </c>
      <c r="BR451" s="26">
        <f t="shared" si="179"/>
        <v>219.38466666666667</v>
      </c>
      <c r="BS451" s="26">
        <f t="shared" si="159"/>
        <v>219.40861782393597</v>
      </c>
      <c r="BT451" s="26">
        <f t="shared" si="160"/>
        <v>218.08325974015463</v>
      </c>
    </row>
    <row r="452" spans="1:72" x14ac:dyDescent="0.2">
      <c r="A452" s="74"/>
      <c r="B452" s="24">
        <v>44646</v>
      </c>
      <c r="C452" s="25">
        <v>216.99</v>
      </c>
      <c r="D452" s="26">
        <f t="shared" si="173"/>
        <v>217.79999999999998</v>
      </c>
      <c r="E452" s="26">
        <f t="shared" si="163"/>
        <v>219.24799999999999</v>
      </c>
      <c r="F452" s="26">
        <f t="shared" si="180"/>
        <v>220.38285714285715</v>
      </c>
      <c r="G452" s="26">
        <f t="shared" si="181"/>
        <v>223.68615384615384</v>
      </c>
      <c r="H452" s="26">
        <f t="shared" si="182"/>
        <v>226.74606060606067</v>
      </c>
      <c r="I452" s="26">
        <f t="shared" si="177"/>
        <v>218.28666666666669</v>
      </c>
      <c r="J452" s="26">
        <f t="shared" si="157"/>
        <v>218.44117069436157</v>
      </c>
      <c r="K452" s="26">
        <f t="shared" si="158"/>
        <v>217.42730389606186</v>
      </c>
      <c r="L452" s="26">
        <f t="shared" ref="L452:L515" si="183">$N$20+$N$21*A1059</f>
        <v>215.74891565121774</v>
      </c>
      <c r="V452" s="26">
        <f t="shared" si="167"/>
        <v>222.40126005030845</v>
      </c>
      <c r="W452" s="26">
        <f t="shared" si="170"/>
        <v>222.91141251296378</v>
      </c>
      <c r="X452" s="26">
        <f t="shared" si="169"/>
        <v>-0.5101524626553271</v>
      </c>
      <c r="Y452" s="26">
        <f t="shared" si="172"/>
        <v>-0.42168584362195866</v>
      </c>
      <c r="Z452" s="26">
        <v>15265.89</v>
      </c>
      <c r="AA452" s="26">
        <f t="shared" ref="AA452:AA515" si="184">$AD$20+$AD$21*Z452</f>
        <v>218.93501355997915</v>
      </c>
      <c r="AB452" s="27">
        <f t="shared" si="155"/>
        <v>8.9636091984844693E-3</v>
      </c>
      <c r="BK452" s="24">
        <v>44646</v>
      </c>
      <c r="BL452" s="25">
        <v>216.99</v>
      </c>
      <c r="BM452" s="26">
        <f t="shared" si="178"/>
        <v>217.79999999999998</v>
      </c>
      <c r="BN452" s="26">
        <f t="shared" si="156"/>
        <v>219.24799999999999</v>
      </c>
      <c r="BO452" s="26">
        <f t="shared" si="162"/>
        <v>220.38285714285715</v>
      </c>
      <c r="BP452" s="26">
        <f t="shared" si="165"/>
        <v>223.68615384615384</v>
      </c>
      <c r="BQ452" s="26">
        <f t="shared" si="168"/>
        <v>226.74606060606067</v>
      </c>
      <c r="BR452" s="26">
        <f t="shared" si="179"/>
        <v>218.28666666666669</v>
      </c>
      <c r="BS452" s="26">
        <f t="shared" si="159"/>
        <v>218.44117069436157</v>
      </c>
      <c r="BT452" s="26">
        <f t="shared" si="160"/>
        <v>217.42730389606186</v>
      </c>
    </row>
    <row r="453" spans="1:72" x14ac:dyDescent="0.2">
      <c r="A453" s="74"/>
      <c r="B453" s="24">
        <v>44647</v>
      </c>
      <c r="C453" s="25">
        <v>215.02</v>
      </c>
      <c r="D453" s="26">
        <f t="shared" si="173"/>
        <v>216.13333333333333</v>
      </c>
      <c r="E453" s="26">
        <f t="shared" si="163"/>
        <v>217.86199999999999</v>
      </c>
      <c r="F453" s="26">
        <f t="shared" si="180"/>
        <v>219.06142857142859</v>
      </c>
      <c r="G453" s="26">
        <f t="shared" si="181"/>
        <v>222.52230769230772</v>
      </c>
      <c r="H453" s="26">
        <f t="shared" si="182"/>
        <v>226.54787878787883</v>
      </c>
      <c r="I453" s="26">
        <f t="shared" si="177"/>
        <v>216.87733333333333</v>
      </c>
      <c r="J453" s="26">
        <f t="shared" si="157"/>
        <v>217.07270241661695</v>
      </c>
      <c r="K453" s="26">
        <f t="shared" si="158"/>
        <v>215.98292155842475</v>
      </c>
      <c r="L453" s="26">
        <f t="shared" si="183"/>
        <v>215.73407698921764</v>
      </c>
      <c r="V453" s="26">
        <f t="shared" si="167"/>
        <v>221.26568158103024</v>
      </c>
      <c r="W453" s="26">
        <f t="shared" si="170"/>
        <v>221.8545000465819</v>
      </c>
      <c r="X453" s="26">
        <f t="shared" si="169"/>
        <v>-0.58881846555166817</v>
      </c>
      <c r="Y453" s="26">
        <f t="shared" si="172"/>
        <v>-0.45511236800790056</v>
      </c>
      <c r="Z453" s="26">
        <v>15129.5</v>
      </c>
      <c r="AA453" s="26">
        <f t="shared" si="184"/>
        <v>218.87496522151318</v>
      </c>
      <c r="AB453" s="27">
        <f t="shared" ref="AB453:AB516" si="185">(AA453-C453)/C453</f>
        <v>1.7928403039313406E-2</v>
      </c>
      <c r="BK453" s="24">
        <v>44647</v>
      </c>
      <c r="BL453" s="25">
        <v>215.02</v>
      </c>
      <c r="BM453" s="26">
        <f t="shared" si="178"/>
        <v>216.13333333333333</v>
      </c>
      <c r="BN453" s="26">
        <f t="shared" ref="BN453:BN516" si="186">AVERAGE(BL449:BL453)</f>
        <v>217.86199999999999</v>
      </c>
      <c r="BO453" s="26">
        <f t="shared" si="162"/>
        <v>219.06142857142859</v>
      </c>
      <c r="BP453" s="26">
        <f t="shared" si="165"/>
        <v>222.52230769230772</v>
      </c>
      <c r="BQ453" s="26">
        <f t="shared" si="168"/>
        <v>226.54787878787883</v>
      </c>
      <c r="BR453" s="26">
        <f t="shared" si="179"/>
        <v>216.87733333333333</v>
      </c>
      <c r="BS453" s="26">
        <f t="shared" si="159"/>
        <v>217.07270241661695</v>
      </c>
      <c r="BT453" s="26">
        <f t="shared" si="160"/>
        <v>215.98292155842475</v>
      </c>
    </row>
    <row r="454" spans="1:72" x14ac:dyDescent="0.2">
      <c r="A454" s="74"/>
      <c r="B454" s="24">
        <v>44648</v>
      </c>
      <c r="C454" s="25">
        <v>211.91</v>
      </c>
      <c r="D454" s="26">
        <f t="shared" si="173"/>
        <v>214.64</v>
      </c>
      <c r="E454" s="26">
        <f t="shared" si="163"/>
        <v>216.06599999999997</v>
      </c>
      <c r="F454" s="26">
        <f t="shared" si="180"/>
        <v>217.59571428571431</v>
      </c>
      <c r="G454" s="26">
        <f t="shared" si="181"/>
        <v>221.13307692307691</v>
      </c>
      <c r="H454" s="26">
        <f t="shared" si="182"/>
        <v>226.39454545454549</v>
      </c>
      <c r="I454" s="26">
        <f t="shared" si="177"/>
        <v>214.89333333333335</v>
      </c>
      <c r="J454" s="26">
        <f t="shared" ref="J454:J517" si="187">C454*$J$3+J453*(1-$J$3)</f>
        <v>215.00762144997017</v>
      </c>
      <c r="K454" s="26">
        <f t="shared" ref="K454:K517" si="188">C454*$K$3+K453*(1-$K$3)</f>
        <v>213.5391686233699</v>
      </c>
      <c r="L454" s="26">
        <f t="shared" si="183"/>
        <v>215.71923832721757</v>
      </c>
      <c r="V454" s="26">
        <f t="shared" si="167"/>
        <v>219.82634595317944</v>
      </c>
      <c r="W454" s="26">
        <f t="shared" si="170"/>
        <v>220.57266813058354</v>
      </c>
      <c r="X454" s="26">
        <f t="shared" si="169"/>
        <v>-0.74632217740409601</v>
      </c>
      <c r="Y454" s="26">
        <f t="shared" si="172"/>
        <v>-0.51335432988713969</v>
      </c>
      <c r="Z454" s="26">
        <v>14945.81</v>
      </c>
      <c r="AA454" s="26">
        <f t="shared" si="184"/>
        <v>218.79409214216119</v>
      </c>
      <c r="AB454" s="27">
        <f t="shared" si="185"/>
        <v>3.2485923940168908E-2</v>
      </c>
      <c r="BK454" s="24">
        <v>44648</v>
      </c>
      <c r="BL454" s="25">
        <v>211.91</v>
      </c>
      <c r="BM454" s="26">
        <f t="shared" si="178"/>
        <v>214.64</v>
      </c>
      <c r="BN454" s="26">
        <f t="shared" si="186"/>
        <v>216.06599999999997</v>
      </c>
      <c r="BO454" s="26">
        <f t="shared" si="162"/>
        <v>217.59571428571431</v>
      </c>
      <c r="BP454" s="26">
        <f t="shared" si="165"/>
        <v>221.13307692307691</v>
      </c>
      <c r="BQ454" s="26">
        <f t="shared" si="168"/>
        <v>226.39454545454549</v>
      </c>
      <c r="BR454" s="26">
        <f t="shared" si="179"/>
        <v>214.89333333333335</v>
      </c>
      <c r="BS454" s="26">
        <f t="shared" ref="BS454:BS517" si="189">BL454*$J$3+BS453*(1-$J$3)</f>
        <v>215.00762144997017</v>
      </c>
      <c r="BT454" s="26">
        <f t="shared" ref="BT454:BT517" si="190">BL454*$K$3+BT453*(1-$K$3)</f>
        <v>213.5391686233699</v>
      </c>
    </row>
    <row r="455" spans="1:72" x14ac:dyDescent="0.2">
      <c r="A455" s="74"/>
      <c r="B455" s="24">
        <v>44649</v>
      </c>
      <c r="C455" s="25">
        <v>213.9</v>
      </c>
      <c r="D455" s="26">
        <f t="shared" si="173"/>
        <v>213.61</v>
      </c>
      <c r="E455" s="26">
        <f t="shared" si="163"/>
        <v>214.84200000000001</v>
      </c>
      <c r="F455" s="26">
        <f t="shared" si="180"/>
        <v>216.4457142857143</v>
      </c>
      <c r="G455" s="26">
        <f t="shared" si="181"/>
        <v>219.97923076923072</v>
      </c>
      <c r="H455" s="26">
        <f t="shared" si="182"/>
        <v>226.32212121212123</v>
      </c>
      <c r="I455" s="26">
        <f t="shared" si="177"/>
        <v>214.17133333333331</v>
      </c>
      <c r="J455" s="26">
        <f t="shared" si="187"/>
        <v>214.5645728699821</v>
      </c>
      <c r="K455" s="26">
        <f t="shared" si="188"/>
        <v>213.75566744934798</v>
      </c>
      <c r="L455" s="26">
        <f t="shared" si="183"/>
        <v>215.70439966521747</v>
      </c>
      <c r="V455" s="26">
        <f t="shared" si="167"/>
        <v>218.91460042192108</v>
      </c>
      <c r="W455" s="26">
        <f t="shared" si="170"/>
        <v>219.38735736405502</v>
      </c>
      <c r="X455" s="26">
        <f t="shared" si="169"/>
        <v>-0.47275694213394104</v>
      </c>
      <c r="Y455" s="26">
        <f t="shared" si="172"/>
        <v>-0.50523485233650001</v>
      </c>
      <c r="Z455" s="26">
        <v>15041.86</v>
      </c>
      <c r="AA455" s="26">
        <f t="shared" si="184"/>
        <v>218.83638001451001</v>
      </c>
      <c r="AB455" s="27">
        <f t="shared" si="185"/>
        <v>2.3077980432491853E-2</v>
      </c>
      <c r="BK455" s="24">
        <v>44649</v>
      </c>
      <c r="BL455" s="25">
        <v>213.9</v>
      </c>
      <c r="BM455" s="26">
        <f t="shared" si="178"/>
        <v>213.61</v>
      </c>
      <c r="BN455" s="26">
        <f t="shared" si="186"/>
        <v>214.84200000000001</v>
      </c>
      <c r="BO455" s="26">
        <f t="shared" ref="BO455:BO518" si="191">AVERAGE(BL449:BL455)</f>
        <v>216.4457142857143</v>
      </c>
      <c r="BP455" s="26">
        <f t="shared" si="165"/>
        <v>219.97923076923072</v>
      </c>
      <c r="BQ455" s="26">
        <f t="shared" si="168"/>
        <v>226.32212121212123</v>
      </c>
      <c r="BR455" s="26">
        <f t="shared" si="179"/>
        <v>214.17133333333331</v>
      </c>
      <c r="BS455" s="26">
        <f t="shared" si="189"/>
        <v>214.5645728699821</v>
      </c>
      <c r="BT455" s="26">
        <f t="shared" si="190"/>
        <v>213.75566744934798</v>
      </c>
    </row>
    <row r="456" spans="1:72" x14ac:dyDescent="0.2">
      <c r="A456" s="74"/>
      <c r="B456" s="24">
        <v>44650</v>
      </c>
      <c r="C456" s="25">
        <v>214.08</v>
      </c>
      <c r="D456" s="26">
        <f t="shared" si="173"/>
        <v>213.29666666666665</v>
      </c>
      <c r="E456" s="26">
        <f t="shared" si="163"/>
        <v>214.37999999999997</v>
      </c>
      <c r="F456" s="26">
        <f t="shared" si="180"/>
        <v>215.47285714285712</v>
      </c>
      <c r="G456" s="26">
        <f t="shared" si="181"/>
        <v>219.09384615384613</v>
      </c>
      <c r="H456" s="26">
        <f t="shared" si="182"/>
        <v>226.21545454545458</v>
      </c>
      <c r="I456" s="26">
        <f t="shared" si="177"/>
        <v>213.91733333333335</v>
      </c>
      <c r="J456" s="26">
        <f t="shared" si="187"/>
        <v>214.37074372198927</v>
      </c>
      <c r="K456" s="26">
        <f t="shared" si="188"/>
        <v>213.95026697973921</v>
      </c>
      <c r="L456" s="26">
        <f t="shared" si="183"/>
        <v>215.68956100321736</v>
      </c>
      <c r="V456" s="26">
        <f t="shared" si="167"/>
        <v>218.17081574162552</v>
      </c>
      <c r="W456" s="26">
        <f t="shared" si="170"/>
        <v>218.55648187214916</v>
      </c>
      <c r="X456" s="26">
        <f t="shared" si="169"/>
        <v>-0.38566613052364573</v>
      </c>
      <c r="Y456" s="26">
        <f t="shared" si="172"/>
        <v>-0.48132110797392919</v>
      </c>
      <c r="Z456" s="26">
        <v>15019.8</v>
      </c>
      <c r="AA456" s="26">
        <f t="shared" si="184"/>
        <v>218.82666767235474</v>
      </c>
      <c r="AB456" s="27">
        <f t="shared" si="185"/>
        <v>2.217240130957928E-2</v>
      </c>
      <c r="BK456" s="24">
        <v>44650</v>
      </c>
      <c r="BL456" s="25">
        <v>214.08</v>
      </c>
      <c r="BM456" s="26">
        <f t="shared" si="178"/>
        <v>213.29666666666665</v>
      </c>
      <c r="BN456" s="26">
        <f t="shared" si="186"/>
        <v>214.37999999999997</v>
      </c>
      <c r="BO456" s="26">
        <f t="shared" si="191"/>
        <v>215.47285714285712</v>
      </c>
      <c r="BP456" s="26">
        <f t="shared" si="165"/>
        <v>219.09384615384613</v>
      </c>
      <c r="BQ456" s="26">
        <f t="shared" si="168"/>
        <v>226.21545454545458</v>
      </c>
      <c r="BR456" s="26">
        <f t="shared" si="179"/>
        <v>213.91733333333335</v>
      </c>
      <c r="BS456" s="26">
        <f t="shared" si="189"/>
        <v>214.37074372198927</v>
      </c>
      <c r="BT456" s="26">
        <f t="shared" si="190"/>
        <v>213.95026697973921</v>
      </c>
    </row>
    <row r="457" spans="1:72" x14ac:dyDescent="0.2">
      <c r="A457" s="75"/>
      <c r="B457" s="24">
        <v>44651</v>
      </c>
      <c r="C457" s="25">
        <v>214.84</v>
      </c>
      <c r="D457" s="26">
        <f t="shared" si="173"/>
        <v>214.27333333333334</v>
      </c>
      <c r="E457" s="26">
        <f t="shared" ref="E457:E520" si="192">AVERAGE(C453:C457)</f>
        <v>213.95</v>
      </c>
      <c r="F457" s="26">
        <f t="shared" si="180"/>
        <v>214.73285714285711</v>
      </c>
      <c r="G457" s="26">
        <f t="shared" si="181"/>
        <v>218.37230769230771</v>
      </c>
      <c r="H457" s="26">
        <f t="shared" si="182"/>
        <v>225.97090909090912</v>
      </c>
      <c r="I457" s="26">
        <f t="shared" si="177"/>
        <v>214.07066666666668</v>
      </c>
      <c r="J457" s="26">
        <f t="shared" si="187"/>
        <v>214.55844623319356</v>
      </c>
      <c r="K457" s="26">
        <f t="shared" si="188"/>
        <v>214.48410679189567</v>
      </c>
      <c r="L457" s="26">
        <f t="shared" si="183"/>
        <v>215.67472234121729</v>
      </c>
      <c r="V457" s="26">
        <f t="shared" si="167"/>
        <v>217.65838255060621</v>
      </c>
      <c r="W457" s="26">
        <f t="shared" si="170"/>
        <v>217.92408864965327</v>
      </c>
      <c r="X457" s="26">
        <f t="shared" si="169"/>
        <v>-0.26570609904706544</v>
      </c>
      <c r="Y457" s="26">
        <f t="shared" si="172"/>
        <v>-0.43819810618855648</v>
      </c>
      <c r="Z457" s="26">
        <v>14942.65</v>
      </c>
      <c r="AA457" s="26">
        <f t="shared" si="184"/>
        <v>218.79270089097304</v>
      </c>
      <c r="AB457" s="27">
        <f t="shared" si="185"/>
        <v>1.839834710004205E-2</v>
      </c>
      <c r="BK457" s="24">
        <v>44651</v>
      </c>
      <c r="BL457" s="25">
        <v>214.84</v>
      </c>
      <c r="BM457" s="26">
        <f t="shared" si="178"/>
        <v>214.27333333333334</v>
      </c>
      <c r="BN457" s="26">
        <f t="shared" si="186"/>
        <v>213.95</v>
      </c>
      <c r="BO457" s="26">
        <f t="shared" si="191"/>
        <v>214.73285714285711</v>
      </c>
      <c r="BP457" s="26">
        <f t="shared" si="165"/>
        <v>218.37230769230771</v>
      </c>
      <c r="BQ457" s="26">
        <f t="shared" si="168"/>
        <v>225.97090909090912</v>
      </c>
      <c r="BR457" s="26">
        <f t="shared" si="179"/>
        <v>214.07066666666668</v>
      </c>
      <c r="BS457" s="26">
        <f t="shared" si="189"/>
        <v>214.55844623319356</v>
      </c>
      <c r="BT457" s="26">
        <f t="shared" si="190"/>
        <v>214.48410679189567</v>
      </c>
    </row>
    <row r="458" spans="1:72" x14ac:dyDescent="0.2">
      <c r="A458" s="73">
        <v>44652</v>
      </c>
      <c r="B458" s="24">
        <v>44652</v>
      </c>
      <c r="C458" s="25">
        <v>213.97</v>
      </c>
      <c r="D458" s="26">
        <f t="shared" si="173"/>
        <v>214.29666666666665</v>
      </c>
      <c r="E458" s="26">
        <f t="shared" si="192"/>
        <v>213.74</v>
      </c>
      <c r="F458" s="26">
        <f t="shared" si="180"/>
        <v>214.38714285714283</v>
      </c>
      <c r="G458" s="26">
        <f t="shared" si="181"/>
        <v>217.41538461538462</v>
      </c>
      <c r="H458" s="26">
        <f t="shared" si="182"/>
        <v>225.62575757575763</v>
      </c>
      <c r="I458" s="26">
        <f t="shared" si="177"/>
        <v>214.07733333333331</v>
      </c>
      <c r="J458" s="26">
        <f t="shared" si="187"/>
        <v>214.32306773991616</v>
      </c>
      <c r="K458" s="26">
        <f t="shared" si="188"/>
        <v>214.17564271675826</v>
      </c>
      <c r="L458" s="26">
        <f t="shared" si="183"/>
        <v>215.65988367921719</v>
      </c>
      <c r="V458" s="26">
        <f t="shared" si="167"/>
        <v>217.09093908128219</v>
      </c>
      <c r="W458" s="26">
        <f t="shared" si="170"/>
        <v>217.38516902833908</v>
      </c>
      <c r="X458" s="26">
        <f t="shared" si="169"/>
        <v>-0.29422994705689121</v>
      </c>
      <c r="Y458" s="26">
        <f t="shared" si="172"/>
        <v>-0.40940447436222344</v>
      </c>
      <c r="Z458" s="26">
        <v>14714.66</v>
      </c>
      <c r="AA458" s="26">
        <f t="shared" si="184"/>
        <v>218.69232387882508</v>
      </c>
      <c r="AB458" s="27">
        <f t="shared" si="185"/>
        <v>2.2070027942352105E-2</v>
      </c>
      <c r="BK458" s="24">
        <v>44652</v>
      </c>
      <c r="BL458" s="25">
        <v>213.97</v>
      </c>
      <c r="BM458" s="26">
        <f t="shared" si="178"/>
        <v>214.29666666666665</v>
      </c>
      <c r="BN458" s="26">
        <f t="shared" si="186"/>
        <v>213.74</v>
      </c>
      <c r="BO458" s="26">
        <f t="shared" si="191"/>
        <v>214.38714285714283</v>
      </c>
      <c r="BP458" s="26">
        <f t="shared" si="165"/>
        <v>217.41538461538462</v>
      </c>
      <c r="BQ458" s="26">
        <f t="shared" si="168"/>
        <v>225.62575757575763</v>
      </c>
      <c r="BR458" s="26">
        <f t="shared" si="179"/>
        <v>214.07733333333331</v>
      </c>
      <c r="BS458" s="26">
        <f t="shared" si="189"/>
        <v>214.32306773991616</v>
      </c>
      <c r="BT458" s="26">
        <f t="shared" si="190"/>
        <v>214.17564271675826</v>
      </c>
    </row>
    <row r="459" spans="1:72" x14ac:dyDescent="0.2">
      <c r="A459" s="74"/>
      <c r="B459" s="24">
        <v>44653</v>
      </c>
      <c r="C459" s="25">
        <v>212.7</v>
      </c>
      <c r="D459" s="26">
        <f t="shared" si="173"/>
        <v>213.83666666666667</v>
      </c>
      <c r="E459" s="26">
        <f t="shared" si="192"/>
        <v>213.898</v>
      </c>
      <c r="F459" s="26">
        <f t="shared" si="180"/>
        <v>213.77428571428572</v>
      </c>
      <c r="G459" s="26">
        <f t="shared" si="181"/>
        <v>216.52538461538461</v>
      </c>
      <c r="H459" s="26">
        <f t="shared" si="182"/>
        <v>225.24545454545458</v>
      </c>
      <c r="I459" s="26">
        <f t="shared" si="177"/>
        <v>213.73066666666668</v>
      </c>
      <c r="J459" s="26">
        <f t="shared" si="187"/>
        <v>213.67384064394969</v>
      </c>
      <c r="K459" s="26">
        <f t="shared" si="188"/>
        <v>213.29025708670332</v>
      </c>
      <c r="L459" s="26">
        <f t="shared" si="183"/>
        <v>215.64504501721709</v>
      </c>
      <c r="V459" s="26">
        <f t="shared" si="167"/>
        <v>216.41540999185415</v>
      </c>
      <c r="W459" s="26">
        <f t="shared" si="170"/>
        <v>216.76568433452056</v>
      </c>
      <c r="X459" s="26">
        <f t="shared" si="169"/>
        <v>-0.35027434266640967</v>
      </c>
      <c r="Y459" s="26">
        <f t="shared" si="172"/>
        <v>-0.39757844802306075</v>
      </c>
      <c r="Z459" s="26">
        <v>14541.79</v>
      </c>
      <c r="AA459" s="26">
        <f t="shared" si="184"/>
        <v>218.61621451398443</v>
      </c>
      <c r="AB459" s="27">
        <f t="shared" si="185"/>
        <v>2.7814830813278998E-2</v>
      </c>
      <c r="BK459" s="24">
        <v>44653</v>
      </c>
      <c r="BL459" s="25">
        <v>212.7</v>
      </c>
      <c r="BM459" s="26">
        <f t="shared" si="178"/>
        <v>213.83666666666667</v>
      </c>
      <c r="BN459" s="26">
        <f t="shared" si="186"/>
        <v>213.898</v>
      </c>
      <c r="BO459" s="26">
        <f t="shared" si="191"/>
        <v>213.77428571428572</v>
      </c>
      <c r="BP459" s="26">
        <f t="shared" si="165"/>
        <v>216.52538461538461</v>
      </c>
      <c r="BQ459" s="26">
        <f t="shared" si="168"/>
        <v>225.24545454545458</v>
      </c>
      <c r="BR459" s="26">
        <f t="shared" si="179"/>
        <v>213.73066666666668</v>
      </c>
      <c r="BS459" s="26">
        <f t="shared" si="189"/>
        <v>213.67384064394969</v>
      </c>
      <c r="BT459" s="26">
        <f t="shared" si="190"/>
        <v>213.29025708670332</v>
      </c>
    </row>
    <row r="460" spans="1:72" x14ac:dyDescent="0.2">
      <c r="A460" s="74"/>
      <c r="B460" s="24">
        <v>44654</v>
      </c>
      <c r="C460" s="25">
        <v>213.28</v>
      </c>
      <c r="D460" s="26">
        <f t="shared" si="173"/>
        <v>213.31666666666663</v>
      </c>
      <c r="E460" s="26">
        <f t="shared" si="192"/>
        <v>213.77399999999997</v>
      </c>
      <c r="F460" s="26">
        <f t="shared" si="180"/>
        <v>213.52571428571429</v>
      </c>
      <c r="G460" s="26">
        <f t="shared" si="181"/>
        <v>215.84153846153848</v>
      </c>
      <c r="H460" s="26">
        <f t="shared" si="182"/>
        <v>224.86303030303031</v>
      </c>
      <c r="I460" s="26">
        <f t="shared" si="177"/>
        <v>213.52466666666666</v>
      </c>
      <c r="J460" s="26">
        <f t="shared" si="187"/>
        <v>213.51630438636982</v>
      </c>
      <c r="K460" s="26">
        <f t="shared" si="188"/>
        <v>213.28410283468133</v>
      </c>
      <c r="L460" s="26">
        <f t="shared" si="183"/>
        <v>215.63020635521701</v>
      </c>
      <c r="V460" s="26">
        <f t="shared" si="167"/>
        <v>215.93303922387656</v>
      </c>
      <c r="W460" s="26">
        <f t="shared" si="170"/>
        <v>216.18315739986494</v>
      </c>
      <c r="X460" s="26">
        <f t="shared" si="169"/>
        <v>-0.25011817598837638</v>
      </c>
      <c r="Y460" s="26">
        <f t="shared" si="172"/>
        <v>-0.36808639361612389</v>
      </c>
      <c r="Z460" s="26">
        <v>14525.91</v>
      </c>
      <c r="AA460" s="26">
        <f t="shared" si="184"/>
        <v>218.6092230364946</v>
      </c>
      <c r="AB460" s="27">
        <f t="shared" si="185"/>
        <v>2.4986979728500548E-2</v>
      </c>
      <c r="BK460" s="24">
        <v>44654</v>
      </c>
      <c r="BL460" s="25">
        <v>213.28</v>
      </c>
      <c r="BM460" s="26">
        <f t="shared" si="178"/>
        <v>213.31666666666663</v>
      </c>
      <c r="BN460" s="26">
        <f t="shared" si="186"/>
        <v>213.77399999999997</v>
      </c>
      <c r="BO460" s="26">
        <f t="shared" si="191"/>
        <v>213.52571428571429</v>
      </c>
      <c r="BP460" s="26">
        <f t="shared" si="165"/>
        <v>215.84153846153848</v>
      </c>
      <c r="BQ460" s="26">
        <f t="shared" si="168"/>
        <v>224.86303030303031</v>
      </c>
      <c r="BR460" s="26">
        <f t="shared" si="179"/>
        <v>213.52466666666666</v>
      </c>
      <c r="BS460" s="26">
        <f t="shared" si="189"/>
        <v>213.51630438636982</v>
      </c>
      <c r="BT460" s="26">
        <f t="shared" si="190"/>
        <v>213.28410283468133</v>
      </c>
    </row>
    <row r="461" spans="1:72" x14ac:dyDescent="0.2">
      <c r="A461" s="74"/>
      <c r="B461" s="24">
        <v>44655</v>
      </c>
      <c r="C461" s="25">
        <v>211.14</v>
      </c>
      <c r="D461" s="26">
        <f t="shared" si="173"/>
        <v>212.37333333333333</v>
      </c>
      <c r="E461" s="26">
        <f t="shared" si="192"/>
        <v>213.18599999999998</v>
      </c>
      <c r="F461" s="26">
        <f t="shared" si="180"/>
        <v>213.41571428571427</v>
      </c>
      <c r="G461" s="26">
        <f t="shared" si="181"/>
        <v>215.00999999999996</v>
      </c>
      <c r="H461" s="26">
        <f t="shared" si="182"/>
        <v>224.14787878787882</v>
      </c>
      <c r="I461" s="26">
        <f t="shared" si="177"/>
        <v>212.64666666666665</v>
      </c>
      <c r="J461" s="26">
        <f t="shared" si="187"/>
        <v>212.56578263182189</v>
      </c>
      <c r="K461" s="26">
        <f t="shared" si="188"/>
        <v>211.99764113387252</v>
      </c>
      <c r="L461" s="26">
        <f t="shared" si="183"/>
        <v>215.61536769321691</v>
      </c>
      <c r="V461" s="26">
        <f t="shared" si="167"/>
        <v>215.19564857404941</v>
      </c>
      <c r="W461" s="26">
        <f t="shared" si="170"/>
        <v>215.57799928136717</v>
      </c>
      <c r="X461" s="26">
        <f t="shared" si="169"/>
        <v>-0.38235070731775522</v>
      </c>
      <c r="Y461" s="26">
        <f t="shared" si="172"/>
        <v>-0.3709392563564502</v>
      </c>
      <c r="Z461" s="26">
        <v>14656.18</v>
      </c>
      <c r="AA461" s="26">
        <f t="shared" si="184"/>
        <v>218.66657692645694</v>
      </c>
      <c r="AB461" s="27">
        <f t="shared" si="185"/>
        <v>3.5647328438272972E-2</v>
      </c>
      <c r="BK461" s="24">
        <v>44655</v>
      </c>
      <c r="BL461" s="25">
        <v>211.14</v>
      </c>
      <c r="BM461" s="26">
        <f t="shared" si="178"/>
        <v>212.37333333333333</v>
      </c>
      <c r="BN461" s="26">
        <f t="shared" si="186"/>
        <v>213.18599999999998</v>
      </c>
      <c r="BO461" s="26">
        <f t="shared" si="191"/>
        <v>213.41571428571427</v>
      </c>
      <c r="BP461" s="26">
        <f t="shared" ref="BP461:BP524" si="193">AVERAGE(BL449:BL461)</f>
        <v>215.00999999999996</v>
      </c>
      <c r="BQ461" s="26">
        <f t="shared" si="168"/>
        <v>224.14787878787882</v>
      </c>
      <c r="BR461" s="26">
        <f t="shared" si="179"/>
        <v>212.64666666666665</v>
      </c>
      <c r="BS461" s="26">
        <f t="shared" si="189"/>
        <v>212.56578263182189</v>
      </c>
      <c r="BT461" s="26">
        <f t="shared" si="190"/>
        <v>211.99764113387252</v>
      </c>
    </row>
    <row r="462" spans="1:72" x14ac:dyDescent="0.2">
      <c r="A462" s="74"/>
      <c r="B462" s="24">
        <v>44656</v>
      </c>
      <c r="C462" s="25">
        <v>212.12</v>
      </c>
      <c r="D462" s="26">
        <f t="shared" si="173"/>
        <v>212.17999999999998</v>
      </c>
      <c r="E462" s="26">
        <f t="shared" si="192"/>
        <v>212.642</v>
      </c>
      <c r="F462" s="26">
        <f t="shared" si="180"/>
        <v>213.16142857142853</v>
      </c>
      <c r="G462" s="26">
        <f t="shared" si="181"/>
        <v>214.33538461538458</v>
      </c>
      <c r="H462" s="26">
        <f t="shared" si="182"/>
        <v>223.52272727272728</v>
      </c>
      <c r="I462" s="26">
        <f t="shared" si="177"/>
        <v>212.29133333333331</v>
      </c>
      <c r="J462" s="26">
        <f t="shared" si="187"/>
        <v>212.38746957909314</v>
      </c>
      <c r="K462" s="26">
        <f t="shared" si="188"/>
        <v>212.07105645354901</v>
      </c>
      <c r="L462" s="26">
        <f t="shared" si="183"/>
        <v>215.60052903121681</v>
      </c>
      <c r="V462" s="26">
        <f t="shared" si="167"/>
        <v>214.72247187034949</v>
      </c>
      <c r="W462" s="26">
        <f t="shared" si="170"/>
        <v>214.96782275374946</v>
      </c>
      <c r="X462" s="26">
        <f t="shared" si="169"/>
        <v>-0.24535088339996491</v>
      </c>
      <c r="Y462" s="26">
        <f t="shared" si="172"/>
        <v>-0.34582158176515315</v>
      </c>
      <c r="Z462" s="26">
        <v>14793.76</v>
      </c>
      <c r="AA462" s="26">
        <f t="shared" si="184"/>
        <v>218.72714918546529</v>
      </c>
      <c r="AB462" s="27">
        <f t="shared" si="185"/>
        <v>3.1148167006719258E-2</v>
      </c>
      <c r="BK462" s="24">
        <v>44656</v>
      </c>
      <c r="BL462" s="25">
        <v>212.12</v>
      </c>
      <c r="BM462" s="26">
        <f t="shared" si="178"/>
        <v>212.17999999999998</v>
      </c>
      <c r="BN462" s="26">
        <f t="shared" si="186"/>
        <v>212.642</v>
      </c>
      <c r="BO462" s="26">
        <f t="shared" si="191"/>
        <v>213.16142857142853</v>
      </c>
      <c r="BP462" s="26">
        <f t="shared" si="193"/>
        <v>214.33538461538458</v>
      </c>
      <c r="BQ462" s="26">
        <f t="shared" si="168"/>
        <v>223.52272727272728</v>
      </c>
      <c r="BR462" s="26">
        <f t="shared" si="179"/>
        <v>212.29133333333331</v>
      </c>
      <c r="BS462" s="26">
        <f t="shared" si="189"/>
        <v>212.38746957909314</v>
      </c>
      <c r="BT462" s="26">
        <f t="shared" si="190"/>
        <v>212.07105645354901</v>
      </c>
    </row>
    <row r="463" spans="1:72" x14ac:dyDescent="0.2">
      <c r="A463" s="74"/>
      <c r="B463" s="24">
        <v>44657</v>
      </c>
      <c r="C463" s="25">
        <v>209.55</v>
      </c>
      <c r="D463" s="26">
        <f t="shared" si="173"/>
        <v>210.93666666666664</v>
      </c>
      <c r="E463" s="26">
        <f t="shared" si="192"/>
        <v>211.75799999999998</v>
      </c>
      <c r="F463" s="26">
        <f t="shared" si="180"/>
        <v>212.51428571428568</v>
      </c>
      <c r="G463" s="26">
        <f t="shared" si="181"/>
        <v>213.53</v>
      </c>
      <c r="H463" s="26">
        <f t="shared" si="182"/>
        <v>222.76242424242426</v>
      </c>
      <c r="I463" s="26">
        <f t="shared" si="177"/>
        <v>211.26066666666665</v>
      </c>
      <c r="J463" s="26">
        <f t="shared" si="187"/>
        <v>211.25248174745587</v>
      </c>
      <c r="K463" s="26">
        <f t="shared" si="188"/>
        <v>210.55842258141962</v>
      </c>
      <c r="L463" s="26">
        <f t="shared" si="183"/>
        <v>215.58569036921674</v>
      </c>
      <c r="V463" s="26">
        <f t="shared" si="167"/>
        <v>213.92670696721879</v>
      </c>
      <c r="W463" s="26">
        <f t="shared" si="170"/>
        <v>214.33932580587916</v>
      </c>
      <c r="X463" s="26">
        <f t="shared" si="169"/>
        <v>-0.41261883866036442</v>
      </c>
      <c r="Y463" s="26">
        <f t="shared" si="172"/>
        <v>-0.35918103314419542</v>
      </c>
      <c r="Z463" s="26">
        <v>14822.9</v>
      </c>
      <c r="AA463" s="26">
        <f t="shared" si="184"/>
        <v>218.73997863471303</v>
      </c>
      <c r="AB463" s="27">
        <f t="shared" si="185"/>
        <v>4.3855779693214095E-2</v>
      </c>
      <c r="BK463" s="24">
        <v>44657</v>
      </c>
      <c r="BL463" s="25">
        <v>209.55</v>
      </c>
      <c r="BM463" s="26">
        <f t="shared" si="178"/>
        <v>210.93666666666664</v>
      </c>
      <c r="BN463" s="26">
        <f t="shared" si="186"/>
        <v>211.75799999999998</v>
      </c>
      <c r="BO463" s="26">
        <f t="shared" si="191"/>
        <v>212.51428571428568</v>
      </c>
      <c r="BP463" s="26">
        <f t="shared" si="193"/>
        <v>213.53</v>
      </c>
      <c r="BQ463" s="26">
        <f t="shared" si="168"/>
        <v>222.76242424242426</v>
      </c>
      <c r="BR463" s="26">
        <f t="shared" si="179"/>
        <v>211.26066666666665</v>
      </c>
      <c r="BS463" s="26">
        <f t="shared" si="189"/>
        <v>211.25248174745587</v>
      </c>
      <c r="BT463" s="26">
        <f t="shared" si="190"/>
        <v>210.55842258141962</v>
      </c>
    </row>
    <row r="464" spans="1:72" x14ac:dyDescent="0.2">
      <c r="A464" s="74"/>
      <c r="B464" s="24">
        <v>44658</v>
      </c>
      <c r="C464" s="25">
        <v>202.96</v>
      </c>
      <c r="D464" s="26">
        <f t="shared" si="173"/>
        <v>208.21</v>
      </c>
      <c r="E464" s="26">
        <f t="shared" si="192"/>
        <v>209.81</v>
      </c>
      <c r="F464" s="26">
        <f t="shared" si="180"/>
        <v>210.81714285714287</v>
      </c>
      <c r="G464" s="26">
        <f t="shared" si="181"/>
        <v>212.49692307692308</v>
      </c>
      <c r="H464" s="26">
        <f t="shared" si="182"/>
        <v>221.79818181818183</v>
      </c>
      <c r="I464" s="26">
        <f t="shared" si="177"/>
        <v>208.32800000000003</v>
      </c>
      <c r="J464" s="26">
        <f t="shared" si="187"/>
        <v>207.93548904847353</v>
      </c>
      <c r="K464" s="26">
        <f t="shared" si="188"/>
        <v>205.99936903256787</v>
      </c>
      <c r="L464" s="26">
        <f t="shared" si="183"/>
        <v>215.57085170721663</v>
      </c>
      <c r="V464" s="26">
        <f t="shared" si="167"/>
        <v>212.23952127995437</v>
      </c>
      <c r="W464" s="26">
        <f t="shared" si="170"/>
        <v>213.11435830298038</v>
      </c>
      <c r="X464" s="26">
        <f t="shared" si="169"/>
        <v>-0.87483702302600364</v>
      </c>
      <c r="Y464" s="26">
        <f t="shared" si="172"/>
        <v>-0.46231223112055708</v>
      </c>
      <c r="Z464" s="26">
        <v>14672.68</v>
      </c>
      <c r="AA464" s="26">
        <f t="shared" si="184"/>
        <v>218.67384137095206</v>
      </c>
      <c r="AB464" s="27">
        <f t="shared" si="185"/>
        <v>7.7423341402010515E-2</v>
      </c>
      <c r="BK464" s="24">
        <v>44658</v>
      </c>
      <c r="BL464" s="25">
        <v>202.96</v>
      </c>
      <c r="BM464" s="26">
        <f t="shared" si="178"/>
        <v>208.21</v>
      </c>
      <c r="BN464" s="26">
        <f t="shared" si="186"/>
        <v>209.81</v>
      </c>
      <c r="BO464" s="26">
        <f t="shared" si="191"/>
        <v>210.81714285714287</v>
      </c>
      <c r="BP464" s="26">
        <f t="shared" si="193"/>
        <v>212.49692307692308</v>
      </c>
      <c r="BQ464" s="26">
        <f t="shared" si="168"/>
        <v>221.79818181818183</v>
      </c>
      <c r="BR464" s="26">
        <f t="shared" si="179"/>
        <v>208.32800000000003</v>
      </c>
      <c r="BS464" s="26">
        <f t="shared" si="189"/>
        <v>207.93548904847353</v>
      </c>
      <c r="BT464" s="26">
        <f t="shared" si="190"/>
        <v>205.99936903256787</v>
      </c>
    </row>
    <row r="465" spans="1:72" x14ac:dyDescent="0.2">
      <c r="A465" s="74"/>
      <c r="B465" s="24">
        <v>44659</v>
      </c>
      <c r="C465" s="25">
        <v>204.39</v>
      </c>
      <c r="D465" s="26">
        <f t="shared" si="173"/>
        <v>205.63333333333333</v>
      </c>
      <c r="E465" s="26">
        <f t="shared" si="192"/>
        <v>208.03199999999998</v>
      </c>
      <c r="F465" s="26">
        <f t="shared" si="180"/>
        <v>209.4485714285714</v>
      </c>
      <c r="G465" s="26">
        <f t="shared" si="181"/>
        <v>211.52769230769232</v>
      </c>
      <c r="H465" s="26">
        <f t="shared" si="182"/>
        <v>220.94727272727275</v>
      </c>
      <c r="I465" s="26">
        <f t="shared" si="177"/>
        <v>206.52133333333333</v>
      </c>
      <c r="J465" s="26">
        <f t="shared" si="187"/>
        <v>206.51729342908411</v>
      </c>
      <c r="K465" s="26">
        <f t="shared" si="188"/>
        <v>205.03374761302715</v>
      </c>
      <c r="L465" s="26">
        <f t="shared" si="183"/>
        <v>215.55601304521653</v>
      </c>
      <c r="V465" s="26">
        <f t="shared" ref="V465:V528" si="194">C465*(2/(12+1))+V464*(1-(2/(12+1)))</f>
        <v>211.03190262149985</v>
      </c>
      <c r="W465" s="26">
        <f t="shared" si="170"/>
        <v>211.65807525921701</v>
      </c>
      <c r="X465" s="26">
        <f t="shared" si="169"/>
        <v>-0.62617263771716125</v>
      </c>
      <c r="Y465" s="26">
        <f t="shared" si="172"/>
        <v>-0.49508431243987794</v>
      </c>
      <c r="Z465" s="26">
        <v>14778.26</v>
      </c>
      <c r="AA465" s="26">
        <f t="shared" si="184"/>
        <v>218.72032501033351</v>
      </c>
      <c r="AB465" s="27">
        <f t="shared" si="185"/>
        <v>7.0112652332959172E-2</v>
      </c>
      <c r="BK465" s="24">
        <v>44659</v>
      </c>
      <c r="BL465" s="25">
        <v>204.39</v>
      </c>
      <c r="BM465" s="26">
        <f t="shared" si="178"/>
        <v>205.63333333333333</v>
      </c>
      <c r="BN465" s="26">
        <f t="shared" si="186"/>
        <v>208.03199999999998</v>
      </c>
      <c r="BO465" s="26">
        <f t="shared" si="191"/>
        <v>209.4485714285714</v>
      </c>
      <c r="BP465" s="26">
        <f t="shared" si="193"/>
        <v>211.52769230769232</v>
      </c>
      <c r="BQ465" s="26">
        <f t="shared" si="168"/>
        <v>220.94727272727275</v>
      </c>
      <c r="BR465" s="26">
        <f t="shared" si="179"/>
        <v>206.52133333333333</v>
      </c>
      <c r="BS465" s="26">
        <f t="shared" si="189"/>
        <v>206.51729342908411</v>
      </c>
      <c r="BT465" s="26">
        <f t="shared" si="190"/>
        <v>205.03374761302715</v>
      </c>
    </row>
    <row r="466" spans="1:72" x14ac:dyDescent="0.2">
      <c r="A466" s="74"/>
      <c r="B466" s="24">
        <v>44660</v>
      </c>
      <c r="C466" s="25">
        <v>199.98</v>
      </c>
      <c r="D466" s="26">
        <f t="shared" si="173"/>
        <v>202.44333333333336</v>
      </c>
      <c r="E466" s="26">
        <f t="shared" si="192"/>
        <v>205.8</v>
      </c>
      <c r="F466" s="26">
        <f t="shared" si="180"/>
        <v>207.63142857142859</v>
      </c>
      <c r="G466" s="26">
        <f t="shared" si="181"/>
        <v>210.37076923076924</v>
      </c>
      <c r="H466" s="26">
        <f t="shared" si="182"/>
        <v>219.98787878787877</v>
      </c>
      <c r="I466" s="26">
        <f t="shared" si="177"/>
        <v>203.83733333333333</v>
      </c>
      <c r="J466" s="26">
        <f t="shared" si="187"/>
        <v>203.90237605745045</v>
      </c>
      <c r="K466" s="26">
        <f t="shared" si="188"/>
        <v>202.00149904521083</v>
      </c>
      <c r="L466" s="26">
        <f t="shared" si="183"/>
        <v>215.54117438321646</v>
      </c>
      <c r="V466" s="26">
        <f t="shared" si="194"/>
        <v>209.33160991049988</v>
      </c>
      <c r="W466" s="26">
        <f t="shared" si="170"/>
        <v>210.21324316805541</v>
      </c>
      <c r="X466" s="26">
        <f t="shared" si="169"/>
        <v>-0.88163325755553501</v>
      </c>
      <c r="Y466" s="26">
        <f t="shared" si="172"/>
        <v>-0.5723941014630094</v>
      </c>
      <c r="Z466" s="26">
        <v>14762.58</v>
      </c>
      <c r="AA466" s="26">
        <f t="shared" si="184"/>
        <v>218.71342158671635</v>
      </c>
      <c r="AB466" s="27">
        <f t="shared" si="185"/>
        <v>9.3676475581139923E-2</v>
      </c>
      <c r="BK466" s="24">
        <v>44660</v>
      </c>
      <c r="BL466" s="25">
        <v>199.98</v>
      </c>
      <c r="BM466" s="26">
        <f t="shared" si="178"/>
        <v>202.44333333333336</v>
      </c>
      <c r="BN466" s="26">
        <f t="shared" si="186"/>
        <v>205.8</v>
      </c>
      <c r="BO466" s="26">
        <f t="shared" si="191"/>
        <v>207.63142857142859</v>
      </c>
      <c r="BP466" s="26">
        <f t="shared" si="193"/>
        <v>210.37076923076924</v>
      </c>
      <c r="BQ466" s="26">
        <f t="shared" si="168"/>
        <v>219.98787878787877</v>
      </c>
      <c r="BR466" s="26">
        <f t="shared" si="179"/>
        <v>203.83733333333333</v>
      </c>
      <c r="BS466" s="26">
        <f t="shared" si="189"/>
        <v>203.90237605745045</v>
      </c>
      <c r="BT466" s="26">
        <f t="shared" si="190"/>
        <v>202.00149904521083</v>
      </c>
    </row>
    <row r="467" spans="1:72" x14ac:dyDescent="0.2">
      <c r="A467" s="74"/>
      <c r="B467" s="24">
        <v>44661</v>
      </c>
      <c r="C467" s="25">
        <v>198.87</v>
      </c>
      <c r="D467" s="26">
        <f t="shared" si="173"/>
        <v>201.08</v>
      </c>
      <c r="E467" s="26">
        <f t="shared" si="192"/>
        <v>203.15</v>
      </c>
      <c r="F467" s="26">
        <f t="shared" si="180"/>
        <v>205.57285714285712</v>
      </c>
      <c r="G467" s="26">
        <f t="shared" si="181"/>
        <v>209.36769230769227</v>
      </c>
      <c r="H467" s="26">
        <f t="shared" si="182"/>
        <v>218.99787878787876</v>
      </c>
      <c r="I467" s="26">
        <f t="shared" si="177"/>
        <v>201.52733333333336</v>
      </c>
      <c r="J467" s="26">
        <f t="shared" si="187"/>
        <v>201.88942563447029</v>
      </c>
      <c r="K467" s="26">
        <f t="shared" si="188"/>
        <v>200.12259961808434</v>
      </c>
      <c r="L467" s="26">
        <f t="shared" si="183"/>
        <v>215.52633572121636</v>
      </c>
      <c r="V467" s="26">
        <f t="shared" si="194"/>
        <v>207.72213146273066</v>
      </c>
      <c r="W467" s="26">
        <f t="shared" si="170"/>
        <v>208.55667584305544</v>
      </c>
      <c r="X467" s="26">
        <f t="shared" si="169"/>
        <v>-0.83454438032478606</v>
      </c>
      <c r="Y467" s="26">
        <f t="shared" si="172"/>
        <v>-0.62482415723536477</v>
      </c>
      <c r="Z467" s="26">
        <v>14660.58</v>
      </c>
      <c r="AA467" s="26">
        <f t="shared" si="184"/>
        <v>218.66851411165564</v>
      </c>
      <c r="AB467" s="27">
        <f t="shared" si="185"/>
        <v>9.9555056628227653E-2</v>
      </c>
      <c r="BK467" s="24">
        <v>44661</v>
      </c>
      <c r="BL467" s="25">
        <v>198.87</v>
      </c>
      <c r="BM467" s="26">
        <f t="shared" si="178"/>
        <v>201.08</v>
      </c>
      <c r="BN467" s="26">
        <f t="shared" si="186"/>
        <v>203.15</v>
      </c>
      <c r="BO467" s="26">
        <f t="shared" si="191"/>
        <v>205.57285714285712</v>
      </c>
      <c r="BP467" s="26">
        <f t="shared" si="193"/>
        <v>209.36769230769227</v>
      </c>
      <c r="BQ467" s="26">
        <f t="shared" si="168"/>
        <v>218.99787878787876</v>
      </c>
      <c r="BR467" s="26">
        <f t="shared" si="179"/>
        <v>201.52733333333336</v>
      </c>
      <c r="BS467" s="26">
        <f t="shared" si="189"/>
        <v>201.88942563447029</v>
      </c>
      <c r="BT467" s="26">
        <f t="shared" si="190"/>
        <v>200.12259961808434</v>
      </c>
    </row>
    <row r="468" spans="1:72" x14ac:dyDescent="0.2">
      <c r="A468" s="74"/>
      <c r="B468" s="24">
        <v>44662</v>
      </c>
      <c r="C468" s="25">
        <v>197.15</v>
      </c>
      <c r="D468" s="26">
        <f t="shared" si="173"/>
        <v>198.66666666666666</v>
      </c>
      <c r="E468" s="26">
        <f t="shared" si="192"/>
        <v>200.67000000000002</v>
      </c>
      <c r="F468" s="26">
        <f t="shared" si="180"/>
        <v>203.57428571428571</v>
      </c>
      <c r="G468" s="26">
        <f t="shared" si="181"/>
        <v>208.07923076923075</v>
      </c>
      <c r="H468" s="26">
        <f t="shared" si="182"/>
        <v>217.76484848484844</v>
      </c>
      <c r="I468" s="26">
        <f t="shared" si="177"/>
        <v>199.52733333333333</v>
      </c>
      <c r="J468" s="26">
        <f t="shared" si="187"/>
        <v>199.99365538068218</v>
      </c>
      <c r="K468" s="26">
        <f t="shared" si="188"/>
        <v>198.33903984723372</v>
      </c>
      <c r="L468" s="26">
        <f t="shared" si="183"/>
        <v>215.51149705921625</v>
      </c>
      <c r="V468" s="26">
        <f t="shared" si="194"/>
        <v>206.09564969923366</v>
      </c>
      <c r="W468" s="26">
        <f t="shared" si="170"/>
        <v>206.93901061363951</v>
      </c>
      <c r="X468" s="26">
        <f t="shared" si="169"/>
        <v>-0.84336091440584937</v>
      </c>
      <c r="Y468" s="26">
        <f t="shared" si="172"/>
        <v>-0.66853150866946176</v>
      </c>
      <c r="Z468" s="26">
        <v>14840.71</v>
      </c>
      <c r="AA468" s="26">
        <f t="shared" si="184"/>
        <v>218.74781983207413</v>
      </c>
      <c r="AB468" s="27">
        <f t="shared" si="185"/>
        <v>0.10955018935873255</v>
      </c>
      <c r="BK468" s="24">
        <v>44662</v>
      </c>
      <c r="BL468" s="25">
        <v>197.15</v>
      </c>
      <c r="BM468" s="26">
        <f t="shared" si="178"/>
        <v>198.66666666666666</v>
      </c>
      <c r="BN468" s="26">
        <f t="shared" si="186"/>
        <v>200.67000000000002</v>
      </c>
      <c r="BO468" s="26">
        <f t="shared" si="191"/>
        <v>203.57428571428571</v>
      </c>
      <c r="BP468" s="26">
        <f t="shared" si="193"/>
        <v>208.07923076923075</v>
      </c>
      <c r="BQ468" s="26">
        <f t="shared" si="168"/>
        <v>217.76484848484844</v>
      </c>
      <c r="BR468" s="26">
        <f t="shared" si="179"/>
        <v>199.52733333333333</v>
      </c>
      <c r="BS468" s="26">
        <f t="shared" si="189"/>
        <v>199.99365538068218</v>
      </c>
      <c r="BT468" s="26">
        <f t="shared" si="190"/>
        <v>198.33903984723372</v>
      </c>
    </row>
    <row r="469" spans="1:72" x14ac:dyDescent="0.2">
      <c r="A469" s="74"/>
      <c r="B469" s="24">
        <v>44663</v>
      </c>
      <c r="C469" s="25">
        <v>205.04</v>
      </c>
      <c r="D469" s="26">
        <f t="shared" si="173"/>
        <v>200.35333333333332</v>
      </c>
      <c r="E469" s="26">
        <f t="shared" si="192"/>
        <v>201.08599999999998</v>
      </c>
      <c r="F469" s="26">
        <f t="shared" si="180"/>
        <v>202.56285714285715</v>
      </c>
      <c r="G469" s="26">
        <f t="shared" si="181"/>
        <v>207.38384615384615</v>
      </c>
      <c r="H469" s="26">
        <f t="shared" si="182"/>
        <v>216.80363636363634</v>
      </c>
      <c r="I469" s="26">
        <f t="shared" si="177"/>
        <v>200.98400000000001</v>
      </c>
      <c r="J469" s="26">
        <f t="shared" si="187"/>
        <v>202.01219322840933</v>
      </c>
      <c r="K469" s="26">
        <f t="shared" si="188"/>
        <v>202.35961593889348</v>
      </c>
      <c r="L469" s="26">
        <f t="shared" si="183"/>
        <v>215.49665839721618</v>
      </c>
      <c r="V469" s="26">
        <f t="shared" si="194"/>
        <v>205.93324205319772</v>
      </c>
      <c r="W469" s="26">
        <f t="shared" si="170"/>
        <v>206.01745342521636</v>
      </c>
      <c r="X469" s="26">
        <f t="shared" si="169"/>
        <v>-8.421137201864326E-2</v>
      </c>
      <c r="Y469" s="26">
        <f t="shared" si="172"/>
        <v>-0.5516674813392981</v>
      </c>
      <c r="Z469" s="26">
        <v>14836.99</v>
      </c>
      <c r="AA469" s="26">
        <f t="shared" si="184"/>
        <v>218.74618203004249</v>
      </c>
      <c r="AB469" s="27">
        <f t="shared" si="185"/>
        <v>6.6846381340433567E-2</v>
      </c>
      <c r="BK469" s="24">
        <v>44663</v>
      </c>
      <c r="BL469" s="25">
        <v>205.04</v>
      </c>
      <c r="BM469" s="26">
        <f t="shared" si="178"/>
        <v>200.35333333333332</v>
      </c>
      <c r="BN469" s="26">
        <f t="shared" si="186"/>
        <v>201.08599999999998</v>
      </c>
      <c r="BO469" s="26">
        <f t="shared" si="191"/>
        <v>202.56285714285715</v>
      </c>
      <c r="BP469" s="26">
        <f t="shared" si="193"/>
        <v>207.38384615384615</v>
      </c>
      <c r="BQ469" s="26">
        <f t="shared" si="168"/>
        <v>216.80363636363634</v>
      </c>
      <c r="BR469" s="26">
        <f t="shared" si="179"/>
        <v>200.98400000000001</v>
      </c>
      <c r="BS469" s="26">
        <f t="shared" si="189"/>
        <v>202.01219322840933</v>
      </c>
      <c r="BT469" s="26">
        <f t="shared" si="190"/>
        <v>202.35961593889348</v>
      </c>
    </row>
    <row r="470" spans="1:72" x14ac:dyDescent="0.2">
      <c r="A470" s="74"/>
      <c r="B470" s="24">
        <v>44664</v>
      </c>
      <c r="C470" s="25">
        <v>204.12</v>
      </c>
      <c r="D470" s="26">
        <f t="shared" si="173"/>
        <v>202.10333333333332</v>
      </c>
      <c r="E470" s="26">
        <f t="shared" si="192"/>
        <v>201.03199999999998</v>
      </c>
      <c r="F470" s="26">
        <f t="shared" si="180"/>
        <v>201.7871428571429</v>
      </c>
      <c r="G470" s="26">
        <f t="shared" si="181"/>
        <v>206.55923076923077</v>
      </c>
      <c r="H470" s="26">
        <f t="shared" si="182"/>
        <v>215.93939393939391</v>
      </c>
      <c r="I470" s="26">
        <f t="shared" si="177"/>
        <v>201.99533333333332</v>
      </c>
      <c r="J470" s="26">
        <f t="shared" si="187"/>
        <v>202.85531593704559</v>
      </c>
      <c r="K470" s="26">
        <f t="shared" si="188"/>
        <v>203.41584637555741</v>
      </c>
      <c r="L470" s="26">
        <f t="shared" si="183"/>
        <v>215.48181973521608</v>
      </c>
      <c r="V470" s="26">
        <f t="shared" si="194"/>
        <v>205.65428173732116</v>
      </c>
      <c r="W470" s="26">
        <f t="shared" si="170"/>
        <v>205.79892782703493</v>
      </c>
      <c r="X470" s="26">
        <f t="shared" si="169"/>
        <v>-0.14464608971377402</v>
      </c>
      <c r="Y470" s="26">
        <f t="shared" si="172"/>
        <v>-0.47026320301419333</v>
      </c>
      <c r="Z470" s="26">
        <v>14684.6</v>
      </c>
      <c r="AA470" s="26">
        <f t="shared" si="184"/>
        <v>218.67908938176308</v>
      </c>
      <c r="AB470" s="27">
        <f t="shared" si="185"/>
        <v>7.1326128658451268E-2</v>
      </c>
      <c r="BK470" s="24">
        <v>44664</v>
      </c>
      <c r="BL470" s="25">
        <v>204.12</v>
      </c>
      <c r="BM470" s="26">
        <f t="shared" si="178"/>
        <v>202.10333333333332</v>
      </c>
      <c r="BN470" s="26">
        <f t="shared" si="186"/>
        <v>201.03199999999998</v>
      </c>
      <c r="BO470" s="26">
        <f t="shared" si="191"/>
        <v>201.7871428571429</v>
      </c>
      <c r="BP470" s="26">
        <f t="shared" si="193"/>
        <v>206.55923076923077</v>
      </c>
      <c r="BQ470" s="26">
        <f t="shared" ref="BQ470:BQ533" si="195">AVERAGE(BL438:BL470)</f>
        <v>215.93939393939391</v>
      </c>
      <c r="BR470" s="26">
        <f t="shared" si="179"/>
        <v>201.99533333333332</v>
      </c>
      <c r="BS470" s="26">
        <f t="shared" si="189"/>
        <v>202.85531593704559</v>
      </c>
      <c r="BT470" s="26">
        <f t="shared" si="190"/>
        <v>203.41584637555741</v>
      </c>
    </row>
    <row r="471" spans="1:72" x14ac:dyDescent="0.2">
      <c r="A471" s="74"/>
      <c r="B471" s="24">
        <v>44665</v>
      </c>
      <c r="C471" s="25">
        <v>203.73</v>
      </c>
      <c r="D471" s="26">
        <f t="shared" si="173"/>
        <v>204.29666666666665</v>
      </c>
      <c r="E471" s="26">
        <f t="shared" si="192"/>
        <v>201.78199999999998</v>
      </c>
      <c r="F471" s="26">
        <f t="shared" si="180"/>
        <v>201.89714285714285</v>
      </c>
      <c r="G471" s="26">
        <f t="shared" si="181"/>
        <v>205.77153846153846</v>
      </c>
      <c r="H471" s="26">
        <f t="shared" si="182"/>
        <v>215.05242424242419</v>
      </c>
      <c r="I471" s="26">
        <f t="shared" si="177"/>
        <v>202.89466666666667</v>
      </c>
      <c r="J471" s="26">
        <f t="shared" si="187"/>
        <v>203.20518956222736</v>
      </c>
      <c r="K471" s="26">
        <f t="shared" si="188"/>
        <v>203.60433855022296</v>
      </c>
      <c r="L471" s="26">
        <f t="shared" si="183"/>
        <v>215.46698107321598</v>
      </c>
      <c r="V471" s="26">
        <f t="shared" si="194"/>
        <v>205.35823839311789</v>
      </c>
      <c r="W471" s="26">
        <f t="shared" si="170"/>
        <v>205.51174234937145</v>
      </c>
      <c r="X471" s="26">
        <f t="shared" si="169"/>
        <v>-0.15350395625355873</v>
      </c>
      <c r="Y471" s="26">
        <f t="shared" si="172"/>
        <v>-0.40691135366206643</v>
      </c>
      <c r="Z471" s="26">
        <v>14631.95</v>
      </c>
      <c r="AA471" s="26">
        <f t="shared" si="184"/>
        <v>218.6559091997832</v>
      </c>
      <c r="AB471" s="27">
        <f t="shared" si="185"/>
        <v>7.3263187551088238E-2</v>
      </c>
      <c r="BK471" s="24">
        <v>44665</v>
      </c>
      <c r="BL471" s="25">
        <v>203.73</v>
      </c>
      <c r="BM471" s="26">
        <f t="shared" si="178"/>
        <v>204.29666666666665</v>
      </c>
      <c r="BN471" s="26">
        <f t="shared" si="186"/>
        <v>201.78199999999998</v>
      </c>
      <c r="BO471" s="26">
        <f t="shared" si="191"/>
        <v>201.89714285714285</v>
      </c>
      <c r="BP471" s="26">
        <f t="shared" si="193"/>
        <v>205.77153846153846</v>
      </c>
      <c r="BQ471" s="26">
        <f t="shared" si="195"/>
        <v>215.05242424242419</v>
      </c>
      <c r="BR471" s="26">
        <f t="shared" si="179"/>
        <v>202.89466666666667</v>
      </c>
      <c r="BS471" s="26">
        <f t="shared" si="189"/>
        <v>203.20518956222736</v>
      </c>
      <c r="BT471" s="26">
        <f t="shared" si="190"/>
        <v>203.60433855022296</v>
      </c>
    </row>
    <row r="472" spans="1:72" x14ac:dyDescent="0.2">
      <c r="A472" s="74"/>
      <c r="B472" s="24">
        <v>44666</v>
      </c>
      <c r="C472" s="25">
        <v>204.95</v>
      </c>
      <c r="D472" s="26">
        <f t="shared" si="173"/>
        <v>204.26666666666665</v>
      </c>
      <c r="E472" s="26">
        <f t="shared" si="192"/>
        <v>202.99799999999999</v>
      </c>
      <c r="F472" s="26">
        <f t="shared" si="180"/>
        <v>201.97714285714284</v>
      </c>
      <c r="G472" s="26">
        <f t="shared" si="181"/>
        <v>205.17538461538459</v>
      </c>
      <c r="H472" s="26">
        <f t="shared" si="182"/>
        <v>214.29151515151511</v>
      </c>
      <c r="I472" s="26">
        <f t="shared" si="177"/>
        <v>203.95066666666668</v>
      </c>
      <c r="J472" s="26">
        <f t="shared" si="187"/>
        <v>203.90311373733641</v>
      </c>
      <c r="K472" s="26">
        <f t="shared" si="188"/>
        <v>204.41173542008917</v>
      </c>
      <c r="L472" s="26">
        <f t="shared" si="183"/>
        <v>215.4521424112159</v>
      </c>
      <c r="V472" s="26">
        <f t="shared" si="194"/>
        <v>205.29543248648437</v>
      </c>
      <c r="W472" s="26">
        <f t="shared" si="170"/>
        <v>205.32799851214619</v>
      </c>
      <c r="X472" s="26">
        <f t="shared" si="169"/>
        <v>-3.2566025661822096E-2</v>
      </c>
      <c r="Y472" s="26">
        <f t="shared" si="172"/>
        <v>-0.33204228806201758</v>
      </c>
      <c r="Z472" s="26">
        <v>14498.88</v>
      </c>
      <c r="AA472" s="26">
        <f t="shared" si="184"/>
        <v>218.59732255560351</v>
      </c>
      <c r="AB472" s="27">
        <f t="shared" si="185"/>
        <v>6.6588546258128933E-2</v>
      </c>
      <c r="BK472" s="24">
        <v>44666</v>
      </c>
      <c r="BL472" s="25">
        <v>204.95</v>
      </c>
      <c r="BM472" s="26">
        <f t="shared" si="178"/>
        <v>204.26666666666665</v>
      </c>
      <c r="BN472" s="26">
        <f t="shared" si="186"/>
        <v>202.99799999999999</v>
      </c>
      <c r="BO472" s="26">
        <f t="shared" si="191"/>
        <v>201.97714285714284</v>
      </c>
      <c r="BP472" s="26">
        <f t="shared" si="193"/>
        <v>205.17538461538459</v>
      </c>
      <c r="BQ472" s="26">
        <f t="shared" si="195"/>
        <v>214.29151515151511</v>
      </c>
      <c r="BR472" s="26">
        <f t="shared" si="179"/>
        <v>203.95066666666668</v>
      </c>
      <c r="BS472" s="26">
        <f t="shared" si="189"/>
        <v>203.90311373733641</v>
      </c>
      <c r="BT472" s="26">
        <f t="shared" si="190"/>
        <v>204.41173542008917</v>
      </c>
    </row>
    <row r="473" spans="1:72" x14ac:dyDescent="0.2">
      <c r="A473" s="74"/>
      <c r="B473" s="24">
        <v>44667</v>
      </c>
      <c r="C473" s="25">
        <v>204.2</v>
      </c>
      <c r="D473" s="26">
        <f t="shared" si="173"/>
        <v>204.29333333333329</v>
      </c>
      <c r="E473" s="26">
        <f t="shared" si="192"/>
        <v>204.40799999999999</v>
      </c>
      <c r="F473" s="26">
        <f t="shared" si="180"/>
        <v>202.57999999999998</v>
      </c>
      <c r="G473" s="26">
        <f t="shared" si="181"/>
        <v>204.47692307692301</v>
      </c>
      <c r="H473" s="26">
        <f t="shared" si="182"/>
        <v>213.50515151515148</v>
      </c>
      <c r="I473" s="26">
        <f t="shared" si="177"/>
        <v>204.35133333333332</v>
      </c>
      <c r="J473" s="26">
        <f t="shared" si="187"/>
        <v>204.02186824240187</v>
      </c>
      <c r="K473" s="26">
        <f t="shared" si="188"/>
        <v>204.28469416803566</v>
      </c>
      <c r="L473" s="26">
        <f t="shared" si="183"/>
        <v>215.4373037492158</v>
      </c>
      <c r="V473" s="26">
        <f t="shared" si="194"/>
        <v>205.12690441164062</v>
      </c>
      <c r="W473" s="26">
        <f t="shared" si="170"/>
        <v>205.21428933933737</v>
      </c>
      <c r="X473" s="26">
        <f t="shared" si="169"/>
        <v>-8.7384927696746217E-2</v>
      </c>
      <c r="Y473" s="26">
        <f t="shared" si="172"/>
        <v>-0.28311081598896332</v>
      </c>
      <c r="Z473" s="26">
        <v>14274.98</v>
      </c>
      <c r="AA473" s="26">
        <f t="shared" si="184"/>
        <v>218.49874624515161</v>
      </c>
      <c r="AB473" s="27">
        <f t="shared" si="185"/>
        <v>7.0023243120233197E-2</v>
      </c>
      <c r="BK473" s="24">
        <v>44667</v>
      </c>
      <c r="BL473" s="25">
        <v>204.2</v>
      </c>
      <c r="BM473" s="26">
        <f t="shared" si="178"/>
        <v>204.29333333333329</v>
      </c>
      <c r="BN473" s="26">
        <f t="shared" si="186"/>
        <v>204.40799999999999</v>
      </c>
      <c r="BO473" s="26">
        <f t="shared" si="191"/>
        <v>202.57999999999998</v>
      </c>
      <c r="BP473" s="26">
        <f t="shared" si="193"/>
        <v>204.47692307692301</v>
      </c>
      <c r="BQ473" s="26">
        <f t="shared" si="195"/>
        <v>213.50515151515148</v>
      </c>
      <c r="BR473" s="26">
        <f t="shared" si="179"/>
        <v>204.35133333333332</v>
      </c>
      <c r="BS473" s="26">
        <f t="shared" si="189"/>
        <v>204.02186824240187</v>
      </c>
      <c r="BT473" s="26">
        <f t="shared" si="190"/>
        <v>204.28469416803566</v>
      </c>
    </row>
    <row r="474" spans="1:72" x14ac:dyDescent="0.2">
      <c r="A474" s="74"/>
      <c r="B474" s="24">
        <v>44668</v>
      </c>
      <c r="C474" s="25">
        <v>206.2</v>
      </c>
      <c r="D474" s="26">
        <f t="shared" si="173"/>
        <v>205.11666666666665</v>
      </c>
      <c r="E474" s="26">
        <f t="shared" si="192"/>
        <v>204.64000000000001</v>
      </c>
      <c r="F474" s="26">
        <f t="shared" si="180"/>
        <v>203.62714285714287</v>
      </c>
      <c r="G474" s="26">
        <f t="shared" si="181"/>
        <v>204.09692307692302</v>
      </c>
      <c r="H474" s="26">
        <f t="shared" si="182"/>
        <v>212.78484848484845</v>
      </c>
      <c r="I474" s="26">
        <f t="shared" si="177"/>
        <v>204.94866666666664</v>
      </c>
      <c r="J474" s="26">
        <f t="shared" si="187"/>
        <v>204.89312094544113</v>
      </c>
      <c r="K474" s="26">
        <f t="shared" si="188"/>
        <v>205.43387766721423</v>
      </c>
      <c r="L474" s="26">
        <f t="shared" si="183"/>
        <v>215.4224650872157</v>
      </c>
      <c r="V474" s="26">
        <f t="shared" si="194"/>
        <v>205.29199604061898</v>
      </c>
      <c r="W474" s="26">
        <f t="shared" si="170"/>
        <v>205.20639297374132</v>
      </c>
      <c r="X474" s="26">
        <f t="shared" si="169"/>
        <v>8.5603066877666834E-2</v>
      </c>
      <c r="Y474" s="26">
        <f t="shared" si="172"/>
        <v>-0.20936803941563731</v>
      </c>
      <c r="Z474" s="26">
        <v>14427.24</v>
      </c>
      <c r="AA474" s="26">
        <f t="shared" si="184"/>
        <v>218.56578165841381</v>
      </c>
      <c r="AB474" s="27">
        <f t="shared" si="185"/>
        <v>5.9969843154286245E-2</v>
      </c>
      <c r="BK474" s="24">
        <v>44668</v>
      </c>
      <c r="BL474" s="25">
        <v>206.2</v>
      </c>
      <c r="BM474" s="26">
        <f t="shared" si="178"/>
        <v>205.11666666666665</v>
      </c>
      <c r="BN474" s="26">
        <f t="shared" si="186"/>
        <v>204.64000000000001</v>
      </c>
      <c r="BO474" s="26">
        <f t="shared" si="191"/>
        <v>203.62714285714287</v>
      </c>
      <c r="BP474" s="26">
        <f t="shared" si="193"/>
        <v>204.09692307692302</v>
      </c>
      <c r="BQ474" s="26">
        <f t="shared" si="195"/>
        <v>212.78484848484845</v>
      </c>
      <c r="BR474" s="26">
        <f t="shared" si="179"/>
        <v>204.94866666666664</v>
      </c>
      <c r="BS474" s="26">
        <f t="shared" si="189"/>
        <v>204.89312094544113</v>
      </c>
      <c r="BT474" s="26">
        <f t="shared" si="190"/>
        <v>205.43387766721423</v>
      </c>
    </row>
    <row r="475" spans="1:72" x14ac:dyDescent="0.2">
      <c r="A475" s="74"/>
      <c r="B475" s="24">
        <v>44669</v>
      </c>
      <c r="C475" s="25">
        <v>205.76</v>
      </c>
      <c r="D475" s="26">
        <f t="shared" si="173"/>
        <v>205.38666666666666</v>
      </c>
      <c r="E475" s="26">
        <f t="shared" si="192"/>
        <v>204.96799999999999</v>
      </c>
      <c r="F475" s="26">
        <f t="shared" si="180"/>
        <v>204.85714285714286</v>
      </c>
      <c r="G475" s="26">
        <f t="shared" si="181"/>
        <v>203.60769230769228</v>
      </c>
      <c r="H475" s="26">
        <f t="shared" si="182"/>
        <v>212.08363636363632</v>
      </c>
      <c r="I475" s="26">
        <f t="shared" si="177"/>
        <v>205.322</v>
      </c>
      <c r="J475" s="26">
        <f t="shared" si="187"/>
        <v>205.23987256726468</v>
      </c>
      <c r="K475" s="26">
        <f t="shared" si="188"/>
        <v>205.62955106688568</v>
      </c>
      <c r="L475" s="26">
        <f t="shared" si="183"/>
        <v>215.40762642521562</v>
      </c>
      <c r="V475" s="26">
        <f t="shared" si="194"/>
        <v>205.36399664975451</v>
      </c>
      <c r="W475" s="26">
        <f t="shared" si="170"/>
        <v>205.32666300057315</v>
      </c>
      <c r="X475" s="26">
        <f t="shared" si="169"/>
        <v>3.7333649181363171E-2</v>
      </c>
      <c r="Y475" s="26">
        <f t="shared" si="172"/>
        <v>-0.16002770169623723</v>
      </c>
      <c r="Z475" s="26">
        <v>14543.13</v>
      </c>
      <c r="AA475" s="26">
        <f t="shared" si="184"/>
        <v>218.61680447493131</v>
      </c>
      <c r="AB475" s="27">
        <f t="shared" si="185"/>
        <v>6.2484469648771988E-2</v>
      </c>
      <c r="BK475" s="24">
        <v>44669</v>
      </c>
      <c r="BL475" s="25">
        <v>205.76</v>
      </c>
      <c r="BM475" s="26">
        <f t="shared" si="178"/>
        <v>205.38666666666666</v>
      </c>
      <c r="BN475" s="26">
        <f t="shared" si="186"/>
        <v>204.96799999999999</v>
      </c>
      <c r="BO475" s="26">
        <f t="shared" si="191"/>
        <v>204.85714285714286</v>
      </c>
      <c r="BP475" s="26">
        <f t="shared" si="193"/>
        <v>203.60769230769228</v>
      </c>
      <c r="BQ475" s="26">
        <f t="shared" si="195"/>
        <v>212.08363636363632</v>
      </c>
      <c r="BR475" s="26">
        <f t="shared" si="179"/>
        <v>205.322</v>
      </c>
      <c r="BS475" s="26">
        <f t="shared" si="189"/>
        <v>205.23987256726468</v>
      </c>
      <c r="BT475" s="26">
        <f t="shared" si="190"/>
        <v>205.62955106688568</v>
      </c>
    </row>
    <row r="476" spans="1:72" x14ac:dyDescent="0.2">
      <c r="A476" s="74"/>
      <c r="B476" s="24">
        <v>44670</v>
      </c>
      <c r="C476" s="25">
        <v>214.75</v>
      </c>
      <c r="D476" s="26">
        <f t="shared" si="173"/>
        <v>208.90333333333334</v>
      </c>
      <c r="E476" s="26">
        <f t="shared" si="192"/>
        <v>207.17199999999997</v>
      </c>
      <c r="F476" s="26">
        <f t="shared" si="180"/>
        <v>206.24428571428572</v>
      </c>
      <c r="G476" s="26">
        <f t="shared" si="181"/>
        <v>204.00769230769234</v>
      </c>
      <c r="H476" s="26">
        <f t="shared" si="182"/>
        <v>211.75515151515145</v>
      </c>
      <c r="I476" s="26">
        <f t="shared" si="177"/>
        <v>208.58266666666665</v>
      </c>
      <c r="J476" s="26">
        <f t="shared" si="187"/>
        <v>209.0439235403588</v>
      </c>
      <c r="K476" s="26">
        <f t="shared" si="188"/>
        <v>211.10182042675427</v>
      </c>
      <c r="L476" s="26">
        <f t="shared" si="183"/>
        <v>215.39278776321552</v>
      </c>
      <c r="V476" s="26">
        <f t="shared" si="194"/>
        <v>206.80799716517691</v>
      </c>
      <c r="W476" s="26">
        <f t="shared" si="170"/>
        <v>206.05925615718013</v>
      </c>
      <c r="X476" s="26">
        <f t="shared" si="169"/>
        <v>0.74874100799678445</v>
      </c>
      <c r="Y476" s="26">
        <f t="shared" si="172"/>
        <v>2.1726040242367101E-2</v>
      </c>
      <c r="Z476" s="26">
        <v>14644.95</v>
      </c>
      <c r="AA476" s="26">
        <f t="shared" si="184"/>
        <v>218.66163270150662</v>
      </c>
      <c r="AB476" s="27">
        <f t="shared" si="185"/>
        <v>1.8214820495956317E-2</v>
      </c>
      <c r="BK476" s="24">
        <v>44670</v>
      </c>
      <c r="BL476" s="25">
        <v>214.75</v>
      </c>
      <c r="BM476" s="26">
        <f t="shared" si="178"/>
        <v>208.90333333333334</v>
      </c>
      <c r="BN476" s="26">
        <f t="shared" si="186"/>
        <v>207.17199999999997</v>
      </c>
      <c r="BO476" s="26">
        <f t="shared" si="191"/>
        <v>206.24428571428572</v>
      </c>
      <c r="BP476" s="26">
        <f t="shared" si="193"/>
        <v>204.00769230769234</v>
      </c>
      <c r="BQ476" s="26">
        <f t="shared" si="195"/>
        <v>211.75515151515145</v>
      </c>
      <c r="BR476" s="26">
        <f t="shared" si="179"/>
        <v>208.58266666666665</v>
      </c>
      <c r="BS476" s="26">
        <f t="shared" si="189"/>
        <v>209.0439235403588</v>
      </c>
      <c r="BT476" s="26">
        <f t="shared" si="190"/>
        <v>211.10182042675427</v>
      </c>
    </row>
    <row r="477" spans="1:72" x14ac:dyDescent="0.2">
      <c r="A477" s="74"/>
      <c r="B477" s="24">
        <v>44671</v>
      </c>
      <c r="C477" s="25">
        <v>214.87</v>
      </c>
      <c r="D477" s="26">
        <f t="shared" si="173"/>
        <v>211.79333333333332</v>
      </c>
      <c r="E477" s="26">
        <f t="shared" si="192"/>
        <v>209.15600000000001</v>
      </c>
      <c r="F477" s="26">
        <f t="shared" si="180"/>
        <v>207.78</v>
      </c>
      <c r="G477" s="26">
        <f t="shared" si="181"/>
        <v>204.92384615384617</v>
      </c>
      <c r="H477" s="26">
        <f t="shared" si="182"/>
        <v>211.47181818181812</v>
      </c>
      <c r="I477" s="26">
        <f t="shared" si="177"/>
        <v>211.14866666666666</v>
      </c>
      <c r="J477" s="26">
        <f t="shared" si="187"/>
        <v>211.3743541242153</v>
      </c>
      <c r="K477" s="26">
        <f t="shared" si="188"/>
        <v>213.3627281707017</v>
      </c>
      <c r="L477" s="26">
        <f t="shared" si="183"/>
        <v>215.37794910121542</v>
      </c>
      <c r="V477" s="26">
        <f t="shared" si="194"/>
        <v>208.04830529361124</v>
      </c>
      <c r="W477" s="26">
        <f t="shared" si="170"/>
        <v>207.40518256034898</v>
      </c>
      <c r="X477" s="26">
        <f t="shared" si="169"/>
        <v>0.64312273326225977</v>
      </c>
      <c r="Y477" s="26">
        <f t="shared" si="172"/>
        <v>0.14600537884634565</v>
      </c>
      <c r="Z477" s="26">
        <v>14677.65</v>
      </c>
      <c r="AA477" s="26">
        <f t="shared" si="184"/>
        <v>218.67602950968785</v>
      </c>
      <c r="AB477" s="27">
        <f t="shared" si="185"/>
        <v>1.7713173126485068E-2</v>
      </c>
      <c r="BK477" s="24">
        <v>44671</v>
      </c>
      <c r="BL477" s="25">
        <v>214.87</v>
      </c>
      <c r="BM477" s="26">
        <f t="shared" si="178"/>
        <v>211.79333333333332</v>
      </c>
      <c r="BN477" s="26">
        <f t="shared" si="186"/>
        <v>209.15600000000001</v>
      </c>
      <c r="BO477" s="26">
        <f t="shared" si="191"/>
        <v>207.78</v>
      </c>
      <c r="BP477" s="26">
        <f t="shared" si="193"/>
        <v>204.92384615384617</v>
      </c>
      <c r="BQ477" s="26">
        <f t="shared" si="195"/>
        <v>211.47181818181812</v>
      </c>
      <c r="BR477" s="26">
        <f t="shared" si="179"/>
        <v>211.14866666666666</v>
      </c>
      <c r="BS477" s="26">
        <f t="shared" si="189"/>
        <v>211.3743541242153</v>
      </c>
      <c r="BT477" s="26">
        <f t="shared" si="190"/>
        <v>213.3627281707017</v>
      </c>
    </row>
    <row r="478" spans="1:72" x14ac:dyDescent="0.2">
      <c r="A478" s="74"/>
      <c r="B478" s="24">
        <v>44672</v>
      </c>
      <c r="C478" s="25">
        <v>212.08</v>
      </c>
      <c r="D478" s="26">
        <f t="shared" si="173"/>
        <v>213.9</v>
      </c>
      <c r="E478" s="26">
        <f t="shared" si="192"/>
        <v>210.73200000000003</v>
      </c>
      <c r="F478" s="26">
        <f t="shared" si="180"/>
        <v>208.97285714285712</v>
      </c>
      <c r="G478" s="26">
        <f t="shared" si="181"/>
        <v>205.51538461538459</v>
      </c>
      <c r="H478" s="26">
        <f t="shared" si="182"/>
        <v>211.03757575757569</v>
      </c>
      <c r="I478" s="26">
        <f t="shared" si="177"/>
        <v>212.12333333333333</v>
      </c>
      <c r="J478" s="26">
        <f t="shared" si="187"/>
        <v>211.6566124745292</v>
      </c>
      <c r="K478" s="26">
        <f t="shared" si="188"/>
        <v>212.59309126828069</v>
      </c>
      <c r="L478" s="26">
        <f t="shared" si="183"/>
        <v>215.36311043921535</v>
      </c>
      <c r="V478" s="26">
        <f t="shared" si="194"/>
        <v>208.66856601767105</v>
      </c>
      <c r="W478" s="26">
        <f t="shared" si="170"/>
        <v>208.34694934593634</v>
      </c>
      <c r="X478" s="26">
        <f t="shared" ref="X478:X541" si="196">V478-W478</f>
        <v>0.32161667173471642</v>
      </c>
      <c r="Y478" s="26">
        <f t="shared" si="172"/>
        <v>0.18112763742401983</v>
      </c>
      <c r="Z478" s="26">
        <v>14503.95</v>
      </c>
      <c r="AA478" s="26">
        <f t="shared" si="184"/>
        <v>218.59955472127564</v>
      </c>
      <c r="AB478" s="27">
        <f t="shared" si="185"/>
        <v>3.0741016226309058E-2</v>
      </c>
      <c r="BK478" s="24">
        <v>44672</v>
      </c>
      <c r="BL478" s="25">
        <v>212.08</v>
      </c>
      <c r="BM478" s="26">
        <f t="shared" si="178"/>
        <v>213.9</v>
      </c>
      <c r="BN478" s="26">
        <f t="shared" si="186"/>
        <v>210.73200000000003</v>
      </c>
      <c r="BO478" s="26">
        <f t="shared" si="191"/>
        <v>208.97285714285712</v>
      </c>
      <c r="BP478" s="26">
        <f t="shared" si="193"/>
        <v>205.51538461538459</v>
      </c>
      <c r="BQ478" s="26">
        <f t="shared" si="195"/>
        <v>211.03757575757569</v>
      </c>
      <c r="BR478" s="26">
        <f t="shared" si="179"/>
        <v>212.12333333333333</v>
      </c>
      <c r="BS478" s="26">
        <f t="shared" si="189"/>
        <v>211.6566124745292</v>
      </c>
      <c r="BT478" s="26">
        <f t="shared" si="190"/>
        <v>212.59309126828069</v>
      </c>
    </row>
    <row r="479" spans="1:72" x14ac:dyDescent="0.2">
      <c r="A479" s="74"/>
      <c r="B479" s="24">
        <v>44673</v>
      </c>
      <c r="C479" s="25">
        <v>212.4</v>
      </c>
      <c r="D479" s="26">
        <f t="shared" si="173"/>
        <v>213.11666666666667</v>
      </c>
      <c r="E479" s="26">
        <f t="shared" si="192"/>
        <v>211.97200000000004</v>
      </c>
      <c r="F479" s="26">
        <f t="shared" si="180"/>
        <v>210.03714285714287</v>
      </c>
      <c r="G479" s="26">
        <f t="shared" si="181"/>
        <v>206.47076923076924</v>
      </c>
      <c r="H479" s="26">
        <f t="shared" si="182"/>
        <v>210.67787878787874</v>
      </c>
      <c r="I479" s="26">
        <f t="shared" si="177"/>
        <v>212.67933333333337</v>
      </c>
      <c r="J479" s="26">
        <f t="shared" si="187"/>
        <v>211.95396748471751</v>
      </c>
      <c r="K479" s="26">
        <f t="shared" si="188"/>
        <v>212.47723650731228</v>
      </c>
      <c r="L479" s="26">
        <f t="shared" si="183"/>
        <v>215.34827177721525</v>
      </c>
      <c r="V479" s="26">
        <f t="shared" si="194"/>
        <v>209.2426327841832</v>
      </c>
      <c r="W479" s="26">
        <f t="shared" ref="W479:W542" si="197">C479*(2/(26+1))+V478*(1-(2/(26+1)))</f>
        <v>208.94496853488059</v>
      </c>
      <c r="X479" s="26">
        <f t="shared" si="196"/>
        <v>0.29766424930261337</v>
      </c>
      <c r="Y479" s="26">
        <f t="shared" si="172"/>
        <v>0.20443495979973855</v>
      </c>
      <c r="Z479" s="26">
        <v>14528.33</v>
      </c>
      <c r="AA479" s="26">
        <f t="shared" si="184"/>
        <v>218.61028848835389</v>
      </c>
      <c r="AB479" s="27">
        <f t="shared" si="185"/>
        <v>2.9238646367014509E-2</v>
      </c>
      <c r="BK479" s="24">
        <v>44673</v>
      </c>
      <c r="BL479" s="25">
        <v>212.4</v>
      </c>
      <c r="BM479" s="26">
        <f t="shared" si="178"/>
        <v>213.11666666666667</v>
      </c>
      <c r="BN479" s="26">
        <f t="shared" si="186"/>
        <v>211.97200000000004</v>
      </c>
      <c r="BO479" s="26">
        <f t="shared" si="191"/>
        <v>210.03714285714287</v>
      </c>
      <c r="BP479" s="26">
        <f t="shared" si="193"/>
        <v>206.47076923076924</v>
      </c>
      <c r="BQ479" s="26">
        <f t="shared" si="195"/>
        <v>210.67787878787874</v>
      </c>
      <c r="BR479" s="26">
        <f t="shared" si="179"/>
        <v>212.67933333333337</v>
      </c>
      <c r="BS479" s="26">
        <f t="shared" si="189"/>
        <v>211.95396748471751</v>
      </c>
      <c r="BT479" s="26">
        <f t="shared" si="190"/>
        <v>212.47723650731228</v>
      </c>
    </row>
    <row r="480" spans="1:72" x14ac:dyDescent="0.2">
      <c r="A480" s="74"/>
      <c r="B480" s="24">
        <v>44674</v>
      </c>
      <c r="C480" s="25">
        <v>211.73</v>
      </c>
      <c r="D480" s="26">
        <f t="shared" si="173"/>
        <v>212.07000000000002</v>
      </c>
      <c r="E480" s="26">
        <f t="shared" si="192"/>
        <v>213.166</v>
      </c>
      <c r="F480" s="26">
        <f t="shared" si="180"/>
        <v>211.11285714285717</v>
      </c>
      <c r="G480" s="26">
        <f t="shared" si="181"/>
        <v>207.46</v>
      </c>
      <c r="H480" s="26">
        <f t="shared" si="182"/>
        <v>210.36151515151508</v>
      </c>
      <c r="I480" s="26">
        <f t="shared" si="177"/>
        <v>212.59866666666665</v>
      </c>
      <c r="J480" s="26">
        <f t="shared" si="187"/>
        <v>211.86438049083051</v>
      </c>
      <c r="K480" s="26">
        <f t="shared" si="188"/>
        <v>212.02889460292491</v>
      </c>
      <c r="L480" s="26">
        <f t="shared" si="183"/>
        <v>215.33343311521514</v>
      </c>
      <c r="V480" s="26">
        <f t="shared" si="194"/>
        <v>209.62530466353962</v>
      </c>
      <c r="W480" s="26">
        <f t="shared" si="197"/>
        <v>209.42688220757705</v>
      </c>
      <c r="X480" s="26">
        <f t="shared" si="196"/>
        <v>0.19842245596257158</v>
      </c>
      <c r="Y480" s="26">
        <f t="shared" si="172"/>
        <v>0.20323245903230519</v>
      </c>
      <c r="Z480" s="26">
        <v>14500.51</v>
      </c>
      <c r="AA480" s="26">
        <f t="shared" si="184"/>
        <v>218.59804019466574</v>
      </c>
      <c r="AB480" s="27">
        <f t="shared" si="185"/>
        <v>3.2437728213601059E-2</v>
      </c>
      <c r="BK480" s="24">
        <v>44674</v>
      </c>
      <c r="BL480" s="25">
        <v>211.73</v>
      </c>
      <c r="BM480" s="26">
        <f t="shared" si="178"/>
        <v>212.07000000000002</v>
      </c>
      <c r="BN480" s="26">
        <f t="shared" si="186"/>
        <v>213.166</v>
      </c>
      <c r="BO480" s="26">
        <f t="shared" si="191"/>
        <v>211.11285714285717</v>
      </c>
      <c r="BP480" s="26">
        <f t="shared" si="193"/>
        <v>207.46</v>
      </c>
      <c r="BQ480" s="26">
        <f t="shared" si="195"/>
        <v>210.36151515151508</v>
      </c>
      <c r="BR480" s="26">
        <f t="shared" si="179"/>
        <v>212.59866666666665</v>
      </c>
      <c r="BS480" s="26">
        <f t="shared" si="189"/>
        <v>211.86438049083051</v>
      </c>
      <c r="BT480" s="26">
        <f t="shared" si="190"/>
        <v>212.02889460292491</v>
      </c>
    </row>
    <row r="481" spans="1:72" x14ac:dyDescent="0.2">
      <c r="A481" s="74"/>
      <c r="B481" s="24">
        <v>44675</v>
      </c>
      <c r="C481" s="25">
        <v>213.31</v>
      </c>
      <c r="D481" s="26">
        <f t="shared" si="173"/>
        <v>212.48000000000002</v>
      </c>
      <c r="E481" s="26">
        <f t="shared" si="192"/>
        <v>212.87800000000001</v>
      </c>
      <c r="F481" s="26">
        <f t="shared" si="180"/>
        <v>212.12857142857143</v>
      </c>
      <c r="G481" s="26">
        <f t="shared" si="181"/>
        <v>208.70307692307691</v>
      </c>
      <c r="H481" s="26">
        <f t="shared" si="182"/>
        <v>210.09969696969691</v>
      </c>
      <c r="I481" s="26">
        <f t="shared" si="177"/>
        <v>212.64666666666665</v>
      </c>
      <c r="J481" s="26">
        <f t="shared" si="187"/>
        <v>212.44262829449832</v>
      </c>
      <c r="K481" s="26">
        <f t="shared" si="188"/>
        <v>212.79755784116998</v>
      </c>
      <c r="L481" s="26">
        <f t="shared" si="183"/>
        <v>215.31859445321507</v>
      </c>
      <c r="V481" s="26">
        <f t="shared" si="194"/>
        <v>210.1921808691489</v>
      </c>
      <c r="W481" s="26">
        <f t="shared" si="197"/>
        <v>209.89824505883297</v>
      </c>
      <c r="X481" s="26">
        <f t="shared" si="196"/>
        <v>0.2939358103159293</v>
      </c>
      <c r="Y481" s="26">
        <f t="shared" si="172"/>
        <v>0.22137312928903002</v>
      </c>
      <c r="Z481" s="26">
        <v>14360.39</v>
      </c>
      <c r="AA481" s="26">
        <f t="shared" si="184"/>
        <v>218.5363496514745</v>
      </c>
      <c r="AB481" s="27">
        <f t="shared" si="185"/>
        <v>2.4501193809359584E-2</v>
      </c>
      <c r="BK481" s="24">
        <v>44675</v>
      </c>
      <c r="BL481" s="25">
        <v>213.31</v>
      </c>
      <c r="BM481" s="26">
        <f t="shared" si="178"/>
        <v>212.48000000000002</v>
      </c>
      <c r="BN481" s="26">
        <f t="shared" si="186"/>
        <v>212.87800000000001</v>
      </c>
      <c r="BO481" s="26">
        <f t="shared" si="191"/>
        <v>212.12857142857143</v>
      </c>
      <c r="BP481" s="26">
        <f t="shared" si="193"/>
        <v>208.70307692307691</v>
      </c>
      <c r="BQ481" s="26">
        <f t="shared" si="195"/>
        <v>210.09969696969691</v>
      </c>
      <c r="BR481" s="26">
        <f t="shared" si="179"/>
        <v>212.64666666666665</v>
      </c>
      <c r="BS481" s="26">
        <f t="shared" si="189"/>
        <v>212.44262829449832</v>
      </c>
      <c r="BT481" s="26">
        <f t="shared" si="190"/>
        <v>212.79755784116998</v>
      </c>
    </row>
    <row r="482" spans="1:72" x14ac:dyDescent="0.2">
      <c r="A482" s="74"/>
      <c r="B482" s="24">
        <v>44676</v>
      </c>
      <c r="C482" s="25">
        <v>215.16</v>
      </c>
      <c r="D482" s="26">
        <f t="shared" si="173"/>
        <v>213.39999999999998</v>
      </c>
      <c r="E482" s="26">
        <f t="shared" si="192"/>
        <v>212.93600000000001</v>
      </c>
      <c r="F482" s="26">
        <f t="shared" si="180"/>
        <v>213.47142857142856</v>
      </c>
      <c r="G482" s="26">
        <f t="shared" si="181"/>
        <v>209.48153846153843</v>
      </c>
      <c r="H482" s="26">
        <f t="shared" si="182"/>
        <v>209.92606060606056</v>
      </c>
      <c r="I482" s="26">
        <f t="shared" si="177"/>
        <v>213.40733333333336</v>
      </c>
      <c r="J482" s="26">
        <f t="shared" si="187"/>
        <v>213.52957697669899</v>
      </c>
      <c r="K482" s="26">
        <f t="shared" si="188"/>
        <v>214.21502313646801</v>
      </c>
      <c r="L482" s="26">
        <f t="shared" si="183"/>
        <v>215.30375579121497</v>
      </c>
      <c r="V482" s="26">
        <f t="shared" si="194"/>
        <v>210.95646073543369</v>
      </c>
      <c r="W482" s="26">
        <f t="shared" si="197"/>
        <v>210.56016747143417</v>
      </c>
      <c r="X482" s="26">
        <f t="shared" si="196"/>
        <v>0.39629326399952447</v>
      </c>
      <c r="Y482" s="26">
        <f t="shared" si="172"/>
        <v>0.25635715623112892</v>
      </c>
      <c r="Z482" s="26">
        <v>14369.71</v>
      </c>
      <c r="AA482" s="26">
        <f t="shared" si="184"/>
        <v>218.54045296194084</v>
      </c>
      <c r="AB482" s="27">
        <f t="shared" si="185"/>
        <v>1.571134486865982E-2</v>
      </c>
      <c r="BK482" s="24">
        <v>44676</v>
      </c>
      <c r="BL482" s="25">
        <v>215.16</v>
      </c>
      <c r="BM482" s="26">
        <f t="shared" si="178"/>
        <v>213.39999999999998</v>
      </c>
      <c r="BN482" s="26">
        <f t="shared" si="186"/>
        <v>212.93600000000001</v>
      </c>
      <c r="BO482" s="26">
        <f t="shared" si="191"/>
        <v>213.47142857142856</v>
      </c>
      <c r="BP482" s="26">
        <f t="shared" si="193"/>
        <v>209.48153846153843</v>
      </c>
      <c r="BQ482" s="26">
        <f t="shared" si="195"/>
        <v>209.92606060606056</v>
      </c>
      <c r="BR482" s="26">
        <f t="shared" si="179"/>
        <v>213.40733333333336</v>
      </c>
      <c r="BS482" s="26">
        <f t="shared" si="189"/>
        <v>213.52957697669899</v>
      </c>
      <c r="BT482" s="26">
        <f t="shared" si="190"/>
        <v>214.21502313646801</v>
      </c>
    </row>
    <row r="483" spans="1:72" x14ac:dyDescent="0.2">
      <c r="A483" s="74"/>
      <c r="B483" s="24">
        <v>44677</v>
      </c>
      <c r="C483" s="25">
        <v>216.84</v>
      </c>
      <c r="D483" s="26">
        <f t="shared" si="173"/>
        <v>215.10333333333335</v>
      </c>
      <c r="E483" s="26">
        <f t="shared" si="192"/>
        <v>213.88800000000001</v>
      </c>
      <c r="F483" s="26">
        <f t="shared" si="180"/>
        <v>213.77</v>
      </c>
      <c r="G483" s="26">
        <f t="shared" si="181"/>
        <v>210.46</v>
      </c>
      <c r="H483" s="26">
        <f t="shared" si="182"/>
        <v>209.82969696969693</v>
      </c>
      <c r="I483" s="26">
        <f t="shared" si="177"/>
        <v>214.70866666666672</v>
      </c>
      <c r="J483" s="26">
        <f t="shared" si="187"/>
        <v>214.85374618601941</v>
      </c>
      <c r="K483" s="26">
        <f t="shared" si="188"/>
        <v>215.79000925458718</v>
      </c>
      <c r="L483" s="26">
        <f t="shared" si="183"/>
        <v>215.28891712921487</v>
      </c>
      <c r="V483" s="26">
        <f t="shared" si="194"/>
        <v>211.86162062229005</v>
      </c>
      <c r="W483" s="26">
        <f t="shared" si="197"/>
        <v>211.39227845873492</v>
      </c>
      <c r="X483" s="26">
        <f t="shared" si="196"/>
        <v>0.46934216355512604</v>
      </c>
      <c r="Y483" s="26">
        <f t="shared" si="172"/>
        <v>0.29895415769592837</v>
      </c>
      <c r="Z483" s="26">
        <v>14271.73</v>
      </c>
      <c r="AA483" s="26">
        <f t="shared" si="184"/>
        <v>218.49731536972075</v>
      </c>
      <c r="AB483" s="27">
        <f t="shared" si="185"/>
        <v>7.643033433502807E-3</v>
      </c>
      <c r="BK483" s="24">
        <v>44677</v>
      </c>
      <c r="BL483" s="25">
        <v>216.84</v>
      </c>
      <c r="BM483" s="26">
        <f t="shared" si="178"/>
        <v>215.10333333333335</v>
      </c>
      <c r="BN483" s="26">
        <f t="shared" si="186"/>
        <v>213.88800000000001</v>
      </c>
      <c r="BO483" s="26">
        <f t="shared" si="191"/>
        <v>213.77</v>
      </c>
      <c r="BP483" s="26">
        <f t="shared" si="193"/>
        <v>210.46</v>
      </c>
      <c r="BQ483" s="26">
        <f t="shared" si="195"/>
        <v>209.82969696969693</v>
      </c>
      <c r="BR483" s="26">
        <f t="shared" si="179"/>
        <v>214.70866666666672</v>
      </c>
      <c r="BS483" s="26">
        <f t="shared" si="189"/>
        <v>214.85374618601941</v>
      </c>
      <c r="BT483" s="26">
        <f t="shared" si="190"/>
        <v>215.79000925458718</v>
      </c>
    </row>
    <row r="484" spans="1:72" x14ac:dyDescent="0.2">
      <c r="A484" s="74"/>
      <c r="B484" s="24">
        <v>44678</v>
      </c>
      <c r="C484" s="25">
        <v>218.29</v>
      </c>
      <c r="D484" s="26">
        <f t="shared" si="173"/>
        <v>216.76333333333332</v>
      </c>
      <c r="E484" s="26">
        <f t="shared" si="192"/>
        <v>215.06599999999997</v>
      </c>
      <c r="F484" s="26">
        <f t="shared" si="180"/>
        <v>214.25857142857143</v>
      </c>
      <c r="G484" s="26">
        <f t="shared" si="181"/>
        <v>211.57999999999998</v>
      </c>
      <c r="H484" s="26">
        <f t="shared" si="182"/>
        <v>209.88727272727269</v>
      </c>
      <c r="I484" s="26">
        <f t="shared" si="177"/>
        <v>216.17599999999999</v>
      </c>
      <c r="J484" s="26">
        <f t="shared" si="187"/>
        <v>216.22824771161163</v>
      </c>
      <c r="K484" s="26">
        <f t="shared" si="188"/>
        <v>217.29000370183485</v>
      </c>
      <c r="L484" s="26">
        <f t="shared" si="183"/>
        <v>215.27407846721479</v>
      </c>
      <c r="V484" s="26">
        <f t="shared" si="194"/>
        <v>212.85060206501467</v>
      </c>
      <c r="W484" s="26">
        <f t="shared" si="197"/>
        <v>212.3377968724908</v>
      </c>
      <c r="X484" s="26">
        <f t="shared" si="196"/>
        <v>0.5128051925238708</v>
      </c>
      <c r="Y484" s="26">
        <f t="shared" si="172"/>
        <v>0.3417243646615169</v>
      </c>
      <c r="Z484" s="26">
        <v>14253.27</v>
      </c>
      <c r="AA484" s="26">
        <f t="shared" si="184"/>
        <v>218.48918799727349</v>
      </c>
      <c r="AB484" s="27">
        <f t="shared" si="185"/>
        <v>9.1249254328415312E-4</v>
      </c>
      <c r="BK484" s="24">
        <v>44678</v>
      </c>
      <c r="BL484" s="25">
        <v>218.29</v>
      </c>
      <c r="BM484" s="26">
        <f t="shared" si="178"/>
        <v>216.76333333333332</v>
      </c>
      <c r="BN484" s="26">
        <f t="shared" si="186"/>
        <v>215.06599999999997</v>
      </c>
      <c r="BO484" s="26">
        <f t="shared" si="191"/>
        <v>214.25857142857143</v>
      </c>
      <c r="BP484" s="26">
        <f t="shared" si="193"/>
        <v>211.57999999999998</v>
      </c>
      <c r="BQ484" s="26">
        <f t="shared" si="195"/>
        <v>209.88727272727269</v>
      </c>
      <c r="BR484" s="26">
        <f t="shared" si="179"/>
        <v>216.17599999999999</v>
      </c>
      <c r="BS484" s="26">
        <f t="shared" si="189"/>
        <v>216.22824771161163</v>
      </c>
      <c r="BT484" s="26">
        <f t="shared" si="190"/>
        <v>217.29000370183485</v>
      </c>
    </row>
    <row r="485" spans="1:72" x14ac:dyDescent="0.2">
      <c r="A485" s="74"/>
      <c r="B485" s="24">
        <v>44679</v>
      </c>
      <c r="C485" s="25">
        <v>216.73</v>
      </c>
      <c r="D485" s="26">
        <f t="shared" si="173"/>
        <v>217.28666666666666</v>
      </c>
      <c r="E485" s="26">
        <f t="shared" si="192"/>
        <v>216.06599999999997</v>
      </c>
      <c r="F485" s="26">
        <f t="shared" si="180"/>
        <v>214.92285714285714</v>
      </c>
      <c r="G485" s="26">
        <f t="shared" si="181"/>
        <v>212.48615384615385</v>
      </c>
      <c r="H485" s="26">
        <f t="shared" si="182"/>
        <v>209.87939393939391</v>
      </c>
      <c r="I485" s="26">
        <f t="shared" si="177"/>
        <v>216.73066666666668</v>
      </c>
      <c r="J485" s="26">
        <f t="shared" si="187"/>
        <v>216.42894862696699</v>
      </c>
      <c r="K485" s="26">
        <f t="shared" si="188"/>
        <v>216.95400148073392</v>
      </c>
      <c r="L485" s="26">
        <f t="shared" si="183"/>
        <v>215.25923980521469</v>
      </c>
      <c r="V485" s="26">
        <f t="shared" si="194"/>
        <v>213.44743251655086</v>
      </c>
      <c r="W485" s="26">
        <f t="shared" si="197"/>
        <v>213.13796487501358</v>
      </c>
      <c r="X485" s="26">
        <f t="shared" si="196"/>
        <v>0.30946764153728168</v>
      </c>
      <c r="Y485" s="26">
        <f t="shared" si="172"/>
        <v>0.33527302003666992</v>
      </c>
      <c r="Z485" s="26">
        <v>14141.48</v>
      </c>
      <c r="AA485" s="26">
        <f t="shared" si="184"/>
        <v>218.43997028514568</v>
      </c>
      <c r="AB485" s="27">
        <f t="shared" si="185"/>
        <v>7.8898642788062887E-3</v>
      </c>
      <c r="BK485" s="24">
        <v>44679</v>
      </c>
      <c r="BL485" s="25">
        <v>216.73</v>
      </c>
      <c r="BM485" s="26">
        <f t="shared" si="178"/>
        <v>217.28666666666666</v>
      </c>
      <c r="BN485" s="26">
        <f t="shared" si="186"/>
        <v>216.06599999999997</v>
      </c>
      <c r="BO485" s="26">
        <f t="shared" si="191"/>
        <v>214.92285714285714</v>
      </c>
      <c r="BP485" s="26">
        <f t="shared" si="193"/>
        <v>212.48615384615385</v>
      </c>
      <c r="BQ485" s="26">
        <f t="shared" si="195"/>
        <v>209.87939393939391</v>
      </c>
      <c r="BR485" s="26">
        <f t="shared" si="179"/>
        <v>216.73066666666668</v>
      </c>
      <c r="BS485" s="26">
        <f t="shared" si="189"/>
        <v>216.42894862696699</v>
      </c>
      <c r="BT485" s="26">
        <f t="shared" si="190"/>
        <v>216.95400148073392</v>
      </c>
    </row>
    <row r="486" spans="1:72" x14ac:dyDescent="0.2">
      <c r="A486" s="74"/>
      <c r="B486" s="24">
        <v>44680</v>
      </c>
      <c r="C486" s="25">
        <v>216.74</v>
      </c>
      <c r="D486" s="26">
        <f t="shared" si="173"/>
        <v>217.25333333333333</v>
      </c>
      <c r="E486" s="26">
        <f t="shared" si="192"/>
        <v>216.75200000000001</v>
      </c>
      <c r="F486" s="26">
        <f t="shared" si="180"/>
        <v>215.54285714285714</v>
      </c>
      <c r="G486" s="26">
        <f t="shared" si="181"/>
        <v>213.45076923076928</v>
      </c>
      <c r="H486" s="26">
        <f t="shared" si="182"/>
        <v>209.93151515151513</v>
      </c>
      <c r="I486" s="26">
        <f t="shared" si="177"/>
        <v>216.9553333333333</v>
      </c>
      <c r="J486" s="26">
        <f t="shared" si="187"/>
        <v>216.55336917618018</v>
      </c>
      <c r="K486" s="26">
        <f t="shared" si="188"/>
        <v>216.8256005922936</v>
      </c>
      <c r="L486" s="26">
        <f t="shared" si="183"/>
        <v>215.24440114321459</v>
      </c>
      <c r="V486" s="26">
        <f t="shared" si="194"/>
        <v>213.95398136015842</v>
      </c>
      <c r="W486" s="26">
        <f t="shared" si="197"/>
        <v>213.69132640421375</v>
      </c>
      <c r="X486" s="26">
        <f t="shared" si="196"/>
        <v>0.2626549559446687</v>
      </c>
      <c r="Y486" s="26">
        <f t="shared" si="172"/>
        <v>0.32074940721826967</v>
      </c>
      <c r="Z486" s="26">
        <v>14030.38</v>
      </c>
      <c r="AA486" s="26">
        <f t="shared" si="184"/>
        <v>218.39105635887859</v>
      </c>
      <c r="AB486" s="27">
        <f t="shared" si="185"/>
        <v>7.6176818255909249E-3</v>
      </c>
      <c r="BK486" s="24">
        <v>44680</v>
      </c>
      <c r="BL486" s="25">
        <v>216.74</v>
      </c>
      <c r="BM486" s="26">
        <f t="shared" si="178"/>
        <v>217.25333333333333</v>
      </c>
      <c r="BN486" s="26">
        <f t="shared" si="186"/>
        <v>216.75200000000001</v>
      </c>
      <c r="BO486" s="26">
        <f t="shared" si="191"/>
        <v>215.54285714285714</v>
      </c>
      <c r="BP486" s="26">
        <f t="shared" si="193"/>
        <v>213.45076923076928</v>
      </c>
      <c r="BQ486" s="26">
        <f t="shared" si="195"/>
        <v>209.93151515151513</v>
      </c>
      <c r="BR486" s="26">
        <f t="shared" si="179"/>
        <v>216.9553333333333</v>
      </c>
      <c r="BS486" s="26">
        <f t="shared" si="189"/>
        <v>216.55336917618018</v>
      </c>
      <c r="BT486" s="26">
        <f t="shared" si="190"/>
        <v>216.8256005922936</v>
      </c>
    </row>
    <row r="487" spans="1:72" x14ac:dyDescent="0.2">
      <c r="A487" s="75"/>
      <c r="B487" s="24">
        <v>44681</v>
      </c>
      <c r="C487" s="25">
        <v>215.75</v>
      </c>
      <c r="D487" s="26">
        <f t="shared" si="173"/>
        <v>216.40666666666667</v>
      </c>
      <c r="E487" s="26">
        <f t="shared" si="192"/>
        <v>216.86999999999998</v>
      </c>
      <c r="F487" s="26">
        <f t="shared" si="180"/>
        <v>216.11714285714285</v>
      </c>
      <c r="G487" s="26">
        <f t="shared" si="181"/>
        <v>214.18538461538461</v>
      </c>
      <c r="H487" s="26">
        <f t="shared" si="182"/>
        <v>210.04787878787874</v>
      </c>
      <c r="I487" s="26">
        <f t="shared" si="177"/>
        <v>216.62133333333335</v>
      </c>
      <c r="J487" s="26">
        <f t="shared" si="187"/>
        <v>216.2320215057081</v>
      </c>
      <c r="K487" s="26">
        <f t="shared" si="188"/>
        <v>216.18024023691743</v>
      </c>
      <c r="L487" s="26">
        <f t="shared" si="183"/>
        <v>215.22956248121451</v>
      </c>
      <c r="V487" s="26">
        <f t="shared" si="194"/>
        <v>214.23029192013405</v>
      </c>
      <c r="W487" s="26">
        <f t="shared" si="197"/>
        <v>214.08701977792447</v>
      </c>
      <c r="X487" s="26">
        <f t="shared" si="196"/>
        <v>0.1432721422095824</v>
      </c>
      <c r="Y487" s="26">
        <f t="shared" ref="Y487:Y550" si="198">X487*(2/(9+1))+Y486*(1-(2/(9+1)))</f>
        <v>0.28525395421653221</v>
      </c>
      <c r="Z487" s="26">
        <v>14161.35</v>
      </c>
      <c r="AA487" s="26">
        <f t="shared" si="184"/>
        <v>218.44871843739526</v>
      </c>
      <c r="AB487" s="27">
        <f t="shared" si="185"/>
        <v>1.2508544321646616E-2</v>
      </c>
      <c r="BK487" s="24">
        <v>44681</v>
      </c>
      <c r="BL487" s="25">
        <v>215.75</v>
      </c>
      <c r="BM487" s="26">
        <f t="shared" si="178"/>
        <v>216.40666666666667</v>
      </c>
      <c r="BN487" s="26">
        <f t="shared" si="186"/>
        <v>216.86999999999998</v>
      </c>
      <c r="BO487" s="26">
        <f t="shared" si="191"/>
        <v>216.11714285714285</v>
      </c>
      <c r="BP487" s="26">
        <f t="shared" si="193"/>
        <v>214.18538461538461</v>
      </c>
      <c r="BQ487" s="26">
        <f t="shared" si="195"/>
        <v>210.04787878787874</v>
      </c>
      <c r="BR487" s="26">
        <f t="shared" si="179"/>
        <v>216.62133333333335</v>
      </c>
      <c r="BS487" s="26">
        <f t="shared" si="189"/>
        <v>216.2320215057081</v>
      </c>
      <c r="BT487" s="26">
        <f t="shared" si="190"/>
        <v>216.18024023691743</v>
      </c>
    </row>
    <row r="488" spans="1:72" x14ac:dyDescent="0.2">
      <c r="A488" s="73">
        <v>44682</v>
      </c>
      <c r="B488" s="24">
        <v>44682</v>
      </c>
      <c r="C488" s="25">
        <v>213.55</v>
      </c>
      <c r="D488" s="26">
        <f t="shared" ref="D488:D551" si="199">AVERAGE(C486:C488)</f>
        <v>215.34666666666666</v>
      </c>
      <c r="E488" s="26">
        <f t="shared" si="192"/>
        <v>216.21199999999999</v>
      </c>
      <c r="F488" s="26">
        <f t="shared" si="180"/>
        <v>216.15142857142857</v>
      </c>
      <c r="G488" s="26">
        <f t="shared" si="181"/>
        <v>214.78461538461536</v>
      </c>
      <c r="H488" s="26">
        <f t="shared" si="182"/>
        <v>210.03727272727266</v>
      </c>
      <c r="I488" s="26">
        <f t="shared" ref="I488:I551" si="200">(C488*5+C487*4+C486*3+C485*2+C484)/(5+4+3+2+1)</f>
        <v>215.51466666666667</v>
      </c>
      <c r="J488" s="26">
        <f t="shared" si="187"/>
        <v>215.15921290342487</v>
      </c>
      <c r="K488" s="26">
        <f t="shared" si="188"/>
        <v>214.60209609476698</v>
      </c>
      <c r="L488" s="26">
        <f t="shared" si="183"/>
        <v>215.21472381921441</v>
      </c>
      <c r="V488" s="26">
        <f t="shared" si="194"/>
        <v>214.12563162472881</v>
      </c>
      <c r="W488" s="26">
        <f t="shared" si="197"/>
        <v>214.17989992605004</v>
      </c>
      <c r="X488" s="26">
        <f t="shared" si="196"/>
        <v>-5.4268301321229728E-2</v>
      </c>
      <c r="Y488" s="26">
        <f t="shared" si="198"/>
        <v>0.21734950310897982</v>
      </c>
      <c r="Z488" s="26">
        <v>14039.68</v>
      </c>
      <c r="AA488" s="26">
        <f t="shared" si="184"/>
        <v>218.39515086395764</v>
      </c>
      <c r="AB488" s="27">
        <f t="shared" si="185"/>
        <v>2.2688601563838104E-2</v>
      </c>
      <c r="BK488" s="24">
        <v>44682</v>
      </c>
      <c r="BL488" s="25">
        <v>213.55</v>
      </c>
      <c r="BM488" s="26">
        <f t="shared" ref="BM488:BM548" si="201">AVERAGE(BL486:BL488)</f>
        <v>215.34666666666666</v>
      </c>
      <c r="BN488" s="26">
        <f t="shared" si="186"/>
        <v>216.21199999999999</v>
      </c>
      <c r="BO488" s="26">
        <f t="shared" si="191"/>
        <v>216.15142857142857</v>
      </c>
      <c r="BP488" s="26">
        <f t="shared" si="193"/>
        <v>214.78461538461536</v>
      </c>
      <c r="BQ488" s="26">
        <f t="shared" si="195"/>
        <v>210.03727272727266</v>
      </c>
      <c r="BR488" s="26">
        <f t="shared" ref="BR488:BR548" si="202">(BL488*5+BL487*4+BL486*3+BL485*2+BL484)/(5+4+3+2+1)</f>
        <v>215.51466666666667</v>
      </c>
      <c r="BS488" s="26">
        <f t="shared" si="189"/>
        <v>215.15921290342487</v>
      </c>
      <c r="BT488" s="26">
        <f t="shared" si="190"/>
        <v>214.60209609476698</v>
      </c>
    </row>
    <row r="489" spans="1:72" x14ac:dyDescent="0.2">
      <c r="A489" s="74"/>
      <c r="B489" s="24">
        <v>44683</v>
      </c>
      <c r="C489" s="25">
        <v>212.04</v>
      </c>
      <c r="D489" s="26">
        <f t="shared" si="199"/>
        <v>213.78</v>
      </c>
      <c r="E489" s="26">
        <f t="shared" si="192"/>
        <v>214.96199999999999</v>
      </c>
      <c r="F489" s="26">
        <f t="shared" ref="F489:F552" si="203">AVERAGE(C483:C489)</f>
        <v>215.70571428571427</v>
      </c>
      <c r="G489" s="26">
        <f t="shared" ref="G489:G552" si="204">AVERAGE(C477:C489)</f>
        <v>214.57615384615386</v>
      </c>
      <c r="H489" s="26">
        <f t="shared" ref="H489:H552" si="205">AVERAGE(C457:C489)</f>
        <v>209.97545454545448</v>
      </c>
      <c r="I489" s="26">
        <f t="shared" si="200"/>
        <v>214.124</v>
      </c>
      <c r="J489" s="26">
        <f t="shared" si="187"/>
        <v>213.91152774205491</v>
      </c>
      <c r="K489" s="26">
        <f t="shared" si="188"/>
        <v>213.06483843790679</v>
      </c>
      <c r="L489" s="26">
        <f t="shared" si="183"/>
        <v>215.19988515721431</v>
      </c>
      <c r="V489" s="26">
        <f t="shared" si="194"/>
        <v>213.80476522092437</v>
      </c>
      <c r="W489" s="26">
        <f t="shared" si="197"/>
        <v>213.97114039326743</v>
      </c>
      <c r="X489" s="26">
        <f t="shared" si="196"/>
        <v>-0.16637517234306642</v>
      </c>
      <c r="Y489" s="26">
        <f t="shared" si="198"/>
        <v>0.14060456801857057</v>
      </c>
      <c r="Z489" s="26">
        <v>14072.86</v>
      </c>
      <c r="AA489" s="26">
        <f t="shared" si="184"/>
        <v>218.40975900143326</v>
      </c>
      <c r="AB489" s="27">
        <f t="shared" si="185"/>
        <v>3.0040365032226308E-2</v>
      </c>
      <c r="BK489" s="24">
        <v>44683</v>
      </c>
      <c r="BL489" s="25">
        <v>212.04</v>
      </c>
      <c r="BM489" s="26">
        <f t="shared" si="201"/>
        <v>213.78</v>
      </c>
      <c r="BN489" s="26">
        <f t="shared" si="186"/>
        <v>214.96199999999999</v>
      </c>
      <c r="BO489" s="26">
        <f t="shared" si="191"/>
        <v>215.70571428571427</v>
      </c>
      <c r="BP489" s="26">
        <f t="shared" si="193"/>
        <v>214.57615384615386</v>
      </c>
      <c r="BQ489" s="26">
        <f t="shared" si="195"/>
        <v>209.97545454545448</v>
      </c>
      <c r="BR489" s="26">
        <f t="shared" si="202"/>
        <v>214.124</v>
      </c>
      <c r="BS489" s="26">
        <f t="shared" si="189"/>
        <v>213.91152774205491</v>
      </c>
      <c r="BT489" s="26">
        <f t="shared" si="190"/>
        <v>213.06483843790679</v>
      </c>
    </row>
    <row r="490" spans="1:72" x14ac:dyDescent="0.2">
      <c r="A490" s="74"/>
      <c r="B490" s="24">
        <v>44684</v>
      </c>
      <c r="C490" s="25">
        <v>202.62</v>
      </c>
      <c r="D490" s="26">
        <f t="shared" si="199"/>
        <v>209.40333333333334</v>
      </c>
      <c r="E490" s="26">
        <f t="shared" si="192"/>
        <v>212.13999999999996</v>
      </c>
      <c r="F490" s="26">
        <f t="shared" si="203"/>
        <v>213.67428571428567</v>
      </c>
      <c r="G490" s="26">
        <f t="shared" si="204"/>
        <v>213.63384615384615</v>
      </c>
      <c r="H490" s="26">
        <f t="shared" si="205"/>
        <v>209.60515151515148</v>
      </c>
      <c r="I490" s="26">
        <f t="shared" si="200"/>
        <v>210.00999999999996</v>
      </c>
      <c r="J490" s="26">
        <f t="shared" si="187"/>
        <v>209.39491664523294</v>
      </c>
      <c r="K490" s="26">
        <f t="shared" si="188"/>
        <v>206.79793537516272</v>
      </c>
      <c r="L490" s="26">
        <f t="shared" si="183"/>
        <v>215.18504649521424</v>
      </c>
      <c r="V490" s="26">
        <f t="shared" si="194"/>
        <v>212.08403211001294</v>
      </c>
      <c r="W490" s="26">
        <f t="shared" si="197"/>
        <v>212.97626409344849</v>
      </c>
      <c r="X490" s="26">
        <f t="shared" si="196"/>
        <v>-0.89223198343555055</v>
      </c>
      <c r="Y490" s="26">
        <f t="shared" si="198"/>
        <v>-6.5962742272253655E-2</v>
      </c>
      <c r="Z490" s="26">
        <v>14174.14</v>
      </c>
      <c r="AA490" s="26">
        <f t="shared" si="184"/>
        <v>218.45434948255237</v>
      </c>
      <c r="AB490" s="27">
        <f t="shared" si="185"/>
        <v>7.8148008501393584E-2</v>
      </c>
      <c r="BK490" s="24">
        <v>44684</v>
      </c>
      <c r="BL490" s="25">
        <v>202.62</v>
      </c>
      <c r="BM490" s="26">
        <f t="shared" si="201"/>
        <v>209.40333333333334</v>
      </c>
      <c r="BN490" s="26">
        <f t="shared" si="186"/>
        <v>212.13999999999996</v>
      </c>
      <c r="BO490" s="26">
        <f t="shared" si="191"/>
        <v>213.67428571428567</v>
      </c>
      <c r="BP490" s="26">
        <f t="shared" si="193"/>
        <v>213.63384615384615</v>
      </c>
      <c r="BQ490" s="26">
        <f t="shared" si="195"/>
        <v>209.60515151515148</v>
      </c>
      <c r="BR490" s="26">
        <f t="shared" si="202"/>
        <v>210.00999999999996</v>
      </c>
      <c r="BS490" s="26">
        <f t="shared" si="189"/>
        <v>209.39491664523294</v>
      </c>
      <c r="BT490" s="26">
        <f t="shared" si="190"/>
        <v>206.79793537516272</v>
      </c>
    </row>
    <row r="491" spans="1:72" x14ac:dyDescent="0.2">
      <c r="A491" s="74"/>
      <c r="B491" s="24">
        <v>44685</v>
      </c>
      <c r="C491" s="25">
        <v>201.75</v>
      </c>
      <c r="D491" s="26">
        <f t="shared" si="199"/>
        <v>205.47</v>
      </c>
      <c r="E491" s="26">
        <f t="shared" si="192"/>
        <v>209.142</v>
      </c>
      <c r="F491" s="26">
        <f t="shared" si="203"/>
        <v>211.31142857142854</v>
      </c>
      <c r="G491" s="26">
        <f t="shared" si="204"/>
        <v>212.83923076923077</v>
      </c>
      <c r="H491" s="26">
        <f t="shared" si="205"/>
        <v>209.23484848484844</v>
      </c>
      <c r="I491" s="26">
        <f t="shared" si="200"/>
        <v>206.54666666666665</v>
      </c>
      <c r="J491" s="26">
        <f t="shared" si="187"/>
        <v>206.33694998713975</v>
      </c>
      <c r="K491" s="26">
        <f t="shared" si="188"/>
        <v>203.76917415006511</v>
      </c>
      <c r="L491" s="26">
        <f t="shared" si="183"/>
        <v>215.17020783321414</v>
      </c>
      <c r="V491" s="26">
        <f t="shared" si="194"/>
        <v>210.49418101616482</v>
      </c>
      <c r="W491" s="26">
        <f t="shared" si="197"/>
        <v>211.31854825001199</v>
      </c>
      <c r="X491" s="26">
        <f t="shared" si="196"/>
        <v>-0.8243672338471697</v>
      </c>
      <c r="Y491" s="26">
        <f t="shared" si="198"/>
        <v>-0.21764364058723687</v>
      </c>
      <c r="Z491" s="26">
        <v>13748.74</v>
      </c>
      <c r="AA491" s="26">
        <f t="shared" si="184"/>
        <v>218.26705889538741</v>
      </c>
      <c r="AB491" s="27">
        <f t="shared" si="185"/>
        <v>8.1868941241077603E-2</v>
      </c>
      <c r="BK491" s="24">
        <v>44685</v>
      </c>
      <c r="BL491" s="25">
        <v>201.75</v>
      </c>
      <c r="BM491" s="26">
        <f t="shared" si="201"/>
        <v>205.47</v>
      </c>
      <c r="BN491" s="26">
        <f t="shared" si="186"/>
        <v>209.142</v>
      </c>
      <c r="BO491" s="26">
        <f t="shared" si="191"/>
        <v>211.31142857142854</v>
      </c>
      <c r="BP491" s="26">
        <f t="shared" si="193"/>
        <v>212.83923076923077</v>
      </c>
      <c r="BQ491" s="26">
        <f t="shared" si="195"/>
        <v>209.23484848484844</v>
      </c>
      <c r="BR491" s="26">
        <f t="shared" si="202"/>
        <v>206.54666666666665</v>
      </c>
      <c r="BS491" s="26">
        <f t="shared" si="189"/>
        <v>206.33694998713975</v>
      </c>
      <c r="BT491" s="26">
        <f t="shared" si="190"/>
        <v>203.76917415006511</v>
      </c>
    </row>
    <row r="492" spans="1:72" x14ac:dyDescent="0.2">
      <c r="A492" s="74"/>
      <c r="B492" s="24">
        <v>44686</v>
      </c>
      <c r="C492" s="25">
        <v>203.39</v>
      </c>
      <c r="D492" s="26">
        <f t="shared" si="199"/>
        <v>202.58666666666667</v>
      </c>
      <c r="E492" s="26">
        <f t="shared" si="192"/>
        <v>206.67</v>
      </c>
      <c r="F492" s="26">
        <f t="shared" si="203"/>
        <v>209.40571428571425</v>
      </c>
      <c r="G492" s="26">
        <f t="shared" si="204"/>
        <v>212.14615384615382</v>
      </c>
      <c r="H492" s="26">
        <f t="shared" si="205"/>
        <v>208.95272727272723</v>
      </c>
      <c r="I492" s="26">
        <f t="shared" si="200"/>
        <v>204.62933333333334</v>
      </c>
      <c r="J492" s="26">
        <f t="shared" si="187"/>
        <v>205.15816999228383</v>
      </c>
      <c r="K492" s="26">
        <f t="shared" si="188"/>
        <v>203.54166966002606</v>
      </c>
      <c r="L492" s="26">
        <f t="shared" si="183"/>
        <v>215.15536917121403</v>
      </c>
      <c r="V492" s="26">
        <f t="shared" si="194"/>
        <v>209.40123009060099</v>
      </c>
      <c r="W492" s="26">
        <f t="shared" si="197"/>
        <v>209.96794538533777</v>
      </c>
      <c r="X492" s="26">
        <f t="shared" si="196"/>
        <v>-0.56671529473678106</v>
      </c>
      <c r="Y492" s="26">
        <f t="shared" si="198"/>
        <v>-0.28745797141714569</v>
      </c>
      <c r="Z492" s="26">
        <v>13736.28</v>
      </c>
      <c r="AA492" s="26">
        <f t="shared" si="184"/>
        <v>218.2615731391202</v>
      </c>
      <c r="AB492" s="27">
        <f t="shared" si="185"/>
        <v>7.3118507001918562E-2</v>
      </c>
      <c r="BK492" s="24">
        <v>44686</v>
      </c>
      <c r="BL492" s="25">
        <v>203.39</v>
      </c>
      <c r="BM492" s="26">
        <f t="shared" si="201"/>
        <v>202.58666666666667</v>
      </c>
      <c r="BN492" s="26">
        <f t="shared" si="186"/>
        <v>206.67</v>
      </c>
      <c r="BO492" s="26">
        <f t="shared" si="191"/>
        <v>209.40571428571425</v>
      </c>
      <c r="BP492" s="26">
        <f t="shared" si="193"/>
        <v>212.14615384615382</v>
      </c>
      <c r="BQ492" s="26">
        <f t="shared" si="195"/>
        <v>208.95272727272723</v>
      </c>
      <c r="BR492" s="26">
        <f t="shared" si="202"/>
        <v>204.62933333333334</v>
      </c>
      <c r="BS492" s="26">
        <f t="shared" si="189"/>
        <v>205.15816999228383</v>
      </c>
      <c r="BT492" s="26">
        <f t="shared" si="190"/>
        <v>203.54166966002606</v>
      </c>
    </row>
    <row r="493" spans="1:72" x14ac:dyDescent="0.2">
      <c r="A493" s="74"/>
      <c r="B493" s="24">
        <v>44687</v>
      </c>
      <c r="C493" s="25">
        <v>203.08</v>
      </c>
      <c r="D493" s="26">
        <f t="shared" si="199"/>
        <v>202.74</v>
      </c>
      <c r="E493" s="26">
        <f t="shared" si="192"/>
        <v>204.57599999999999</v>
      </c>
      <c r="F493" s="26">
        <f t="shared" si="203"/>
        <v>207.4542857142857</v>
      </c>
      <c r="G493" s="26">
        <f t="shared" si="204"/>
        <v>211.4807692307692</v>
      </c>
      <c r="H493" s="26">
        <f t="shared" si="205"/>
        <v>208.64363636363632</v>
      </c>
      <c r="I493" s="26">
        <f t="shared" si="200"/>
        <v>203.43266666666665</v>
      </c>
      <c r="J493" s="26">
        <f t="shared" si="187"/>
        <v>204.32690199537029</v>
      </c>
      <c r="K493" s="26">
        <f t="shared" si="188"/>
        <v>203.26466786401045</v>
      </c>
      <c r="L493" s="26">
        <f t="shared" si="183"/>
        <v>215.14053050921396</v>
      </c>
      <c r="V493" s="26">
        <f t="shared" si="194"/>
        <v>208.42873315358545</v>
      </c>
      <c r="W493" s="26">
        <f t="shared" si="197"/>
        <v>208.93299082463056</v>
      </c>
      <c r="X493" s="26">
        <f t="shared" si="196"/>
        <v>-0.5042576710451101</v>
      </c>
      <c r="Y493" s="26">
        <f t="shared" si="198"/>
        <v>-0.33081791134273858</v>
      </c>
      <c r="Z493" s="26">
        <v>13738</v>
      </c>
      <c r="AA493" s="26">
        <f t="shared" si="184"/>
        <v>218.26233040242514</v>
      </c>
      <c r="AB493" s="27">
        <f t="shared" si="185"/>
        <v>7.476034273402167E-2</v>
      </c>
      <c r="BK493" s="24">
        <v>44687</v>
      </c>
      <c r="BL493" s="25">
        <v>203.08</v>
      </c>
      <c r="BM493" s="26">
        <f t="shared" si="201"/>
        <v>202.74</v>
      </c>
      <c r="BN493" s="26">
        <f t="shared" si="186"/>
        <v>204.57599999999999</v>
      </c>
      <c r="BO493" s="26">
        <f t="shared" si="191"/>
        <v>207.4542857142857</v>
      </c>
      <c r="BP493" s="26">
        <f t="shared" si="193"/>
        <v>211.4807692307692</v>
      </c>
      <c r="BQ493" s="26">
        <f t="shared" si="195"/>
        <v>208.64363636363632</v>
      </c>
      <c r="BR493" s="26">
        <f t="shared" si="202"/>
        <v>203.43266666666665</v>
      </c>
      <c r="BS493" s="26">
        <f t="shared" si="189"/>
        <v>204.32690199537029</v>
      </c>
      <c r="BT493" s="26">
        <f t="shared" si="190"/>
        <v>203.26466786401045</v>
      </c>
    </row>
    <row r="494" spans="1:72" x14ac:dyDescent="0.2">
      <c r="A494" s="74"/>
      <c r="B494" s="24">
        <v>44688</v>
      </c>
      <c r="C494" s="25">
        <v>197.78</v>
      </c>
      <c r="D494" s="26">
        <f t="shared" si="199"/>
        <v>201.41666666666666</v>
      </c>
      <c r="E494" s="26">
        <f t="shared" si="192"/>
        <v>201.72399999999999</v>
      </c>
      <c r="F494" s="26">
        <f t="shared" si="203"/>
        <v>204.88714285714283</v>
      </c>
      <c r="G494" s="26">
        <f t="shared" si="204"/>
        <v>210.28615384615384</v>
      </c>
      <c r="H494" s="26">
        <f t="shared" si="205"/>
        <v>208.23878787878786</v>
      </c>
      <c r="I494" s="26">
        <f t="shared" si="200"/>
        <v>201.16733333333332</v>
      </c>
      <c r="J494" s="26">
        <f t="shared" si="187"/>
        <v>201.70814119722218</v>
      </c>
      <c r="K494" s="26">
        <f t="shared" si="188"/>
        <v>199.97386714560417</v>
      </c>
      <c r="L494" s="26">
        <f t="shared" si="183"/>
        <v>215.12569184721386</v>
      </c>
      <c r="V494" s="26">
        <f t="shared" si="194"/>
        <v>206.7904665145723</v>
      </c>
      <c r="W494" s="26">
        <f t="shared" si="197"/>
        <v>207.63993810517172</v>
      </c>
      <c r="X494" s="26">
        <f t="shared" si="196"/>
        <v>-0.84947159059942123</v>
      </c>
      <c r="Y494" s="26">
        <f t="shared" si="198"/>
        <v>-0.43454864719407515</v>
      </c>
      <c r="Z494" s="26">
        <v>13657.17</v>
      </c>
      <c r="AA494" s="26">
        <f t="shared" si="184"/>
        <v>218.22674342978632</v>
      </c>
      <c r="AB494" s="27">
        <f t="shared" si="185"/>
        <v>0.10338124901297564</v>
      </c>
      <c r="BK494" s="24">
        <v>44688</v>
      </c>
      <c r="BL494" s="25">
        <v>197.78</v>
      </c>
      <c r="BM494" s="26">
        <f t="shared" si="201"/>
        <v>201.41666666666666</v>
      </c>
      <c r="BN494" s="26">
        <f t="shared" si="186"/>
        <v>201.72399999999999</v>
      </c>
      <c r="BO494" s="26">
        <f t="shared" si="191"/>
        <v>204.88714285714283</v>
      </c>
      <c r="BP494" s="26">
        <f t="shared" si="193"/>
        <v>210.28615384615384</v>
      </c>
      <c r="BQ494" s="26">
        <f t="shared" si="195"/>
        <v>208.23878787878786</v>
      </c>
      <c r="BR494" s="26">
        <f t="shared" si="202"/>
        <v>201.16733333333332</v>
      </c>
      <c r="BS494" s="26">
        <f t="shared" si="189"/>
        <v>201.70814119722218</v>
      </c>
      <c r="BT494" s="26">
        <f t="shared" si="190"/>
        <v>199.97386714560417</v>
      </c>
    </row>
    <row r="495" spans="1:72" x14ac:dyDescent="0.2">
      <c r="A495" s="74"/>
      <c r="B495" s="24">
        <v>44689</v>
      </c>
      <c r="C495" s="25">
        <v>197.08</v>
      </c>
      <c r="D495" s="26">
        <f t="shared" si="199"/>
        <v>199.31333333333336</v>
      </c>
      <c r="E495" s="26">
        <f t="shared" si="192"/>
        <v>200.61600000000001</v>
      </c>
      <c r="F495" s="26">
        <f t="shared" si="203"/>
        <v>202.53428571428572</v>
      </c>
      <c r="G495" s="26">
        <f t="shared" si="204"/>
        <v>208.89538461538461</v>
      </c>
      <c r="H495" s="26">
        <f t="shared" si="205"/>
        <v>207.78303030303027</v>
      </c>
      <c r="I495" s="26">
        <f t="shared" si="200"/>
        <v>199.61933333333334</v>
      </c>
      <c r="J495" s="26">
        <f t="shared" si="187"/>
        <v>199.8568847183333</v>
      </c>
      <c r="K495" s="26">
        <f t="shared" si="188"/>
        <v>198.23754685824167</v>
      </c>
      <c r="L495" s="26">
        <f t="shared" si="183"/>
        <v>215.11085318521376</v>
      </c>
      <c r="V495" s="26">
        <f t="shared" si="194"/>
        <v>205.29654858925349</v>
      </c>
      <c r="W495" s="26">
        <f t="shared" si="197"/>
        <v>206.07117269867805</v>
      </c>
      <c r="X495" s="26">
        <f t="shared" si="196"/>
        <v>-0.77462410942456472</v>
      </c>
      <c r="Y495" s="26">
        <f t="shared" si="198"/>
        <v>-0.50256373964017309</v>
      </c>
      <c r="Z495" s="26">
        <v>13661.17</v>
      </c>
      <c r="AA495" s="26">
        <f t="shared" si="184"/>
        <v>218.22850450723971</v>
      </c>
      <c r="AB495" s="27">
        <f t="shared" si="185"/>
        <v>0.10730923740227162</v>
      </c>
      <c r="BK495" s="24">
        <v>44689</v>
      </c>
      <c r="BL495" s="25">
        <v>197.08</v>
      </c>
      <c r="BM495" s="26">
        <f t="shared" si="201"/>
        <v>199.31333333333336</v>
      </c>
      <c r="BN495" s="26">
        <f t="shared" si="186"/>
        <v>200.61600000000001</v>
      </c>
      <c r="BO495" s="26">
        <f t="shared" si="191"/>
        <v>202.53428571428572</v>
      </c>
      <c r="BP495" s="26">
        <f t="shared" si="193"/>
        <v>208.89538461538461</v>
      </c>
      <c r="BQ495" s="26">
        <f t="shared" si="195"/>
        <v>207.78303030303027</v>
      </c>
      <c r="BR495" s="26">
        <f t="shared" si="202"/>
        <v>199.61933333333334</v>
      </c>
      <c r="BS495" s="26">
        <f t="shared" si="189"/>
        <v>199.8568847183333</v>
      </c>
      <c r="BT495" s="26">
        <f t="shared" si="190"/>
        <v>198.23754685824167</v>
      </c>
    </row>
    <row r="496" spans="1:72" x14ac:dyDescent="0.2">
      <c r="A496" s="74"/>
      <c r="B496" s="24">
        <v>44690</v>
      </c>
      <c r="C496" s="25">
        <v>197.09</v>
      </c>
      <c r="D496" s="26">
        <f t="shared" si="199"/>
        <v>197.31666666666669</v>
      </c>
      <c r="E496" s="26">
        <f t="shared" si="192"/>
        <v>199.68400000000003</v>
      </c>
      <c r="F496" s="26">
        <f t="shared" si="203"/>
        <v>200.39857142857142</v>
      </c>
      <c r="G496" s="26">
        <f t="shared" si="204"/>
        <v>207.37615384615384</v>
      </c>
      <c r="H496" s="26">
        <f t="shared" si="205"/>
        <v>207.40545454545452</v>
      </c>
      <c r="I496" s="26">
        <f t="shared" si="200"/>
        <v>198.44399999999999</v>
      </c>
      <c r="J496" s="26">
        <f t="shared" si="187"/>
        <v>198.75013083099998</v>
      </c>
      <c r="K496" s="26">
        <f t="shared" si="188"/>
        <v>197.54901874329667</v>
      </c>
      <c r="L496" s="26">
        <f t="shared" si="183"/>
        <v>215.09601452321368</v>
      </c>
      <c r="V496" s="26">
        <f t="shared" si="194"/>
        <v>204.03400265244525</v>
      </c>
      <c r="W496" s="26">
        <f t="shared" si="197"/>
        <v>204.68865610116066</v>
      </c>
      <c r="X496" s="26">
        <f t="shared" si="196"/>
        <v>-0.65465344871540765</v>
      </c>
      <c r="Y496" s="26">
        <f t="shared" si="198"/>
        <v>-0.53298168145521996</v>
      </c>
      <c r="Z496" s="26">
        <v>13470.99</v>
      </c>
      <c r="AA496" s="26">
        <f t="shared" si="184"/>
        <v>218.14477407971964</v>
      </c>
      <c r="AB496" s="27">
        <f t="shared" si="185"/>
        <v>0.10682822101435707</v>
      </c>
      <c r="BK496" s="24">
        <v>44690</v>
      </c>
      <c r="BL496" s="25">
        <v>197.09</v>
      </c>
      <c r="BM496" s="26">
        <f t="shared" si="201"/>
        <v>197.31666666666669</v>
      </c>
      <c r="BN496" s="26">
        <f t="shared" si="186"/>
        <v>199.68400000000003</v>
      </c>
      <c r="BO496" s="26">
        <f t="shared" si="191"/>
        <v>200.39857142857142</v>
      </c>
      <c r="BP496" s="26">
        <f t="shared" si="193"/>
        <v>207.37615384615384</v>
      </c>
      <c r="BQ496" s="26">
        <f t="shared" si="195"/>
        <v>207.40545454545452</v>
      </c>
      <c r="BR496" s="26">
        <f t="shared" si="202"/>
        <v>198.44399999999999</v>
      </c>
      <c r="BS496" s="26">
        <f t="shared" si="189"/>
        <v>198.75013083099998</v>
      </c>
      <c r="BT496" s="26">
        <f t="shared" si="190"/>
        <v>197.54901874329667</v>
      </c>
    </row>
    <row r="497" spans="1:72" x14ac:dyDescent="0.2">
      <c r="A497" s="74"/>
      <c r="B497" s="24">
        <v>44691</v>
      </c>
      <c r="C497" s="25">
        <v>193.96</v>
      </c>
      <c r="D497" s="26">
        <f t="shared" si="199"/>
        <v>196.04333333333332</v>
      </c>
      <c r="E497" s="26">
        <f t="shared" si="192"/>
        <v>197.79800000000003</v>
      </c>
      <c r="F497" s="26">
        <f t="shared" si="203"/>
        <v>199.16142857142859</v>
      </c>
      <c r="G497" s="26">
        <f t="shared" si="204"/>
        <v>205.50461538461539</v>
      </c>
      <c r="H497" s="26">
        <f t="shared" si="205"/>
        <v>207.13272727272727</v>
      </c>
      <c r="I497" s="26">
        <f t="shared" si="200"/>
        <v>196.536</v>
      </c>
      <c r="J497" s="26">
        <f t="shared" si="187"/>
        <v>196.83407849859998</v>
      </c>
      <c r="K497" s="26">
        <f t="shared" si="188"/>
        <v>195.39560749731868</v>
      </c>
      <c r="L497" s="26">
        <f t="shared" si="183"/>
        <v>215.08117586121358</v>
      </c>
      <c r="V497" s="26">
        <f t="shared" si="194"/>
        <v>202.4841560905306</v>
      </c>
      <c r="W497" s="26">
        <f t="shared" si="197"/>
        <v>203.28778023374559</v>
      </c>
      <c r="X497" s="26">
        <f t="shared" si="196"/>
        <v>-0.80362414321498932</v>
      </c>
      <c r="Y497" s="26">
        <f t="shared" si="198"/>
        <v>-0.58711017380717379</v>
      </c>
      <c r="Z497" s="26">
        <v>13535.74</v>
      </c>
      <c r="AA497" s="26">
        <f t="shared" si="184"/>
        <v>218.17328152099591</v>
      </c>
      <c r="AB497" s="27">
        <f t="shared" si="185"/>
        <v>0.12483646896780731</v>
      </c>
      <c r="BK497" s="24">
        <v>44691</v>
      </c>
      <c r="BL497" s="25">
        <v>193.96</v>
      </c>
      <c r="BM497" s="26">
        <f t="shared" si="201"/>
        <v>196.04333333333332</v>
      </c>
      <c r="BN497" s="26">
        <f t="shared" si="186"/>
        <v>197.79800000000003</v>
      </c>
      <c r="BO497" s="26">
        <f t="shared" si="191"/>
        <v>199.16142857142859</v>
      </c>
      <c r="BP497" s="26">
        <f t="shared" si="193"/>
        <v>205.50461538461539</v>
      </c>
      <c r="BQ497" s="26">
        <f t="shared" si="195"/>
        <v>207.13272727272727</v>
      </c>
      <c r="BR497" s="26">
        <f t="shared" si="202"/>
        <v>196.536</v>
      </c>
      <c r="BS497" s="26">
        <f t="shared" si="189"/>
        <v>196.83407849859998</v>
      </c>
      <c r="BT497" s="26">
        <f t="shared" si="190"/>
        <v>195.39560749731868</v>
      </c>
    </row>
    <row r="498" spans="1:72" x14ac:dyDescent="0.2">
      <c r="A498" s="74"/>
      <c r="B498" s="24">
        <v>44692</v>
      </c>
      <c r="C498" s="25">
        <v>187.78</v>
      </c>
      <c r="D498" s="26">
        <f t="shared" si="199"/>
        <v>192.94333333333336</v>
      </c>
      <c r="E498" s="26">
        <f t="shared" si="192"/>
        <v>194.738</v>
      </c>
      <c r="F498" s="26">
        <f t="shared" si="203"/>
        <v>197.1657142857143</v>
      </c>
      <c r="G498" s="26">
        <f t="shared" si="204"/>
        <v>203.27769230769232</v>
      </c>
      <c r="H498" s="26">
        <f t="shared" si="205"/>
        <v>206.62939393939394</v>
      </c>
      <c r="I498" s="26">
        <f t="shared" si="200"/>
        <v>193.19666666666669</v>
      </c>
      <c r="J498" s="26">
        <f t="shared" si="187"/>
        <v>193.21244709915999</v>
      </c>
      <c r="K498" s="26">
        <f t="shared" si="188"/>
        <v>190.82624299892746</v>
      </c>
      <c r="L498" s="26">
        <f t="shared" si="183"/>
        <v>215.06633719921348</v>
      </c>
      <c r="V498" s="26">
        <f t="shared" si="194"/>
        <v>200.22197823044897</v>
      </c>
      <c r="W498" s="26">
        <f t="shared" si="197"/>
        <v>201.39495934308388</v>
      </c>
      <c r="X498" s="26">
        <f t="shared" si="196"/>
        <v>-1.1729811126349148</v>
      </c>
      <c r="Y498" s="26">
        <f t="shared" si="198"/>
        <v>-0.70428436157272201</v>
      </c>
      <c r="Z498" s="26">
        <v>13299.74</v>
      </c>
      <c r="AA498" s="26">
        <f t="shared" si="184"/>
        <v>218.06937795124762</v>
      </c>
      <c r="AB498" s="27">
        <f t="shared" si="185"/>
        <v>0.16130247071704981</v>
      </c>
      <c r="BK498" s="24">
        <v>44692</v>
      </c>
      <c r="BL498" s="25">
        <v>187.78</v>
      </c>
      <c r="BM498" s="26">
        <f t="shared" si="201"/>
        <v>192.94333333333336</v>
      </c>
      <c r="BN498" s="26">
        <f t="shared" si="186"/>
        <v>194.738</v>
      </c>
      <c r="BO498" s="26">
        <f t="shared" si="191"/>
        <v>197.1657142857143</v>
      </c>
      <c r="BP498" s="26">
        <f t="shared" si="193"/>
        <v>203.27769230769232</v>
      </c>
      <c r="BQ498" s="26">
        <f t="shared" si="195"/>
        <v>206.62939393939394</v>
      </c>
      <c r="BR498" s="26">
        <f t="shared" si="202"/>
        <v>193.19666666666669</v>
      </c>
      <c r="BS498" s="26">
        <f t="shared" si="189"/>
        <v>193.21244709915999</v>
      </c>
      <c r="BT498" s="26">
        <f t="shared" si="190"/>
        <v>190.82624299892746</v>
      </c>
    </row>
    <row r="499" spans="1:72" x14ac:dyDescent="0.2">
      <c r="A499" s="74"/>
      <c r="B499" s="24">
        <v>44693</v>
      </c>
      <c r="C499" s="25">
        <v>178.8</v>
      </c>
      <c r="D499" s="26">
        <f t="shared" si="199"/>
        <v>186.84666666666666</v>
      </c>
      <c r="E499" s="26">
        <f t="shared" si="192"/>
        <v>190.94200000000001</v>
      </c>
      <c r="F499" s="26">
        <f t="shared" si="203"/>
        <v>193.65285714285716</v>
      </c>
      <c r="G499" s="26">
        <f t="shared" si="204"/>
        <v>200.35923076923078</v>
      </c>
      <c r="H499" s="26">
        <f t="shared" si="205"/>
        <v>205.98757575757577</v>
      </c>
      <c r="I499" s="26">
        <f t="shared" si="200"/>
        <v>187.88399999999999</v>
      </c>
      <c r="J499" s="26">
        <f t="shared" si="187"/>
        <v>187.44746825949599</v>
      </c>
      <c r="K499" s="26">
        <f t="shared" si="188"/>
        <v>183.610497199571</v>
      </c>
      <c r="L499" s="26">
        <f t="shared" si="183"/>
        <v>215.0514985372134</v>
      </c>
      <c r="V499" s="26">
        <f t="shared" si="194"/>
        <v>196.92628927191836</v>
      </c>
      <c r="W499" s="26">
        <f t="shared" si="197"/>
        <v>198.63516502819348</v>
      </c>
      <c r="X499" s="26">
        <f t="shared" si="196"/>
        <v>-1.7088757562751198</v>
      </c>
      <c r="Y499" s="26">
        <f t="shared" si="198"/>
        <v>-0.90520264051320165</v>
      </c>
      <c r="Z499" s="26">
        <v>13303.64</v>
      </c>
      <c r="AA499" s="26">
        <f t="shared" si="184"/>
        <v>218.07109500176463</v>
      </c>
      <c r="AB499" s="27">
        <f t="shared" si="185"/>
        <v>0.21963699665416453</v>
      </c>
      <c r="BK499" s="24">
        <v>44693</v>
      </c>
      <c r="BL499" s="25">
        <v>178.8</v>
      </c>
      <c r="BM499" s="26">
        <f t="shared" si="201"/>
        <v>186.84666666666666</v>
      </c>
      <c r="BN499" s="26">
        <f t="shared" si="186"/>
        <v>190.94200000000001</v>
      </c>
      <c r="BO499" s="26">
        <f t="shared" si="191"/>
        <v>193.65285714285716</v>
      </c>
      <c r="BP499" s="26">
        <f t="shared" si="193"/>
        <v>200.35923076923078</v>
      </c>
      <c r="BQ499" s="26">
        <f t="shared" si="195"/>
        <v>205.98757575757577</v>
      </c>
      <c r="BR499" s="26">
        <f t="shared" si="202"/>
        <v>187.88399999999999</v>
      </c>
      <c r="BS499" s="26">
        <f t="shared" si="189"/>
        <v>187.44746825949599</v>
      </c>
      <c r="BT499" s="26">
        <f t="shared" si="190"/>
        <v>183.610497199571</v>
      </c>
    </row>
    <row r="500" spans="1:72" x14ac:dyDescent="0.2">
      <c r="A500" s="74"/>
      <c r="B500" s="24">
        <v>44694</v>
      </c>
      <c r="C500" s="25">
        <v>187.51</v>
      </c>
      <c r="D500" s="26">
        <f t="shared" si="199"/>
        <v>184.69666666666669</v>
      </c>
      <c r="E500" s="26">
        <f t="shared" si="192"/>
        <v>189.02800000000002</v>
      </c>
      <c r="F500" s="26">
        <f t="shared" si="203"/>
        <v>191.42857142857142</v>
      </c>
      <c r="G500" s="26">
        <f t="shared" si="204"/>
        <v>198.18692307692311</v>
      </c>
      <c r="H500" s="26">
        <f t="shared" si="205"/>
        <v>205.64333333333335</v>
      </c>
      <c r="I500" s="26">
        <f t="shared" si="200"/>
        <v>186.74000000000004</v>
      </c>
      <c r="J500" s="26">
        <f t="shared" si="187"/>
        <v>187.47248095569759</v>
      </c>
      <c r="K500" s="26">
        <f t="shared" si="188"/>
        <v>185.95019887982841</v>
      </c>
      <c r="L500" s="26">
        <f t="shared" si="183"/>
        <v>215.0366598752133</v>
      </c>
      <c r="V500" s="26">
        <f t="shared" si="194"/>
        <v>195.47762938393092</v>
      </c>
      <c r="W500" s="26">
        <f t="shared" si="197"/>
        <v>196.22878636288738</v>
      </c>
      <c r="X500" s="26">
        <f t="shared" si="196"/>
        <v>-0.75115697895645894</v>
      </c>
      <c r="Y500" s="26">
        <f t="shared" si="198"/>
        <v>-0.87439350820185324</v>
      </c>
      <c r="Z500" s="26">
        <v>13379.05</v>
      </c>
      <c r="AA500" s="26">
        <f t="shared" si="184"/>
        <v>218.10429571445414</v>
      </c>
      <c r="AB500" s="27">
        <f t="shared" si="185"/>
        <v>0.16316087523040984</v>
      </c>
      <c r="BK500" s="24">
        <v>44694</v>
      </c>
      <c r="BL500" s="25">
        <v>187.51</v>
      </c>
      <c r="BM500" s="26">
        <f t="shared" si="201"/>
        <v>184.69666666666669</v>
      </c>
      <c r="BN500" s="26">
        <f t="shared" si="186"/>
        <v>189.02800000000002</v>
      </c>
      <c r="BO500" s="26">
        <f t="shared" si="191"/>
        <v>191.42857142857142</v>
      </c>
      <c r="BP500" s="26">
        <f t="shared" si="193"/>
        <v>198.18692307692311</v>
      </c>
      <c r="BQ500" s="26">
        <f t="shared" si="195"/>
        <v>205.64333333333335</v>
      </c>
      <c r="BR500" s="26">
        <f t="shared" si="202"/>
        <v>186.74000000000004</v>
      </c>
      <c r="BS500" s="26">
        <f t="shared" si="189"/>
        <v>187.47248095569759</v>
      </c>
      <c r="BT500" s="26">
        <f t="shared" si="190"/>
        <v>185.95019887982841</v>
      </c>
    </row>
    <row r="501" spans="1:72" x14ac:dyDescent="0.2">
      <c r="A501" s="74"/>
      <c r="B501" s="24">
        <v>44695</v>
      </c>
      <c r="C501" s="25">
        <v>193.55</v>
      </c>
      <c r="D501" s="26">
        <f t="shared" si="199"/>
        <v>186.62</v>
      </c>
      <c r="E501" s="26">
        <f t="shared" si="192"/>
        <v>188.32</v>
      </c>
      <c r="F501" s="26">
        <f t="shared" si="203"/>
        <v>190.82428571428571</v>
      </c>
      <c r="G501" s="26">
        <f t="shared" si="204"/>
        <v>196.64846153846156</v>
      </c>
      <c r="H501" s="26">
        <f t="shared" si="205"/>
        <v>205.53424242424242</v>
      </c>
      <c r="I501" s="26">
        <f t="shared" si="200"/>
        <v>188.24733333333333</v>
      </c>
      <c r="J501" s="26">
        <f t="shared" si="187"/>
        <v>189.90348857341857</v>
      </c>
      <c r="K501" s="26">
        <f t="shared" si="188"/>
        <v>190.51007955193137</v>
      </c>
      <c r="L501" s="26">
        <f t="shared" si="183"/>
        <v>215.0218212132132</v>
      </c>
      <c r="V501" s="26">
        <f t="shared" si="194"/>
        <v>195.18107101717231</v>
      </c>
      <c r="W501" s="26">
        <f t="shared" si="197"/>
        <v>195.33484202215828</v>
      </c>
      <c r="X501" s="26">
        <f t="shared" si="196"/>
        <v>-0.15377100498596974</v>
      </c>
      <c r="Y501" s="26">
        <f t="shared" si="198"/>
        <v>-0.73026900755867663</v>
      </c>
      <c r="Z501" s="26">
        <v>13429.98</v>
      </c>
      <c r="AA501" s="26">
        <f t="shared" si="184"/>
        <v>218.12671863312906</v>
      </c>
      <c r="AB501" s="27">
        <f t="shared" si="185"/>
        <v>0.12697865478237688</v>
      </c>
      <c r="BK501" s="24">
        <v>44695</v>
      </c>
      <c r="BL501" s="25">
        <v>193.55</v>
      </c>
      <c r="BM501" s="26">
        <f t="shared" si="201"/>
        <v>186.62</v>
      </c>
      <c r="BN501" s="26">
        <f t="shared" si="186"/>
        <v>188.32</v>
      </c>
      <c r="BO501" s="26">
        <f t="shared" si="191"/>
        <v>190.82428571428571</v>
      </c>
      <c r="BP501" s="26">
        <f t="shared" si="193"/>
        <v>196.64846153846156</v>
      </c>
      <c r="BQ501" s="26">
        <f t="shared" si="195"/>
        <v>205.53424242424242</v>
      </c>
      <c r="BR501" s="26">
        <f t="shared" si="202"/>
        <v>188.24733333333333</v>
      </c>
      <c r="BS501" s="26">
        <f t="shared" si="189"/>
        <v>189.90348857341857</v>
      </c>
      <c r="BT501" s="26">
        <f t="shared" si="190"/>
        <v>190.51007955193137</v>
      </c>
    </row>
    <row r="502" spans="1:72" x14ac:dyDescent="0.2">
      <c r="A502" s="74"/>
      <c r="B502" s="24">
        <v>44696</v>
      </c>
      <c r="C502" s="25">
        <v>194.1</v>
      </c>
      <c r="D502" s="26">
        <f t="shared" si="199"/>
        <v>191.72</v>
      </c>
      <c r="E502" s="26">
        <f t="shared" si="192"/>
        <v>188.34800000000001</v>
      </c>
      <c r="F502" s="26">
        <f t="shared" si="203"/>
        <v>190.39857142857142</v>
      </c>
      <c r="G502" s="26">
        <f t="shared" si="204"/>
        <v>195.26846153846157</v>
      </c>
      <c r="H502" s="26">
        <f t="shared" si="205"/>
        <v>205.20272727272729</v>
      </c>
      <c r="I502" s="26">
        <f t="shared" si="200"/>
        <v>190.17400000000001</v>
      </c>
      <c r="J502" s="26">
        <f t="shared" si="187"/>
        <v>191.58209314405116</v>
      </c>
      <c r="K502" s="26">
        <f t="shared" si="188"/>
        <v>192.66403182077255</v>
      </c>
      <c r="L502" s="26">
        <f t="shared" si="183"/>
        <v>215.00698255121313</v>
      </c>
      <c r="V502" s="26">
        <f t="shared" si="194"/>
        <v>195.01475239914581</v>
      </c>
      <c r="W502" s="26">
        <f t="shared" si="197"/>
        <v>195.10099168256696</v>
      </c>
      <c r="X502" s="26">
        <f t="shared" si="196"/>
        <v>-8.6239283421150503E-2</v>
      </c>
      <c r="Y502" s="26">
        <f t="shared" si="198"/>
        <v>-0.60146306273117145</v>
      </c>
      <c r="Z502" s="26">
        <v>13124.99</v>
      </c>
      <c r="AA502" s="26">
        <f t="shared" si="184"/>
        <v>217.9924408800039</v>
      </c>
      <c r="AB502" s="27">
        <f t="shared" si="185"/>
        <v>0.12309346151470327</v>
      </c>
      <c r="BK502" s="24">
        <v>44696</v>
      </c>
      <c r="BL502" s="25">
        <v>194.1</v>
      </c>
      <c r="BM502" s="26">
        <f t="shared" si="201"/>
        <v>191.72</v>
      </c>
      <c r="BN502" s="26">
        <f t="shared" si="186"/>
        <v>188.34800000000001</v>
      </c>
      <c r="BO502" s="26">
        <f t="shared" si="191"/>
        <v>190.39857142857142</v>
      </c>
      <c r="BP502" s="26">
        <f t="shared" si="193"/>
        <v>195.26846153846157</v>
      </c>
      <c r="BQ502" s="26">
        <f t="shared" si="195"/>
        <v>205.20272727272729</v>
      </c>
      <c r="BR502" s="26">
        <f t="shared" si="202"/>
        <v>190.17400000000001</v>
      </c>
      <c r="BS502" s="26">
        <f t="shared" si="189"/>
        <v>191.58209314405116</v>
      </c>
      <c r="BT502" s="26">
        <f t="shared" si="190"/>
        <v>192.66403182077255</v>
      </c>
    </row>
    <row r="503" spans="1:72" x14ac:dyDescent="0.2">
      <c r="A503" s="74"/>
      <c r="B503" s="24">
        <v>44697</v>
      </c>
      <c r="C503" s="25">
        <v>188.99</v>
      </c>
      <c r="D503" s="26">
        <f t="shared" si="199"/>
        <v>192.21333333333334</v>
      </c>
      <c r="E503" s="26">
        <f t="shared" si="192"/>
        <v>188.59</v>
      </c>
      <c r="F503" s="26">
        <f t="shared" si="203"/>
        <v>189.24142857142854</v>
      </c>
      <c r="G503" s="26">
        <f t="shared" si="204"/>
        <v>194.21999999999997</v>
      </c>
      <c r="H503" s="26">
        <f t="shared" si="205"/>
        <v>204.74424242424243</v>
      </c>
      <c r="I503" s="26">
        <f t="shared" si="200"/>
        <v>190.38800000000001</v>
      </c>
      <c r="J503" s="26">
        <f t="shared" si="187"/>
        <v>190.54525588643071</v>
      </c>
      <c r="K503" s="26">
        <f t="shared" si="188"/>
        <v>190.45961272830903</v>
      </c>
      <c r="L503" s="26">
        <f t="shared" si="183"/>
        <v>214.99214388921303</v>
      </c>
      <c r="V503" s="26">
        <f t="shared" si="194"/>
        <v>194.08786741466184</v>
      </c>
      <c r="W503" s="26">
        <f t="shared" si="197"/>
        <v>194.56847444365351</v>
      </c>
      <c r="X503" s="26">
        <f t="shared" si="196"/>
        <v>-0.4806070289916704</v>
      </c>
      <c r="Y503" s="26">
        <f t="shared" si="198"/>
        <v>-0.57729185598327126</v>
      </c>
      <c r="Z503" s="26">
        <v>13962.68</v>
      </c>
      <c r="AA503" s="26">
        <f t="shared" si="184"/>
        <v>218.36125012298044</v>
      </c>
      <c r="AB503" s="27">
        <f t="shared" si="185"/>
        <v>0.15541166264342254</v>
      </c>
      <c r="BK503" s="24">
        <v>44697</v>
      </c>
      <c r="BL503" s="25">
        <v>188.99</v>
      </c>
      <c r="BM503" s="26">
        <f t="shared" si="201"/>
        <v>192.21333333333334</v>
      </c>
      <c r="BN503" s="26">
        <f t="shared" si="186"/>
        <v>188.59</v>
      </c>
      <c r="BO503" s="26">
        <f t="shared" si="191"/>
        <v>189.24142857142854</v>
      </c>
      <c r="BP503" s="26">
        <f t="shared" si="193"/>
        <v>194.21999999999997</v>
      </c>
      <c r="BQ503" s="26">
        <f t="shared" si="195"/>
        <v>204.74424242424243</v>
      </c>
      <c r="BR503" s="26">
        <f t="shared" si="202"/>
        <v>190.38800000000001</v>
      </c>
      <c r="BS503" s="26">
        <f t="shared" si="189"/>
        <v>190.54525588643071</v>
      </c>
      <c r="BT503" s="26">
        <f t="shared" si="190"/>
        <v>190.45961272830903</v>
      </c>
    </row>
    <row r="504" spans="1:72" x14ac:dyDescent="0.2">
      <c r="A504" s="74"/>
      <c r="B504" s="24">
        <v>44698</v>
      </c>
      <c r="C504" s="25">
        <v>188.68</v>
      </c>
      <c r="D504" s="26">
        <f t="shared" si="199"/>
        <v>190.59</v>
      </c>
      <c r="E504" s="26">
        <f t="shared" si="192"/>
        <v>190.56599999999997</v>
      </c>
      <c r="F504" s="26">
        <f t="shared" si="203"/>
        <v>188.48714285714286</v>
      </c>
      <c r="G504" s="26">
        <f t="shared" si="204"/>
        <v>193.21461538461534</v>
      </c>
      <c r="H504" s="26">
        <f t="shared" si="205"/>
        <v>204.28818181818184</v>
      </c>
      <c r="I504" s="26">
        <f t="shared" si="200"/>
        <v>190.41799999999998</v>
      </c>
      <c r="J504" s="26">
        <f t="shared" si="187"/>
        <v>189.79915353185845</v>
      </c>
      <c r="K504" s="26">
        <f t="shared" si="188"/>
        <v>189.3918450913236</v>
      </c>
      <c r="L504" s="26">
        <f t="shared" si="183"/>
        <v>214.97730522721292</v>
      </c>
      <c r="V504" s="26">
        <f t="shared" si="194"/>
        <v>193.25588781240617</v>
      </c>
      <c r="W504" s="26">
        <f t="shared" si="197"/>
        <v>193.6872846432054</v>
      </c>
      <c r="X504" s="26">
        <f t="shared" si="196"/>
        <v>-0.43139683079922975</v>
      </c>
      <c r="Y504" s="26">
        <f t="shared" si="198"/>
        <v>-0.548112850946463</v>
      </c>
      <c r="Z504" s="26">
        <v>14082.55</v>
      </c>
      <c r="AA504" s="26">
        <f t="shared" si="184"/>
        <v>218.41402521156402</v>
      </c>
      <c r="AB504" s="27">
        <f t="shared" si="185"/>
        <v>0.15758970326247623</v>
      </c>
      <c r="BK504" s="24">
        <v>44698</v>
      </c>
      <c r="BL504" s="25">
        <v>188.68</v>
      </c>
      <c r="BM504" s="26">
        <f t="shared" si="201"/>
        <v>190.59</v>
      </c>
      <c r="BN504" s="26">
        <f t="shared" si="186"/>
        <v>190.56599999999997</v>
      </c>
      <c r="BO504" s="26">
        <f t="shared" si="191"/>
        <v>188.48714285714286</v>
      </c>
      <c r="BP504" s="26">
        <f t="shared" si="193"/>
        <v>193.21461538461534</v>
      </c>
      <c r="BQ504" s="26">
        <f t="shared" si="195"/>
        <v>204.28818181818184</v>
      </c>
      <c r="BR504" s="26">
        <f t="shared" si="202"/>
        <v>190.41799999999998</v>
      </c>
      <c r="BS504" s="26">
        <f t="shared" si="189"/>
        <v>189.79915353185845</v>
      </c>
      <c r="BT504" s="26">
        <f t="shared" si="190"/>
        <v>189.3918450913236</v>
      </c>
    </row>
    <row r="505" spans="1:72" x14ac:dyDescent="0.2">
      <c r="A505" s="74"/>
      <c r="B505" s="24">
        <v>44699</v>
      </c>
      <c r="C505" s="25">
        <v>192.61</v>
      </c>
      <c r="D505" s="26">
        <f t="shared" si="199"/>
        <v>190.09333333333333</v>
      </c>
      <c r="E505" s="26">
        <f t="shared" si="192"/>
        <v>191.58599999999998</v>
      </c>
      <c r="F505" s="26">
        <f t="shared" si="203"/>
        <v>189.17714285714288</v>
      </c>
      <c r="G505" s="26">
        <f t="shared" si="204"/>
        <v>192.38538461538462</v>
      </c>
      <c r="H505" s="26">
        <f t="shared" si="205"/>
        <v>203.91424242424245</v>
      </c>
      <c r="I505" s="26">
        <f t="shared" si="200"/>
        <v>191.09933333333331</v>
      </c>
      <c r="J505" s="26">
        <f t="shared" si="187"/>
        <v>190.92349211911508</v>
      </c>
      <c r="K505" s="26">
        <f t="shared" si="188"/>
        <v>191.32273803652944</v>
      </c>
      <c r="L505" s="26">
        <f t="shared" si="183"/>
        <v>214.96246656521285</v>
      </c>
      <c r="V505" s="26">
        <f t="shared" si="194"/>
        <v>193.15652045665138</v>
      </c>
      <c r="W505" s="26">
        <f t="shared" si="197"/>
        <v>193.20804427074646</v>
      </c>
      <c r="X505" s="26">
        <f t="shared" si="196"/>
        <v>-5.1523814095077114E-2</v>
      </c>
      <c r="Y505" s="26">
        <f t="shared" si="198"/>
        <v>-0.44879504357618588</v>
      </c>
      <c r="Z505" s="26">
        <v>14051.03</v>
      </c>
      <c r="AA505" s="26">
        <f t="shared" si="184"/>
        <v>218.40014792123156</v>
      </c>
      <c r="AB505" s="27">
        <f t="shared" si="185"/>
        <v>0.13389828109252661</v>
      </c>
      <c r="BK505" s="24">
        <v>44699</v>
      </c>
      <c r="BL505" s="25">
        <v>192.61</v>
      </c>
      <c r="BM505" s="26">
        <f t="shared" si="201"/>
        <v>190.09333333333333</v>
      </c>
      <c r="BN505" s="26">
        <f t="shared" si="186"/>
        <v>191.58599999999998</v>
      </c>
      <c r="BO505" s="26">
        <f t="shared" si="191"/>
        <v>189.17714285714288</v>
      </c>
      <c r="BP505" s="26">
        <f t="shared" si="193"/>
        <v>192.38538461538462</v>
      </c>
      <c r="BQ505" s="26">
        <f t="shared" si="195"/>
        <v>203.91424242424245</v>
      </c>
      <c r="BR505" s="26">
        <f t="shared" si="202"/>
        <v>191.09933333333331</v>
      </c>
      <c r="BS505" s="26">
        <f t="shared" si="189"/>
        <v>190.92349211911508</v>
      </c>
      <c r="BT505" s="26">
        <f t="shared" si="190"/>
        <v>191.32273803652944</v>
      </c>
    </row>
    <row r="506" spans="1:72" x14ac:dyDescent="0.2">
      <c r="A506" s="74"/>
      <c r="B506" s="24">
        <v>44700</v>
      </c>
      <c r="C506" s="25">
        <v>195.18</v>
      </c>
      <c r="D506" s="26">
        <f t="shared" si="199"/>
        <v>192.15666666666667</v>
      </c>
      <c r="E506" s="26">
        <f t="shared" si="192"/>
        <v>191.91199999999998</v>
      </c>
      <c r="F506" s="26">
        <f t="shared" si="203"/>
        <v>191.51714285714289</v>
      </c>
      <c r="G506" s="26">
        <f t="shared" si="204"/>
        <v>191.77769230769229</v>
      </c>
      <c r="H506" s="26">
        <f t="shared" si="205"/>
        <v>203.64090909090913</v>
      </c>
      <c r="I506" s="26">
        <f t="shared" si="200"/>
        <v>192.29733333333334</v>
      </c>
      <c r="J506" s="26">
        <f t="shared" si="187"/>
        <v>192.62609527146907</v>
      </c>
      <c r="K506" s="26">
        <f t="shared" si="188"/>
        <v>193.6370952146118</v>
      </c>
      <c r="L506" s="26">
        <f t="shared" si="183"/>
        <v>214.94762790321275</v>
      </c>
      <c r="V506" s="26">
        <f t="shared" si="194"/>
        <v>193.46782500178193</v>
      </c>
      <c r="W506" s="26">
        <f t="shared" si="197"/>
        <v>193.30640783023276</v>
      </c>
      <c r="X506" s="26">
        <f t="shared" si="196"/>
        <v>0.16141717154917501</v>
      </c>
      <c r="Y506" s="26">
        <f t="shared" si="198"/>
        <v>-0.32675260055111371</v>
      </c>
      <c r="Z506" s="26">
        <v>14090.22</v>
      </c>
      <c r="AA506" s="26">
        <f t="shared" si="184"/>
        <v>218.41740207758085</v>
      </c>
      <c r="AB506" s="27">
        <f t="shared" si="185"/>
        <v>0.11905626640834531</v>
      </c>
      <c r="BK506" s="24">
        <v>44700</v>
      </c>
      <c r="BL506" s="25">
        <v>195.18</v>
      </c>
      <c r="BM506" s="26">
        <f t="shared" si="201"/>
        <v>192.15666666666667</v>
      </c>
      <c r="BN506" s="26">
        <f t="shared" si="186"/>
        <v>191.91199999999998</v>
      </c>
      <c r="BO506" s="26">
        <f t="shared" si="191"/>
        <v>191.51714285714289</v>
      </c>
      <c r="BP506" s="26">
        <f t="shared" si="193"/>
        <v>191.77769230769229</v>
      </c>
      <c r="BQ506" s="26">
        <f t="shared" si="195"/>
        <v>203.64090909090913</v>
      </c>
      <c r="BR506" s="26">
        <f t="shared" si="202"/>
        <v>192.29733333333334</v>
      </c>
      <c r="BS506" s="26">
        <f t="shared" si="189"/>
        <v>192.62609527146907</v>
      </c>
      <c r="BT506" s="26">
        <f t="shared" si="190"/>
        <v>193.6370952146118</v>
      </c>
    </row>
    <row r="507" spans="1:72" x14ac:dyDescent="0.2">
      <c r="A507" s="74"/>
      <c r="B507" s="24">
        <v>44701</v>
      </c>
      <c r="C507" s="25">
        <v>198.77</v>
      </c>
      <c r="D507" s="26">
        <f t="shared" si="199"/>
        <v>195.52</v>
      </c>
      <c r="E507" s="26">
        <f t="shared" si="192"/>
        <v>192.846</v>
      </c>
      <c r="F507" s="26">
        <f t="shared" si="203"/>
        <v>193.12571428571428</v>
      </c>
      <c r="G507" s="26">
        <f t="shared" si="204"/>
        <v>191.85384615384615</v>
      </c>
      <c r="H507" s="26">
        <f t="shared" si="205"/>
        <v>203.41575757575762</v>
      </c>
      <c r="I507" s="26">
        <f t="shared" si="200"/>
        <v>194.58333333333334</v>
      </c>
      <c r="J507" s="26">
        <f t="shared" si="187"/>
        <v>195.08365716288145</v>
      </c>
      <c r="K507" s="26">
        <f t="shared" si="188"/>
        <v>196.71683808584473</v>
      </c>
      <c r="L507" s="26">
        <f t="shared" si="183"/>
        <v>214.93278924121265</v>
      </c>
      <c r="V507" s="26">
        <f t="shared" si="194"/>
        <v>194.28354423227702</v>
      </c>
      <c r="W507" s="26">
        <f t="shared" si="197"/>
        <v>193.86057870535365</v>
      </c>
      <c r="X507" s="26">
        <f t="shared" si="196"/>
        <v>0.42296552692337741</v>
      </c>
      <c r="Y507" s="26">
        <f t="shared" si="198"/>
        <v>-0.17680897505621548</v>
      </c>
      <c r="Z507" s="26">
        <v>14138.78</v>
      </c>
      <c r="AA507" s="26">
        <f t="shared" si="184"/>
        <v>218.43878155786467</v>
      </c>
      <c r="AB507" s="27">
        <f t="shared" si="185"/>
        <v>9.8952465451852198E-2</v>
      </c>
      <c r="BK507" s="24">
        <v>44701</v>
      </c>
      <c r="BL507" s="25">
        <v>198.77</v>
      </c>
      <c r="BM507" s="26">
        <f t="shared" si="201"/>
        <v>195.52</v>
      </c>
      <c r="BN507" s="26">
        <f t="shared" si="186"/>
        <v>192.846</v>
      </c>
      <c r="BO507" s="26">
        <f t="shared" si="191"/>
        <v>193.12571428571428</v>
      </c>
      <c r="BP507" s="26">
        <f t="shared" si="193"/>
        <v>191.85384615384615</v>
      </c>
      <c r="BQ507" s="26">
        <f t="shared" si="195"/>
        <v>203.41575757575762</v>
      </c>
      <c r="BR507" s="26">
        <f t="shared" si="202"/>
        <v>194.58333333333334</v>
      </c>
      <c r="BS507" s="26">
        <f t="shared" si="189"/>
        <v>195.08365716288145</v>
      </c>
      <c r="BT507" s="26">
        <f t="shared" si="190"/>
        <v>196.71683808584473</v>
      </c>
    </row>
    <row r="508" spans="1:72" x14ac:dyDescent="0.2">
      <c r="A508" s="74"/>
      <c r="B508" s="24">
        <v>44702</v>
      </c>
      <c r="C508" s="25">
        <v>201.16</v>
      </c>
      <c r="D508" s="26">
        <f t="shared" si="199"/>
        <v>198.37</v>
      </c>
      <c r="E508" s="26">
        <f t="shared" si="192"/>
        <v>195.28</v>
      </c>
      <c r="F508" s="26">
        <f t="shared" si="203"/>
        <v>194.21285714285713</v>
      </c>
      <c r="G508" s="26">
        <f t="shared" si="204"/>
        <v>192.16769230769231</v>
      </c>
      <c r="H508" s="26">
        <f t="shared" si="205"/>
        <v>203.27636363636367</v>
      </c>
      <c r="I508" s="26">
        <f t="shared" si="200"/>
        <v>197.35466666666667</v>
      </c>
      <c r="J508" s="26">
        <f t="shared" si="187"/>
        <v>197.51419429772886</v>
      </c>
      <c r="K508" s="26">
        <f t="shared" si="188"/>
        <v>199.3827352343379</v>
      </c>
      <c r="L508" s="26">
        <f t="shared" si="183"/>
        <v>214.91795057921257</v>
      </c>
      <c r="V508" s="26">
        <f t="shared" si="194"/>
        <v>195.34146050423439</v>
      </c>
      <c r="W508" s="26">
        <f t="shared" si="197"/>
        <v>194.79291132618241</v>
      </c>
      <c r="X508" s="26">
        <f t="shared" si="196"/>
        <v>0.54854917805198511</v>
      </c>
      <c r="Y508" s="26">
        <f t="shared" si="198"/>
        <v>-3.1737344434575362E-2</v>
      </c>
      <c r="Z508" s="26">
        <v>14016.81</v>
      </c>
      <c r="AA508" s="26">
        <f t="shared" si="184"/>
        <v>218.38508190361804</v>
      </c>
      <c r="AB508" s="27">
        <f t="shared" si="185"/>
        <v>8.562876269446236E-2</v>
      </c>
      <c r="BK508" s="24">
        <v>44702</v>
      </c>
      <c r="BL508" s="25">
        <v>201.16</v>
      </c>
      <c r="BM508" s="26">
        <f t="shared" si="201"/>
        <v>198.37</v>
      </c>
      <c r="BN508" s="26">
        <f t="shared" si="186"/>
        <v>195.28</v>
      </c>
      <c r="BO508" s="26">
        <f t="shared" si="191"/>
        <v>194.21285714285713</v>
      </c>
      <c r="BP508" s="26">
        <f t="shared" si="193"/>
        <v>192.16769230769231</v>
      </c>
      <c r="BQ508" s="26">
        <f t="shared" si="195"/>
        <v>203.27636363636367</v>
      </c>
      <c r="BR508" s="26">
        <f t="shared" si="202"/>
        <v>197.35466666666667</v>
      </c>
      <c r="BS508" s="26">
        <f t="shared" si="189"/>
        <v>197.51419429772886</v>
      </c>
      <c r="BT508" s="26">
        <f t="shared" si="190"/>
        <v>199.3827352343379</v>
      </c>
    </row>
    <row r="509" spans="1:72" x14ac:dyDescent="0.2">
      <c r="A509" s="74"/>
      <c r="B509" s="24">
        <v>44703</v>
      </c>
      <c r="C509" s="25">
        <v>202.83</v>
      </c>
      <c r="D509" s="26">
        <f t="shared" si="199"/>
        <v>200.92</v>
      </c>
      <c r="E509" s="26">
        <f t="shared" si="192"/>
        <v>198.11</v>
      </c>
      <c r="F509" s="26">
        <f t="shared" si="203"/>
        <v>195.46</v>
      </c>
      <c r="G509" s="26">
        <f t="shared" si="204"/>
        <v>192.60923076923078</v>
      </c>
      <c r="H509" s="26">
        <f t="shared" si="205"/>
        <v>202.91515151515154</v>
      </c>
      <c r="I509" s="26">
        <f t="shared" si="200"/>
        <v>199.87133333333335</v>
      </c>
      <c r="J509" s="26">
        <f t="shared" si="187"/>
        <v>199.64051657863732</v>
      </c>
      <c r="K509" s="26">
        <f t="shared" si="188"/>
        <v>201.45109409373518</v>
      </c>
      <c r="L509" s="26">
        <f t="shared" si="183"/>
        <v>214.90311191721247</v>
      </c>
      <c r="V509" s="26">
        <f t="shared" si="194"/>
        <v>196.49354350358294</v>
      </c>
      <c r="W509" s="26">
        <f t="shared" si="197"/>
        <v>195.89616713355036</v>
      </c>
      <c r="X509" s="26">
        <f t="shared" si="196"/>
        <v>0.5973763700325776</v>
      </c>
      <c r="Y509" s="26">
        <f t="shared" si="198"/>
        <v>9.4085398458855246E-2</v>
      </c>
      <c r="Z509" s="26">
        <v>13818.41</v>
      </c>
      <c r="AA509" s="26">
        <f t="shared" si="184"/>
        <v>218.29773246193133</v>
      </c>
      <c r="AB509" s="27">
        <f t="shared" si="185"/>
        <v>7.625958912355825E-2</v>
      </c>
      <c r="BK509" s="24">
        <v>44703</v>
      </c>
      <c r="BL509" s="25">
        <v>202.83</v>
      </c>
      <c r="BM509" s="26">
        <f t="shared" si="201"/>
        <v>200.92</v>
      </c>
      <c r="BN509" s="26">
        <f t="shared" si="186"/>
        <v>198.11</v>
      </c>
      <c r="BO509" s="26">
        <f t="shared" si="191"/>
        <v>195.46</v>
      </c>
      <c r="BP509" s="26">
        <f t="shared" si="193"/>
        <v>192.60923076923078</v>
      </c>
      <c r="BQ509" s="26">
        <f t="shared" si="195"/>
        <v>202.91515151515154</v>
      </c>
      <c r="BR509" s="26">
        <f t="shared" si="202"/>
        <v>199.87133333333335</v>
      </c>
      <c r="BS509" s="26">
        <f t="shared" si="189"/>
        <v>199.64051657863732</v>
      </c>
      <c r="BT509" s="26">
        <f t="shared" si="190"/>
        <v>201.45109409373518</v>
      </c>
    </row>
    <row r="510" spans="1:72" x14ac:dyDescent="0.2">
      <c r="A510" s="74"/>
      <c r="B510" s="24">
        <v>44704</v>
      </c>
      <c r="C510" s="25">
        <v>201.5</v>
      </c>
      <c r="D510" s="26">
        <f t="shared" si="199"/>
        <v>201.83</v>
      </c>
      <c r="E510" s="26">
        <f t="shared" si="192"/>
        <v>199.88800000000001</v>
      </c>
      <c r="F510" s="26">
        <f t="shared" si="203"/>
        <v>197.24714285714285</v>
      </c>
      <c r="G510" s="26">
        <f t="shared" si="204"/>
        <v>193.18923076923076</v>
      </c>
      <c r="H510" s="26">
        <f t="shared" si="205"/>
        <v>202.51000000000002</v>
      </c>
      <c r="I510" s="26">
        <f t="shared" si="200"/>
        <v>201.00133333333332</v>
      </c>
      <c r="J510" s="26">
        <f t="shared" si="187"/>
        <v>200.38430994718237</v>
      </c>
      <c r="K510" s="26">
        <f t="shared" si="188"/>
        <v>201.48043763749405</v>
      </c>
      <c r="L510" s="26">
        <f t="shared" si="183"/>
        <v>214.88827325521237</v>
      </c>
      <c r="V510" s="26">
        <f t="shared" si="194"/>
        <v>197.26376757995479</v>
      </c>
      <c r="W510" s="26">
        <f t="shared" si="197"/>
        <v>196.86439213294716</v>
      </c>
      <c r="X510" s="26">
        <f t="shared" si="196"/>
        <v>0.39937544700762828</v>
      </c>
      <c r="Y510" s="26">
        <f t="shared" si="198"/>
        <v>0.15514340816860986</v>
      </c>
      <c r="Z510" s="26">
        <v>13950.22</v>
      </c>
      <c r="AA510" s="26">
        <f t="shared" si="184"/>
        <v>218.3557643667132</v>
      </c>
      <c r="AB510" s="27">
        <f t="shared" si="185"/>
        <v>8.3651436063092818E-2</v>
      </c>
      <c r="BK510" s="24">
        <v>44704</v>
      </c>
      <c r="BL510" s="25">
        <v>201.5</v>
      </c>
      <c r="BM510" s="26">
        <f t="shared" si="201"/>
        <v>201.83</v>
      </c>
      <c r="BN510" s="26">
        <f t="shared" si="186"/>
        <v>199.88800000000001</v>
      </c>
      <c r="BO510" s="26">
        <f t="shared" si="191"/>
        <v>197.24714285714285</v>
      </c>
      <c r="BP510" s="26">
        <f t="shared" si="193"/>
        <v>193.18923076923076</v>
      </c>
      <c r="BQ510" s="26">
        <f t="shared" si="195"/>
        <v>202.51000000000002</v>
      </c>
      <c r="BR510" s="26">
        <f t="shared" si="202"/>
        <v>201.00133333333332</v>
      </c>
      <c r="BS510" s="26">
        <f t="shared" si="189"/>
        <v>200.38430994718237</v>
      </c>
      <c r="BT510" s="26">
        <f t="shared" si="190"/>
        <v>201.48043763749405</v>
      </c>
    </row>
    <row r="511" spans="1:72" x14ac:dyDescent="0.2">
      <c r="A511" s="74"/>
      <c r="B511" s="24">
        <v>44705</v>
      </c>
      <c r="C511" s="25">
        <v>200.23</v>
      </c>
      <c r="D511" s="26">
        <f t="shared" si="199"/>
        <v>201.52</v>
      </c>
      <c r="E511" s="26">
        <f t="shared" si="192"/>
        <v>200.898</v>
      </c>
      <c r="F511" s="26">
        <f t="shared" si="203"/>
        <v>198.89714285714288</v>
      </c>
      <c r="G511" s="26">
        <f t="shared" si="204"/>
        <v>194.14692307692309</v>
      </c>
      <c r="H511" s="26">
        <f t="shared" si="205"/>
        <v>202.1509090909091</v>
      </c>
      <c r="I511" s="26">
        <f t="shared" si="200"/>
        <v>201.11533333333335</v>
      </c>
      <c r="J511" s="26">
        <f t="shared" si="187"/>
        <v>200.3225859683094</v>
      </c>
      <c r="K511" s="26">
        <f t="shared" si="188"/>
        <v>200.73017505499763</v>
      </c>
      <c r="L511" s="26">
        <f t="shared" si="183"/>
        <v>214.87343459321229</v>
      </c>
      <c r="V511" s="26">
        <f t="shared" si="194"/>
        <v>197.72011102919251</v>
      </c>
      <c r="W511" s="26">
        <f t="shared" si="197"/>
        <v>197.48348849995813</v>
      </c>
      <c r="X511" s="26">
        <f t="shared" si="196"/>
        <v>0.23662252923438132</v>
      </c>
      <c r="Y511" s="26">
        <f t="shared" si="198"/>
        <v>0.17143923238176417</v>
      </c>
      <c r="Z511" s="26">
        <v>13786.27</v>
      </c>
      <c r="AA511" s="26">
        <f t="shared" si="184"/>
        <v>218.28358220459359</v>
      </c>
      <c r="AB511" s="27">
        <f t="shared" si="185"/>
        <v>9.0164222167475383E-2</v>
      </c>
      <c r="BK511" s="24">
        <v>44705</v>
      </c>
      <c r="BL511" s="25">
        <v>200.23</v>
      </c>
      <c r="BM511" s="26">
        <f t="shared" si="201"/>
        <v>201.52</v>
      </c>
      <c r="BN511" s="26">
        <f t="shared" si="186"/>
        <v>200.898</v>
      </c>
      <c r="BO511" s="26">
        <f t="shared" si="191"/>
        <v>198.89714285714288</v>
      </c>
      <c r="BP511" s="26">
        <f t="shared" si="193"/>
        <v>194.14692307692309</v>
      </c>
      <c r="BQ511" s="26">
        <f t="shared" si="195"/>
        <v>202.1509090909091</v>
      </c>
      <c r="BR511" s="26">
        <f t="shared" si="202"/>
        <v>201.11533333333335</v>
      </c>
      <c r="BS511" s="26">
        <f t="shared" si="189"/>
        <v>200.3225859683094</v>
      </c>
      <c r="BT511" s="26">
        <f t="shared" si="190"/>
        <v>200.73017505499763</v>
      </c>
    </row>
    <row r="512" spans="1:72" x14ac:dyDescent="0.2">
      <c r="A512" s="74"/>
      <c r="B512" s="24">
        <v>44706</v>
      </c>
      <c r="C512" s="25">
        <v>194.61</v>
      </c>
      <c r="D512" s="26">
        <f t="shared" si="199"/>
        <v>198.78</v>
      </c>
      <c r="E512" s="26">
        <f t="shared" si="192"/>
        <v>200.066</v>
      </c>
      <c r="F512" s="26">
        <f t="shared" si="203"/>
        <v>199.18285714285716</v>
      </c>
      <c r="G512" s="26">
        <f t="shared" si="204"/>
        <v>195.36307692307693</v>
      </c>
      <c r="H512" s="26">
        <f t="shared" si="205"/>
        <v>201.61181818181819</v>
      </c>
      <c r="I512" s="26">
        <f t="shared" si="200"/>
        <v>199.01933333333332</v>
      </c>
      <c r="J512" s="26">
        <f t="shared" si="187"/>
        <v>198.03755158098562</v>
      </c>
      <c r="K512" s="26">
        <f t="shared" si="188"/>
        <v>197.05807002199907</v>
      </c>
      <c r="L512" s="26">
        <f t="shared" si="183"/>
        <v>214.85859593121219</v>
      </c>
      <c r="V512" s="26">
        <f t="shared" si="194"/>
        <v>197.24163240931674</v>
      </c>
      <c r="W512" s="26">
        <f t="shared" si="197"/>
        <v>197.48973243443751</v>
      </c>
      <c r="X512" s="26">
        <f t="shared" si="196"/>
        <v>-0.24810002512077745</v>
      </c>
      <c r="Y512" s="26">
        <f t="shared" si="198"/>
        <v>8.7531380881255852E-2</v>
      </c>
      <c r="Z512" s="26">
        <v>13914.77</v>
      </c>
      <c r="AA512" s="26">
        <f t="shared" si="184"/>
        <v>218.3401568177828</v>
      </c>
      <c r="AB512" s="27">
        <f t="shared" si="185"/>
        <v>0.12193698585778112</v>
      </c>
      <c r="BK512" s="24">
        <v>44706</v>
      </c>
      <c r="BL512" s="25">
        <v>194.61</v>
      </c>
      <c r="BM512" s="26">
        <f t="shared" si="201"/>
        <v>198.78</v>
      </c>
      <c r="BN512" s="26">
        <f t="shared" si="186"/>
        <v>200.066</v>
      </c>
      <c r="BO512" s="26">
        <f t="shared" si="191"/>
        <v>199.18285714285716</v>
      </c>
      <c r="BP512" s="26">
        <f t="shared" si="193"/>
        <v>195.36307692307693</v>
      </c>
      <c r="BQ512" s="26">
        <f t="shared" si="195"/>
        <v>201.61181818181819</v>
      </c>
      <c r="BR512" s="26">
        <f t="shared" si="202"/>
        <v>199.01933333333332</v>
      </c>
      <c r="BS512" s="26">
        <f t="shared" si="189"/>
        <v>198.03755158098562</v>
      </c>
      <c r="BT512" s="26">
        <f t="shared" si="190"/>
        <v>197.05807002199907</v>
      </c>
    </row>
    <row r="513" spans="1:72" x14ac:dyDescent="0.2">
      <c r="A513" s="74"/>
      <c r="B513" s="24">
        <v>44707</v>
      </c>
      <c r="C513" s="25">
        <v>199.05</v>
      </c>
      <c r="D513" s="26">
        <f t="shared" si="199"/>
        <v>197.96333333333337</v>
      </c>
      <c r="E513" s="26">
        <f t="shared" si="192"/>
        <v>199.64400000000001</v>
      </c>
      <c r="F513" s="26">
        <f t="shared" si="203"/>
        <v>199.73571428571427</v>
      </c>
      <c r="G513" s="26">
        <f t="shared" si="204"/>
        <v>196.25076923076924</v>
      </c>
      <c r="H513" s="26">
        <f t="shared" si="205"/>
        <v>201.22757575757578</v>
      </c>
      <c r="I513" s="26">
        <f t="shared" si="200"/>
        <v>198.68066666666667</v>
      </c>
      <c r="J513" s="26">
        <f t="shared" si="187"/>
        <v>198.44253094859135</v>
      </c>
      <c r="K513" s="26">
        <f t="shared" si="188"/>
        <v>198.25322800879962</v>
      </c>
      <c r="L513" s="26">
        <f t="shared" si="183"/>
        <v>214.84375726921209</v>
      </c>
      <c r="V513" s="26">
        <f t="shared" si="194"/>
        <v>197.51984280788338</v>
      </c>
      <c r="W513" s="26">
        <f t="shared" si="197"/>
        <v>197.37558556418216</v>
      </c>
      <c r="X513" s="26">
        <f t="shared" si="196"/>
        <v>0.14425724370121884</v>
      </c>
      <c r="Y513" s="26">
        <f t="shared" si="198"/>
        <v>9.8876553445248455E-2</v>
      </c>
      <c r="Z513" s="26">
        <v>14052.34</v>
      </c>
      <c r="AA513" s="26">
        <f t="shared" si="184"/>
        <v>218.40072467409752</v>
      </c>
      <c r="AB513" s="27">
        <f t="shared" si="185"/>
        <v>9.721539650388096E-2</v>
      </c>
      <c r="BK513" s="24">
        <v>44707</v>
      </c>
      <c r="BL513" s="25">
        <v>199.05</v>
      </c>
      <c r="BM513" s="26">
        <f t="shared" si="201"/>
        <v>197.96333333333337</v>
      </c>
      <c r="BN513" s="26">
        <f t="shared" si="186"/>
        <v>199.64400000000001</v>
      </c>
      <c r="BO513" s="26">
        <f t="shared" si="191"/>
        <v>199.73571428571427</v>
      </c>
      <c r="BP513" s="26">
        <f t="shared" si="193"/>
        <v>196.25076923076924</v>
      </c>
      <c r="BQ513" s="26">
        <f t="shared" si="195"/>
        <v>201.22757575757578</v>
      </c>
      <c r="BR513" s="26">
        <f t="shared" si="202"/>
        <v>198.68066666666667</v>
      </c>
      <c r="BS513" s="26">
        <f t="shared" si="189"/>
        <v>198.44253094859135</v>
      </c>
      <c r="BT513" s="26">
        <f t="shared" si="190"/>
        <v>198.25322800879962</v>
      </c>
    </row>
    <row r="514" spans="1:72" x14ac:dyDescent="0.2">
      <c r="A514" s="74"/>
      <c r="B514" s="24">
        <v>44708</v>
      </c>
      <c r="C514" s="25">
        <v>199.63</v>
      </c>
      <c r="D514" s="26">
        <f t="shared" si="199"/>
        <v>197.76333333333332</v>
      </c>
      <c r="E514" s="26">
        <f t="shared" si="192"/>
        <v>199.00400000000002</v>
      </c>
      <c r="F514" s="26">
        <f t="shared" si="203"/>
        <v>199.85857142857145</v>
      </c>
      <c r="G514" s="26">
        <f t="shared" si="204"/>
        <v>196.71846153846155</v>
      </c>
      <c r="H514" s="26">
        <f t="shared" si="205"/>
        <v>200.81303030303033</v>
      </c>
      <c r="I514" s="26">
        <f t="shared" si="200"/>
        <v>198.67599999999999</v>
      </c>
      <c r="J514" s="26">
        <f t="shared" si="187"/>
        <v>198.91751856915482</v>
      </c>
      <c r="K514" s="26">
        <f t="shared" si="188"/>
        <v>199.07929120351986</v>
      </c>
      <c r="L514" s="26">
        <f t="shared" si="183"/>
        <v>214.82891860721202</v>
      </c>
      <c r="V514" s="26">
        <f t="shared" si="194"/>
        <v>197.84448237590132</v>
      </c>
      <c r="W514" s="26">
        <f t="shared" si="197"/>
        <v>197.67615074804019</v>
      </c>
      <c r="X514" s="26">
        <f t="shared" si="196"/>
        <v>0.16833162786113576</v>
      </c>
      <c r="Y514" s="26">
        <f t="shared" si="198"/>
        <v>0.11276756832842592</v>
      </c>
      <c r="Z514" s="26">
        <v>14038.76</v>
      </c>
      <c r="AA514" s="26">
        <f t="shared" si="184"/>
        <v>218.39474581614337</v>
      </c>
      <c r="AB514" s="27">
        <f t="shared" si="185"/>
        <v>9.3997624686386685E-2</v>
      </c>
      <c r="BK514" s="24">
        <v>44708</v>
      </c>
      <c r="BL514" s="25">
        <v>199.63</v>
      </c>
      <c r="BM514" s="26">
        <f t="shared" si="201"/>
        <v>197.76333333333332</v>
      </c>
      <c r="BN514" s="26">
        <f t="shared" si="186"/>
        <v>199.00400000000002</v>
      </c>
      <c r="BO514" s="26">
        <f t="shared" si="191"/>
        <v>199.85857142857145</v>
      </c>
      <c r="BP514" s="26">
        <f t="shared" si="193"/>
        <v>196.71846153846155</v>
      </c>
      <c r="BQ514" s="26">
        <f t="shared" si="195"/>
        <v>200.81303030303033</v>
      </c>
      <c r="BR514" s="26">
        <f t="shared" si="202"/>
        <v>198.67599999999999</v>
      </c>
      <c r="BS514" s="26">
        <f t="shared" si="189"/>
        <v>198.91751856915482</v>
      </c>
      <c r="BT514" s="26">
        <f t="shared" si="190"/>
        <v>199.07929120351986</v>
      </c>
    </row>
    <row r="515" spans="1:72" x14ac:dyDescent="0.2">
      <c r="A515" s="74"/>
      <c r="B515" s="24">
        <v>44709</v>
      </c>
      <c r="C515" s="25">
        <v>206.12</v>
      </c>
      <c r="D515" s="26">
        <f t="shared" si="199"/>
        <v>201.6</v>
      </c>
      <c r="E515" s="26">
        <f t="shared" si="192"/>
        <v>199.92800000000003</v>
      </c>
      <c r="F515" s="26">
        <f t="shared" si="203"/>
        <v>200.56714285714284</v>
      </c>
      <c r="G515" s="26">
        <f t="shared" si="204"/>
        <v>197.64307692307693</v>
      </c>
      <c r="H515" s="26">
        <f t="shared" si="205"/>
        <v>200.53909090909093</v>
      </c>
      <c r="I515" s="26">
        <f t="shared" si="200"/>
        <v>201.04799999999997</v>
      </c>
      <c r="J515" s="26">
        <f t="shared" si="187"/>
        <v>201.7985111414929</v>
      </c>
      <c r="K515" s="26">
        <f t="shared" si="188"/>
        <v>203.30371648140795</v>
      </c>
      <c r="L515" s="26">
        <f t="shared" si="183"/>
        <v>214.81407994521192</v>
      </c>
      <c r="V515" s="26">
        <f t="shared" si="194"/>
        <v>199.11763893345497</v>
      </c>
      <c r="W515" s="26">
        <f t="shared" si="197"/>
        <v>198.45748368139013</v>
      </c>
      <c r="X515" s="26">
        <f t="shared" si="196"/>
        <v>0.66015525206483971</v>
      </c>
      <c r="Y515" s="26">
        <f t="shared" si="198"/>
        <v>0.22224510507570869</v>
      </c>
      <c r="Z515" s="26">
        <v>13857.84</v>
      </c>
      <c r="AA515" s="26">
        <f t="shared" si="184"/>
        <v>218.31509228292785</v>
      </c>
      <c r="AB515" s="27">
        <f t="shared" si="185"/>
        <v>5.9165012046030689E-2</v>
      </c>
      <c r="BK515" s="24">
        <v>44709</v>
      </c>
      <c r="BL515" s="25">
        <v>206.12</v>
      </c>
      <c r="BM515" s="26">
        <f t="shared" si="201"/>
        <v>201.6</v>
      </c>
      <c r="BN515" s="26">
        <f t="shared" si="186"/>
        <v>199.92800000000003</v>
      </c>
      <c r="BO515" s="26">
        <f t="shared" si="191"/>
        <v>200.56714285714284</v>
      </c>
      <c r="BP515" s="26">
        <f t="shared" si="193"/>
        <v>197.64307692307693</v>
      </c>
      <c r="BQ515" s="26">
        <f t="shared" si="195"/>
        <v>200.53909090909093</v>
      </c>
      <c r="BR515" s="26">
        <f t="shared" si="202"/>
        <v>201.04799999999997</v>
      </c>
      <c r="BS515" s="26">
        <f t="shared" si="189"/>
        <v>201.7985111414929</v>
      </c>
      <c r="BT515" s="26">
        <f t="shared" si="190"/>
        <v>203.30371648140795</v>
      </c>
    </row>
    <row r="516" spans="1:72" x14ac:dyDescent="0.2">
      <c r="A516" s="74"/>
      <c r="B516" s="24">
        <v>44710</v>
      </c>
      <c r="C516" s="25">
        <v>206.57</v>
      </c>
      <c r="D516" s="26">
        <f t="shared" si="199"/>
        <v>204.10666666666665</v>
      </c>
      <c r="E516" s="26">
        <f t="shared" si="192"/>
        <v>201.196</v>
      </c>
      <c r="F516" s="26">
        <f t="shared" si="203"/>
        <v>201.10142857142858</v>
      </c>
      <c r="G516" s="26">
        <f t="shared" si="204"/>
        <v>198.99538461538461</v>
      </c>
      <c r="H516" s="26">
        <f t="shared" si="205"/>
        <v>200.22787878787881</v>
      </c>
      <c r="I516" s="26">
        <f t="shared" si="200"/>
        <v>203.262</v>
      </c>
      <c r="J516" s="26">
        <f t="shared" si="187"/>
        <v>203.70710668489573</v>
      </c>
      <c r="K516" s="26">
        <f t="shared" si="188"/>
        <v>205.2634865925632</v>
      </c>
      <c r="L516" s="26">
        <f t="shared" ref="L516:L579" si="206">$N$20+$N$21*A1123</f>
        <v>214.79924128321181</v>
      </c>
      <c r="V516" s="26">
        <f t="shared" si="194"/>
        <v>200.26415602061573</v>
      </c>
      <c r="W516" s="26">
        <f t="shared" si="197"/>
        <v>199.66966567912499</v>
      </c>
      <c r="X516" s="26">
        <f t="shared" si="196"/>
        <v>0.59449034149074009</v>
      </c>
      <c r="Y516" s="26">
        <f t="shared" si="198"/>
        <v>0.29669415235871499</v>
      </c>
      <c r="Z516" s="26">
        <v>13996.1</v>
      </c>
      <c r="AA516" s="26">
        <f t="shared" ref="AA516:AA579" si="207">$AD$20+$AD$21*Z516</f>
        <v>218.37596392510326</v>
      </c>
      <c r="AB516" s="27">
        <f t="shared" si="185"/>
        <v>5.715236445322782E-2</v>
      </c>
      <c r="BK516" s="24">
        <v>44710</v>
      </c>
      <c r="BL516" s="25">
        <v>206.57</v>
      </c>
      <c r="BM516" s="26">
        <f t="shared" si="201"/>
        <v>204.10666666666665</v>
      </c>
      <c r="BN516" s="26">
        <f t="shared" si="186"/>
        <v>201.196</v>
      </c>
      <c r="BO516" s="26">
        <f t="shared" si="191"/>
        <v>201.10142857142858</v>
      </c>
      <c r="BP516" s="26">
        <f t="shared" si="193"/>
        <v>198.99538461538461</v>
      </c>
      <c r="BQ516" s="26">
        <f t="shared" si="195"/>
        <v>200.22787878787881</v>
      </c>
      <c r="BR516" s="26">
        <f t="shared" si="202"/>
        <v>203.262</v>
      </c>
      <c r="BS516" s="26">
        <f t="shared" si="189"/>
        <v>203.70710668489573</v>
      </c>
      <c r="BT516" s="26">
        <f t="shared" si="190"/>
        <v>205.2634865925632</v>
      </c>
    </row>
    <row r="517" spans="1:72" x14ac:dyDescent="0.2">
      <c r="A517" s="74"/>
      <c r="B517" s="24">
        <v>44711</v>
      </c>
      <c r="C517" s="25">
        <v>206.21</v>
      </c>
      <c r="D517" s="26">
        <f t="shared" si="199"/>
        <v>206.29999999999998</v>
      </c>
      <c r="E517" s="26">
        <f t="shared" si="192"/>
        <v>203.51599999999999</v>
      </c>
      <c r="F517" s="26">
        <f t="shared" si="203"/>
        <v>201.77428571428572</v>
      </c>
      <c r="G517" s="26">
        <f t="shared" si="204"/>
        <v>200.34384615384619</v>
      </c>
      <c r="H517" s="26">
        <f t="shared" si="205"/>
        <v>199.86181818181819</v>
      </c>
      <c r="I517" s="26">
        <f t="shared" si="200"/>
        <v>204.93333333333334</v>
      </c>
      <c r="J517" s="26">
        <f t="shared" si="187"/>
        <v>204.70826401093746</v>
      </c>
      <c r="K517" s="26">
        <f t="shared" si="188"/>
        <v>205.83139463702528</v>
      </c>
      <c r="L517" s="26">
        <f t="shared" si="206"/>
        <v>214.78440262121174</v>
      </c>
      <c r="V517" s="26">
        <f t="shared" si="194"/>
        <v>201.17890124821332</v>
      </c>
      <c r="W517" s="26">
        <f t="shared" si="197"/>
        <v>200.70458890797752</v>
      </c>
      <c r="X517" s="26">
        <f t="shared" si="196"/>
        <v>0.47431234023579805</v>
      </c>
      <c r="Y517" s="26">
        <f t="shared" si="198"/>
        <v>0.33221778993413165</v>
      </c>
      <c r="Z517" s="26">
        <v>13246.87</v>
      </c>
      <c r="AA517" s="26">
        <f t="shared" si="207"/>
        <v>218.04610091000782</v>
      </c>
      <c r="AB517" s="27">
        <f t="shared" ref="AB517:AB580" si="208">(AA517-C517)/C517</f>
        <v>5.7398287716443501E-2</v>
      </c>
      <c r="BK517" s="24">
        <v>44711</v>
      </c>
      <c r="BL517" s="25">
        <v>206.21</v>
      </c>
      <c r="BM517" s="26">
        <f t="shared" si="201"/>
        <v>206.29999999999998</v>
      </c>
      <c r="BN517" s="26">
        <f t="shared" ref="BN517:BN548" si="209">AVERAGE(BL513:BL517)</f>
        <v>203.51599999999999</v>
      </c>
      <c r="BO517" s="26">
        <f t="shared" si="191"/>
        <v>201.77428571428572</v>
      </c>
      <c r="BP517" s="26">
        <f t="shared" si="193"/>
        <v>200.34384615384619</v>
      </c>
      <c r="BQ517" s="26">
        <f t="shared" si="195"/>
        <v>199.86181818181819</v>
      </c>
      <c r="BR517" s="26">
        <f t="shared" si="202"/>
        <v>204.93333333333334</v>
      </c>
      <c r="BS517" s="26">
        <f t="shared" si="189"/>
        <v>204.70826401093746</v>
      </c>
      <c r="BT517" s="26">
        <f t="shared" si="190"/>
        <v>205.83139463702528</v>
      </c>
    </row>
    <row r="518" spans="1:72" x14ac:dyDescent="0.2">
      <c r="A518" s="74"/>
      <c r="B518" s="24">
        <v>44712</v>
      </c>
      <c r="C518" s="25">
        <v>207.72</v>
      </c>
      <c r="D518" s="26">
        <f t="shared" si="199"/>
        <v>206.83333333333334</v>
      </c>
      <c r="E518" s="26">
        <f t="shared" si="192"/>
        <v>205.25</v>
      </c>
      <c r="F518" s="26">
        <f t="shared" si="203"/>
        <v>202.84428571428572</v>
      </c>
      <c r="G518" s="26">
        <f t="shared" si="204"/>
        <v>201.50615384615384</v>
      </c>
      <c r="H518" s="26">
        <f t="shared" si="205"/>
        <v>199.58878787878788</v>
      </c>
      <c r="I518" s="26">
        <f t="shared" si="200"/>
        <v>206.33466666666669</v>
      </c>
      <c r="J518" s="26">
        <f t="shared" ref="J518:J581" si="210">C518*$J$3+J517*(1-$J$3)</f>
        <v>205.9129584065625</v>
      </c>
      <c r="K518" s="26">
        <f t="shared" ref="K518:K581" si="211">C518*$K$3+K517*(1-$K$3)</f>
        <v>206.9645578548101</v>
      </c>
      <c r="L518" s="26">
        <f t="shared" si="206"/>
        <v>214.76956395921164</v>
      </c>
      <c r="V518" s="26">
        <f t="shared" si="194"/>
        <v>202.18522413310359</v>
      </c>
      <c r="W518" s="26">
        <f t="shared" si="197"/>
        <v>201.663427081679</v>
      </c>
      <c r="X518" s="26">
        <f t="shared" si="196"/>
        <v>0.52179705142458488</v>
      </c>
      <c r="Y518" s="26">
        <f t="shared" si="198"/>
        <v>0.37013364223222228</v>
      </c>
      <c r="Z518" s="26">
        <v>13045.39</v>
      </c>
      <c r="AA518" s="26">
        <f t="shared" si="207"/>
        <v>217.957395438682</v>
      </c>
      <c r="AB518" s="27">
        <f t="shared" si="208"/>
        <v>4.9284591944357789E-2</v>
      </c>
      <c r="BK518" s="24">
        <v>44712</v>
      </c>
      <c r="BL518" s="25">
        <v>207.72</v>
      </c>
      <c r="BM518" s="26">
        <f t="shared" si="201"/>
        <v>206.83333333333334</v>
      </c>
      <c r="BN518" s="26">
        <f t="shared" si="209"/>
        <v>205.25</v>
      </c>
      <c r="BO518" s="26">
        <f t="shared" si="191"/>
        <v>202.84428571428572</v>
      </c>
      <c r="BP518" s="26">
        <f t="shared" si="193"/>
        <v>201.50615384615384</v>
      </c>
      <c r="BQ518" s="26">
        <f t="shared" si="195"/>
        <v>199.58878787878788</v>
      </c>
      <c r="BR518" s="26">
        <f t="shared" si="202"/>
        <v>206.33466666666669</v>
      </c>
      <c r="BS518" s="26">
        <f t="shared" ref="BS518:BS548" si="212">BL518*$J$3+BS517*(1-$J$3)</f>
        <v>205.9129584065625</v>
      </c>
      <c r="BT518" s="26">
        <f t="shared" ref="BT518:BT581" si="213">BL518*$K$3+BT517*(1-$K$3)</f>
        <v>206.9645578548101</v>
      </c>
    </row>
    <row r="519" spans="1:72" x14ac:dyDescent="0.2">
      <c r="A519" s="73">
        <v>44713</v>
      </c>
      <c r="B519" s="24">
        <v>44713</v>
      </c>
      <c r="C519" s="25">
        <v>205.12</v>
      </c>
      <c r="D519" s="26">
        <f t="shared" si="199"/>
        <v>206.35</v>
      </c>
      <c r="E519" s="26">
        <f t="shared" si="192"/>
        <v>206.34800000000001</v>
      </c>
      <c r="F519" s="26">
        <f t="shared" si="203"/>
        <v>204.34571428571431</v>
      </c>
      <c r="G519" s="26">
        <f t="shared" si="204"/>
        <v>202.27076923076916</v>
      </c>
      <c r="H519" s="26">
        <f t="shared" si="205"/>
        <v>199.23666666666665</v>
      </c>
      <c r="I519" s="26">
        <f t="shared" si="200"/>
        <v>206.29133333333331</v>
      </c>
      <c r="J519" s="26">
        <f t="shared" si="210"/>
        <v>205.59577504393749</v>
      </c>
      <c r="K519" s="26">
        <f t="shared" si="211"/>
        <v>205.85782314192403</v>
      </c>
      <c r="L519" s="26">
        <f t="shared" si="206"/>
        <v>214.75472529721154</v>
      </c>
      <c r="V519" s="26">
        <f t="shared" si="194"/>
        <v>202.63672811262612</v>
      </c>
      <c r="W519" s="26">
        <f t="shared" si="197"/>
        <v>202.40261493805889</v>
      </c>
      <c r="X519" s="26">
        <f t="shared" si="196"/>
        <v>0.23411317456722713</v>
      </c>
      <c r="Y519" s="26">
        <f t="shared" si="198"/>
        <v>0.34292954869922332</v>
      </c>
      <c r="Z519" s="26">
        <v>13059.65</v>
      </c>
      <c r="AA519" s="26">
        <f t="shared" si="207"/>
        <v>217.96367367980324</v>
      </c>
      <c r="AB519" s="27">
        <f t="shared" si="208"/>
        <v>6.2615413805592976E-2</v>
      </c>
      <c r="BK519" s="24">
        <v>44713</v>
      </c>
      <c r="BL519" s="25">
        <v>205.12</v>
      </c>
      <c r="BM519" s="26">
        <f t="shared" si="201"/>
        <v>206.35</v>
      </c>
      <c r="BN519" s="26">
        <f t="shared" si="209"/>
        <v>206.34800000000001</v>
      </c>
      <c r="BO519" s="26">
        <f t="shared" ref="BO519:BO548" si="214">AVERAGE(BL513:BL519)</f>
        <v>204.34571428571431</v>
      </c>
      <c r="BP519" s="26">
        <f t="shared" si="193"/>
        <v>202.27076923076916</v>
      </c>
      <c r="BQ519" s="26">
        <f t="shared" si="195"/>
        <v>199.23666666666665</v>
      </c>
      <c r="BR519" s="26">
        <f t="shared" si="202"/>
        <v>206.29133333333331</v>
      </c>
      <c r="BS519" s="26">
        <f t="shared" si="212"/>
        <v>205.59577504393749</v>
      </c>
      <c r="BT519" s="26">
        <f t="shared" si="213"/>
        <v>205.85782314192403</v>
      </c>
    </row>
    <row r="520" spans="1:72" x14ac:dyDescent="0.2">
      <c r="A520" s="74"/>
      <c r="B520" s="24">
        <v>44714</v>
      </c>
      <c r="C520" s="25">
        <v>206.06</v>
      </c>
      <c r="D520" s="26">
        <f t="shared" si="199"/>
        <v>206.30000000000004</v>
      </c>
      <c r="E520" s="26">
        <f t="shared" si="192"/>
        <v>206.33600000000001</v>
      </c>
      <c r="F520" s="26">
        <f t="shared" si="203"/>
        <v>205.34714285714284</v>
      </c>
      <c r="G520" s="26">
        <f t="shared" si="204"/>
        <v>202.83153846153846</v>
      </c>
      <c r="H520" s="26">
        <f t="shared" si="205"/>
        <v>198.9430303030303</v>
      </c>
      <c r="I520" s="26">
        <f t="shared" si="200"/>
        <v>206.19533333333337</v>
      </c>
      <c r="J520" s="26">
        <f t="shared" si="210"/>
        <v>205.7814650263625</v>
      </c>
      <c r="K520" s="26">
        <f t="shared" si="211"/>
        <v>205.97912925676962</v>
      </c>
      <c r="L520" s="26">
        <f t="shared" si="206"/>
        <v>214.73988663521146</v>
      </c>
      <c r="V520" s="26">
        <f t="shared" si="194"/>
        <v>203.16338532606824</v>
      </c>
      <c r="W520" s="26">
        <f t="shared" si="197"/>
        <v>202.89030380798715</v>
      </c>
      <c r="X520" s="26">
        <f t="shared" si="196"/>
        <v>0.27308151808108505</v>
      </c>
      <c r="Y520" s="26">
        <f t="shared" si="198"/>
        <v>0.32895994257559569</v>
      </c>
      <c r="Z520" s="26">
        <v>13138.72</v>
      </c>
      <c r="AA520" s="26">
        <f t="shared" si="207"/>
        <v>217.99848577836255</v>
      </c>
      <c r="AB520" s="27">
        <f t="shared" si="208"/>
        <v>5.7936939621287722E-2</v>
      </c>
      <c r="BK520" s="24">
        <v>44714</v>
      </c>
      <c r="BL520" s="25">
        <v>206.06</v>
      </c>
      <c r="BM520" s="26">
        <f t="shared" si="201"/>
        <v>206.30000000000004</v>
      </c>
      <c r="BN520" s="26">
        <f t="shared" si="209"/>
        <v>206.33600000000001</v>
      </c>
      <c r="BO520" s="26">
        <f t="shared" si="214"/>
        <v>205.34714285714284</v>
      </c>
      <c r="BP520" s="26">
        <f t="shared" si="193"/>
        <v>202.83153846153846</v>
      </c>
      <c r="BQ520" s="26">
        <f t="shared" si="195"/>
        <v>198.9430303030303</v>
      </c>
      <c r="BR520" s="26">
        <f t="shared" si="202"/>
        <v>206.19533333333337</v>
      </c>
      <c r="BS520" s="26">
        <f t="shared" si="212"/>
        <v>205.7814650263625</v>
      </c>
      <c r="BT520" s="26">
        <f t="shared" si="213"/>
        <v>205.97912925676962</v>
      </c>
    </row>
    <row r="521" spans="1:72" x14ac:dyDescent="0.2">
      <c r="A521" s="74"/>
      <c r="B521" s="24">
        <v>44715</v>
      </c>
      <c r="C521" s="25">
        <v>211.44</v>
      </c>
      <c r="D521" s="26">
        <f t="shared" si="199"/>
        <v>207.54</v>
      </c>
      <c r="E521" s="26">
        <f t="shared" ref="E521:E584" si="215">AVERAGE(C517:C521)</f>
        <v>207.31</v>
      </c>
      <c r="F521" s="26">
        <f t="shared" si="203"/>
        <v>207.03428571428572</v>
      </c>
      <c r="G521" s="26">
        <f t="shared" si="204"/>
        <v>203.62230769230766</v>
      </c>
      <c r="H521" s="26">
        <f t="shared" si="205"/>
        <v>198.87909090909088</v>
      </c>
      <c r="I521" s="26">
        <f t="shared" si="200"/>
        <v>207.89666666666668</v>
      </c>
      <c r="J521" s="26">
        <f t="shared" si="210"/>
        <v>208.04487901581751</v>
      </c>
      <c r="K521" s="26">
        <f t="shared" si="211"/>
        <v>209.25565170270784</v>
      </c>
      <c r="L521" s="26">
        <f t="shared" si="206"/>
        <v>214.72504797321136</v>
      </c>
      <c r="V521" s="26">
        <f t="shared" si="194"/>
        <v>204.43671066051928</v>
      </c>
      <c r="W521" s="26">
        <f t="shared" si="197"/>
        <v>203.77646789450762</v>
      </c>
      <c r="X521" s="26">
        <f t="shared" si="196"/>
        <v>0.66024276601166321</v>
      </c>
      <c r="Y521" s="26">
        <f t="shared" si="198"/>
        <v>0.39521650726280921</v>
      </c>
      <c r="Z521" s="26">
        <v>12977.68</v>
      </c>
      <c r="AA521" s="26">
        <f t="shared" si="207"/>
        <v>217.92758480009024</v>
      </c>
      <c r="AB521" s="27">
        <f t="shared" si="208"/>
        <v>3.068286416993117E-2</v>
      </c>
      <c r="BK521" s="24">
        <v>44715</v>
      </c>
      <c r="BL521" s="25">
        <v>211.44</v>
      </c>
      <c r="BM521" s="26">
        <f t="shared" si="201"/>
        <v>207.54</v>
      </c>
      <c r="BN521" s="26">
        <f t="shared" si="209"/>
        <v>207.31</v>
      </c>
      <c r="BO521" s="26">
        <f t="shared" si="214"/>
        <v>207.03428571428572</v>
      </c>
      <c r="BP521" s="26">
        <f t="shared" si="193"/>
        <v>203.62230769230766</v>
      </c>
      <c r="BQ521" s="26">
        <f t="shared" si="195"/>
        <v>198.87909090909088</v>
      </c>
      <c r="BR521" s="26">
        <f t="shared" si="202"/>
        <v>207.89666666666668</v>
      </c>
      <c r="BS521" s="26">
        <f t="shared" si="212"/>
        <v>208.04487901581751</v>
      </c>
      <c r="BT521" s="26">
        <f t="shared" si="213"/>
        <v>209.25565170270784</v>
      </c>
    </row>
    <row r="522" spans="1:72" x14ac:dyDescent="0.2">
      <c r="A522" s="74"/>
      <c r="B522" s="24">
        <v>44716</v>
      </c>
      <c r="C522" s="25">
        <v>213.24</v>
      </c>
      <c r="D522" s="26">
        <f t="shared" si="199"/>
        <v>210.24666666666667</v>
      </c>
      <c r="E522" s="26">
        <f t="shared" si="215"/>
        <v>208.71600000000004</v>
      </c>
      <c r="F522" s="26">
        <f t="shared" si="203"/>
        <v>208.0514285714286</v>
      </c>
      <c r="G522" s="26">
        <f t="shared" si="204"/>
        <v>204.42307692307693</v>
      </c>
      <c r="H522" s="26">
        <f t="shared" si="205"/>
        <v>198.91545454545451</v>
      </c>
      <c r="I522" s="26">
        <f t="shared" si="200"/>
        <v>209.87333333333333</v>
      </c>
      <c r="J522" s="26">
        <f t="shared" si="210"/>
        <v>210.1229274094905</v>
      </c>
      <c r="K522" s="26">
        <f t="shared" si="211"/>
        <v>211.64626068108316</v>
      </c>
      <c r="L522" s="26">
        <f t="shared" si="206"/>
        <v>214.71020931121126</v>
      </c>
      <c r="V522" s="26">
        <f t="shared" si="194"/>
        <v>205.79106286659325</v>
      </c>
      <c r="W522" s="26">
        <f t="shared" si="197"/>
        <v>205.08880616714748</v>
      </c>
      <c r="X522" s="26">
        <f t="shared" si="196"/>
        <v>0.70225669944576907</v>
      </c>
      <c r="Y522" s="26">
        <f t="shared" si="198"/>
        <v>0.4566245456994012</v>
      </c>
      <c r="Z522" s="26">
        <v>12961.89</v>
      </c>
      <c r="AA522" s="26">
        <f t="shared" si="207"/>
        <v>217.92063294684309</v>
      </c>
      <c r="AB522" s="27">
        <f t="shared" si="208"/>
        <v>2.1950070093993041E-2</v>
      </c>
      <c r="BK522" s="24">
        <v>44716</v>
      </c>
      <c r="BL522" s="25">
        <v>213.24</v>
      </c>
      <c r="BM522" s="26">
        <f t="shared" si="201"/>
        <v>210.24666666666667</v>
      </c>
      <c r="BN522" s="26">
        <f t="shared" si="209"/>
        <v>208.71600000000004</v>
      </c>
      <c r="BO522" s="26">
        <f t="shared" si="214"/>
        <v>208.0514285714286</v>
      </c>
      <c r="BP522" s="26">
        <f t="shared" si="193"/>
        <v>204.42307692307693</v>
      </c>
      <c r="BQ522" s="26">
        <f t="shared" si="195"/>
        <v>198.91545454545451</v>
      </c>
      <c r="BR522" s="26">
        <f t="shared" si="202"/>
        <v>209.87333333333333</v>
      </c>
      <c r="BS522" s="26">
        <f t="shared" si="212"/>
        <v>210.1229274094905</v>
      </c>
      <c r="BT522" s="26">
        <f t="shared" si="213"/>
        <v>211.64626068108316</v>
      </c>
    </row>
    <row r="523" spans="1:72" x14ac:dyDescent="0.2">
      <c r="A523" s="74"/>
      <c r="B523" s="24">
        <v>44717</v>
      </c>
      <c r="C523" s="25">
        <v>218.22</v>
      </c>
      <c r="D523" s="26">
        <f t="shared" si="199"/>
        <v>214.29999999999998</v>
      </c>
      <c r="E523" s="26">
        <f t="shared" si="215"/>
        <v>210.81599999999997</v>
      </c>
      <c r="F523" s="26">
        <f t="shared" si="203"/>
        <v>209.71571428571428</v>
      </c>
      <c r="G523" s="26">
        <f t="shared" si="204"/>
        <v>205.70923076923074</v>
      </c>
      <c r="H523" s="26">
        <f t="shared" si="205"/>
        <v>199.38818181818178</v>
      </c>
      <c r="I523" s="26">
        <f t="shared" si="200"/>
        <v>213.04133333333331</v>
      </c>
      <c r="J523" s="26">
        <f t="shared" si="210"/>
        <v>213.36175644569431</v>
      </c>
      <c r="K523" s="26">
        <f t="shared" si="211"/>
        <v>215.59050427243326</v>
      </c>
      <c r="L523" s="26">
        <f t="shared" si="206"/>
        <v>214.69537064921118</v>
      </c>
      <c r="V523" s="26">
        <f t="shared" si="194"/>
        <v>207.70320704096352</v>
      </c>
      <c r="W523" s="26">
        <f t="shared" si="197"/>
        <v>206.71172487647522</v>
      </c>
      <c r="X523" s="26">
        <f t="shared" si="196"/>
        <v>0.9914821644883034</v>
      </c>
      <c r="Y523" s="26">
        <f t="shared" si="198"/>
        <v>0.56359606945718166</v>
      </c>
      <c r="Z523" s="26">
        <v>13227.7</v>
      </c>
      <c r="AA523" s="26">
        <f t="shared" si="207"/>
        <v>218.03766094631257</v>
      </c>
      <c r="AB523" s="27">
        <f t="shared" si="208"/>
        <v>-8.3557443720753608E-4</v>
      </c>
      <c r="BK523" s="24">
        <v>44717</v>
      </c>
      <c r="BL523" s="25">
        <v>218.22</v>
      </c>
      <c r="BM523" s="26">
        <f t="shared" si="201"/>
        <v>214.29999999999998</v>
      </c>
      <c r="BN523" s="26">
        <f t="shared" si="209"/>
        <v>210.81599999999997</v>
      </c>
      <c r="BO523" s="26">
        <f t="shared" si="214"/>
        <v>209.71571428571428</v>
      </c>
      <c r="BP523" s="26">
        <f t="shared" si="193"/>
        <v>205.70923076923074</v>
      </c>
      <c r="BQ523" s="26">
        <f t="shared" si="195"/>
        <v>199.38818181818178</v>
      </c>
      <c r="BR523" s="26">
        <f t="shared" si="202"/>
        <v>213.04133333333331</v>
      </c>
      <c r="BS523" s="26">
        <f t="shared" si="212"/>
        <v>213.36175644569431</v>
      </c>
      <c r="BT523" s="26">
        <f t="shared" si="213"/>
        <v>215.59050427243326</v>
      </c>
    </row>
    <row r="524" spans="1:72" x14ac:dyDescent="0.2">
      <c r="A524" s="74"/>
      <c r="B524" s="24">
        <v>44718</v>
      </c>
      <c r="C524" s="25">
        <v>210.3</v>
      </c>
      <c r="D524" s="26">
        <f t="shared" si="199"/>
        <v>213.92</v>
      </c>
      <c r="E524" s="26">
        <f t="shared" si="215"/>
        <v>211.852</v>
      </c>
      <c r="F524" s="26">
        <f t="shared" si="203"/>
        <v>210.3</v>
      </c>
      <c r="G524" s="26">
        <f t="shared" si="204"/>
        <v>206.48384615384617</v>
      </c>
      <c r="H524" s="26">
        <f t="shared" si="205"/>
        <v>199.64727272727271</v>
      </c>
      <c r="I524" s="26">
        <f t="shared" si="200"/>
        <v>212.86933333333337</v>
      </c>
      <c r="J524" s="26">
        <f t="shared" si="210"/>
        <v>212.1370538674166</v>
      </c>
      <c r="K524" s="26">
        <f t="shared" si="211"/>
        <v>212.41620170897332</v>
      </c>
      <c r="L524" s="26">
        <f t="shared" si="206"/>
        <v>214.68053198721108</v>
      </c>
      <c r="V524" s="26">
        <f t="shared" si="194"/>
        <v>208.10271365004604</v>
      </c>
      <c r="W524" s="26">
        <f t="shared" si="197"/>
        <v>207.89556207496622</v>
      </c>
      <c r="X524" s="26">
        <f t="shared" si="196"/>
        <v>0.20715157507981985</v>
      </c>
      <c r="Y524" s="26">
        <f t="shared" si="198"/>
        <v>0.49230717058170936</v>
      </c>
      <c r="Z524" s="26">
        <v>13377.54</v>
      </c>
      <c r="AA524" s="26">
        <f t="shared" si="207"/>
        <v>218.10363090771548</v>
      </c>
      <c r="AB524" s="27">
        <f t="shared" si="208"/>
        <v>3.7107136983906192E-2</v>
      </c>
      <c r="BK524" s="24">
        <v>44718</v>
      </c>
      <c r="BL524" s="25">
        <v>210.3</v>
      </c>
      <c r="BM524" s="26">
        <f t="shared" si="201"/>
        <v>213.92</v>
      </c>
      <c r="BN524" s="26">
        <f t="shared" si="209"/>
        <v>211.852</v>
      </c>
      <c r="BO524" s="26">
        <f t="shared" si="214"/>
        <v>210.3</v>
      </c>
      <c r="BP524" s="26">
        <f t="shared" si="193"/>
        <v>206.48384615384617</v>
      </c>
      <c r="BQ524" s="26">
        <f t="shared" si="195"/>
        <v>199.64727272727271</v>
      </c>
      <c r="BR524" s="26">
        <f t="shared" si="202"/>
        <v>212.86933333333337</v>
      </c>
      <c r="BS524" s="26">
        <f t="shared" si="212"/>
        <v>212.1370538674166</v>
      </c>
      <c r="BT524" s="26">
        <f t="shared" si="213"/>
        <v>212.41620170897332</v>
      </c>
    </row>
    <row r="525" spans="1:72" x14ac:dyDescent="0.2">
      <c r="A525" s="74"/>
      <c r="B525" s="24">
        <v>44719</v>
      </c>
      <c r="C525" s="25">
        <v>209.93</v>
      </c>
      <c r="D525" s="26">
        <f t="shared" si="199"/>
        <v>212.81666666666669</v>
      </c>
      <c r="E525" s="26">
        <f t="shared" si="215"/>
        <v>212.62600000000003</v>
      </c>
      <c r="F525" s="26">
        <f t="shared" si="203"/>
        <v>210.61571428571429</v>
      </c>
      <c r="G525" s="26">
        <f t="shared" si="204"/>
        <v>207.66230769230768</v>
      </c>
      <c r="H525" s="26">
        <f t="shared" si="205"/>
        <v>199.84545454545457</v>
      </c>
      <c r="I525" s="26">
        <f t="shared" si="200"/>
        <v>212.2286666666667</v>
      </c>
      <c r="J525" s="26">
        <f t="shared" si="210"/>
        <v>211.25423232044994</v>
      </c>
      <c r="K525" s="26">
        <f t="shared" si="211"/>
        <v>210.92448068358934</v>
      </c>
      <c r="L525" s="26">
        <f t="shared" si="206"/>
        <v>214.66569332521098</v>
      </c>
      <c r="V525" s="26">
        <f t="shared" si="194"/>
        <v>208.38383462696203</v>
      </c>
      <c r="W525" s="26">
        <f t="shared" si="197"/>
        <v>208.23806819448706</v>
      </c>
      <c r="X525" s="26">
        <f t="shared" si="196"/>
        <v>0.14576643247497145</v>
      </c>
      <c r="Y525" s="26">
        <f t="shared" si="198"/>
        <v>0.42299902296036179</v>
      </c>
      <c r="Z525" s="26">
        <v>13215.24</v>
      </c>
      <c r="AA525" s="26">
        <f t="shared" si="207"/>
        <v>218.03217519004536</v>
      </c>
      <c r="AB525" s="27">
        <f t="shared" si="208"/>
        <v>3.8594651503097974E-2</v>
      </c>
      <c r="BK525" s="24">
        <v>44719</v>
      </c>
      <c r="BL525" s="25">
        <v>209.93</v>
      </c>
      <c r="BM525" s="26">
        <f t="shared" si="201"/>
        <v>212.81666666666669</v>
      </c>
      <c r="BN525" s="26">
        <f t="shared" si="209"/>
        <v>212.62600000000003</v>
      </c>
      <c r="BO525" s="26">
        <f t="shared" si="214"/>
        <v>210.61571428571429</v>
      </c>
      <c r="BP525" s="26">
        <f t="shared" ref="BP525:BP548" si="216">AVERAGE(BL513:BL525)</f>
        <v>207.66230769230768</v>
      </c>
      <c r="BQ525" s="26">
        <f t="shared" si="195"/>
        <v>199.84545454545457</v>
      </c>
      <c r="BR525" s="26">
        <f t="shared" si="202"/>
        <v>212.2286666666667</v>
      </c>
      <c r="BS525" s="26">
        <f t="shared" si="212"/>
        <v>211.25423232044994</v>
      </c>
      <c r="BT525" s="26">
        <f t="shared" si="213"/>
        <v>210.92448068358934</v>
      </c>
    </row>
    <row r="526" spans="1:72" x14ac:dyDescent="0.2">
      <c r="A526" s="74"/>
      <c r="B526" s="24">
        <v>44720</v>
      </c>
      <c r="C526" s="25">
        <v>211.34</v>
      </c>
      <c r="D526" s="26">
        <f t="shared" si="199"/>
        <v>210.52333333333334</v>
      </c>
      <c r="E526" s="26">
        <f t="shared" si="215"/>
        <v>212.60599999999999</v>
      </c>
      <c r="F526" s="26">
        <f t="shared" si="203"/>
        <v>211.50428571428571</v>
      </c>
      <c r="G526" s="26">
        <f t="shared" si="204"/>
        <v>208.6076923076923</v>
      </c>
      <c r="H526" s="26">
        <f t="shared" si="205"/>
        <v>200.0957575757576</v>
      </c>
      <c r="I526" s="26">
        <f t="shared" si="200"/>
        <v>211.8</v>
      </c>
      <c r="J526" s="26">
        <f t="shared" si="210"/>
        <v>211.28853939226997</v>
      </c>
      <c r="K526" s="26">
        <f t="shared" si="211"/>
        <v>211.17379227343574</v>
      </c>
      <c r="L526" s="26">
        <f t="shared" si="206"/>
        <v>214.65085466321091</v>
      </c>
      <c r="V526" s="26">
        <f t="shared" si="194"/>
        <v>208.83862929973708</v>
      </c>
      <c r="W526" s="26">
        <f t="shared" si="197"/>
        <v>208.60280983977967</v>
      </c>
      <c r="X526" s="26">
        <f t="shared" si="196"/>
        <v>0.23581945995741194</v>
      </c>
      <c r="Y526" s="26">
        <f t="shared" si="198"/>
        <v>0.38556311035977187</v>
      </c>
      <c r="Z526" s="26">
        <v>13116.17</v>
      </c>
      <c r="AA526" s="26">
        <f t="shared" si="207"/>
        <v>217.98855770421923</v>
      </c>
      <c r="AB526" s="27">
        <f t="shared" si="208"/>
        <v>3.1459059828803017E-2</v>
      </c>
      <c r="BK526" s="24">
        <v>44720</v>
      </c>
      <c r="BL526" s="25">
        <v>211.34</v>
      </c>
      <c r="BM526" s="26">
        <f t="shared" si="201"/>
        <v>210.52333333333334</v>
      </c>
      <c r="BN526" s="26">
        <f t="shared" si="209"/>
        <v>212.60599999999999</v>
      </c>
      <c r="BO526" s="26">
        <f t="shared" si="214"/>
        <v>211.50428571428571</v>
      </c>
      <c r="BP526" s="26">
        <f t="shared" si="216"/>
        <v>208.6076923076923</v>
      </c>
      <c r="BQ526" s="26">
        <f t="shared" si="195"/>
        <v>200.0957575757576</v>
      </c>
      <c r="BR526" s="26">
        <f t="shared" si="202"/>
        <v>211.8</v>
      </c>
      <c r="BS526" s="26">
        <f t="shared" si="212"/>
        <v>211.28853939226997</v>
      </c>
      <c r="BT526" s="26">
        <f t="shared" si="213"/>
        <v>211.17379227343574</v>
      </c>
    </row>
    <row r="527" spans="1:72" x14ac:dyDescent="0.2">
      <c r="A527" s="74"/>
      <c r="B527" s="24">
        <v>44721</v>
      </c>
      <c r="C527" s="25">
        <v>210.39</v>
      </c>
      <c r="D527" s="26">
        <f t="shared" si="199"/>
        <v>210.55333333333331</v>
      </c>
      <c r="E527" s="26">
        <f t="shared" si="215"/>
        <v>212.036</v>
      </c>
      <c r="F527" s="26">
        <f t="shared" si="203"/>
        <v>212.12285714285716</v>
      </c>
      <c r="G527" s="26">
        <f t="shared" si="204"/>
        <v>209.43538461538461</v>
      </c>
      <c r="H527" s="26">
        <f t="shared" si="205"/>
        <v>200.47787878787884</v>
      </c>
      <c r="I527" s="26">
        <f t="shared" si="200"/>
        <v>211.06133333333329</v>
      </c>
      <c r="J527" s="26">
        <f t="shared" si="210"/>
        <v>210.92912363536198</v>
      </c>
      <c r="K527" s="26">
        <f t="shared" si="211"/>
        <v>210.70351690937429</v>
      </c>
      <c r="L527" s="26">
        <f t="shared" si="206"/>
        <v>214.63601600121081</v>
      </c>
      <c r="V527" s="26">
        <f t="shared" si="194"/>
        <v>209.07730171516215</v>
      </c>
      <c r="W527" s="26">
        <f t="shared" si="197"/>
        <v>208.95354564790469</v>
      </c>
      <c r="X527" s="26">
        <f t="shared" si="196"/>
        <v>0.12375606725746024</v>
      </c>
      <c r="Y527" s="26">
        <f t="shared" si="198"/>
        <v>0.33320170173930957</v>
      </c>
      <c r="Z527" s="26">
        <v>13525.2</v>
      </c>
      <c r="AA527" s="26">
        <f t="shared" si="207"/>
        <v>218.16864108190632</v>
      </c>
      <c r="AB527" s="27">
        <f t="shared" si="208"/>
        <v>3.6972484822977943E-2</v>
      </c>
      <c r="BK527" s="24">
        <v>44721</v>
      </c>
      <c r="BL527" s="25">
        <v>210.39</v>
      </c>
      <c r="BM527" s="26">
        <f t="shared" si="201"/>
        <v>210.55333333333331</v>
      </c>
      <c r="BN527" s="26">
        <f t="shared" si="209"/>
        <v>212.036</v>
      </c>
      <c r="BO527" s="26">
        <f t="shared" si="214"/>
        <v>212.12285714285716</v>
      </c>
      <c r="BP527" s="26">
        <f t="shared" si="216"/>
        <v>209.43538461538461</v>
      </c>
      <c r="BQ527" s="26">
        <f t="shared" si="195"/>
        <v>200.47787878787884</v>
      </c>
      <c r="BR527" s="26">
        <f t="shared" si="202"/>
        <v>211.06133333333329</v>
      </c>
      <c r="BS527" s="26">
        <f t="shared" si="212"/>
        <v>210.92912363536198</v>
      </c>
      <c r="BT527" s="26">
        <f t="shared" si="213"/>
        <v>210.70351690937429</v>
      </c>
    </row>
    <row r="528" spans="1:72" x14ac:dyDescent="0.2">
      <c r="A528" s="74"/>
      <c r="B528" s="24">
        <v>44722</v>
      </c>
      <c r="C528" s="25">
        <v>211.28</v>
      </c>
      <c r="D528" s="26">
        <f t="shared" si="199"/>
        <v>211.00333333333333</v>
      </c>
      <c r="E528" s="26">
        <f t="shared" si="215"/>
        <v>210.648</v>
      </c>
      <c r="F528" s="26">
        <f t="shared" si="203"/>
        <v>212.1</v>
      </c>
      <c r="G528" s="26">
        <f t="shared" si="204"/>
        <v>209.83230769230769</v>
      </c>
      <c r="H528" s="26">
        <f t="shared" si="205"/>
        <v>200.90818181818184</v>
      </c>
      <c r="I528" s="26">
        <f t="shared" si="200"/>
        <v>210.80933333333334</v>
      </c>
      <c r="J528" s="26">
        <f t="shared" si="210"/>
        <v>211.06947418121717</v>
      </c>
      <c r="K528" s="26">
        <f t="shared" si="211"/>
        <v>211.04940676374972</v>
      </c>
      <c r="L528" s="26">
        <f t="shared" si="206"/>
        <v>214.6211773392107</v>
      </c>
      <c r="V528" s="26">
        <f t="shared" si="194"/>
        <v>209.41617837436797</v>
      </c>
      <c r="W528" s="26">
        <f t="shared" si="197"/>
        <v>209.24046455107609</v>
      </c>
      <c r="X528" s="26">
        <f t="shared" si="196"/>
        <v>0.17571382329188623</v>
      </c>
      <c r="Y528" s="26">
        <f t="shared" si="198"/>
        <v>0.30170412604982488</v>
      </c>
      <c r="Z528" s="26">
        <v>13471.57</v>
      </c>
      <c r="AA528" s="26">
        <f t="shared" si="207"/>
        <v>218.14502943595039</v>
      </c>
      <c r="AB528" s="27">
        <f t="shared" si="208"/>
        <v>3.2492566432934446E-2</v>
      </c>
      <c r="BK528" s="24">
        <v>44722</v>
      </c>
      <c r="BL528" s="25">
        <v>211.28</v>
      </c>
      <c r="BM528" s="26">
        <f t="shared" si="201"/>
        <v>211.00333333333333</v>
      </c>
      <c r="BN528" s="26">
        <f t="shared" si="209"/>
        <v>210.648</v>
      </c>
      <c r="BO528" s="26">
        <f t="shared" si="214"/>
        <v>212.1</v>
      </c>
      <c r="BP528" s="26">
        <f t="shared" si="216"/>
        <v>209.83230769230769</v>
      </c>
      <c r="BQ528" s="26">
        <f t="shared" si="195"/>
        <v>200.90818181818184</v>
      </c>
      <c r="BR528" s="26">
        <f t="shared" si="202"/>
        <v>210.80933333333334</v>
      </c>
      <c r="BS528" s="26">
        <f t="shared" si="212"/>
        <v>211.06947418121717</v>
      </c>
      <c r="BT528" s="26">
        <f t="shared" si="213"/>
        <v>211.04940676374972</v>
      </c>
    </row>
    <row r="529" spans="1:72" x14ac:dyDescent="0.2">
      <c r="A529" s="74"/>
      <c r="B529" s="24">
        <v>44723</v>
      </c>
      <c r="C529" s="25">
        <v>211.17</v>
      </c>
      <c r="D529" s="26">
        <f t="shared" si="199"/>
        <v>210.94666666666663</v>
      </c>
      <c r="E529" s="26">
        <f t="shared" si="215"/>
        <v>210.82199999999997</v>
      </c>
      <c r="F529" s="26">
        <f t="shared" si="203"/>
        <v>211.80428571428573</v>
      </c>
      <c r="G529" s="26">
        <f t="shared" si="204"/>
        <v>210.18615384615384</v>
      </c>
      <c r="H529" s="26">
        <f t="shared" si="205"/>
        <v>201.33484848484852</v>
      </c>
      <c r="I529" s="26">
        <f t="shared" si="200"/>
        <v>210.98333333333329</v>
      </c>
      <c r="J529" s="26">
        <f t="shared" si="210"/>
        <v>211.10968450873031</v>
      </c>
      <c r="K529" s="26">
        <f t="shared" si="211"/>
        <v>211.12176270549986</v>
      </c>
      <c r="L529" s="26">
        <f t="shared" si="206"/>
        <v>214.60633867721063</v>
      </c>
      <c r="V529" s="26">
        <f t="shared" ref="V529:V592" si="217">C529*(2/(12+1))+V528*(1-(2/(12+1)))</f>
        <v>209.68599708600365</v>
      </c>
      <c r="W529" s="26">
        <f t="shared" si="197"/>
        <v>209.54609108737776</v>
      </c>
      <c r="X529" s="26">
        <f t="shared" si="196"/>
        <v>0.13990599862589193</v>
      </c>
      <c r="Y529" s="26">
        <f t="shared" si="198"/>
        <v>0.26934450056503828</v>
      </c>
      <c r="Z529" s="26">
        <v>13459.71</v>
      </c>
      <c r="AA529" s="26">
        <f t="shared" si="207"/>
        <v>218.13980784130115</v>
      </c>
      <c r="AB529" s="27">
        <f t="shared" si="208"/>
        <v>3.3005672402808932E-2</v>
      </c>
      <c r="BK529" s="24">
        <v>44723</v>
      </c>
      <c r="BL529" s="25">
        <v>211.17</v>
      </c>
      <c r="BM529" s="26">
        <f t="shared" si="201"/>
        <v>210.94666666666663</v>
      </c>
      <c r="BN529" s="26">
        <f t="shared" si="209"/>
        <v>210.82199999999997</v>
      </c>
      <c r="BO529" s="26">
        <f t="shared" si="214"/>
        <v>211.80428571428573</v>
      </c>
      <c r="BP529" s="26">
        <f t="shared" si="216"/>
        <v>210.18615384615384</v>
      </c>
      <c r="BQ529" s="26">
        <f t="shared" si="195"/>
        <v>201.33484848484852</v>
      </c>
      <c r="BR529" s="26">
        <f t="shared" si="202"/>
        <v>210.98333333333329</v>
      </c>
      <c r="BS529" s="26">
        <f t="shared" si="212"/>
        <v>211.10968450873031</v>
      </c>
      <c r="BT529" s="26">
        <f t="shared" si="213"/>
        <v>211.12176270549986</v>
      </c>
    </row>
    <row r="530" spans="1:72" x14ac:dyDescent="0.2">
      <c r="A530" s="74"/>
      <c r="B530" s="24">
        <v>44724</v>
      </c>
      <c r="C530" s="25">
        <v>213.07</v>
      </c>
      <c r="D530" s="26">
        <f t="shared" si="199"/>
        <v>211.84</v>
      </c>
      <c r="E530" s="26">
        <f t="shared" si="215"/>
        <v>211.45</v>
      </c>
      <c r="F530" s="26">
        <f t="shared" si="203"/>
        <v>211.06857142857143</v>
      </c>
      <c r="G530" s="26">
        <f t="shared" si="204"/>
        <v>210.71384615384619</v>
      </c>
      <c r="H530" s="26">
        <f t="shared" si="205"/>
        <v>201.91393939393942</v>
      </c>
      <c r="I530" s="26">
        <f t="shared" si="200"/>
        <v>211.73266666666666</v>
      </c>
      <c r="J530" s="26">
        <f t="shared" si="210"/>
        <v>211.8938107052382</v>
      </c>
      <c r="K530" s="26">
        <f t="shared" si="211"/>
        <v>212.29070508219993</v>
      </c>
      <c r="L530" s="26">
        <f t="shared" si="206"/>
        <v>214.59150001521053</v>
      </c>
      <c r="V530" s="26">
        <f t="shared" si="217"/>
        <v>210.20661291892617</v>
      </c>
      <c r="W530" s="26">
        <f t="shared" si="197"/>
        <v>209.93666396852188</v>
      </c>
      <c r="X530" s="26">
        <f t="shared" si="196"/>
        <v>0.26994895040428446</v>
      </c>
      <c r="Y530" s="26">
        <f t="shared" si="198"/>
        <v>0.26946539053288754</v>
      </c>
      <c r="Z530" s="26">
        <v>13192.35</v>
      </c>
      <c r="AA530" s="26">
        <f t="shared" si="207"/>
        <v>218.0220974243185</v>
      </c>
      <c r="AB530" s="27">
        <f t="shared" si="208"/>
        <v>2.3241645582759232E-2</v>
      </c>
      <c r="BK530" s="24">
        <v>44724</v>
      </c>
      <c r="BL530" s="25">
        <v>213.07</v>
      </c>
      <c r="BM530" s="26">
        <f t="shared" si="201"/>
        <v>211.84</v>
      </c>
      <c r="BN530" s="26">
        <f t="shared" si="209"/>
        <v>211.45</v>
      </c>
      <c r="BO530" s="26">
        <f t="shared" si="214"/>
        <v>211.06857142857143</v>
      </c>
      <c r="BP530" s="26">
        <f t="shared" si="216"/>
        <v>210.71384615384619</v>
      </c>
      <c r="BQ530" s="26">
        <f t="shared" si="195"/>
        <v>201.91393939393942</v>
      </c>
      <c r="BR530" s="26">
        <f t="shared" si="202"/>
        <v>211.73266666666666</v>
      </c>
      <c r="BS530" s="26">
        <f t="shared" si="212"/>
        <v>211.8938107052382</v>
      </c>
      <c r="BT530" s="26">
        <f t="shared" si="213"/>
        <v>212.29070508219993</v>
      </c>
    </row>
    <row r="531" spans="1:72" x14ac:dyDescent="0.2">
      <c r="A531" s="74"/>
      <c r="B531" s="24">
        <v>44725</v>
      </c>
      <c r="C531" s="25">
        <v>210.96</v>
      </c>
      <c r="D531" s="26">
        <f t="shared" si="199"/>
        <v>211.73333333333335</v>
      </c>
      <c r="E531" s="26">
        <f t="shared" si="215"/>
        <v>211.37399999999997</v>
      </c>
      <c r="F531" s="26">
        <f t="shared" si="203"/>
        <v>211.16285714285712</v>
      </c>
      <c r="G531" s="26">
        <f t="shared" si="204"/>
        <v>210.96307692307695</v>
      </c>
      <c r="H531" s="26">
        <f t="shared" si="205"/>
        <v>202.61636363636367</v>
      </c>
      <c r="I531" s="26">
        <f t="shared" si="200"/>
        <v>211.56933333333333</v>
      </c>
      <c r="J531" s="26">
        <f t="shared" si="210"/>
        <v>211.52028642314292</v>
      </c>
      <c r="K531" s="26">
        <f t="shared" si="211"/>
        <v>211.49228203287998</v>
      </c>
      <c r="L531" s="26">
        <f t="shared" si="206"/>
        <v>214.57666135321043</v>
      </c>
      <c r="V531" s="26">
        <f t="shared" si="217"/>
        <v>210.32251862370677</v>
      </c>
      <c r="W531" s="26">
        <f t="shared" si="197"/>
        <v>210.26241936937609</v>
      </c>
      <c r="X531" s="26">
        <f t="shared" si="196"/>
        <v>6.0099254330680196E-2</v>
      </c>
      <c r="Y531" s="26">
        <f t="shared" si="198"/>
        <v>0.22759216329244608</v>
      </c>
      <c r="Z531" s="26">
        <v>13119.43</v>
      </c>
      <c r="AA531" s="26">
        <f t="shared" si="207"/>
        <v>217.98999298234372</v>
      </c>
      <c r="AB531" s="27">
        <f t="shared" si="208"/>
        <v>3.3323819597761255E-2</v>
      </c>
      <c r="BK531" s="24">
        <v>44725</v>
      </c>
      <c r="BL531" s="25">
        <v>210.96</v>
      </c>
      <c r="BM531" s="26">
        <f t="shared" si="201"/>
        <v>211.73333333333335</v>
      </c>
      <c r="BN531" s="26">
        <f t="shared" si="209"/>
        <v>211.37399999999997</v>
      </c>
      <c r="BO531" s="26">
        <f t="shared" si="214"/>
        <v>211.16285714285712</v>
      </c>
      <c r="BP531" s="26">
        <f t="shared" si="216"/>
        <v>210.96307692307695</v>
      </c>
      <c r="BQ531" s="26">
        <f t="shared" si="195"/>
        <v>202.61636363636367</v>
      </c>
      <c r="BR531" s="26">
        <f t="shared" si="202"/>
        <v>211.56933333333333</v>
      </c>
      <c r="BS531" s="26">
        <f t="shared" si="212"/>
        <v>211.52028642314292</v>
      </c>
      <c r="BT531" s="26">
        <f t="shared" si="213"/>
        <v>211.49228203287998</v>
      </c>
    </row>
    <row r="532" spans="1:72" x14ac:dyDescent="0.2">
      <c r="A532" s="74"/>
      <c r="B532" s="24">
        <v>44726</v>
      </c>
      <c r="C532" s="25">
        <v>210.48</v>
      </c>
      <c r="D532" s="26">
        <f t="shared" si="199"/>
        <v>211.50333333333333</v>
      </c>
      <c r="E532" s="26">
        <f t="shared" si="215"/>
        <v>211.392</v>
      </c>
      <c r="F532" s="26">
        <f t="shared" si="203"/>
        <v>211.24142857142857</v>
      </c>
      <c r="G532" s="26">
        <f t="shared" si="204"/>
        <v>211.37538461538463</v>
      </c>
      <c r="H532" s="26">
        <f t="shared" si="205"/>
        <v>203.57636363636365</v>
      </c>
      <c r="I532" s="26">
        <f t="shared" si="200"/>
        <v>211.27133333333333</v>
      </c>
      <c r="J532" s="26">
        <f t="shared" si="210"/>
        <v>211.10417185388576</v>
      </c>
      <c r="K532" s="26">
        <f t="shared" si="211"/>
        <v>210.88491281315197</v>
      </c>
      <c r="L532" s="26">
        <f t="shared" si="206"/>
        <v>214.56182269121035</v>
      </c>
      <c r="V532" s="26">
        <f t="shared" si="217"/>
        <v>210.34674652775189</v>
      </c>
      <c r="W532" s="26">
        <f t="shared" si="197"/>
        <v>210.33418391083958</v>
      </c>
      <c r="X532" s="26">
        <f t="shared" si="196"/>
        <v>1.2562616912305202E-2</v>
      </c>
      <c r="Y532" s="26">
        <f t="shared" si="198"/>
        <v>0.18458625401641793</v>
      </c>
      <c r="Z532" s="26">
        <v>13597.97</v>
      </c>
      <c r="AA532" s="26">
        <f t="shared" si="207"/>
        <v>218.20067948347659</v>
      </c>
      <c r="AB532" s="27">
        <f t="shared" si="208"/>
        <v>3.6681297431948888E-2</v>
      </c>
      <c r="BK532" s="24">
        <v>44726</v>
      </c>
      <c r="BL532" s="25">
        <v>210.48</v>
      </c>
      <c r="BM532" s="26">
        <f t="shared" si="201"/>
        <v>211.50333333333333</v>
      </c>
      <c r="BN532" s="26">
        <f t="shared" si="209"/>
        <v>211.392</v>
      </c>
      <c r="BO532" s="26">
        <f t="shared" si="214"/>
        <v>211.24142857142857</v>
      </c>
      <c r="BP532" s="26">
        <f t="shared" si="216"/>
        <v>211.37538461538463</v>
      </c>
      <c r="BQ532" s="26">
        <f t="shared" si="195"/>
        <v>203.57636363636365</v>
      </c>
      <c r="BR532" s="26">
        <f t="shared" si="202"/>
        <v>211.27133333333333</v>
      </c>
      <c r="BS532" s="26">
        <f t="shared" si="212"/>
        <v>211.10417185388576</v>
      </c>
      <c r="BT532" s="26">
        <f t="shared" si="213"/>
        <v>210.88491281315197</v>
      </c>
    </row>
    <row r="533" spans="1:72" x14ac:dyDescent="0.2">
      <c r="A533" s="74"/>
      <c r="B533" s="24">
        <v>44727</v>
      </c>
      <c r="C533" s="25">
        <v>212.55</v>
      </c>
      <c r="D533" s="26">
        <f t="shared" si="199"/>
        <v>211.33</v>
      </c>
      <c r="E533" s="26">
        <f t="shared" si="215"/>
        <v>211.64600000000002</v>
      </c>
      <c r="F533" s="26">
        <f t="shared" si="203"/>
        <v>211.41428571428568</v>
      </c>
      <c r="G533" s="26">
        <f t="shared" si="204"/>
        <v>211.87461538461542</v>
      </c>
      <c r="H533" s="26">
        <f t="shared" si="205"/>
        <v>204.33515151515152</v>
      </c>
      <c r="I533" s="26">
        <f t="shared" si="200"/>
        <v>211.65733333333336</v>
      </c>
      <c r="J533" s="26">
        <f t="shared" si="210"/>
        <v>211.68250311233146</v>
      </c>
      <c r="K533" s="26">
        <f t="shared" si="211"/>
        <v>211.8839651252608</v>
      </c>
      <c r="L533" s="26">
        <f t="shared" si="206"/>
        <v>214.54698402921025</v>
      </c>
      <c r="V533" s="26">
        <f t="shared" si="217"/>
        <v>210.68570860040546</v>
      </c>
      <c r="W533" s="26">
        <f t="shared" si="197"/>
        <v>210.50995048865914</v>
      </c>
      <c r="X533" s="26">
        <f t="shared" si="196"/>
        <v>0.17575811174631895</v>
      </c>
      <c r="Y533" s="26">
        <f t="shared" si="198"/>
        <v>0.18282062556239814</v>
      </c>
      <c r="Z533" s="26">
        <v>13465.2</v>
      </c>
      <c r="AA533" s="26">
        <f t="shared" si="207"/>
        <v>218.14222492010589</v>
      </c>
      <c r="AB533" s="27">
        <f t="shared" si="208"/>
        <v>2.6310161938865571E-2</v>
      </c>
      <c r="BK533" s="24">
        <v>44727</v>
      </c>
      <c r="BL533" s="25">
        <v>212.55</v>
      </c>
      <c r="BM533" s="26">
        <f t="shared" si="201"/>
        <v>211.33</v>
      </c>
      <c r="BN533" s="26">
        <f t="shared" si="209"/>
        <v>211.64600000000002</v>
      </c>
      <c r="BO533" s="26">
        <f t="shared" si="214"/>
        <v>211.41428571428568</v>
      </c>
      <c r="BP533" s="26">
        <f t="shared" si="216"/>
        <v>211.87461538461542</v>
      </c>
      <c r="BQ533" s="26">
        <f t="shared" si="195"/>
        <v>204.33515151515152</v>
      </c>
      <c r="BR533" s="26">
        <f t="shared" si="202"/>
        <v>211.65733333333336</v>
      </c>
      <c r="BS533" s="26">
        <f t="shared" si="212"/>
        <v>211.68250311233146</v>
      </c>
      <c r="BT533" s="26">
        <f t="shared" si="213"/>
        <v>211.8839651252608</v>
      </c>
    </row>
    <row r="534" spans="1:72" x14ac:dyDescent="0.2">
      <c r="A534" s="74"/>
      <c r="B534" s="24">
        <v>44728</v>
      </c>
      <c r="C534" s="25">
        <v>211.02</v>
      </c>
      <c r="D534" s="26">
        <f t="shared" si="199"/>
        <v>211.35</v>
      </c>
      <c r="E534" s="26">
        <f t="shared" si="215"/>
        <v>211.61599999999999</v>
      </c>
      <c r="F534" s="26">
        <f t="shared" si="203"/>
        <v>211.50428571428571</v>
      </c>
      <c r="G534" s="26">
        <f t="shared" si="204"/>
        <v>211.84230769230771</v>
      </c>
      <c r="H534" s="26">
        <f t="shared" si="205"/>
        <v>204.86454545454546</v>
      </c>
      <c r="I534" s="26">
        <f t="shared" si="200"/>
        <v>211.4486666666667</v>
      </c>
      <c r="J534" s="26">
        <f t="shared" si="210"/>
        <v>211.41750186739887</v>
      </c>
      <c r="K534" s="26">
        <f t="shared" si="211"/>
        <v>211.36558605010433</v>
      </c>
      <c r="L534" s="26">
        <f t="shared" si="206"/>
        <v>214.53214536721015</v>
      </c>
      <c r="V534" s="26">
        <f t="shared" si="217"/>
        <v>210.73713804649691</v>
      </c>
      <c r="W534" s="26">
        <f t="shared" si="197"/>
        <v>210.71047092630135</v>
      </c>
      <c r="X534" s="26">
        <f t="shared" si="196"/>
        <v>2.6667120195554617E-2</v>
      </c>
      <c r="Y534" s="26">
        <f t="shared" si="198"/>
        <v>0.15158992448902944</v>
      </c>
      <c r="Z534" s="26">
        <v>13533.05</v>
      </c>
      <c r="AA534" s="26">
        <f t="shared" si="207"/>
        <v>218.17209719640854</v>
      </c>
      <c r="AB534" s="27">
        <f t="shared" si="208"/>
        <v>3.389298263865289E-2</v>
      </c>
      <c r="BK534" s="24">
        <v>44728</v>
      </c>
      <c r="BL534" s="25">
        <v>211.02</v>
      </c>
      <c r="BM534" s="26">
        <f t="shared" si="201"/>
        <v>211.35</v>
      </c>
      <c r="BN534" s="26">
        <f t="shared" si="209"/>
        <v>211.61599999999999</v>
      </c>
      <c r="BO534" s="26">
        <f t="shared" si="214"/>
        <v>211.50428571428571</v>
      </c>
      <c r="BP534" s="26">
        <f t="shared" si="216"/>
        <v>211.84230769230771</v>
      </c>
      <c r="BQ534" s="26">
        <f t="shared" ref="BQ534:BQ548" si="218">AVERAGE(BL502:BL534)</f>
        <v>204.86454545454546</v>
      </c>
      <c r="BR534" s="26">
        <f t="shared" si="202"/>
        <v>211.4486666666667</v>
      </c>
      <c r="BS534" s="26">
        <f t="shared" si="212"/>
        <v>211.41750186739887</v>
      </c>
      <c r="BT534" s="26">
        <f t="shared" si="213"/>
        <v>211.36558605010433</v>
      </c>
    </row>
    <row r="535" spans="1:72" x14ac:dyDescent="0.2">
      <c r="A535" s="74"/>
      <c r="B535" s="24">
        <v>44729</v>
      </c>
      <c r="C535" s="25">
        <v>207.78</v>
      </c>
      <c r="D535" s="26">
        <f t="shared" si="199"/>
        <v>210.45000000000002</v>
      </c>
      <c r="E535" s="26">
        <f t="shared" si="215"/>
        <v>210.55799999999999</v>
      </c>
      <c r="F535" s="26">
        <f t="shared" si="203"/>
        <v>211.00428571428571</v>
      </c>
      <c r="G535" s="26">
        <f t="shared" si="204"/>
        <v>211.4223076923077</v>
      </c>
      <c r="H535" s="26">
        <f t="shared" si="205"/>
        <v>205.27909090909094</v>
      </c>
      <c r="I535" s="26">
        <f t="shared" si="200"/>
        <v>210.17000000000002</v>
      </c>
      <c r="J535" s="26">
        <f t="shared" si="210"/>
        <v>209.96250112043933</v>
      </c>
      <c r="K535" s="26">
        <f t="shared" si="211"/>
        <v>209.21423442004175</v>
      </c>
      <c r="L535" s="26">
        <f t="shared" si="206"/>
        <v>214.51730670521007</v>
      </c>
      <c r="V535" s="26">
        <f t="shared" si="217"/>
        <v>210.28219373165123</v>
      </c>
      <c r="W535" s="26">
        <f t="shared" si="197"/>
        <v>210.51809078379344</v>
      </c>
      <c r="X535" s="26">
        <f t="shared" si="196"/>
        <v>-0.23589705214220658</v>
      </c>
      <c r="Y535" s="26">
        <f t="shared" si="198"/>
        <v>7.409252916278225E-2</v>
      </c>
      <c r="Z535" s="26">
        <v>13874.47</v>
      </c>
      <c r="AA535" s="26">
        <f t="shared" si="207"/>
        <v>218.32241396244018</v>
      </c>
      <c r="AB535" s="27">
        <f t="shared" si="208"/>
        <v>5.0738348072192602E-2</v>
      </c>
      <c r="BK535" s="24">
        <v>44729</v>
      </c>
      <c r="BL535" s="25">
        <v>207.78</v>
      </c>
      <c r="BM535" s="26">
        <f t="shared" si="201"/>
        <v>210.45000000000002</v>
      </c>
      <c r="BN535" s="26">
        <f t="shared" si="209"/>
        <v>210.55799999999999</v>
      </c>
      <c r="BO535" s="26">
        <f t="shared" si="214"/>
        <v>211.00428571428571</v>
      </c>
      <c r="BP535" s="26">
        <f t="shared" si="216"/>
        <v>211.4223076923077</v>
      </c>
      <c r="BQ535" s="26">
        <f t="shared" si="218"/>
        <v>205.27909090909094</v>
      </c>
      <c r="BR535" s="26">
        <f t="shared" si="202"/>
        <v>210.17000000000002</v>
      </c>
      <c r="BS535" s="26">
        <f t="shared" si="212"/>
        <v>209.96250112043933</v>
      </c>
      <c r="BT535" s="26">
        <f t="shared" si="213"/>
        <v>209.21423442004175</v>
      </c>
    </row>
    <row r="536" spans="1:72" x14ac:dyDescent="0.2">
      <c r="A536" s="74"/>
      <c r="B536" s="24">
        <v>44730</v>
      </c>
      <c r="C536" s="25">
        <v>205.9</v>
      </c>
      <c r="D536" s="26">
        <f t="shared" si="199"/>
        <v>208.23333333333335</v>
      </c>
      <c r="E536" s="26">
        <f t="shared" si="215"/>
        <v>209.54599999999999</v>
      </c>
      <c r="F536" s="26">
        <f t="shared" si="203"/>
        <v>210.25142857142856</v>
      </c>
      <c r="G536" s="26">
        <f t="shared" si="204"/>
        <v>210.47461538461542</v>
      </c>
      <c r="H536" s="26">
        <f t="shared" si="205"/>
        <v>205.79151515151511</v>
      </c>
      <c r="I536" s="26">
        <f t="shared" si="200"/>
        <v>208.61733333333331</v>
      </c>
      <c r="J536" s="26">
        <f t="shared" si="210"/>
        <v>208.33750067226362</v>
      </c>
      <c r="K536" s="26">
        <f t="shared" si="211"/>
        <v>207.2256937680167</v>
      </c>
      <c r="L536" s="26">
        <f t="shared" si="206"/>
        <v>214.50246804320997</v>
      </c>
      <c r="V536" s="26">
        <f t="shared" si="217"/>
        <v>209.60801008062796</v>
      </c>
      <c r="W536" s="26">
        <f t="shared" si="197"/>
        <v>209.95758678856595</v>
      </c>
      <c r="X536" s="26">
        <f t="shared" si="196"/>
        <v>-0.34957670793798457</v>
      </c>
      <c r="Y536" s="26">
        <f t="shared" si="198"/>
        <v>-1.0641318257371121E-2</v>
      </c>
      <c r="Z536" s="26">
        <v>13865.36</v>
      </c>
      <c r="AA536" s="26">
        <f t="shared" si="207"/>
        <v>218.31840310854017</v>
      </c>
      <c r="AB536" s="27">
        <f t="shared" si="208"/>
        <v>6.0312788288198936E-2</v>
      </c>
      <c r="BK536" s="24">
        <v>44730</v>
      </c>
      <c r="BL536" s="25">
        <v>205.9</v>
      </c>
      <c r="BM536" s="26">
        <f t="shared" si="201"/>
        <v>208.23333333333335</v>
      </c>
      <c r="BN536" s="26">
        <f t="shared" si="209"/>
        <v>209.54599999999999</v>
      </c>
      <c r="BO536" s="26">
        <f t="shared" si="214"/>
        <v>210.25142857142856</v>
      </c>
      <c r="BP536" s="26">
        <f t="shared" si="216"/>
        <v>210.47461538461542</v>
      </c>
      <c r="BQ536" s="26">
        <f t="shared" si="218"/>
        <v>205.79151515151511</v>
      </c>
      <c r="BR536" s="26">
        <f t="shared" si="202"/>
        <v>208.61733333333331</v>
      </c>
      <c r="BS536" s="26">
        <f t="shared" si="212"/>
        <v>208.33750067226362</v>
      </c>
      <c r="BT536" s="26">
        <f t="shared" si="213"/>
        <v>207.2256937680167</v>
      </c>
    </row>
    <row r="537" spans="1:72" x14ac:dyDescent="0.2">
      <c r="A537" s="74"/>
      <c r="B537" s="24">
        <v>44731</v>
      </c>
      <c r="C537" s="25">
        <v>218.58</v>
      </c>
      <c r="D537" s="26">
        <f t="shared" si="199"/>
        <v>210.75333333333333</v>
      </c>
      <c r="E537" s="26">
        <f t="shared" si="215"/>
        <v>211.166</v>
      </c>
      <c r="F537" s="26">
        <f t="shared" si="203"/>
        <v>211.03857142857143</v>
      </c>
      <c r="G537" s="26">
        <f t="shared" si="204"/>
        <v>211.11153846153849</v>
      </c>
      <c r="H537" s="26">
        <f t="shared" si="205"/>
        <v>206.69757575757575</v>
      </c>
      <c r="I537" s="26">
        <f t="shared" si="200"/>
        <v>211.62866666666667</v>
      </c>
      <c r="J537" s="26">
        <f t="shared" si="210"/>
        <v>212.43450040335819</v>
      </c>
      <c r="K537" s="26">
        <f t="shared" si="211"/>
        <v>214.03827750720669</v>
      </c>
      <c r="L537" s="26">
        <f t="shared" si="206"/>
        <v>214.48762938120987</v>
      </c>
      <c r="V537" s="26">
        <f t="shared" si="217"/>
        <v>210.98831622206981</v>
      </c>
      <c r="W537" s="26">
        <f t="shared" si="197"/>
        <v>210.27260192650738</v>
      </c>
      <c r="X537" s="26">
        <f t="shared" si="196"/>
        <v>0.71571429556243515</v>
      </c>
      <c r="Y537" s="26">
        <f t="shared" si="198"/>
        <v>0.13462980450659012</v>
      </c>
      <c r="Z537" s="26">
        <v>13965.5</v>
      </c>
      <c r="AA537" s="26">
        <f t="shared" si="207"/>
        <v>218.36249168258504</v>
      </c>
      <c r="AB537" s="27">
        <f t="shared" si="208"/>
        <v>-9.9509706933373441E-4</v>
      </c>
      <c r="BK537" s="24">
        <v>44731</v>
      </c>
      <c r="BL537" s="25">
        <v>218.58</v>
      </c>
      <c r="BM537" s="26">
        <f t="shared" si="201"/>
        <v>210.75333333333333</v>
      </c>
      <c r="BN537" s="26">
        <f t="shared" si="209"/>
        <v>211.166</v>
      </c>
      <c r="BO537" s="26">
        <f t="shared" si="214"/>
        <v>211.03857142857143</v>
      </c>
      <c r="BP537" s="26">
        <f t="shared" si="216"/>
        <v>211.11153846153849</v>
      </c>
      <c r="BQ537" s="26">
        <f t="shared" si="218"/>
        <v>206.69757575757575</v>
      </c>
      <c r="BR537" s="26">
        <f t="shared" si="202"/>
        <v>211.62866666666667</v>
      </c>
      <c r="BS537" s="26">
        <f t="shared" si="212"/>
        <v>212.43450040335819</v>
      </c>
      <c r="BT537" s="26">
        <f t="shared" si="213"/>
        <v>214.03827750720669</v>
      </c>
    </row>
    <row r="538" spans="1:72" x14ac:dyDescent="0.2">
      <c r="A538" s="74"/>
      <c r="B538" s="24">
        <v>44732</v>
      </c>
      <c r="C538" s="25">
        <v>218.01</v>
      </c>
      <c r="D538" s="26">
        <f t="shared" si="199"/>
        <v>214.16333333333333</v>
      </c>
      <c r="E538" s="26">
        <f t="shared" si="215"/>
        <v>212.25799999999998</v>
      </c>
      <c r="F538" s="26">
        <f t="shared" si="203"/>
        <v>212.04571428571427</v>
      </c>
      <c r="G538" s="26">
        <f t="shared" si="204"/>
        <v>211.73307692307691</v>
      </c>
      <c r="H538" s="26">
        <f t="shared" si="205"/>
        <v>207.4672727272727</v>
      </c>
      <c r="I538" s="26">
        <f t="shared" si="200"/>
        <v>213.90999999999997</v>
      </c>
      <c r="J538" s="26">
        <f t="shared" si="210"/>
        <v>214.66470024201493</v>
      </c>
      <c r="K538" s="26">
        <f t="shared" si="211"/>
        <v>216.42131100288265</v>
      </c>
      <c r="L538" s="26">
        <f t="shared" si="206"/>
        <v>214.4727907192098</v>
      </c>
      <c r="V538" s="26">
        <f t="shared" si="217"/>
        <v>212.0685752648283</v>
      </c>
      <c r="W538" s="26">
        <f t="shared" si="197"/>
        <v>211.50844094636093</v>
      </c>
      <c r="X538" s="26">
        <f t="shared" si="196"/>
        <v>0.56013431846736239</v>
      </c>
      <c r="Y538" s="26">
        <f t="shared" si="198"/>
        <v>0.21973070729874458</v>
      </c>
      <c r="Z538" s="26">
        <v>14047.5</v>
      </c>
      <c r="AA538" s="26">
        <f t="shared" si="207"/>
        <v>218.39859377037897</v>
      </c>
      <c r="AB538" s="27">
        <f t="shared" si="208"/>
        <v>1.7824584669463559E-3</v>
      </c>
      <c r="BK538" s="24">
        <v>44732</v>
      </c>
      <c r="BL538" s="25">
        <v>218.01</v>
      </c>
      <c r="BM538" s="26">
        <f t="shared" si="201"/>
        <v>214.16333333333333</v>
      </c>
      <c r="BN538" s="26">
        <f t="shared" si="209"/>
        <v>212.25799999999998</v>
      </c>
      <c r="BO538" s="26">
        <f t="shared" si="214"/>
        <v>212.04571428571427</v>
      </c>
      <c r="BP538" s="26">
        <f t="shared" si="216"/>
        <v>211.73307692307691</v>
      </c>
      <c r="BQ538" s="26">
        <f t="shared" si="218"/>
        <v>207.4672727272727</v>
      </c>
      <c r="BR538" s="26">
        <f t="shared" si="202"/>
        <v>213.90999999999997</v>
      </c>
      <c r="BS538" s="26">
        <f t="shared" si="212"/>
        <v>214.66470024201493</v>
      </c>
      <c r="BT538" s="26">
        <f t="shared" si="213"/>
        <v>216.42131100288265</v>
      </c>
    </row>
    <row r="539" spans="1:72" x14ac:dyDescent="0.2">
      <c r="A539" s="74"/>
      <c r="B539" s="24">
        <v>44733</v>
      </c>
      <c r="C539" s="25">
        <v>217</v>
      </c>
      <c r="D539" s="26">
        <f t="shared" si="199"/>
        <v>217.86333333333334</v>
      </c>
      <c r="E539" s="26">
        <f t="shared" si="215"/>
        <v>213.45400000000001</v>
      </c>
      <c r="F539" s="26">
        <f t="shared" si="203"/>
        <v>212.97714285714284</v>
      </c>
      <c r="G539" s="26">
        <f t="shared" si="204"/>
        <v>212.16846153846151</v>
      </c>
      <c r="H539" s="26">
        <f t="shared" si="205"/>
        <v>208.12848484848482</v>
      </c>
      <c r="I539" s="26">
        <f t="shared" si="200"/>
        <v>215.49066666666667</v>
      </c>
      <c r="J539" s="26">
        <f t="shared" si="210"/>
        <v>215.59882014520898</v>
      </c>
      <c r="K539" s="26">
        <f t="shared" si="211"/>
        <v>216.76852440115306</v>
      </c>
      <c r="L539" s="26">
        <f t="shared" si="206"/>
        <v>214.4579520572097</v>
      </c>
      <c r="V539" s="26">
        <f t="shared" si="217"/>
        <v>212.82725599331624</v>
      </c>
      <c r="W539" s="26">
        <f t="shared" si="197"/>
        <v>212.43386598595214</v>
      </c>
      <c r="X539" s="26">
        <f t="shared" si="196"/>
        <v>0.39339000736410412</v>
      </c>
      <c r="Y539" s="26">
        <f t="shared" si="198"/>
        <v>0.25446256731181649</v>
      </c>
      <c r="Z539" s="26">
        <v>13070.7</v>
      </c>
      <c r="AA539" s="26">
        <f t="shared" si="207"/>
        <v>217.96853865626815</v>
      </c>
      <c r="AB539" s="27">
        <f t="shared" si="208"/>
        <v>4.4633117800375642E-3</v>
      </c>
      <c r="BK539" s="24">
        <v>44733</v>
      </c>
      <c r="BL539" s="25">
        <v>217</v>
      </c>
      <c r="BM539" s="26">
        <f t="shared" si="201"/>
        <v>217.86333333333334</v>
      </c>
      <c r="BN539" s="26">
        <f t="shared" si="209"/>
        <v>213.45400000000001</v>
      </c>
      <c r="BO539" s="26">
        <f t="shared" si="214"/>
        <v>212.97714285714284</v>
      </c>
      <c r="BP539" s="26">
        <f t="shared" si="216"/>
        <v>212.16846153846151</v>
      </c>
      <c r="BQ539" s="26">
        <f t="shared" si="218"/>
        <v>208.12848484848482</v>
      </c>
      <c r="BR539" s="26">
        <f t="shared" si="202"/>
        <v>215.49066666666667</v>
      </c>
      <c r="BS539" s="26">
        <f t="shared" si="212"/>
        <v>215.59882014520898</v>
      </c>
      <c r="BT539" s="26">
        <f t="shared" si="213"/>
        <v>216.76852440115306</v>
      </c>
    </row>
    <row r="540" spans="1:72" x14ac:dyDescent="0.2">
      <c r="A540" s="74"/>
      <c r="B540" s="24">
        <v>44734</v>
      </c>
      <c r="C540" s="25">
        <v>212.98</v>
      </c>
      <c r="D540" s="26">
        <f t="shared" si="199"/>
        <v>215.99666666666667</v>
      </c>
      <c r="E540" s="26">
        <f t="shared" si="215"/>
        <v>214.494</v>
      </c>
      <c r="F540" s="26">
        <f t="shared" si="203"/>
        <v>213.03857142857143</v>
      </c>
      <c r="G540" s="26">
        <f t="shared" si="204"/>
        <v>212.36769230769232</v>
      </c>
      <c r="H540" s="26">
        <f t="shared" si="205"/>
        <v>208.55909090909088</v>
      </c>
      <c r="I540" s="26">
        <f t="shared" si="200"/>
        <v>215.33266666666665</v>
      </c>
      <c r="J540" s="26">
        <f t="shared" si="210"/>
        <v>214.55129208712538</v>
      </c>
      <c r="K540" s="26">
        <f t="shared" si="211"/>
        <v>214.4954097604612</v>
      </c>
      <c r="L540" s="26">
        <f t="shared" si="206"/>
        <v>214.44311339520959</v>
      </c>
      <c r="V540" s="26">
        <f t="shared" si="217"/>
        <v>212.8507550712676</v>
      </c>
      <c r="W540" s="26">
        <f t="shared" si="197"/>
        <v>212.83857036418169</v>
      </c>
      <c r="X540" s="26">
        <f t="shared" si="196"/>
        <v>1.2184707085907576E-2</v>
      </c>
      <c r="Y540" s="26">
        <f t="shared" si="198"/>
        <v>0.20600699526663471</v>
      </c>
      <c r="Z540" s="26">
        <v>13337.16</v>
      </c>
      <c r="AA540" s="26">
        <f t="shared" si="207"/>
        <v>218.0858528308238</v>
      </c>
      <c r="AB540" s="27">
        <f t="shared" si="208"/>
        <v>2.3973391073452002E-2</v>
      </c>
      <c r="BK540" s="24">
        <v>44734</v>
      </c>
      <c r="BL540" s="25">
        <v>212.98</v>
      </c>
      <c r="BM540" s="26">
        <f t="shared" si="201"/>
        <v>215.99666666666667</v>
      </c>
      <c r="BN540" s="26">
        <f t="shared" si="209"/>
        <v>214.494</v>
      </c>
      <c r="BO540" s="26">
        <f t="shared" si="214"/>
        <v>213.03857142857143</v>
      </c>
      <c r="BP540" s="26">
        <f t="shared" si="216"/>
        <v>212.36769230769232</v>
      </c>
      <c r="BQ540" s="26">
        <f t="shared" si="218"/>
        <v>208.55909090909088</v>
      </c>
      <c r="BR540" s="26">
        <f t="shared" si="202"/>
        <v>215.33266666666665</v>
      </c>
      <c r="BS540" s="26">
        <f t="shared" si="212"/>
        <v>214.55129208712538</v>
      </c>
      <c r="BT540" s="26">
        <f t="shared" si="213"/>
        <v>214.4954097604612</v>
      </c>
    </row>
    <row r="541" spans="1:72" x14ac:dyDescent="0.2">
      <c r="A541" s="74"/>
      <c r="B541" s="24">
        <v>44735</v>
      </c>
      <c r="C541" s="25">
        <v>211.04</v>
      </c>
      <c r="D541" s="26">
        <f t="shared" si="199"/>
        <v>213.67333333333332</v>
      </c>
      <c r="E541" s="26">
        <f t="shared" si="215"/>
        <v>215.52200000000002</v>
      </c>
      <c r="F541" s="26">
        <f t="shared" si="203"/>
        <v>213.04142857142855</v>
      </c>
      <c r="G541" s="26">
        <f t="shared" si="204"/>
        <v>212.34923076923076</v>
      </c>
      <c r="H541" s="26">
        <f t="shared" si="205"/>
        <v>208.85848484848481</v>
      </c>
      <c r="I541" s="26">
        <f t="shared" si="200"/>
        <v>214.18133333333333</v>
      </c>
      <c r="J541" s="26">
        <f t="shared" si="210"/>
        <v>213.14677525227521</v>
      </c>
      <c r="K541" s="26">
        <f t="shared" si="211"/>
        <v>212.42216390418449</v>
      </c>
      <c r="L541" s="26">
        <f t="shared" si="206"/>
        <v>214.42827473320952</v>
      </c>
      <c r="V541" s="26">
        <f t="shared" si="217"/>
        <v>212.57217736799566</v>
      </c>
      <c r="W541" s="26">
        <f t="shared" si="197"/>
        <v>212.71662506598852</v>
      </c>
      <c r="X541" s="26">
        <f t="shared" si="196"/>
        <v>-0.1444476979928595</v>
      </c>
      <c r="Y541" s="26">
        <f t="shared" si="198"/>
        <v>0.13591605661473588</v>
      </c>
      <c r="Z541" s="26">
        <v>13270.6</v>
      </c>
      <c r="AA541" s="26">
        <f t="shared" si="207"/>
        <v>218.05654850199988</v>
      </c>
      <c r="AB541" s="27">
        <f t="shared" si="208"/>
        <v>3.3247481529567344E-2</v>
      </c>
      <c r="BK541" s="24">
        <v>44735</v>
      </c>
      <c r="BL541" s="25">
        <v>211.04</v>
      </c>
      <c r="BM541" s="26">
        <f t="shared" si="201"/>
        <v>213.67333333333332</v>
      </c>
      <c r="BN541" s="26">
        <f t="shared" si="209"/>
        <v>215.52200000000002</v>
      </c>
      <c r="BO541" s="26">
        <f t="shared" si="214"/>
        <v>213.04142857142855</v>
      </c>
      <c r="BP541" s="26">
        <f t="shared" si="216"/>
        <v>212.34923076923076</v>
      </c>
      <c r="BQ541" s="26">
        <f t="shared" si="218"/>
        <v>208.85848484848481</v>
      </c>
      <c r="BR541" s="26">
        <f t="shared" si="202"/>
        <v>214.18133333333333</v>
      </c>
      <c r="BS541" s="26">
        <f t="shared" si="212"/>
        <v>213.14677525227521</v>
      </c>
      <c r="BT541" s="26">
        <f t="shared" si="213"/>
        <v>212.42216390418449</v>
      </c>
    </row>
    <row r="542" spans="1:72" x14ac:dyDescent="0.2">
      <c r="A542" s="74"/>
      <c r="B542" s="24">
        <v>44736</v>
      </c>
      <c r="C542" s="25">
        <v>210.23</v>
      </c>
      <c r="D542" s="26">
        <f t="shared" si="199"/>
        <v>211.41666666666666</v>
      </c>
      <c r="E542" s="26">
        <f t="shared" si="215"/>
        <v>213.852</v>
      </c>
      <c r="F542" s="26">
        <f t="shared" si="203"/>
        <v>213.39142857142858</v>
      </c>
      <c r="G542" s="26">
        <f t="shared" si="204"/>
        <v>212.27692307692308</v>
      </c>
      <c r="H542" s="26">
        <f t="shared" si="205"/>
        <v>209.08272727272723</v>
      </c>
      <c r="I542" s="26">
        <f t="shared" si="200"/>
        <v>212.41733333333335</v>
      </c>
      <c r="J542" s="26">
        <f t="shared" si="210"/>
        <v>211.98006515136512</v>
      </c>
      <c r="K542" s="26">
        <f t="shared" si="211"/>
        <v>211.10686556167377</v>
      </c>
      <c r="L542" s="26">
        <f t="shared" si="206"/>
        <v>214.41343607120942</v>
      </c>
      <c r="V542" s="26">
        <f t="shared" si="217"/>
        <v>212.21184238830401</v>
      </c>
      <c r="W542" s="26">
        <f t="shared" si="197"/>
        <v>212.39868274814415</v>
      </c>
      <c r="X542" s="26">
        <f t="shared" ref="X542:X605" si="219">V542-W542</f>
        <v>-0.18684035984014713</v>
      </c>
      <c r="Y542" s="26">
        <f t="shared" si="198"/>
        <v>7.136477332375929E-2</v>
      </c>
      <c r="Z542" s="26">
        <v>13626.07</v>
      </c>
      <c r="AA542" s="26">
        <f t="shared" si="207"/>
        <v>218.21305105258645</v>
      </c>
      <c r="AB542" s="27">
        <f t="shared" si="208"/>
        <v>3.7972939412008092E-2</v>
      </c>
      <c r="BK542" s="24">
        <v>44736</v>
      </c>
      <c r="BL542" s="25">
        <v>210.23</v>
      </c>
      <c r="BM542" s="26">
        <f t="shared" si="201"/>
        <v>211.41666666666666</v>
      </c>
      <c r="BN542" s="26">
        <f t="shared" si="209"/>
        <v>213.852</v>
      </c>
      <c r="BO542" s="26">
        <f t="shared" si="214"/>
        <v>213.39142857142858</v>
      </c>
      <c r="BP542" s="26">
        <f t="shared" si="216"/>
        <v>212.27692307692308</v>
      </c>
      <c r="BQ542" s="26">
        <f t="shared" si="218"/>
        <v>209.08272727272723</v>
      </c>
      <c r="BR542" s="26">
        <f t="shared" si="202"/>
        <v>212.41733333333335</v>
      </c>
      <c r="BS542" s="26">
        <f t="shared" si="212"/>
        <v>211.98006515136512</v>
      </c>
      <c r="BT542" s="26">
        <f t="shared" si="213"/>
        <v>211.10686556167377</v>
      </c>
    </row>
    <row r="543" spans="1:72" x14ac:dyDescent="0.2">
      <c r="A543" s="74"/>
      <c r="B543" s="24">
        <v>44737</v>
      </c>
      <c r="C543" s="25">
        <v>211.21</v>
      </c>
      <c r="D543" s="26">
        <f t="shared" si="199"/>
        <v>210.82666666666668</v>
      </c>
      <c r="E543" s="26">
        <f t="shared" si="215"/>
        <v>212.49200000000002</v>
      </c>
      <c r="F543" s="26">
        <f t="shared" si="203"/>
        <v>214.15000000000003</v>
      </c>
      <c r="G543" s="26">
        <f t="shared" si="204"/>
        <v>212.13384615384615</v>
      </c>
      <c r="H543" s="26">
        <f t="shared" si="205"/>
        <v>209.37696969696967</v>
      </c>
      <c r="I543" s="26">
        <f t="shared" si="200"/>
        <v>211.53666666666666</v>
      </c>
      <c r="J543" s="26">
        <f t="shared" si="210"/>
        <v>211.67203909081908</v>
      </c>
      <c r="K543" s="26">
        <f t="shared" si="211"/>
        <v>211.16874622466952</v>
      </c>
      <c r="L543" s="26">
        <f t="shared" si="206"/>
        <v>214.39859740920932</v>
      </c>
      <c r="V543" s="26">
        <f t="shared" si="217"/>
        <v>212.05771279010341</v>
      </c>
      <c r="W543" s="26">
        <f t="shared" ref="W543:W606" si="220">C543*(2/(26+1))+V542*(1-(2/(26+1)))</f>
        <v>212.13763184102226</v>
      </c>
      <c r="X543" s="26">
        <f t="shared" si="219"/>
        <v>-7.9919050918846324E-2</v>
      </c>
      <c r="Y543" s="26">
        <f t="shared" si="198"/>
        <v>4.110800847523817E-2</v>
      </c>
      <c r="Z543" s="26">
        <v>13635.99</v>
      </c>
      <c r="AA543" s="26">
        <f t="shared" si="207"/>
        <v>218.21741852467079</v>
      </c>
      <c r="AB543" s="27">
        <f t="shared" si="208"/>
        <v>3.3177494080160894E-2</v>
      </c>
      <c r="BK543" s="24">
        <v>44737</v>
      </c>
      <c r="BL543" s="25">
        <v>211.21</v>
      </c>
      <c r="BM543" s="26">
        <f t="shared" si="201"/>
        <v>210.82666666666668</v>
      </c>
      <c r="BN543" s="26">
        <f t="shared" si="209"/>
        <v>212.49200000000002</v>
      </c>
      <c r="BO543" s="26">
        <f t="shared" si="214"/>
        <v>214.15000000000003</v>
      </c>
      <c r="BP543" s="26">
        <f t="shared" si="216"/>
        <v>212.13384615384615</v>
      </c>
      <c r="BQ543" s="26">
        <f t="shared" si="218"/>
        <v>209.37696969696967</v>
      </c>
      <c r="BR543" s="26">
        <f t="shared" si="202"/>
        <v>211.53666666666666</v>
      </c>
      <c r="BS543" s="26">
        <f t="shared" si="212"/>
        <v>211.67203909081908</v>
      </c>
      <c r="BT543" s="26">
        <f t="shared" si="213"/>
        <v>211.16874622466952</v>
      </c>
    </row>
    <row r="544" spans="1:72" x14ac:dyDescent="0.2">
      <c r="A544" s="74"/>
      <c r="B544" s="24">
        <v>44738</v>
      </c>
      <c r="C544" s="25">
        <v>208.57</v>
      </c>
      <c r="D544" s="26">
        <f t="shared" si="199"/>
        <v>210.00333333333333</v>
      </c>
      <c r="E544" s="26">
        <f t="shared" si="215"/>
        <v>210.80599999999998</v>
      </c>
      <c r="F544" s="26">
        <f t="shared" si="203"/>
        <v>212.72</v>
      </c>
      <c r="G544" s="26">
        <f t="shared" si="204"/>
        <v>211.95000000000002</v>
      </c>
      <c r="H544" s="26">
        <f t="shared" si="205"/>
        <v>209.62969696969694</v>
      </c>
      <c r="I544" s="26">
        <f t="shared" si="200"/>
        <v>210.22933333333333</v>
      </c>
      <c r="J544" s="26">
        <f t="shared" si="210"/>
        <v>210.43122345449143</v>
      </c>
      <c r="K544" s="26">
        <f t="shared" si="211"/>
        <v>209.6094984898678</v>
      </c>
      <c r="L544" s="26">
        <f t="shared" si="206"/>
        <v>214.38375874720924</v>
      </c>
      <c r="V544" s="26">
        <f t="shared" si="217"/>
        <v>211.52114159162596</v>
      </c>
      <c r="W544" s="26">
        <f t="shared" si="220"/>
        <v>211.7993636945402</v>
      </c>
      <c r="X544" s="26">
        <f t="shared" si="219"/>
        <v>-0.27822210291424199</v>
      </c>
      <c r="Y544" s="26">
        <f t="shared" si="198"/>
        <v>-2.2758013802657864E-2</v>
      </c>
      <c r="Z544" s="26">
        <v>13543.06</v>
      </c>
      <c r="AA544" s="26">
        <f t="shared" si="207"/>
        <v>218.17650429273559</v>
      </c>
      <c r="AB544" s="27">
        <f t="shared" si="208"/>
        <v>4.6058897697346661E-2</v>
      </c>
      <c r="BK544" s="24">
        <v>44738</v>
      </c>
      <c r="BL544" s="25">
        <v>208.57</v>
      </c>
      <c r="BM544" s="26">
        <f t="shared" si="201"/>
        <v>210.00333333333333</v>
      </c>
      <c r="BN544" s="26">
        <f t="shared" si="209"/>
        <v>210.80599999999998</v>
      </c>
      <c r="BO544" s="26">
        <f t="shared" si="214"/>
        <v>212.72</v>
      </c>
      <c r="BP544" s="26">
        <f t="shared" si="216"/>
        <v>211.95000000000002</v>
      </c>
      <c r="BQ544" s="26">
        <f t="shared" si="218"/>
        <v>209.62969696969694</v>
      </c>
      <c r="BR544" s="26">
        <f t="shared" si="202"/>
        <v>210.22933333333333</v>
      </c>
      <c r="BS544" s="26">
        <f t="shared" si="212"/>
        <v>210.43122345449143</v>
      </c>
      <c r="BT544" s="26">
        <f t="shared" si="213"/>
        <v>209.6094984898678</v>
      </c>
    </row>
    <row r="545" spans="1:72" x14ac:dyDescent="0.2">
      <c r="A545" s="74"/>
      <c r="B545" s="24">
        <v>44739</v>
      </c>
      <c r="C545" s="25">
        <v>208.75</v>
      </c>
      <c r="D545" s="26">
        <f t="shared" si="199"/>
        <v>209.51</v>
      </c>
      <c r="E545" s="26">
        <f t="shared" si="215"/>
        <v>209.95999999999998</v>
      </c>
      <c r="F545" s="26">
        <f t="shared" si="203"/>
        <v>211.39714285714285</v>
      </c>
      <c r="G545" s="26">
        <f t="shared" si="204"/>
        <v>211.81692307692308</v>
      </c>
      <c r="H545" s="26">
        <f t="shared" si="205"/>
        <v>210.05818181818179</v>
      </c>
      <c r="I545" s="26">
        <f t="shared" si="200"/>
        <v>209.54399999999998</v>
      </c>
      <c r="J545" s="26">
        <f t="shared" si="210"/>
        <v>209.75873407269484</v>
      </c>
      <c r="K545" s="26">
        <f t="shared" si="211"/>
        <v>209.09379939594714</v>
      </c>
      <c r="L545" s="26">
        <f t="shared" si="206"/>
        <v>214.36892008520914</v>
      </c>
      <c r="V545" s="26">
        <f t="shared" si="217"/>
        <v>211.0948121159912</v>
      </c>
      <c r="W545" s="26">
        <f t="shared" si="220"/>
        <v>211.31587184409813</v>
      </c>
      <c r="X545" s="26">
        <f t="shared" si="219"/>
        <v>-0.22105972810692265</v>
      </c>
      <c r="Y545" s="26">
        <f t="shared" si="198"/>
        <v>-6.2418356663510824E-2</v>
      </c>
      <c r="Z545" s="26">
        <v>13530.92</v>
      </c>
      <c r="AA545" s="26">
        <f t="shared" si="207"/>
        <v>218.17115942266463</v>
      </c>
      <c r="AB545" s="27">
        <f t="shared" si="208"/>
        <v>4.5131302623543139E-2</v>
      </c>
      <c r="BK545" s="24">
        <v>44739</v>
      </c>
      <c r="BL545" s="25">
        <v>208.75</v>
      </c>
      <c r="BM545" s="26">
        <f t="shared" si="201"/>
        <v>209.51</v>
      </c>
      <c r="BN545" s="26">
        <f t="shared" si="209"/>
        <v>209.95999999999998</v>
      </c>
      <c r="BO545" s="26">
        <f t="shared" si="214"/>
        <v>211.39714285714285</v>
      </c>
      <c r="BP545" s="26">
        <f t="shared" si="216"/>
        <v>211.81692307692308</v>
      </c>
      <c r="BQ545" s="26">
        <f t="shared" si="218"/>
        <v>210.05818181818179</v>
      </c>
      <c r="BR545" s="26">
        <f t="shared" si="202"/>
        <v>209.54399999999998</v>
      </c>
      <c r="BS545" s="26">
        <f t="shared" si="212"/>
        <v>209.75873407269484</v>
      </c>
      <c r="BT545" s="26">
        <f t="shared" si="213"/>
        <v>209.09379939594714</v>
      </c>
    </row>
    <row r="546" spans="1:72" x14ac:dyDescent="0.2">
      <c r="A546" s="74"/>
      <c r="B546" s="24">
        <v>44740</v>
      </c>
      <c r="C546" s="25">
        <v>213.09</v>
      </c>
      <c r="D546" s="26">
        <f t="shared" si="199"/>
        <v>210.13666666666666</v>
      </c>
      <c r="E546" s="26">
        <f t="shared" si="215"/>
        <v>210.36999999999998</v>
      </c>
      <c r="F546" s="26">
        <f t="shared" si="203"/>
        <v>210.83857142857141</v>
      </c>
      <c r="G546" s="26">
        <f t="shared" si="204"/>
        <v>211.85846153846157</v>
      </c>
      <c r="H546" s="26">
        <f t="shared" si="205"/>
        <v>210.48363636363635</v>
      </c>
      <c r="I546" s="26">
        <f t="shared" si="200"/>
        <v>210.58733333333333</v>
      </c>
      <c r="J546" s="26">
        <f t="shared" si="210"/>
        <v>211.0912404436169</v>
      </c>
      <c r="K546" s="26">
        <f t="shared" si="211"/>
        <v>211.49151975837884</v>
      </c>
      <c r="L546" s="26">
        <f t="shared" si="206"/>
        <v>214.35408142320904</v>
      </c>
      <c r="V546" s="26">
        <f t="shared" si="217"/>
        <v>211.4017640981464</v>
      </c>
      <c r="W546" s="26">
        <f t="shared" si="220"/>
        <v>211.24260381110295</v>
      </c>
      <c r="X546" s="26">
        <f t="shared" si="219"/>
        <v>0.15916028704344853</v>
      </c>
      <c r="Y546" s="26">
        <f t="shared" si="198"/>
        <v>-1.8102627922118954E-2</v>
      </c>
      <c r="Z546" s="26">
        <v>13457.25</v>
      </c>
      <c r="AA546" s="26">
        <f t="shared" si="207"/>
        <v>218.13872477866735</v>
      </c>
      <c r="AB546" s="27">
        <f t="shared" si="208"/>
        <v>2.3692922139318361E-2</v>
      </c>
      <c r="BK546" s="24">
        <v>44740</v>
      </c>
      <c r="BL546" s="25">
        <v>213.09</v>
      </c>
      <c r="BM546" s="26">
        <f t="shared" si="201"/>
        <v>210.13666666666666</v>
      </c>
      <c r="BN546" s="26">
        <f t="shared" si="209"/>
        <v>210.36999999999998</v>
      </c>
      <c r="BO546" s="26">
        <f t="shared" si="214"/>
        <v>210.83857142857141</v>
      </c>
      <c r="BP546" s="26">
        <f t="shared" si="216"/>
        <v>211.85846153846157</v>
      </c>
      <c r="BQ546" s="26">
        <f t="shared" si="218"/>
        <v>210.48363636363635</v>
      </c>
      <c r="BR546" s="26">
        <f t="shared" si="202"/>
        <v>210.58733333333333</v>
      </c>
      <c r="BS546" s="26">
        <f t="shared" si="212"/>
        <v>211.0912404436169</v>
      </c>
      <c r="BT546" s="26">
        <f t="shared" si="213"/>
        <v>211.49151975837884</v>
      </c>
    </row>
    <row r="547" spans="1:72" x14ac:dyDescent="0.2">
      <c r="A547" s="74"/>
      <c r="B547" s="24">
        <v>44741</v>
      </c>
      <c r="C547" s="25">
        <v>213.9</v>
      </c>
      <c r="D547" s="26">
        <f t="shared" si="199"/>
        <v>211.91333333333333</v>
      </c>
      <c r="E547" s="26">
        <f t="shared" si="215"/>
        <v>211.10399999999998</v>
      </c>
      <c r="F547" s="26">
        <f t="shared" si="203"/>
        <v>210.97</v>
      </c>
      <c r="G547" s="26">
        <f t="shared" si="204"/>
        <v>212.08000000000004</v>
      </c>
      <c r="H547" s="26">
        <f t="shared" si="205"/>
        <v>210.91606060606057</v>
      </c>
      <c r="I547" s="26">
        <f t="shared" si="200"/>
        <v>211.76400000000001</v>
      </c>
      <c r="J547" s="26">
        <f t="shared" si="210"/>
        <v>212.21474426617013</v>
      </c>
      <c r="K547" s="26">
        <f t="shared" si="211"/>
        <v>212.93660790335156</v>
      </c>
      <c r="L547" s="26">
        <f t="shared" si="206"/>
        <v>214.33924276120896</v>
      </c>
      <c r="V547" s="26">
        <f t="shared" si="217"/>
        <v>211.78610808304697</v>
      </c>
      <c r="W547" s="26">
        <f t="shared" si="220"/>
        <v>211.58681860939481</v>
      </c>
      <c r="X547" s="26">
        <f t="shared" si="219"/>
        <v>0.19928947365215777</v>
      </c>
      <c r="Y547" s="26">
        <f t="shared" si="198"/>
        <v>2.537579239273639E-2</v>
      </c>
      <c r="Z547" s="26">
        <v>13197.18</v>
      </c>
      <c r="AA547" s="26">
        <f t="shared" si="207"/>
        <v>218.02422392534342</v>
      </c>
      <c r="AB547" s="27">
        <f t="shared" si="208"/>
        <v>1.9281084269955187E-2</v>
      </c>
      <c r="BK547" s="24">
        <v>44741</v>
      </c>
      <c r="BL547" s="25">
        <v>213.9</v>
      </c>
      <c r="BM547" s="26">
        <f t="shared" si="201"/>
        <v>211.91333333333333</v>
      </c>
      <c r="BN547" s="26">
        <f t="shared" si="209"/>
        <v>211.10399999999998</v>
      </c>
      <c r="BO547" s="26">
        <f t="shared" si="214"/>
        <v>210.97</v>
      </c>
      <c r="BP547" s="26">
        <f t="shared" si="216"/>
        <v>212.08000000000004</v>
      </c>
      <c r="BQ547" s="26">
        <f t="shared" si="218"/>
        <v>210.91606060606057</v>
      </c>
      <c r="BR547" s="26">
        <f t="shared" si="202"/>
        <v>211.76400000000001</v>
      </c>
      <c r="BS547" s="26">
        <f t="shared" si="212"/>
        <v>212.21474426617013</v>
      </c>
      <c r="BT547" s="26">
        <f t="shared" si="213"/>
        <v>212.93660790335156</v>
      </c>
    </row>
    <row r="548" spans="1:72" x14ac:dyDescent="0.2">
      <c r="A548" s="74"/>
      <c r="B548" s="24">
        <v>44742</v>
      </c>
      <c r="C548" s="25">
        <v>208.71</v>
      </c>
      <c r="D548" s="26">
        <f t="shared" si="199"/>
        <v>211.9</v>
      </c>
      <c r="E548" s="26">
        <f t="shared" si="215"/>
        <v>210.60399999999998</v>
      </c>
      <c r="F548" s="26">
        <f t="shared" si="203"/>
        <v>210.63714285714286</v>
      </c>
      <c r="G548" s="26">
        <f t="shared" si="204"/>
        <v>212.15153846153848</v>
      </c>
      <c r="H548" s="26">
        <f t="shared" si="205"/>
        <v>210.99454545454543</v>
      </c>
      <c r="I548" s="26">
        <f t="shared" si="200"/>
        <v>210.96600000000001</v>
      </c>
      <c r="J548" s="26">
        <f t="shared" si="210"/>
        <v>210.81284655970208</v>
      </c>
      <c r="K548" s="26">
        <f t="shared" si="211"/>
        <v>210.40064316134061</v>
      </c>
      <c r="L548" s="26">
        <f t="shared" si="206"/>
        <v>214.32440409920886</v>
      </c>
      <c r="V548" s="26">
        <f t="shared" si="217"/>
        <v>211.31286068565512</v>
      </c>
      <c r="W548" s="26">
        <f t="shared" si="220"/>
        <v>211.55824822504349</v>
      </c>
      <c r="X548" s="26">
        <f t="shared" si="219"/>
        <v>-0.24538753938836066</v>
      </c>
      <c r="Y548" s="26">
        <f t="shared" si="198"/>
        <v>-2.8776873963483024E-2</v>
      </c>
      <c r="Z548" s="26">
        <v>12998.5</v>
      </c>
      <c r="AA548" s="26">
        <f t="shared" si="207"/>
        <v>217.93675120823497</v>
      </c>
      <c r="AB548" s="27">
        <f t="shared" si="208"/>
        <v>4.4208476873340799E-2</v>
      </c>
      <c r="BK548" s="24">
        <v>44742</v>
      </c>
      <c r="BL548" s="25">
        <v>208.71</v>
      </c>
      <c r="BM548" s="26">
        <f t="shared" si="201"/>
        <v>211.9</v>
      </c>
      <c r="BN548" s="26">
        <f t="shared" si="209"/>
        <v>210.60399999999998</v>
      </c>
      <c r="BO548" s="26">
        <f t="shared" si="214"/>
        <v>210.63714285714286</v>
      </c>
      <c r="BP548" s="26">
        <f t="shared" si="216"/>
        <v>212.15153846153848</v>
      </c>
      <c r="BQ548" s="26">
        <f t="shared" si="218"/>
        <v>210.99454545454543</v>
      </c>
      <c r="BR548" s="26">
        <f t="shared" si="202"/>
        <v>210.96600000000001</v>
      </c>
      <c r="BS548" s="26">
        <f t="shared" si="212"/>
        <v>210.81284655970208</v>
      </c>
      <c r="BT548" s="26">
        <f t="shared" si="213"/>
        <v>210.40064316134061</v>
      </c>
    </row>
    <row r="549" spans="1:72" x14ac:dyDescent="0.2">
      <c r="A549" s="73">
        <v>44743</v>
      </c>
      <c r="B549" s="24">
        <v>44743</v>
      </c>
      <c r="C549" s="25">
        <v>210.73</v>
      </c>
      <c r="D549" s="26">
        <f t="shared" si="199"/>
        <v>211.11333333333334</v>
      </c>
      <c r="E549" s="26">
        <f t="shared" si="215"/>
        <v>211.036</v>
      </c>
      <c r="F549" s="26">
        <f t="shared" si="203"/>
        <v>210.70857142857145</v>
      </c>
      <c r="G549" s="26">
        <f t="shared" si="204"/>
        <v>212.52307692307693</v>
      </c>
      <c r="H549" s="26">
        <f t="shared" si="205"/>
        <v>211.12060606060601</v>
      </c>
      <c r="I549" s="26">
        <f t="shared" si="200"/>
        <v>211.00799999999995</v>
      </c>
      <c r="J549" s="26">
        <f t="shared" si="210"/>
        <v>210.77970793582125</v>
      </c>
      <c r="K549" s="26">
        <f t="shared" si="211"/>
        <v>210.59825726453624</v>
      </c>
      <c r="L549" s="26">
        <f t="shared" si="206"/>
        <v>214.30956543720876</v>
      </c>
      <c r="V549" s="26">
        <f t="shared" si="217"/>
        <v>211.22318981093895</v>
      </c>
      <c r="W549" s="26">
        <f t="shared" si="220"/>
        <v>211.26968582005105</v>
      </c>
      <c r="X549" s="26">
        <f t="shared" si="219"/>
        <v>-4.6496009112104275E-2</v>
      </c>
      <c r="Y549" s="26">
        <f t="shared" si="198"/>
        <v>-3.2320700993207274E-2</v>
      </c>
      <c r="Z549" s="26">
        <v>13112.64</v>
      </c>
      <c r="AA549" s="26">
        <f t="shared" si="207"/>
        <v>217.98700355336663</v>
      </c>
      <c r="AB549" s="27">
        <f t="shared" si="208"/>
        <v>3.4437448646925661E-2</v>
      </c>
      <c r="BK549" s="35">
        <v>44743</v>
      </c>
      <c r="BL549" s="36">
        <v>210.73</v>
      </c>
      <c r="BM549" s="39">
        <f>$BM$548</f>
        <v>211.9</v>
      </c>
      <c r="BN549" s="39">
        <f>$BN$548</f>
        <v>210.60399999999998</v>
      </c>
      <c r="BO549" s="39">
        <f>$BO$548</f>
        <v>210.63714285714286</v>
      </c>
      <c r="BP549" s="39">
        <f>$BP$548</f>
        <v>212.15153846153848</v>
      </c>
      <c r="BQ549" s="39">
        <f>$BQ$548</f>
        <v>210.99454545454543</v>
      </c>
      <c r="BR549" s="39">
        <f>$BR$548</f>
        <v>210.96600000000001</v>
      </c>
      <c r="BS549" s="39">
        <f>$BS$548</f>
        <v>210.81284655970208</v>
      </c>
      <c r="BT549" s="39">
        <f t="shared" si="213"/>
        <v>210.59825726453624</v>
      </c>
    </row>
    <row r="550" spans="1:72" x14ac:dyDescent="0.2">
      <c r="A550" s="74"/>
      <c r="B550" s="24">
        <v>44744</v>
      </c>
      <c r="C550" s="25">
        <v>211.02</v>
      </c>
      <c r="D550" s="26">
        <f t="shared" si="199"/>
        <v>210.15333333333334</v>
      </c>
      <c r="E550" s="26">
        <f t="shared" si="215"/>
        <v>211.49</v>
      </c>
      <c r="F550" s="26">
        <f t="shared" si="203"/>
        <v>210.68142857142857</v>
      </c>
      <c r="G550" s="26">
        <f t="shared" si="204"/>
        <v>211.94153846153844</v>
      </c>
      <c r="H550" s="26">
        <f t="shared" si="205"/>
        <v>211.26636363636362</v>
      </c>
      <c r="I550" s="26">
        <f t="shared" si="200"/>
        <v>211.0026666666667</v>
      </c>
      <c r="J550" s="26">
        <f t="shared" si="210"/>
        <v>210.87582476149277</v>
      </c>
      <c r="K550" s="26">
        <f t="shared" si="211"/>
        <v>210.85130290581449</v>
      </c>
      <c r="L550" s="26">
        <f t="shared" si="206"/>
        <v>214.29472677520869</v>
      </c>
      <c r="V550" s="26">
        <f t="shared" si="217"/>
        <v>211.19192984002524</v>
      </c>
      <c r="W550" s="26">
        <f t="shared" si="220"/>
        <v>211.20813871383234</v>
      </c>
      <c r="X550" s="26">
        <f t="shared" si="219"/>
        <v>-1.6208873807102009E-2</v>
      </c>
      <c r="Y550" s="26">
        <f t="shared" si="198"/>
        <v>-2.9098335555986222E-2</v>
      </c>
      <c r="Z550" s="26">
        <v>13128.95</v>
      </c>
      <c r="AA550" s="26">
        <f t="shared" si="207"/>
        <v>217.99418434668272</v>
      </c>
      <c r="AB550" s="27">
        <f t="shared" si="208"/>
        <v>3.304987369293292E-2</v>
      </c>
      <c r="BK550" s="37">
        <v>44744</v>
      </c>
      <c r="BL550" s="38">
        <v>211.02</v>
      </c>
      <c r="BM550" s="40">
        <f t="shared" ref="BM550:BM610" si="221">$BM$548</f>
        <v>211.9</v>
      </c>
      <c r="BN550" s="40">
        <f t="shared" ref="BN550:BN610" si="222">$BN$548</f>
        <v>210.60399999999998</v>
      </c>
      <c r="BO550" s="40">
        <f t="shared" ref="BO550:BO610" si="223">$BO$548</f>
        <v>210.63714285714286</v>
      </c>
      <c r="BP550" s="40">
        <f t="shared" ref="BP550:BP610" si="224">$BP$548</f>
        <v>212.15153846153848</v>
      </c>
      <c r="BQ550" s="40">
        <f t="shared" ref="BQ550:BQ610" si="225">$BQ$548</f>
        <v>210.99454545454543</v>
      </c>
      <c r="BR550" s="40">
        <f t="shared" ref="BR550:BR610" si="226">$BR$548</f>
        <v>210.96600000000001</v>
      </c>
      <c r="BS550" s="40">
        <f t="shared" ref="BS550:BS610" si="227">$BS$548</f>
        <v>210.81284655970208</v>
      </c>
      <c r="BT550" s="40">
        <f t="shared" si="213"/>
        <v>210.85130290581449</v>
      </c>
    </row>
    <row r="551" spans="1:72" x14ac:dyDescent="0.2">
      <c r="A551" s="74"/>
      <c r="B551" s="24">
        <v>44745</v>
      </c>
      <c r="C551" s="25">
        <v>213.71</v>
      </c>
      <c r="D551" s="26">
        <f t="shared" si="199"/>
        <v>211.82000000000002</v>
      </c>
      <c r="E551" s="26">
        <f t="shared" si="215"/>
        <v>211.61399999999998</v>
      </c>
      <c r="F551" s="26">
        <f t="shared" si="203"/>
        <v>211.4157142857143</v>
      </c>
      <c r="G551" s="26">
        <f t="shared" si="204"/>
        <v>211.61076923076922</v>
      </c>
      <c r="H551" s="26">
        <f t="shared" si="205"/>
        <v>211.44787878787878</v>
      </c>
      <c r="I551" s="26">
        <f t="shared" si="200"/>
        <v>211.74266666666668</v>
      </c>
      <c r="J551" s="26">
        <f t="shared" si="210"/>
        <v>212.00949485689566</v>
      </c>
      <c r="K551" s="26">
        <f t="shared" si="211"/>
        <v>212.56652116232578</v>
      </c>
      <c r="L551" s="26">
        <f t="shared" si="206"/>
        <v>214.27988811320859</v>
      </c>
      <c r="V551" s="26">
        <f t="shared" si="217"/>
        <v>211.57932524925212</v>
      </c>
      <c r="W551" s="26">
        <f t="shared" si="220"/>
        <v>211.37845355557891</v>
      </c>
      <c r="X551" s="26">
        <f t="shared" si="219"/>
        <v>0.20087169367320712</v>
      </c>
      <c r="Y551" s="26">
        <f t="shared" ref="Y551:Y610" si="228">X551*(2/(9+1))+Y550*(1-(2/(9+1)))</f>
        <v>1.6895670289852449E-2</v>
      </c>
      <c r="Z551" s="26">
        <v>12888.28</v>
      </c>
      <c r="AA551" s="26">
        <f t="shared" si="207"/>
        <v>217.88822471900761</v>
      </c>
      <c r="AB551" s="27">
        <f t="shared" si="208"/>
        <v>1.9550908797003424E-2</v>
      </c>
      <c r="BK551" s="37">
        <v>44745</v>
      </c>
      <c r="BL551" s="38">
        <v>213.71</v>
      </c>
      <c r="BM551" s="40">
        <f t="shared" si="221"/>
        <v>211.9</v>
      </c>
      <c r="BN551" s="40">
        <f t="shared" si="222"/>
        <v>210.60399999999998</v>
      </c>
      <c r="BO551" s="40">
        <f t="shared" si="223"/>
        <v>210.63714285714286</v>
      </c>
      <c r="BP551" s="40">
        <f t="shared" si="224"/>
        <v>212.15153846153848</v>
      </c>
      <c r="BQ551" s="40">
        <f t="shared" si="225"/>
        <v>210.99454545454543</v>
      </c>
      <c r="BR551" s="40">
        <f t="shared" si="226"/>
        <v>210.96600000000001</v>
      </c>
      <c r="BS551" s="40">
        <f t="shared" si="227"/>
        <v>210.81284655970208</v>
      </c>
      <c r="BT551" s="40">
        <f t="shared" si="213"/>
        <v>212.56652116232578</v>
      </c>
    </row>
    <row r="552" spans="1:72" x14ac:dyDescent="0.2">
      <c r="A552" s="74"/>
      <c r="B552" s="24">
        <v>44746</v>
      </c>
      <c r="C552" s="25">
        <v>212.04</v>
      </c>
      <c r="D552" s="26">
        <f t="shared" ref="D552:D610" si="229">AVERAGE(C550:C552)</f>
        <v>212.25666666666666</v>
      </c>
      <c r="E552" s="26">
        <f t="shared" si="215"/>
        <v>211.24200000000002</v>
      </c>
      <c r="F552" s="26">
        <f t="shared" si="203"/>
        <v>211.8857142857143</v>
      </c>
      <c r="G552" s="26">
        <f t="shared" si="204"/>
        <v>211.22923076923078</v>
      </c>
      <c r="H552" s="26">
        <f t="shared" si="205"/>
        <v>211.65757575757573</v>
      </c>
      <c r="I552" s="26">
        <f t="shared" ref="I552:I610" si="230">(C552*5+C551*4+C550*3+C549*2+C548)/(5+4+3+2+1)</f>
        <v>211.88466666666667</v>
      </c>
      <c r="J552" s="26">
        <f t="shared" si="210"/>
        <v>212.02169691413741</v>
      </c>
      <c r="K552" s="26">
        <f t="shared" si="211"/>
        <v>212.25060846493031</v>
      </c>
      <c r="L552" s="26">
        <f t="shared" si="206"/>
        <v>214.26504945120848</v>
      </c>
      <c r="V552" s="26">
        <f t="shared" si="217"/>
        <v>211.65019828782874</v>
      </c>
      <c r="W552" s="26">
        <f t="shared" si="220"/>
        <v>211.61344930486308</v>
      </c>
      <c r="X552" s="26">
        <f t="shared" si="219"/>
        <v>3.674898296566198E-2</v>
      </c>
      <c r="Y552" s="26">
        <f t="shared" si="228"/>
        <v>2.0866332825014357E-2</v>
      </c>
      <c r="Z552" s="26">
        <v>12870</v>
      </c>
      <c r="AA552" s="26">
        <f t="shared" si="207"/>
        <v>217.88017659504575</v>
      </c>
      <c r="AB552" s="27">
        <f t="shared" si="208"/>
        <v>2.7542806050960961E-2</v>
      </c>
      <c r="BK552" s="37">
        <v>44746</v>
      </c>
      <c r="BL552" s="38">
        <v>212.04</v>
      </c>
      <c r="BM552" s="40">
        <f t="shared" si="221"/>
        <v>211.9</v>
      </c>
      <c r="BN552" s="40">
        <f t="shared" si="222"/>
        <v>210.60399999999998</v>
      </c>
      <c r="BO552" s="40">
        <f t="shared" si="223"/>
        <v>210.63714285714286</v>
      </c>
      <c r="BP552" s="40">
        <f t="shared" si="224"/>
        <v>212.15153846153848</v>
      </c>
      <c r="BQ552" s="40">
        <f t="shared" si="225"/>
        <v>210.99454545454543</v>
      </c>
      <c r="BR552" s="40">
        <f t="shared" si="226"/>
        <v>210.96600000000001</v>
      </c>
      <c r="BS552" s="40">
        <f t="shared" si="227"/>
        <v>210.81284655970208</v>
      </c>
      <c r="BT552" s="40">
        <f t="shared" si="213"/>
        <v>212.25060846493031</v>
      </c>
    </row>
    <row r="553" spans="1:72" x14ac:dyDescent="0.2">
      <c r="A553" s="74"/>
      <c r="B553" s="24">
        <v>44747</v>
      </c>
      <c r="C553" s="25">
        <v>215.44</v>
      </c>
      <c r="D553" s="26">
        <f t="shared" si="229"/>
        <v>213.73000000000002</v>
      </c>
      <c r="E553" s="26">
        <f t="shared" si="215"/>
        <v>212.58800000000002</v>
      </c>
      <c r="F553" s="26">
        <f t="shared" ref="F553:F610" si="231">AVERAGE(C547:C553)</f>
        <v>212.22142857142856</v>
      </c>
      <c r="G553" s="26">
        <f t="shared" ref="G553:G610" si="232">AVERAGE(C541:C553)</f>
        <v>211.41846153846154</v>
      </c>
      <c r="H553" s="26">
        <f t="shared" ref="H553:H610" si="233">AVERAGE(C521:C553)</f>
        <v>211.94181818181815</v>
      </c>
      <c r="I553" s="26">
        <f t="shared" si="230"/>
        <v>213.28400000000002</v>
      </c>
      <c r="J553" s="26">
        <f t="shared" si="210"/>
        <v>213.38901814848242</v>
      </c>
      <c r="K553" s="26">
        <f t="shared" si="211"/>
        <v>214.1642433859721</v>
      </c>
      <c r="L553" s="26">
        <f t="shared" si="206"/>
        <v>214.25021078920841</v>
      </c>
      <c r="V553" s="26">
        <f t="shared" si="217"/>
        <v>212.23324470508584</v>
      </c>
      <c r="W553" s="26">
        <f t="shared" si="220"/>
        <v>211.93092434058218</v>
      </c>
      <c r="X553" s="26">
        <f t="shared" si="219"/>
        <v>0.3023203645036574</v>
      </c>
      <c r="Y553" s="26">
        <f t="shared" si="228"/>
        <v>7.7157139160742974E-2</v>
      </c>
      <c r="Z553" s="26">
        <v>12850.22</v>
      </c>
      <c r="AA553" s="26">
        <f t="shared" si="207"/>
        <v>217.87146806703888</v>
      </c>
      <c r="AB553" s="27">
        <f t="shared" si="208"/>
        <v>1.1286056753800957E-2</v>
      </c>
      <c r="BK553" s="37">
        <v>44747</v>
      </c>
      <c r="BL553" s="38">
        <v>215.44</v>
      </c>
      <c r="BM553" s="40">
        <f t="shared" si="221"/>
        <v>211.9</v>
      </c>
      <c r="BN553" s="40">
        <f t="shared" si="222"/>
        <v>210.60399999999998</v>
      </c>
      <c r="BO553" s="40">
        <f t="shared" si="223"/>
        <v>210.63714285714286</v>
      </c>
      <c r="BP553" s="40">
        <f t="shared" si="224"/>
        <v>212.15153846153848</v>
      </c>
      <c r="BQ553" s="40">
        <f t="shared" si="225"/>
        <v>210.99454545454543</v>
      </c>
      <c r="BR553" s="40">
        <f t="shared" si="226"/>
        <v>210.96600000000001</v>
      </c>
      <c r="BS553" s="40">
        <f t="shared" si="227"/>
        <v>210.81284655970208</v>
      </c>
      <c r="BT553" s="40">
        <f t="shared" si="213"/>
        <v>214.1642433859721</v>
      </c>
    </row>
    <row r="554" spans="1:72" x14ac:dyDescent="0.2">
      <c r="A554" s="74"/>
      <c r="B554" s="24">
        <v>44748</v>
      </c>
      <c r="C554" s="25">
        <v>214.32</v>
      </c>
      <c r="D554" s="26">
        <f t="shared" si="229"/>
        <v>213.93333333333331</v>
      </c>
      <c r="E554" s="26">
        <f t="shared" si="215"/>
        <v>213.30599999999998</v>
      </c>
      <c r="F554" s="26">
        <f t="shared" si="231"/>
        <v>212.28142857142856</v>
      </c>
      <c r="G554" s="26">
        <f t="shared" si="232"/>
        <v>211.67076923076925</v>
      </c>
      <c r="H554" s="26">
        <f t="shared" si="233"/>
        <v>212.02909090909088</v>
      </c>
      <c r="I554" s="26">
        <f t="shared" si="230"/>
        <v>213.86133333333333</v>
      </c>
      <c r="J554" s="26">
        <f t="shared" si="210"/>
        <v>213.76141088908946</v>
      </c>
      <c r="K554" s="26">
        <f t="shared" si="211"/>
        <v>214.25769735438882</v>
      </c>
      <c r="L554" s="26">
        <f t="shared" si="206"/>
        <v>214.23537212720831</v>
      </c>
      <c r="V554" s="26">
        <f t="shared" si="217"/>
        <v>212.55428398122649</v>
      </c>
      <c r="W554" s="26">
        <f t="shared" si="220"/>
        <v>212.38781917137578</v>
      </c>
      <c r="X554" s="26">
        <f t="shared" si="219"/>
        <v>0.16646480985070866</v>
      </c>
      <c r="Y554" s="26">
        <f t="shared" si="228"/>
        <v>9.5018673298736117E-2</v>
      </c>
      <c r="Z554" s="26">
        <v>12899.42</v>
      </c>
      <c r="AA554" s="26">
        <f t="shared" si="207"/>
        <v>217.89312931971523</v>
      </c>
      <c r="AB554" s="27">
        <f t="shared" si="208"/>
        <v>1.6671935982247272E-2</v>
      </c>
      <c r="BK554" s="37">
        <v>44748</v>
      </c>
      <c r="BL554" s="38">
        <v>214.32</v>
      </c>
      <c r="BM554" s="40">
        <f t="shared" si="221"/>
        <v>211.9</v>
      </c>
      <c r="BN554" s="40">
        <f t="shared" si="222"/>
        <v>210.60399999999998</v>
      </c>
      <c r="BO554" s="40">
        <f t="shared" si="223"/>
        <v>210.63714285714286</v>
      </c>
      <c r="BP554" s="40">
        <f t="shared" si="224"/>
        <v>212.15153846153848</v>
      </c>
      <c r="BQ554" s="40">
        <f t="shared" si="225"/>
        <v>210.99454545454543</v>
      </c>
      <c r="BR554" s="40">
        <f t="shared" si="226"/>
        <v>210.96600000000001</v>
      </c>
      <c r="BS554" s="40">
        <f t="shared" si="227"/>
        <v>210.81284655970208</v>
      </c>
      <c r="BT554" s="40">
        <f t="shared" si="213"/>
        <v>214.25769735438882</v>
      </c>
    </row>
    <row r="555" spans="1:72" x14ac:dyDescent="0.2">
      <c r="A555" s="74"/>
      <c r="B555" s="24">
        <v>44749</v>
      </c>
      <c r="C555" s="25">
        <v>219.86</v>
      </c>
      <c r="D555" s="26">
        <f t="shared" si="229"/>
        <v>216.54</v>
      </c>
      <c r="E555" s="26">
        <f t="shared" si="215"/>
        <v>215.07399999999998</v>
      </c>
      <c r="F555" s="26">
        <f t="shared" si="231"/>
        <v>213.87428571428569</v>
      </c>
      <c r="G555" s="26">
        <f t="shared" si="232"/>
        <v>212.4115384615385</v>
      </c>
      <c r="H555" s="26">
        <f t="shared" si="233"/>
        <v>212.22969696969693</v>
      </c>
      <c r="I555" s="26">
        <f t="shared" si="230"/>
        <v>216.04599999999999</v>
      </c>
      <c r="J555" s="26">
        <f t="shared" si="210"/>
        <v>216.2008465334537</v>
      </c>
      <c r="K555" s="26">
        <f t="shared" si="211"/>
        <v>217.61907894175553</v>
      </c>
      <c r="L555" s="26">
        <f t="shared" si="206"/>
        <v>214.22053346520821</v>
      </c>
      <c r="V555" s="26">
        <f t="shared" si="217"/>
        <v>213.67824029180701</v>
      </c>
      <c r="W555" s="26">
        <f t="shared" si="220"/>
        <v>213.09544813076528</v>
      </c>
      <c r="X555" s="26">
        <f t="shared" si="219"/>
        <v>0.5827921610417377</v>
      </c>
      <c r="Y555" s="26">
        <f t="shared" si="228"/>
        <v>0.19257337084733644</v>
      </c>
      <c r="Z555" s="26">
        <v>12804.73</v>
      </c>
      <c r="AA555" s="26">
        <f t="shared" si="207"/>
        <v>217.85144021370053</v>
      </c>
      <c r="AB555" s="27">
        <f t="shared" si="208"/>
        <v>-9.1356307936845526E-3</v>
      </c>
      <c r="BK555" s="37">
        <v>44749</v>
      </c>
      <c r="BL555" s="38">
        <v>219.86</v>
      </c>
      <c r="BM555" s="40">
        <f t="shared" si="221"/>
        <v>211.9</v>
      </c>
      <c r="BN555" s="40">
        <f t="shared" si="222"/>
        <v>210.60399999999998</v>
      </c>
      <c r="BO555" s="40">
        <f t="shared" si="223"/>
        <v>210.63714285714286</v>
      </c>
      <c r="BP555" s="40">
        <f t="shared" si="224"/>
        <v>212.15153846153848</v>
      </c>
      <c r="BQ555" s="40">
        <f t="shared" si="225"/>
        <v>210.99454545454543</v>
      </c>
      <c r="BR555" s="40">
        <f t="shared" si="226"/>
        <v>210.96600000000001</v>
      </c>
      <c r="BS555" s="40">
        <f t="shared" si="227"/>
        <v>210.81284655970208</v>
      </c>
      <c r="BT555" s="40">
        <f t="shared" si="213"/>
        <v>217.61907894175553</v>
      </c>
    </row>
    <row r="556" spans="1:72" x14ac:dyDescent="0.2">
      <c r="A556" s="74"/>
      <c r="B556" s="24">
        <v>44750</v>
      </c>
      <c r="C556" s="25">
        <v>217.78</v>
      </c>
      <c r="D556" s="26">
        <f t="shared" si="229"/>
        <v>217.32000000000002</v>
      </c>
      <c r="E556" s="26">
        <f t="shared" si="215"/>
        <v>215.88800000000001</v>
      </c>
      <c r="F556" s="26">
        <f t="shared" si="231"/>
        <v>214.88142857142856</v>
      </c>
      <c r="G556" s="26">
        <f t="shared" si="232"/>
        <v>212.91692307692313</v>
      </c>
      <c r="H556" s="26">
        <f t="shared" si="233"/>
        <v>212.21636363636358</v>
      </c>
      <c r="I556" s="26">
        <f t="shared" si="230"/>
        <v>216.94800000000001</v>
      </c>
      <c r="J556" s="26">
        <f t="shared" si="210"/>
        <v>216.8325079200722</v>
      </c>
      <c r="K556" s="26">
        <f t="shared" si="211"/>
        <v>217.71563157670221</v>
      </c>
      <c r="L556" s="26">
        <f t="shared" si="206"/>
        <v>214.20569480320813</v>
      </c>
      <c r="V556" s="26">
        <f t="shared" si="217"/>
        <v>214.30928024691363</v>
      </c>
      <c r="W556" s="26">
        <f t="shared" si="220"/>
        <v>213.98207434426575</v>
      </c>
      <c r="X556" s="26">
        <f t="shared" si="219"/>
        <v>0.32720590264787575</v>
      </c>
      <c r="Y556" s="26">
        <f t="shared" si="228"/>
        <v>0.21949987720744432</v>
      </c>
      <c r="Z556" s="26">
        <v>12771.11</v>
      </c>
      <c r="AA556" s="26">
        <f t="shared" si="207"/>
        <v>217.83663835770503</v>
      </c>
      <c r="AB556" s="27">
        <f t="shared" si="208"/>
        <v>2.6007143771248969E-4</v>
      </c>
      <c r="BK556" s="37">
        <v>44750</v>
      </c>
      <c r="BL556" s="38">
        <v>217.78</v>
      </c>
      <c r="BM556" s="40">
        <f t="shared" si="221"/>
        <v>211.9</v>
      </c>
      <c r="BN556" s="40">
        <f t="shared" si="222"/>
        <v>210.60399999999998</v>
      </c>
      <c r="BO556" s="40">
        <f t="shared" si="223"/>
        <v>210.63714285714286</v>
      </c>
      <c r="BP556" s="40">
        <f t="shared" si="224"/>
        <v>212.15153846153848</v>
      </c>
      <c r="BQ556" s="40">
        <f t="shared" si="225"/>
        <v>210.99454545454543</v>
      </c>
      <c r="BR556" s="40">
        <f t="shared" si="226"/>
        <v>210.96600000000001</v>
      </c>
      <c r="BS556" s="40">
        <f t="shared" si="227"/>
        <v>210.81284655970208</v>
      </c>
      <c r="BT556" s="40">
        <f t="shared" si="213"/>
        <v>217.71563157670221</v>
      </c>
    </row>
    <row r="557" spans="1:72" x14ac:dyDescent="0.2">
      <c r="A557" s="74"/>
      <c r="B557" s="24">
        <v>44751</v>
      </c>
      <c r="C557" s="25">
        <v>218.07</v>
      </c>
      <c r="D557" s="26">
        <f t="shared" si="229"/>
        <v>218.57000000000002</v>
      </c>
      <c r="E557" s="26">
        <f t="shared" si="215"/>
        <v>217.09399999999999</v>
      </c>
      <c r="F557" s="26">
        <f t="shared" si="231"/>
        <v>215.8885714285714</v>
      </c>
      <c r="G557" s="26">
        <f t="shared" si="232"/>
        <v>213.64769230769235</v>
      </c>
      <c r="H557" s="26">
        <f t="shared" si="233"/>
        <v>212.45181818181811</v>
      </c>
      <c r="I557" s="26">
        <f t="shared" si="230"/>
        <v>217.6753333333333</v>
      </c>
      <c r="J557" s="26">
        <f t="shared" si="210"/>
        <v>217.32750475204332</v>
      </c>
      <c r="K557" s="26">
        <f t="shared" si="211"/>
        <v>217.92825263068087</v>
      </c>
      <c r="L557" s="26">
        <f t="shared" si="206"/>
        <v>214.19085614120803</v>
      </c>
      <c r="V557" s="26">
        <f t="shared" si="217"/>
        <v>214.88785251661923</v>
      </c>
      <c r="W557" s="26">
        <f t="shared" si="220"/>
        <v>214.58785208047559</v>
      </c>
      <c r="X557" s="26">
        <f t="shared" si="219"/>
        <v>0.30000043614364813</v>
      </c>
      <c r="Y557" s="26">
        <f t="shared" si="228"/>
        <v>0.23559998899468509</v>
      </c>
      <c r="Z557" s="26">
        <v>12807.92</v>
      </c>
      <c r="AA557" s="26">
        <f t="shared" si="207"/>
        <v>217.85284467296958</v>
      </c>
      <c r="AB557" s="27">
        <f t="shared" si="208"/>
        <v>-9.95805599259007E-4</v>
      </c>
      <c r="BK557" s="37">
        <v>44751</v>
      </c>
      <c r="BL557" s="38">
        <v>218.07</v>
      </c>
      <c r="BM557" s="40">
        <f t="shared" si="221"/>
        <v>211.9</v>
      </c>
      <c r="BN557" s="40">
        <f t="shared" si="222"/>
        <v>210.60399999999998</v>
      </c>
      <c r="BO557" s="40">
        <f t="shared" si="223"/>
        <v>210.63714285714286</v>
      </c>
      <c r="BP557" s="40">
        <f t="shared" si="224"/>
        <v>212.15153846153848</v>
      </c>
      <c r="BQ557" s="40">
        <f t="shared" si="225"/>
        <v>210.99454545454543</v>
      </c>
      <c r="BR557" s="40">
        <f t="shared" si="226"/>
        <v>210.96600000000001</v>
      </c>
      <c r="BS557" s="40">
        <f t="shared" si="227"/>
        <v>210.81284655970208</v>
      </c>
      <c r="BT557" s="40">
        <f t="shared" si="213"/>
        <v>217.92825263068087</v>
      </c>
    </row>
    <row r="558" spans="1:72" x14ac:dyDescent="0.2">
      <c r="A558" s="74"/>
      <c r="B558" s="24">
        <v>44752</v>
      </c>
      <c r="C558" s="25">
        <v>221.71</v>
      </c>
      <c r="D558" s="26">
        <f t="shared" si="229"/>
        <v>219.1866666666667</v>
      </c>
      <c r="E558" s="26">
        <f t="shared" si="215"/>
        <v>218.34800000000001</v>
      </c>
      <c r="F558" s="26">
        <f t="shared" si="231"/>
        <v>217.03142857142856</v>
      </c>
      <c r="G558" s="26">
        <f t="shared" si="232"/>
        <v>214.64461538461543</v>
      </c>
      <c r="H558" s="26">
        <f t="shared" si="233"/>
        <v>212.80878787878783</v>
      </c>
      <c r="I558" s="26">
        <f t="shared" si="230"/>
        <v>219.21400000000003</v>
      </c>
      <c r="J558" s="26">
        <f t="shared" si="210"/>
        <v>219.08050285122602</v>
      </c>
      <c r="K558" s="26">
        <f t="shared" si="211"/>
        <v>220.19730105227237</v>
      </c>
      <c r="L558" s="26">
        <f t="shared" si="206"/>
        <v>214.17601747920793</v>
      </c>
      <c r="V558" s="26">
        <f t="shared" si="217"/>
        <v>215.9374136679086</v>
      </c>
      <c r="W558" s="26">
        <f t="shared" si="220"/>
        <v>215.39319677464744</v>
      </c>
      <c r="X558" s="26">
        <f t="shared" si="219"/>
        <v>0.54421689326116507</v>
      </c>
      <c r="Y558" s="26">
        <f t="shared" si="228"/>
        <v>0.29732336984798113</v>
      </c>
      <c r="Z558" s="26">
        <v>12742.52</v>
      </c>
      <c r="AA558" s="26">
        <f t="shared" si="207"/>
        <v>217.82405105660712</v>
      </c>
      <c r="AB558" s="27">
        <f t="shared" si="208"/>
        <v>-1.7527170372977716E-2</v>
      </c>
      <c r="BK558" s="37">
        <v>44752</v>
      </c>
      <c r="BL558" s="38">
        <v>221.71</v>
      </c>
      <c r="BM558" s="40">
        <f t="shared" si="221"/>
        <v>211.9</v>
      </c>
      <c r="BN558" s="40">
        <f t="shared" si="222"/>
        <v>210.60399999999998</v>
      </c>
      <c r="BO558" s="40">
        <f t="shared" si="223"/>
        <v>210.63714285714286</v>
      </c>
      <c r="BP558" s="40">
        <f t="shared" si="224"/>
        <v>212.15153846153848</v>
      </c>
      <c r="BQ558" s="40">
        <f t="shared" si="225"/>
        <v>210.99454545454543</v>
      </c>
      <c r="BR558" s="40">
        <f t="shared" si="226"/>
        <v>210.96600000000001</v>
      </c>
      <c r="BS558" s="40">
        <f t="shared" si="227"/>
        <v>210.81284655970208</v>
      </c>
      <c r="BT558" s="40">
        <f t="shared" si="213"/>
        <v>220.19730105227237</v>
      </c>
    </row>
    <row r="559" spans="1:72" x14ac:dyDescent="0.2">
      <c r="A559" s="74"/>
      <c r="B559" s="24">
        <v>44753</v>
      </c>
      <c r="C559" s="25">
        <v>222.87</v>
      </c>
      <c r="D559" s="26">
        <f t="shared" si="229"/>
        <v>220.88333333333333</v>
      </c>
      <c r="E559" s="26">
        <f t="shared" si="215"/>
        <v>220.05799999999999</v>
      </c>
      <c r="F559" s="26">
        <f t="shared" si="231"/>
        <v>218.57857142857145</v>
      </c>
      <c r="G559" s="26">
        <f t="shared" si="232"/>
        <v>215.39692307692309</v>
      </c>
      <c r="H559" s="26">
        <f t="shared" si="233"/>
        <v>213.15818181818173</v>
      </c>
      <c r="I559" s="26">
        <f t="shared" si="230"/>
        <v>220.72133333333335</v>
      </c>
      <c r="J559" s="26">
        <f t="shared" si="210"/>
        <v>220.59630171073559</v>
      </c>
      <c r="K559" s="26">
        <f t="shared" si="211"/>
        <v>221.80092042090897</v>
      </c>
      <c r="L559" s="26">
        <f t="shared" si="206"/>
        <v>214.16117881720785</v>
      </c>
      <c r="V559" s="26">
        <f t="shared" si="217"/>
        <v>217.00396541130729</v>
      </c>
      <c r="W559" s="26">
        <f t="shared" si="220"/>
        <v>216.45093858139685</v>
      </c>
      <c r="X559" s="26">
        <f t="shared" si="219"/>
        <v>0.55302682991043639</v>
      </c>
      <c r="Y559" s="26">
        <f t="shared" si="228"/>
        <v>0.34846406186047219</v>
      </c>
      <c r="Z559" s="26">
        <v>12755.64</v>
      </c>
      <c r="AA559" s="26">
        <f t="shared" si="207"/>
        <v>217.82982739065415</v>
      </c>
      <c r="AB559" s="27">
        <f t="shared" si="208"/>
        <v>-2.2614854441359803E-2</v>
      </c>
      <c r="BK559" s="37">
        <v>44753</v>
      </c>
      <c r="BL559" s="38">
        <v>222.87</v>
      </c>
      <c r="BM559" s="40">
        <f t="shared" si="221"/>
        <v>211.9</v>
      </c>
      <c r="BN559" s="40">
        <f t="shared" si="222"/>
        <v>210.60399999999998</v>
      </c>
      <c r="BO559" s="40">
        <f t="shared" si="223"/>
        <v>210.63714285714286</v>
      </c>
      <c r="BP559" s="40">
        <f t="shared" si="224"/>
        <v>212.15153846153848</v>
      </c>
      <c r="BQ559" s="40">
        <f t="shared" si="225"/>
        <v>210.99454545454543</v>
      </c>
      <c r="BR559" s="40">
        <f t="shared" si="226"/>
        <v>210.96600000000001</v>
      </c>
      <c r="BS559" s="40">
        <f t="shared" si="227"/>
        <v>210.81284655970208</v>
      </c>
      <c r="BT559" s="40">
        <f t="shared" si="213"/>
        <v>221.80092042090897</v>
      </c>
    </row>
    <row r="560" spans="1:72" x14ac:dyDescent="0.2">
      <c r="A560" s="74"/>
      <c r="B560" s="24">
        <v>44754</v>
      </c>
      <c r="C560" s="25">
        <v>220.1</v>
      </c>
      <c r="D560" s="26">
        <f t="shared" si="229"/>
        <v>221.56000000000003</v>
      </c>
      <c r="E560" s="26">
        <f t="shared" si="215"/>
        <v>220.10599999999999</v>
      </c>
      <c r="F560" s="26">
        <f t="shared" si="231"/>
        <v>219.24428571428572</v>
      </c>
      <c r="G560" s="26">
        <f t="shared" si="232"/>
        <v>215.87384615384613</v>
      </c>
      <c r="H560" s="26">
        <f t="shared" si="233"/>
        <v>213.45242424242423</v>
      </c>
      <c r="I560" s="26">
        <f t="shared" si="230"/>
        <v>220.73533333333336</v>
      </c>
      <c r="J560" s="26">
        <f t="shared" si="210"/>
        <v>220.39778102644135</v>
      </c>
      <c r="K560" s="26">
        <f t="shared" si="211"/>
        <v>220.78036816836359</v>
      </c>
      <c r="L560" s="26">
        <f t="shared" si="206"/>
        <v>214.14634015520775</v>
      </c>
      <c r="V560" s="26">
        <f t="shared" si="217"/>
        <v>217.48027842495233</v>
      </c>
      <c r="W560" s="26">
        <f t="shared" si="220"/>
        <v>217.23330130676601</v>
      </c>
      <c r="X560" s="26">
        <f t="shared" si="219"/>
        <v>0.24697711818632229</v>
      </c>
      <c r="Y560" s="26">
        <f t="shared" si="228"/>
        <v>0.32816667312564224</v>
      </c>
      <c r="Z560" s="26">
        <v>12764.75</v>
      </c>
      <c r="AA560" s="26">
        <f t="shared" si="207"/>
        <v>217.83383824455419</v>
      </c>
      <c r="AB560" s="27">
        <f t="shared" si="208"/>
        <v>-1.0296055226923251E-2</v>
      </c>
      <c r="BK560" s="37">
        <v>44754</v>
      </c>
      <c r="BL560" s="38">
        <v>220.1</v>
      </c>
      <c r="BM560" s="40">
        <f t="shared" si="221"/>
        <v>211.9</v>
      </c>
      <c r="BN560" s="40">
        <f t="shared" si="222"/>
        <v>210.60399999999998</v>
      </c>
      <c r="BO560" s="40">
        <f t="shared" si="223"/>
        <v>210.63714285714286</v>
      </c>
      <c r="BP560" s="40">
        <f t="shared" si="224"/>
        <v>212.15153846153848</v>
      </c>
      <c r="BQ560" s="40">
        <f t="shared" si="225"/>
        <v>210.99454545454543</v>
      </c>
      <c r="BR560" s="40">
        <f t="shared" si="226"/>
        <v>210.96600000000001</v>
      </c>
      <c r="BS560" s="40">
        <f t="shared" si="227"/>
        <v>210.81284655970208</v>
      </c>
      <c r="BT560" s="40">
        <f t="shared" si="213"/>
        <v>220.78036816836359</v>
      </c>
    </row>
    <row r="561" spans="1:72" x14ac:dyDescent="0.2">
      <c r="A561" s="74"/>
      <c r="B561" s="24">
        <v>44755</v>
      </c>
      <c r="C561" s="25">
        <v>223</v>
      </c>
      <c r="D561" s="26">
        <f t="shared" si="229"/>
        <v>221.99</v>
      </c>
      <c r="E561" s="26">
        <f t="shared" si="215"/>
        <v>221.15</v>
      </c>
      <c r="F561" s="26">
        <f t="shared" si="231"/>
        <v>220.4842857142857</v>
      </c>
      <c r="G561" s="26">
        <f t="shared" si="232"/>
        <v>216.97307692307689</v>
      </c>
      <c r="H561" s="26">
        <f t="shared" si="233"/>
        <v>213.80757575757571</v>
      </c>
      <c r="I561" s="26">
        <f t="shared" si="230"/>
        <v>221.70000000000002</v>
      </c>
      <c r="J561" s="26">
        <f t="shared" si="210"/>
        <v>221.4386686158648</v>
      </c>
      <c r="K561" s="26">
        <f t="shared" si="211"/>
        <v>222.11214726734542</v>
      </c>
      <c r="L561" s="26">
        <f t="shared" si="206"/>
        <v>214.13150149320765</v>
      </c>
      <c r="V561" s="26">
        <f t="shared" si="217"/>
        <v>218.32946635957506</v>
      </c>
      <c r="W561" s="26">
        <f t="shared" si="220"/>
        <v>217.88914668977066</v>
      </c>
      <c r="X561" s="26">
        <f t="shared" si="219"/>
        <v>0.44031966980440984</v>
      </c>
      <c r="Y561" s="26">
        <f t="shared" si="228"/>
        <v>0.35059727246139577</v>
      </c>
      <c r="Z561" s="26">
        <v>12658.19</v>
      </c>
      <c r="AA561" s="26">
        <f t="shared" si="207"/>
        <v>217.78692314119664</v>
      </c>
      <c r="AB561" s="27">
        <f t="shared" si="208"/>
        <v>-2.3377026272660816E-2</v>
      </c>
      <c r="BK561" s="37">
        <v>44755</v>
      </c>
      <c r="BL561" s="38">
        <v>223</v>
      </c>
      <c r="BM561" s="40">
        <f t="shared" si="221"/>
        <v>211.9</v>
      </c>
      <c r="BN561" s="40">
        <f t="shared" si="222"/>
        <v>210.60399999999998</v>
      </c>
      <c r="BO561" s="40">
        <f t="shared" si="223"/>
        <v>210.63714285714286</v>
      </c>
      <c r="BP561" s="40">
        <f t="shared" si="224"/>
        <v>212.15153846153848</v>
      </c>
      <c r="BQ561" s="40">
        <f t="shared" si="225"/>
        <v>210.99454545454543</v>
      </c>
      <c r="BR561" s="40">
        <f t="shared" si="226"/>
        <v>210.96600000000001</v>
      </c>
      <c r="BS561" s="40">
        <f t="shared" si="227"/>
        <v>210.81284655970208</v>
      </c>
      <c r="BT561" s="40">
        <f t="shared" si="213"/>
        <v>222.11214726734542</v>
      </c>
    </row>
    <row r="562" spans="1:72" x14ac:dyDescent="0.2">
      <c r="A562" s="74"/>
      <c r="B562" s="24">
        <v>44756</v>
      </c>
      <c r="C562" s="25">
        <v>209.62</v>
      </c>
      <c r="D562" s="26">
        <f t="shared" si="229"/>
        <v>217.57333333333335</v>
      </c>
      <c r="E562" s="26">
        <f t="shared" si="215"/>
        <v>219.46000000000004</v>
      </c>
      <c r="F562" s="26">
        <f t="shared" si="231"/>
        <v>219.02142857142857</v>
      </c>
      <c r="G562" s="26">
        <f t="shared" si="232"/>
        <v>216.88769230769228</v>
      </c>
      <c r="H562" s="26">
        <f t="shared" si="233"/>
        <v>213.76060606060605</v>
      </c>
      <c r="I562" s="26">
        <f t="shared" si="230"/>
        <v>217.85666666666663</v>
      </c>
      <c r="J562" s="26">
        <f t="shared" si="210"/>
        <v>216.71120116951889</v>
      </c>
      <c r="K562" s="26">
        <f t="shared" si="211"/>
        <v>214.61685890693815</v>
      </c>
      <c r="L562" s="26">
        <f t="shared" si="206"/>
        <v>214.11666283120758</v>
      </c>
      <c r="V562" s="26">
        <f t="shared" si="217"/>
        <v>216.98954845810198</v>
      </c>
      <c r="W562" s="26">
        <f t="shared" si="220"/>
        <v>217.68432070331022</v>
      </c>
      <c r="X562" s="26">
        <f t="shared" si="219"/>
        <v>-0.69477224520824166</v>
      </c>
      <c r="Y562" s="26">
        <f t="shared" si="228"/>
        <v>0.14152336892746831</v>
      </c>
      <c r="Z562" s="26">
        <v>12595.06</v>
      </c>
      <c r="AA562" s="26">
        <f t="shared" si="207"/>
        <v>217.75912893628896</v>
      </c>
      <c r="AB562" s="27">
        <f t="shared" si="208"/>
        <v>3.8828017060819363E-2</v>
      </c>
      <c r="BK562" s="37">
        <v>44756</v>
      </c>
      <c r="BL562" s="38">
        <v>209.62</v>
      </c>
      <c r="BM562" s="40">
        <f t="shared" si="221"/>
        <v>211.9</v>
      </c>
      <c r="BN562" s="40">
        <f t="shared" si="222"/>
        <v>210.60399999999998</v>
      </c>
      <c r="BO562" s="40">
        <f t="shared" si="223"/>
        <v>210.63714285714286</v>
      </c>
      <c r="BP562" s="40">
        <f t="shared" si="224"/>
        <v>212.15153846153848</v>
      </c>
      <c r="BQ562" s="40">
        <f t="shared" si="225"/>
        <v>210.99454545454543</v>
      </c>
      <c r="BR562" s="40">
        <f t="shared" si="226"/>
        <v>210.96600000000001</v>
      </c>
      <c r="BS562" s="40">
        <f t="shared" si="227"/>
        <v>210.81284655970208</v>
      </c>
      <c r="BT562" s="40">
        <f t="shared" si="213"/>
        <v>214.61685890693815</v>
      </c>
    </row>
    <row r="563" spans="1:72" x14ac:dyDescent="0.2">
      <c r="A563" s="74"/>
      <c r="B563" s="24">
        <v>44757</v>
      </c>
      <c r="C563" s="25">
        <v>209.64</v>
      </c>
      <c r="D563" s="26">
        <f t="shared" si="229"/>
        <v>214.08666666666667</v>
      </c>
      <c r="E563" s="26">
        <f t="shared" si="215"/>
        <v>217.04599999999999</v>
      </c>
      <c r="F563" s="26">
        <f t="shared" si="231"/>
        <v>217.85857142857139</v>
      </c>
      <c r="G563" s="26">
        <f t="shared" si="232"/>
        <v>216.78153846153842</v>
      </c>
      <c r="H563" s="26">
        <f t="shared" si="233"/>
        <v>213.65666666666664</v>
      </c>
      <c r="I563" s="26">
        <f t="shared" si="230"/>
        <v>214.58333333333331</v>
      </c>
      <c r="J563" s="26">
        <f t="shared" si="210"/>
        <v>213.88272070171132</v>
      </c>
      <c r="K563" s="26">
        <f t="shared" si="211"/>
        <v>211.63074356277525</v>
      </c>
      <c r="L563" s="26">
        <f t="shared" si="206"/>
        <v>214.10182416920748</v>
      </c>
      <c r="V563" s="26">
        <f t="shared" si="217"/>
        <v>215.85884869531705</v>
      </c>
      <c r="W563" s="26">
        <f t="shared" si="220"/>
        <v>216.44513746120555</v>
      </c>
      <c r="X563" s="26">
        <f t="shared" si="219"/>
        <v>-0.58628876588849721</v>
      </c>
      <c r="Y563" s="26">
        <f t="shared" si="228"/>
        <v>-4.0390580357247963E-3</v>
      </c>
      <c r="Z563" s="26">
        <v>12440.04</v>
      </c>
      <c r="AA563" s="26">
        <f t="shared" si="207"/>
        <v>217.69087837958395</v>
      </c>
      <c r="AB563" s="27">
        <f t="shared" si="208"/>
        <v>3.8403350408242533E-2</v>
      </c>
      <c r="BK563" s="35">
        <v>44757</v>
      </c>
      <c r="BL563" s="36">
        <v>209.64</v>
      </c>
      <c r="BM563" s="39">
        <f t="shared" si="221"/>
        <v>211.9</v>
      </c>
      <c r="BN563" s="39">
        <f t="shared" si="222"/>
        <v>210.60399999999998</v>
      </c>
      <c r="BO563" s="39">
        <f t="shared" si="223"/>
        <v>210.63714285714286</v>
      </c>
      <c r="BP563" s="39">
        <f t="shared" si="224"/>
        <v>212.15153846153848</v>
      </c>
      <c r="BQ563" s="39">
        <f t="shared" si="225"/>
        <v>210.99454545454543</v>
      </c>
      <c r="BR563" s="39">
        <f t="shared" si="226"/>
        <v>210.96600000000001</v>
      </c>
      <c r="BS563" s="39">
        <f t="shared" si="227"/>
        <v>210.81284655970208</v>
      </c>
      <c r="BT563" s="39">
        <f t="shared" si="213"/>
        <v>211.63074356277525</v>
      </c>
    </row>
    <row r="564" spans="1:72" x14ac:dyDescent="0.2">
      <c r="A564" s="74"/>
      <c r="B564" s="24">
        <v>44758</v>
      </c>
      <c r="C564" s="25">
        <v>209.8</v>
      </c>
      <c r="D564" s="26">
        <f t="shared" si="229"/>
        <v>209.68666666666664</v>
      </c>
      <c r="E564" s="26">
        <f t="shared" si="215"/>
        <v>214.43200000000002</v>
      </c>
      <c r="F564" s="26">
        <f t="shared" si="231"/>
        <v>216.67714285714285</v>
      </c>
      <c r="G564" s="26">
        <f t="shared" si="232"/>
        <v>216.48076923076923</v>
      </c>
      <c r="H564" s="26">
        <f t="shared" si="233"/>
        <v>213.62151515151513</v>
      </c>
      <c r="I564" s="26">
        <f t="shared" si="230"/>
        <v>212.16800000000001</v>
      </c>
      <c r="J564" s="26">
        <f t="shared" si="210"/>
        <v>212.2496324210268</v>
      </c>
      <c r="K564" s="26">
        <f t="shared" si="211"/>
        <v>210.5322974251101</v>
      </c>
      <c r="L564" s="26">
        <f t="shared" si="206"/>
        <v>214.08698550720737</v>
      </c>
      <c r="V564" s="26">
        <f t="shared" si="217"/>
        <v>214.92671812680675</v>
      </c>
      <c r="W564" s="26">
        <f t="shared" si="220"/>
        <v>215.41004508825654</v>
      </c>
      <c r="X564" s="26">
        <f t="shared" si="219"/>
        <v>-0.48332696144979082</v>
      </c>
      <c r="Y564" s="26">
        <f t="shared" si="228"/>
        <v>-9.9896638718538003E-2</v>
      </c>
      <c r="Z564" s="26">
        <v>12198.74</v>
      </c>
      <c r="AA564" s="26">
        <f t="shared" si="207"/>
        <v>217.58464138220992</v>
      </c>
      <c r="AB564" s="27">
        <f t="shared" si="208"/>
        <v>3.7105059019113019E-2</v>
      </c>
      <c r="BK564" s="24">
        <v>44758</v>
      </c>
      <c r="BL564" s="25">
        <v>209.8</v>
      </c>
      <c r="BM564" s="26">
        <f t="shared" si="221"/>
        <v>211.9</v>
      </c>
      <c r="BN564" s="26">
        <f t="shared" si="222"/>
        <v>210.60399999999998</v>
      </c>
      <c r="BO564" s="26">
        <f t="shared" si="223"/>
        <v>210.63714285714286</v>
      </c>
      <c r="BP564" s="26">
        <f t="shared" si="224"/>
        <v>212.15153846153848</v>
      </c>
      <c r="BQ564" s="26">
        <f t="shared" si="225"/>
        <v>210.99454545454543</v>
      </c>
      <c r="BR564" s="26">
        <f t="shared" si="226"/>
        <v>210.96600000000001</v>
      </c>
      <c r="BS564" s="26">
        <f t="shared" si="227"/>
        <v>210.81284655970208</v>
      </c>
      <c r="BT564" s="26">
        <f t="shared" si="213"/>
        <v>210.5322974251101</v>
      </c>
    </row>
    <row r="565" spans="1:72" x14ac:dyDescent="0.2">
      <c r="A565" s="74"/>
      <c r="B565" s="24">
        <v>44759</v>
      </c>
      <c r="C565" s="25">
        <v>208.39</v>
      </c>
      <c r="D565" s="26">
        <f t="shared" si="229"/>
        <v>209.27666666666664</v>
      </c>
      <c r="E565" s="26">
        <f t="shared" si="215"/>
        <v>212.08999999999997</v>
      </c>
      <c r="F565" s="26">
        <f t="shared" si="231"/>
        <v>214.77428571428572</v>
      </c>
      <c r="G565" s="26">
        <f t="shared" si="232"/>
        <v>216.2</v>
      </c>
      <c r="H565" s="26">
        <f t="shared" si="233"/>
        <v>213.55818181818182</v>
      </c>
      <c r="I565" s="26">
        <f t="shared" si="230"/>
        <v>210.15399999999997</v>
      </c>
      <c r="J565" s="26">
        <f t="shared" si="210"/>
        <v>210.70577945261607</v>
      </c>
      <c r="K565" s="26">
        <f t="shared" si="211"/>
        <v>209.24691897004402</v>
      </c>
      <c r="L565" s="26">
        <f t="shared" si="206"/>
        <v>214.0721468452073</v>
      </c>
      <c r="V565" s="26">
        <f t="shared" si="217"/>
        <v>213.9210691842211</v>
      </c>
      <c r="W565" s="26">
        <f t="shared" si="220"/>
        <v>214.44251678408031</v>
      </c>
      <c r="X565" s="26">
        <f t="shared" si="219"/>
        <v>-0.52144759985921496</v>
      </c>
      <c r="Y565" s="26">
        <f t="shared" si="228"/>
        <v>-0.18420683094667339</v>
      </c>
      <c r="Z565" s="26">
        <v>12205.85</v>
      </c>
      <c r="AA565" s="26">
        <f t="shared" si="207"/>
        <v>217.58777169738329</v>
      </c>
      <c r="AB565" s="27">
        <f t="shared" si="208"/>
        <v>4.4137298802165666E-2</v>
      </c>
      <c r="BK565" s="24">
        <v>44759</v>
      </c>
      <c r="BL565" s="25">
        <v>208.39</v>
      </c>
      <c r="BM565" s="26">
        <f t="shared" si="221"/>
        <v>211.9</v>
      </c>
      <c r="BN565" s="26">
        <f t="shared" si="222"/>
        <v>210.60399999999998</v>
      </c>
      <c r="BO565" s="26">
        <f t="shared" si="223"/>
        <v>210.63714285714286</v>
      </c>
      <c r="BP565" s="26">
        <f t="shared" si="224"/>
        <v>212.15153846153848</v>
      </c>
      <c r="BQ565" s="26">
        <f t="shared" si="225"/>
        <v>210.99454545454543</v>
      </c>
      <c r="BR565" s="26">
        <f t="shared" si="226"/>
        <v>210.96600000000001</v>
      </c>
      <c r="BS565" s="26">
        <f t="shared" si="227"/>
        <v>210.81284655970208</v>
      </c>
      <c r="BT565" s="26">
        <f t="shared" si="213"/>
        <v>209.24691897004402</v>
      </c>
    </row>
    <row r="566" spans="1:72" x14ac:dyDescent="0.2">
      <c r="A566" s="74"/>
      <c r="B566" s="24">
        <v>44760</v>
      </c>
      <c r="C566" s="25">
        <v>205.02</v>
      </c>
      <c r="D566" s="26">
        <f t="shared" si="229"/>
        <v>207.73666666666668</v>
      </c>
      <c r="E566" s="26">
        <f t="shared" si="215"/>
        <v>208.494</v>
      </c>
      <c r="F566" s="26">
        <f t="shared" si="231"/>
        <v>212.22428571428574</v>
      </c>
      <c r="G566" s="26">
        <f t="shared" si="232"/>
        <v>215.39846153846153</v>
      </c>
      <c r="H566" s="26">
        <f t="shared" si="233"/>
        <v>213.33</v>
      </c>
      <c r="I566" s="26">
        <f t="shared" si="230"/>
        <v>207.79733333333334</v>
      </c>
      <c r="J566" s="26">
        <f t="shared" si="210"/>
        <v>208.43146767156964</v>
      </c>
      <c r="K566" s="26">
        <f t="shared" si="211"/>
        <v>206.71076758801763</v>
      </c>
      <c r="L566" s="26">
        <f t="shared" si="206"/>
        <v>214.0573081832072</v>
      </c>
      <c r="V566" s="26">
        <f t="shared" si="217"/>
        <v>212.55167392511015</v>
      </c>
      <c r="W566" s="26">
        <f t="shared" si="220"/>
        <v>213.26173072613065</v>
      </c>
      <c r="X566" s="26">
        <f t="shared" si="219"/>
        <v>-0.71005680102049951</v>
      </c>
      <c r="Y566" s="26">
        <f t="shared" si="228"/>
        <v>-0.28937682496143863</v>
      </c>
      <c r="Z566" s="26">
        <v>12094.4</v>
      </c>
      <c r="AA566" s="26">
        <f t="shared" si="207"/>
        <v>217.53870367683902</v>
      </c>
      <c r="AB566" s="27">
        <f t="shared" si="208"/>
        <v>6.1060890044088427E-2</v>
      </c>
      <c r="BK566" s="24">
        <v>44760</v>
      </c>
      <c r="BL566" s="25">
        <v>205.02</v>
      </c>
      <c r="BM566" s="26">
        <f t="shared" si="221"/>
        <v>211.9</v>
      </c>
      <c r="BN566" s="26">
        <f t="shared" si="222"/>
        <v>210.60399999999998</v>
      </c>
      <c r="BO566" s="26">
        <f t="shared" si="223"/>
        <v>210.63714285714286</v>
      </c>
      <c r="BP566" s="26">
        <f t="shared" si="224"/>
        <v>212.15153846153848</v>
      </c>
      <c r="BQ566" s="26">
        <f t="shared" si="225"/>
        <v>210.99454545454543</v>
      </c>
      <c r="BR566" s="26">
        <f t="shared" si="226"/>
        <v>210.96600000000001</v>
      </c>
      <c r="BS566" s="26">
        <f t="shared" si="227"/>
        <v>210.81284655970208</v>
      </c>
      <c r="BT566" s="26">
        <f t="shared" si="213"/>
        <v>206.71076758801763</v>
      </c>
    </row>
    <row r="567" spans="1:72" x14ac:dyDescent="0.2">
      <c r="A567" s="74"/>
      <c r="B567" s="24">
        <v>44761</v>
      </c>
      <c r="C567" s="25">
        <v>204.22</v>
      </c>
      <c r="D567" s="26">
        <f t="shared" si="229"/>
        <v>205.87666666666667</v>
      </c>
      <c r="E567" s="26">
        <f t="shared" si="215"/>
        <v>207.41399999999999</v>
      </c>
      <c r="F567" s="26">
        <f t="shared" si="231"/>
        <v>209.95571428571427</v>
      </c>
      <c r="G567" s="26">
        <f t="shared" si="232"/>
        <v>214.62153846153842</v>
      </c>
      <c r="H567" s="26">
        <f t="shared" si="233"/>
        <v>213.12393939393942</v>
      </c>
      <c r="I567" s="26">
        <f t="shared" si="230"/>
        <v>206.37266666666665</v>
      </c>
      <c r="J567" s="26">
        <f t="shared" si="210"/>
        <v>206.74688060294176</v>
      </c>
      <c r="K567" s="26">
        <f t="shared" si="211"/>
        <v>205.21630703520705</v>
      </c>
      <c r="L567" s="26">
        <f t="shared" si="206"/>
        <v>214.0424695212071</v>
      </c>
      <c r="V567" s="26">
        <f t="shared" si="217"/>
        <v>211.26987793663167</v>
      </c>
      <c r="W567" s="26">
        <f t="shared" si="220"/>
        <v>211.93451289362054</v>
      </c>
      <c r="X567" s="26">
        <f t="shared" si="219"/>
        <v>-0.66463495698886277</v>
      </c>
      <c r="Y567" s="26">
        <f t="shared" si="228"/>
        <v>-0.36442845136692348</v>
      </c>
      <c r="Z567" s="26">
        <v>12037.33</v>
      </c>
      <c r="AA567" s="26">
        <f t="shared" si="207"/>
        <v>217.51357750427317</v>
      </c>
      <c r="AB567" s="27">
        <f t="shared" si="208"/>
        <v>6.5094395770606078E-2</v>
      </c>
      <c r="BK567" s="24">
        <v>44761</v>
      </c>
      <c r="BL567" s="25">
        <v>204.22</v>
      </c>
      <c r="BM567" s="26">
        <f t="shared" si="221"/>
        <v>211.9</v>
      </c>
      <c r="BN567" s="26">
        <f t="shared" si="222"/>
        <v>210.60399999999998</v>
      </c>
      <c r="BO567" s="26">
        <f t="shared" si="223"/>
        <v>210.63714285714286</v>
      </c>
      <c r="BP567" s="26">
        <f t="shared" si="224"/>
        <v>212.15153846153848</v>
      </c>
      <c r="BQ567" s="26">
        <f t="shared" si="225"/>
        <v>210.99454545454543</v>
      </c>
      <c r="BR567" s="26">
        <f t="shared" si="226"/>
        <v>210.96600000000001</v>
      </c>
      <c r="BS567" s="26">
        <f t="shared" si="227"/>
        <v>210.81284655970208</v>
      </c>
      <c r="BT567" s="26">
        <f t="shared" si="213"/>
        <v>205.21630703520705</v>
      </c>
    </row>
    <row r="568" spans="1:72" x14ac:dyDescent="0.2">
      <c r="A568" s="74"/>
      <c r="B568" s="24">
        <v>44762</v>
      </c>
      <c r="C568" s="25">
        <v>208.34</v>
      </c>
      <c r="D568" s="26">
        <f t="shared" si="229"/>
        <v>205.86</v>
      </c>
      <c r="E568" s="26">
        <f t="shared" si="215"/>
        <v>207.154</v>
      </c>
      <c r="F568" s="26">
        <f t="shared" si="231"/>
        <v>207.86142857142858</v>
      </c>
      <c r="G568" s="26">
        <f t="shared" si="232"/>
        <v>213.73538461538462</v>
      </c>
      <c r="H568" s="26">
        <f t="shared" si="233"/>
        <v>213.14090909090913</v>
      </c>
      <c r="I568" s="26">
        <f t="shared" si="230"/>
        <v>206.68133333333336</v>
      </c>
      <c r="J568" s="26">
        <f t="shared" si="210"/>
        <v>207.38412836176508</v>
      </c>
      <c r="K568" s="26">
        <f t="shared" si="211"/>
        <v>207.09052281408282</v>
      </c>
      <c r="L568" s="26">
        <f t="shared" si="206"/>
        <v>214.02763085920702</v>
      </c>
      <c r="V568" s="26">
        <f t="shared" si="217"/>
        <v>210.81912748484217</v>
      </c>
      <c r="W568" s="26">
        <f t="shared" si="220"/>
        <v>211.0528499413256</v>
      </c>
      <c r="X568" s="26">
        <f t="shared" si="219"/>
        <v>-0.23372245648343437</v>
      </c>
      <c r="Y568" s="26">
        <f t="shared" si="228"/>
        <v>-0.33828725239022567</v>
      </c>
      <c r="Z568" s="26">
        <v>11880.63</v>
      </c>
      <c r="AA568" s="26">
        <f t="shared" si="207"/>
        <v>217.44458729503776</v>
      </c>
      <c r="AB568" s="27">
        <f t="shared" si="208"/>
        <v>4.3700620596322168E-2</v>
      </c>
      <c r="BK568" s="24">
        <v>44762</v>
      </c>
      <c r="BL568" s="25">
        <v>208.34</v>
      </c>
      <c r="BM568" s="26">
        <f t="shared" si="221"/>
        <v>211.9</v>
      </c>
      <c r="BN568" s="26">
        <f t="shared" si="222"/>
        <v>210.60399999999998</v>
      </c>
      <c r="BO568" s="26">
        <f t="shared" si="223"/>
        <v>210.63714285714286</v>
      </c>
      <c r="BP568" s="26">
        <f t="shared" si="224"/>
        <v>212.15153846153848</v>
      </c>
      <c r="BQ568" s="26">
        <f t="shared" si="225"/>
        <v>210.99454545454543</v>
      </c>
      <c r="BR568" s="26">
        <f t="shared" si="226"/>
        <v>210.96600000000001</v>
      </c>
      <c r="BS568" s="26">
        <f t="shared" si="227"/>
        <v>210.81284655970208</v>
      </c>
      <c r="BT568" s="26">
        <f t="shared" si="213"/>
        <v>207.09052281408282</v>
      </c>
    </row>
    <row r="569" spans="1:72" x14ac:dyDescent="0.2">
      <c r="A569" s="74"/>
      <c r="B569" s="24">
        <v>44763</v>
      </c>
      <c r="C569" s="25">
        <v>202.94</v>
      </c>
      <c r="D569" s="26">
        <f t="shared" si="229"/>
        <v>205.16666666666666</v>
      </c>
      <c r="E569" s="26">
        <f t="shared" si="215"/>
        <v>205.78200000000001</v>
      </c>
      <c r="F569" s="26">
        <f t="shared" si="231"/>
        <v>206.90714285714284</v>
      </c>
      <c r="G569" s="26">
        <f t="shared" si="232"/>
        <v>212.59384615384613</v>
      </c>
      <c r="H569" s="26">
        <f t="shared" si="233"/>
        <v>213.05121212121216</v>
      </c>
      <c r="I569" s="26">
        <f t="shared" si="230"/>
        <v>205.27666666666664</v>
      </c>
      <c r="J569" s="26">
        <f t="shared" si="210"/>
        <v>205.60647701705904</v>
      </c>
      <c r="K569" s="26">
        <f t="shared" si="211"/>
        <v>204.60020912563311</v>
      </c>
      <c r="L569" s="26">
        <f t="shared" si="206"/>
        <v>214.01279219720692</v>
      </c>
      <c r="V569" s="26">
        <f t="shared" si="217"/>
        <v>209.6069540256357</v>
      </c>
      <c r="W569" s="26">
        <f t="shared" si="220"/>
        <v>210.23548841189088</v>
      </c>
      <c r="X569" s="26">
        <f t="shared" si="219"/>
        <v>-0.62853438625518265</v>
      </c>
      <c r="Y569" s="26">
        <f t="shared" si="228"/>
        <v>-0.39633667916321713</v>
      </c>
      <c r="Z569" s="26">
        <v>11854.97</v>
      </c>
      <c r="AA569" s="26">
        <f t="shared" si="207"/>
        <v>217.43328998317443</v>
      </c>
      <c r="AB569" s="27">
        <f t="shared" si="208"/>
        <v>7.1416625520717633E-2</v>
      </c>
      <c r="BK569" s="24">
        <v>44763</v>
      </c>
      <c r="BL569" s="25">
        <v>202.94</v>
      </c>
      <c r="BM569" s="26">
        <f t="shared" si="221"/>
        <v>211.9</v>
      </c>
      <c r="BN569" s="26">
        <f t="shared" si="222"/>
        <v>210.60399999999998</v>
      </c>
      <c r="BO569" s="26">
        <f t="shared" si="223"/>
        <v>210.63714285714286</v>
      </c>
      <c r="BP569" s="26">
        <f t="shared" si="224"/>
        <v>212.15153846153848</v>
      </c>
      <c r="BQ569" s="26">
        <f t="shared" si="225"/>
        <v>210.99454545454543</v>
      </c>
      <c r="BR569" s="26">
        <f t="shared" si="226"/>
        <v>210.96600000000001</v>
      </c>
      <c r="BS569" s="26">
        <f t="shared" si="227"/>
        <v>210.81284655970208</v>
      </c>
      <c r="BT569" s="26">
        <f t="shared" si="213"/>
        <v>204.60020912563311</v>
      </c>
    </row>
    <row r="570" spans="1:72" x14ac:dyDescent="0.2">
      <c r="A570" s="74"/>
      <c r="B570" s="24">
        <v>44764</v>
      </c>
      <c r="C570" s="25">
        <v>208.1</v>
      </c>
      <c r="D570" s="26">
        <f t="shared" si="229"/>
        <v>206.46</v>
      </c>
      <c r="E570" s="26">
        <f t="shared" si="215"/>
        <v>205.72399999999999</v>
      </c>
      <c r="F570" s="26">
        <f t="shared" si="231"/>
        <v>206.68714285714285</v>
      </c>
      <c r="G570" s="26">
        <f t="shared" si="232"/>
        <v>211.82692307692307</v>
      </c>
      <c r="H570" s="26">
        <f t="shared" si="233"/>
        <v>212.73363636363641</v>
      </c>
      <c r="I570" s="26">
        <f t="shared" si="230"/>
        <v>206.04933333333332</v>
      </c>
      <c r="J570" s="26">
        <f t="shared" si="210"/>
        <v>206.60388621023543</v>
      </c>
      <c r="K570" s="26">
        <f t="shared" si="211"/>
        <v>206.70008365025325</v>
      </c>
      <c r="L570" s="26">
        <f t="shared" si="206"/>
        <v>213.99795353520682</v>
      </c>
      <c r="V570" s="26">
        <f t="shared" si="217"/>
        <v>209.37511494476868</v>
      </c>
      <c r="W570" s="26">
        <f t="shared" si="220"/>
        <v>209.49532780151452</v>
      </c>
      <c r="X570" s="26">
        <f t="shared" si="219"/>
        <v>-0.12021285674583737</v>
      </c>
      <c r="Y570" s="26">
        <f t="shared" si="228"/>
        <v>-0.34111191467974122</v>
      </c>
      <c r="Z570" s="26">
        <v>11904.71</v>
      </c>
      <c r="AA570" s="26">
        <f t="shared" si="207"/>
        <v>217.45518898130697</v>
      </c>
      <c r="AB570" s="27">
        <f t="shared" si="208"/>
        <v>4.4955256998111391E-2</v>
      </c>
      <c r="BK570" s="24">
        <v>44764</v>
      </c>
      <c r="BL570" s="25">
        <v>208.1</v>
      </c>
      <c r="BM570" s="26">
        <f t="shared" si="221"/>
        <v>211.9</v>
      </c>
      <c r="BN570" s="26">
        <f t="shared" si="222"/>
        <v>210.60399999999998</v>
      </c>
      <c r="BO570" s="26">
        <f t="shared" si="223"/>
        <v>210.63714285714286</v>
      </c>
      <c r="BP570" s="26">
        <f t="shared" si="224"/>
        <v>212.15153846153848</v>
      </c>
      <c r="BQ570" s="26">
        <f t="shared" si="225"/>
        <v>210.99454545454543</v>
      </c>
      <c r="BR570" s="26">
        <f t="shared" si="226"/>
        <v>210.96600000000001</v>
      </c>
      <c r="BS570" s="26">
        <f t="shared" si="227"/>
        <v>210.81284655970208</v>
      </c>
      <c r="BT570" s="26">
        <f t="shared" si="213"/>
        <v>206.70008365025325</v>
      </c>
    </row>
    <row r="571" spans="1:72" x14ac:dyDescent="0.2">
      <c r="A571" s="74"/>
      <c r="B571" s="24">
        <v>44765</v>
      </c>
      <c r="C571" s="25">
        <v>203.5</v>
      </c>
      <c r="D571" s="26">
        <f t="shared" si="229"/>
        <v>204.84666666666666</v>
      </c>
      <c r="E571" s="26">
        <f t="shared" si="215"/>
        <v>205.42</v>
      </c>
      <c r="F571" s="26">
        <f t="shared" si="231"/>
        <v>205.78714285714287</v>
      </c>
      <c r="G571" s="26">
        <f t="shared" si="232"/>
        <v>210.42615384615385</v>
      </c>
      <c r="H571" s="26">
        <f t="shared" si="233"/>
        <v>212.29393939393947</v>
      </c>
      <c r="I571" s="26">
        <f t="shared" si="230"/>
        <v>205.30799999999999</v>
      </c>
      <c r="J571" s="26">
        <f t="shared" si="210"/>
        <v>205.36233172614126</v>
      </c>
      <c r="K571" s="26">
        <f t="shared" si="211"/>
        <v>204.78003346010129</v>
      </c>
      <c r="L571" s="26">
        <f t="shared" si="206"/>
        <v>213.98311487320674</v>
      </c>
      <c r="V571" s="26">
        <f t="shared" si="217"/>
        <v>208.47125110711198</v>
      </c>
      <c r="W571" s="26">
        <f t="shared" si="220"/>
        <v>208.9399212451562</v>
      </c>
      <c r="X571" s="26">
        <f t="shared" si="219"/>
        <v>-0.46867013804421731</v>
      </c>
      <c r="Y571" s="26">
        <f t="shared" si="228"/>
        <v>-0.36662355935263646</v>
      </c>
      <c r="Z571" s="26">
        <v>11801.6</v>
      </c>
      <c r="AA571" s="26">
        <f t="shared" si="207"/>
        <v>217.40979280725296</v>
      </c>
      <c r="AB571" s="27">
        <f t="shared" si="208"/>
        <v>6.8352790207631228E-2</v>
      </c>
      <c r="BK571" s="24">
        <v>44765</v>
      </c>
      <c r="BL571" s="25">
        <v>203.5</v>
      </c>
      <c r="BM571" s="26">
        <f t="shared" si="221"/>
        <v>211.9</v>
      </c>
      <c r="BN571" s="26">
        <f t="shared" si="222"/>
        <v>210.60399999999998</v>
      </c>
      <c r="BO571" s="26">
        <f t="shared" si="223"/>
        <v>210.63714285714286</v>
      </c>
      <c r="BP571" s="26">
        <f t="shared" si="224"/>
        <v>212.15153846153848</v>
      </c>
      <c r="BQ571" s="26">
        <f t="shared" si="225"/>
        <v>210.99454545454543</v>
      </c>
      <c r="BR571" s="26">
        <f t="shared" si="226"/>
        <v>210.96600000000001</v>
      </c>
      <c r="BS571" s="26">
        <f t="shared" si="227"/>
        <v>210.81284655970208</v>
      </c>
      <c r="BT571" s="26">
        <f t="shared" si="213"/>
        <v>204.78003346010129</v>
      </c>
    </row>
    <row r="572" spans="1:72" x14ac:dyDescent="0.2">
      <c r="A572" s="74"/>
      <c r="B572" s="24">
        <v>44766</v>
      </c>
      <c r="C572" s="25">
        <v>202.75</v>
      </c>
      <c r="D572" s="26">
        <f t="shared" si="229"/>
        <v>204.78333333333333</v>
      </c>
      <c r="E572" s="26">
        <f t="shared" si="215"/>
        <v>205.12600000000003</v>
      </c>
      <c r="F572" s="26">
        <f t="shared" si="231"/>
        <v>204.98142857142855</v>
      </c>
      <c r="G572" s="26">
        <f t="shared" si="232"/>
        <v>208.87846153846155</v>
      </c>
      <c r="H572" s="26">
        <f t="shared" si="233"/>
        <v>211.86212121212128</v>
      </c>
      <c r="I572" s="26">
        <f t="shared" si="230"/>
        <v>204.41800000000003</v>
      </c>
      <c r="J572" s="26">
        <f t="shared" si="210"/>
        <v>204.31739903568476</v>
      </c>
      <c r="K572" s="26">
        <f t="shared" si="211"/>
        <v>203.56201338404051</v>
      </c>
      <c r="L572" s="26">
        <f t="shared" si="206"/>
        <v>213.96827621120664</v>
      </c>
      <c r="V572" s="26">
        <f t="shared" si="217"/>
        <v>207.59105862909473</v>
      </c>
      <c r="W572" s="26">
        <f t="shared" si="220"/>
        <v>208.04745472880737</v>
      </c>
      <c r="X572" s="26">
        <f t="shared" si="219"/>
        <v>-0.4563960997126344</v>
      </c>
      <c r="Y572" s="26">
        <f t="shared" si="228"/>
        <v>-0.38457806742463607</v>
      </c>
      <c r="Z572" s="26">
        <v>11899.34</v>
      </c>
      <c r="AA572" s="26">
        <f t="shared" si="207"/>
        <v>217.45282473482584</v>
      </c>
      <c r="AB572" s="27">
        <f t="shared" si="208"/>
        <v>7.2517014721705741E-2</v>
      </c>
      <c r="BK572" s="24">
        <v>44766</v>
      </c>
      <c r="BL572" s="25">
        <v>202.75</v>
      </c>
      <c r="BM572" s="26">
        <f t="shared" si="221"/>
        <v>211.9</v>
      </c>
      <c r="BN572" s="26">
        <f t="shared" si="222"/>
        <v>210.60399999999998</v>
      </c>
      <c r="BO572" s="26">
        <f t="shared" si="223"/>
        <v>210.63714285714286</v>
      </c>
      <c r="BP572" s="26">
        <f t="shared" si="224"/>
        <v>212.15153846153848</v>
      </c>
      <c r="BQ572" s="26">
        <f t="shared" si="225"/>
        <v>210.99454545454543</v>
      </c>
      <c r="BR572" s="26">
        <f t="shared" si="226"/>
        <v>210.96600000000001</v>
      </c>
      <c r="BS572" s="26">
        <f t="shared" si="227"/>
        <v>210.81284655970208</v>
      </c>
      <c r="BT572" s="26">
        <f t="shared" si="213"/>
        <v>203.56201338404051</v>
      </c>
    </row>
    <row r="573" spans="1:72" x14ac:dyDescent="0.2">
      <c r="A573" s="74"/>
      <c r="B573" s="24">
        <v>44767</v>
      </c>
      <c r="C573" s="25">
        <v>202.87</v>
      </c>
      <c r="D573" s="26">
        <f t="shared" si="229"/>
        <v>203.04</v>
      </c>
      <c r="E573" s="26">
        <f t="shared" si="215"/>
        <v>204.03199999999998</v>
      </c>
      <c r="F573" s="26">
        <f t="shared" si="231"/>
        <v>204.67428571428567</v>
      </c>
      <c r="G573" s="26">
        <f t="shared" si="232"/>
        <v>207.5530769230769</v>
      </c>
      <c r="H573" s="26">
        <f t="shared" si="233"/>
        <v>211.55575757575764</v>
      </c>
      <c r="I573" s="26">
        <f t="shared" si="230"/>
        <v>203.666</v>
      </c>
      <c r="J573" s="26">
        <f t="shared" si="210"/>
        <v>203.73843942141087</v>
      </c>
      <c r="K573" s="26">
        <f t="shared" si="211"/>
        <v>203.1468053536162</v>
      </c>
      <c r="L573" s="26">
        <f t="shared" si="206"/>
        <v>213.95343754920654</v>
      </c>
      <c r="V573" s="26">
        <f t="shared" si="217"/>
        <v>206.86474191692633</v>
      </c>
      <c r="W573" s="26">
        <f t="shared" si="220"/>
        <v>207.2413505824951</v>
      </c>
      <c r="X573" s="26">
        <f t="shared" si="219"/>
        <v>-0.37660866556876726</v>
      </c>
      <c r="Y573" s="26">
        <f t="shared" si="228"/>
        <v>-0.38298418705346232</v>
      </c>
      <c r="Z573" s="26">
        <v>11924.13</v>
      </c>
      <c r="AA573" s="26">
        <f t="shared" si="207"/>
        <v>217.46373901234307</v>
      </c>
      <c r="AB573" s="27">
        <f t="shared" si="208"/>
        <v>7.1936407612476286E-2</v>
      </c>
      <c r="BK573" s="24">
        <v>44767</v>
      </c>
      <c r="BL573" s="25">
        <v>202.87</v>
      </c>
      <c r="BM573" s="26">
        <f t="shared" si="221"/>
        <v>211.9</v>
      </c>
      <c r="BN573" s="26">
        <f t="shared" si="222"/>
        <v>210.60399999999998</v>
      </c>
      <c r="BO573" s="26">
        <f t="shared" si="223"/>
        <v>210.63714285714286</v>
      </c>
      <c r="BP573" s="26">
        <f t="shared" si="224"/>
        <v>212.15153846153848</v>
      </c>
      <c r="BQ573" s="26">
        <f t="shared" si="225"/>
        <v>210.99454545454543</v>
      </c>
      <c r="BR573" s="26">
        <f t="shared" si="226"/>
        <v>210.96600000000001</v>
      </c>
      <c r="BS573" s="26">
        <f t="shared" si="227"/>
        <v>210.81284655970208</v>
      </c>
      <c r="BT573" s="26">
        <f t="shared" si="213"/>
        <v>203.1468053536162</v>
      </c>
    </row>
    <row r="574" spans="1:72" x14ac:dyDescent="0.2">
      <c r="A574" s="74"/>
      <c r="B574" s="24">
        <v>44768</v>
      </c>
      <c r="C574" s="25">
        <v>202.11</v>
      </c>
      <c r="D574" s="26">
        <f t="shared" si="229"/>
        <v>202.57666666666668</v>
      </c>
      <c r="E574" s="26">
        <f t="shared" si="215"/>
        <v>203.86600000000001</v>
      </c>
      <c r="F574" s="26">
        <f t="shared" si="231"/>
        <v>204.37285714285716</v>
      </c>
      <c r="G574" s="26">
        <f t="shared" si="232"/>
        <v>205.94615384615383</v>
      </c>
      <c r="H574" s="26">
        <f t="shared" si="233"/>
        <v>211.28515151515157</v>
      </c>
      <c r="I574" s="26">
        <f t="shared" si="230"/>
        <v>203.02533333333335</v>
      </c>
      <c r="J574" s="26">
        <f t="shared" si="210"/>
        <v>203.08706365284652</v>
      </c>
      <c r="K574" s="26">
        <f t="shared" si="211"/>
        <v>202.52472214144649</v>
      </c>
      <c r="L574" s="26">
        <f t="shared" si="206"/>
        <v>213.93859888720647</v>
      </c>
      <c r="V574" s="26">
        <f t="shared" si="217"/>
        <v>206.13324316047613</v>
      </c>
      <c r="W574" s="26">
        <f t="shared" si="220"/>
        <v>206.51253881196882</v>
      </c>
      <c r="X574" s="26">
        <f t="shared" si="219"/>
        <v>-0.37929565149269706</v>
      </c>
      <c r="Y574" s="26">
        <f t="shared" si="228"/>
        <v>-0.38224647994130928</v>
      </c>
      <c r="Z574" s="26">
        <v>11829.29</v>
      </c>
      <c r="AA574" s="26">
        <f t="shared" si="207"/>
        <v>217.42198386592386</v>
      </c>
      <c r="AB574" s="27">
        <f t="shared" si="208"/>
        <v>7.5760644529829543E-2</v>
      </c>
      <c r="BK574" s="24">
        <v>44768</v>
      </c>
      <c r="BL574" s="25">
        <v>202.11</v>
      </c>
      <c r="BM574" s="26">
        <f t="shared" si="221"/>
        <v>211.9</v>
      </c>
      <c r="BN574" s="26">
        <f t="shared" si="222"/>
        <v>210.60399999999998</v>
      </c>
      <c r="BO574" s="26">
        <f t="shared" si="223"/>
        <v>210.63714285714286</v>
      </c>
      <c r="BP574" s="26">
        <f t="shared" si="224"/>
        <v>212.15153846153848</v>
      </c>
      <c r="BQ574" s="26">
        <f t="shared" si="225"/>
        <v>210.99454545454543</v>
      </c>
      <c r="BR574" s="26">
        <f t="shared" si="226"/>
        <v>210.96600000000001</v>
      </c>
      <c r="BS574" s="26">
        <f t="shared" si="227"/>
        <v>210.81284655970208</v>
      </c>
      <c r="BT574" s="26">
        <f t="shared" si="213"/>
        <v>202.52472214144649</v>
      </c>
    </row>
    <row r="575" spans="1:72" x14ac:dyDescent="0.2">
      <c r="A575" s="74"/>
      <c r="B575" s="24">
        <v>44769</v>
      </c>
      <c r="C575" s="25">
        <v>201.88</v>
      </c>
      <c r="D575" s="26">
        <f t="shared" si="229"/>
        <v>202.28666666666666</v>
      </c>
      <c r="E575" s="26">
        <f t="shared" si="215"/>
        <v>202.62200000000001</v>
      </c>
      <c r="F575" s="26">
        <f t="shared" si="231"/>
        <v>203.45000000000002</v>
      </c>
      <c r="G575" s="26">
        <f t="shared" si="232"/>
        <v>205.35076923076923</v>
      </c>
      <c r="H575" s="26">
        <f t="shared" si="233"/>
        <v>211.03212121212127</v>
      </c>
      <c r="I575" s="26">
        <f t="shared" si="230"/>
        <v>202.36333333333334</v>
      </c>
      <c r="J575" s="26">
        <f t="shared" si="210"/>
        <v>202.60423819170791</v>
      </c>
      <c r="K575" s="26">
        <f t="shared" si="211"/>
        <v>202.13788885657857</v>
      </c>
      <c r="L575" s="26">
        <f t="shared" si="206"/>
        <v>213.92376022520637</v>
      </c>
      <c r="V575" s="26">
        <f t="shared" si="217"/>
        <v>205.47889805886442</v>
      </c>
      <c r="W575" s="26">
        <f t="shared" si="220"/>
        <v>205.81818811155196</v>
      </c>
      <c r="X575" s="26">
        <f t="shared" si="219"/>
        <v>-0.33929005268754509</v>
      </c>
      <c r="Y575" s="26">
        <f t="shared" si="228"/>
        <v>-0.37365519449055645</v>
      </c>
      <c r="Z575" s="26">
        <v>10911.59</v>
      </c>
      <c r="AA575" s="26">
        <f t="shared" si="207"/>
        <v>217.01794867118647</v>
      </c>
      <c r="AB575" s="27">
        <f t="shared" si="208"/>
        <v>7.4984885432863482E-2</v>
      </c>
      <c r="BK575" s="24">
        <v>44769</v>
      </c>
      <c r="BL575" s="25">
        <v>201.88</v>
      </c>
      <c r="BM575" s="26">
        <f t="shared" si="221"/>
        <v>211.9</v>
      </c>
      <c r="BN575" s="26">
        <f t="shared" si="222"/>
        <v>210.60399999999998</v>
      </c>
      <c r="BO575" s="26">
        <f t="shared" si="223"/>
        <v>210.63714285714286</v>
      </c>
      <c r="BP575" s="26">
        <f t="shared" si="224"/>
        <v>212.15153846153848</v>
      </c>
      <c r="BQ575" s="26">
        <f t="shared" si="225"/>
        <v>210.99454545454543</v>
      </c>
      <c r="BR575" s="26">
        <f t="shared" si="226"/>
        <v>210.96600000000001</v>
      </c>
      <c r="BS575" s="26">
        <f t="shared" si="227"/>
        <v>210.81284655970208</v>
      </c>
      <c r="BT575" s="26">
        <f t="shared" si="213"/>
        <v>202.13788885657857</v>
      </c>
    </row>
    <row r="576" spans="1:72" x14ac:dyDescent="0.2">
      <c r="A576" s="74"/>
      <c r="B576" s="24">
        <v>44770</v>
      </c>
      <c r="C576" s="25">
        <v>200.39</v>
      </c>
      <c r="D576" s="26">
        <f t="shared" si="229"/>
        <v>201.46</v>
      </c>
      <c r="E576" s="26">
        <f t="shared" si="215"/>
        <v>202</v>
      </c>
      <c r="F576" s="26">
        <f t="shared" si="231"/>
        <v>203.08571428571426</v>
      </c>
      <c r="G576" s="26">
        <f t="shared" si="232"/>
        <v>204.63923076923078</v>
      </c>
      <c r="H576" s="26">
        <f t="shared" si="233"/>
        <v>210.70424242424247</v>
      </c>
      <c r="I576" s="26">
        <f t="shared" si="230"/>
        <v>201.61933333333334</v>
      </c>
      <c r="J576" s="26">
        <f t="shared" si="210"/>
        <v>201.71854291502473</v>
      </c>
      <c r="K576" s="26">
        <f t="shared" si="211"/>
        <v>201.08915554263143</v>
      </c>
      <c r="L576" s="26">
        <f t="shared" si="206"/>
        <v>213.90892156320626</v>
      </c>
      <c r="V576" s="26">
        <f t="shared" si="217"/>
        <v>204.69599066519297</v>
      </c>
      <c r="W576" s="26">
        <f t="shared" si="220"/>
        <v>205.10194264709668</v>
      </c>
      <c r="X576" s="26">
        <f t="shared" si="219"/>
        <v>-0.40595198190371207</v>
      </c>
      <c r="Y576" s="26">
        <f t="shared" si="228"/>
        <v>-0.38011455197318761</v>
      </c>
      <c r="Z576" s="26">
        <v>11185.59</v>
      </c>
      <c r="AA576" s="26">
        <f t="shared" si="207"/>
        <v>217.1385824767417</v>
      </c>
      <c r="AB576" s="27">
        <f t="shared" si="208"/>
        <v>8.3579931517249947E-2</v>
      </c>
      <c r="BK576" s="24">
        <v>44770</v>
      </c>
      <c r="BL576" s="25">
        <v>200.39</v>
      </c>
      <c r="BM576" s="26">
        <f t="shared" si="221"/>
        <v>211.9</v>
      </c>
      <c r="BN576" s="26">
        <f t="shared" si="222"/>
        <v>210.60399999999998</v>
      </c>
      <c r="BO576" s="26">
        <f t="shared" si="223"/>
        <v>210.63714285714286</v>
      </c>
      <c r="BP576" s="26">
        <f t="shared" si="224"/>
        <v>212.15153846153848</v>
      </c>
      <c r="BQ576" s="26">
        <f t="shared" si="225"/>
        <v>210.99454545454543</v>
      </c>
      <c r="BR576" s="26">
        <f t="shared" si="226"/>
        <v>210.96600000000001</v>
      </c>
      <c r="BS576" s="26">
        <f t="shared" si="227"/>
        <v>210.81284655970208</v>
      </c>
      <c r="BT576" s="26">
        <f t="shared" si="213"/>
        <v>201.08915554263143</v>
      </c>
    </row>
    <row r="577" spans="1:72" x14ac:dyDescent="0.2">
      <c r="A577" s="74"/>
      <c r="B577" s="24">
        <v>44771</v>
      </c>
      <c r="C577" s="25">
        <v>201.34</v>
      </c>
      <c r="D577" s="26">
        <f t="shared" si="229"/>
        <v>201.20333333333335</v>
      </c>
      <c r="E577" s="26">
        <f t="shared" si="215"/>
        <v>201.71800000000002</v>
      </c>
      <c r="F577" s="26">
        <f t="shared" si="231"/>
        <v>202.11999999999998</v>
      </c>
      <c r="G577" s="26">
        <f t="shared" si="232"/>
        <v>203.98846153846156</v>
      </c>
      <c r="H577" s="26">
        <f t="shared" si="233"/>
        <v>210.48515151515156</v>
      </c>
      <c r="I577" s="26">
        <f t="shared" si="230"/>
        <v>201.39933333333332</v>
      </c>
      <c r="J577" s="26">
        <f t="shared" si="210"/>
        <v>201.56712574901485</v>
      </c>
      <c r="K577" s="26">
        <f t="shared" si="211"/>
        <v>201.23966221705257</v>
      </c>
      <c r="L577" s="26">
        <f t="shared" si="206"/>
        <v>213.89408290120619</v>
      </c>
      <c r="V577" s="26">
        <f t="shared" si="217"/>
        <v>204.17968440900944</v>
      </c>
      <c r="W577" s="26">
        <f t="shared" si="220"/>
        <v>204.44739876406757</v>
      </c>
      <c r="X577" s="26">
        <f t="shared" si="219"/>
        <v>-0.26771435505813201</v>
      </c>
      <c r="Y577" s="26">
        <f t="shared" si="228"/>
        <v>-0.35763451259017653</v>
      </c>
      <c r="Z577" s="26">
        <v>11004.87</v>
      </c>
      <c r="AA577" s="26">
        <f t="shared" si="207"/>
        <v>217.05901699739886</v>
      </c>
      <c r="AB577" s="27">
        <f t="shared" si="208"/>
        <v>7.8072002569776755E-2</v>
      </c>
      <c r="BK577" s="24">
        <v>44771</v>
      </c>
      <c r="BL577" s="25">
        <v>201.34</v>
      </c>
      <c r="BM577" s="26">
        <f t="shared" si="221"/>
        <v>211.9</v>
      </c>
      <c r="BN577" s="26">
        <f t="shared" si="222"/>
        <v>210.60399999999998</v>
      </c>
      <c r="BO577" s="26">
        <f t="shared" si="223"/>
        <v>210.63714285714286</v>
      </c>
      <c r="BP577" s="26">
        <f t="shared" si="224"/>
        <v>212.15153846153848</v>
      </c>
      <c r="BQ577" s="26">
        <f t="shared" si="225"/>
        <v>210.99454545454543</v>
      </c>
      <c r="BR577" s="26">
        <f t="shared" si="226"/>
        <v>210.96600000000001</v>
      </c>
      <c r="BS577" s="26">
        <f t="shared" si="227"/>
        <v>210.81284655970208</v>
      </c>
      <c r="BT577" s="26">
        <f t="shared" si="213"/>
        <v>201.23966221705257</v>
      </c>
    </row>
    <row r="578" spans="1:72" x14ac:dyDescent="0.2">
      <c r="A578" s="74"/>
      <c r="B578" s="24">
        <v>44772</v>
      </c>
      <c r="C578" s="25">
        <v>204.09</v>
      </c>
      <c r="D578" s="26">
        <f t="shared" si="229"/>
        <v>201.94000000000003</v>
      </c>
      <c r="E578" s="26">
        <f t="shared" si="215"/>
        <v>201.96200000000002</v>
      </c>
      <c r="F578" s="26">
        <f t="shared" si="231"/>
        <v>202.2042857142857</v>
      </c>
      <c r="G578" s="26">
        <f t="shared" si="232"/>
        <v>203.65769230769232</v>
      </c>
      <c r="H578" s="26">
        <f t="shared" si="233"/>
        <v>210.34393939393942</v>
      </c>
      <c r="I578" s="26">
        <f t="shared" si="230"/>
        <v>202.19</v>
      </c>
      <c r="J578" s="26">
        <f t="shared" si="210"/>
        <v>202.57627544940891</v>
      </c>
      <c r="K578" s="26">
        <f t="shared" si="211"/>
        <v>202.94986488682105</v>
      </c>
      <c r="L578" s="26">
        <f t="shared" si="206"/>
        <v>213.87924423920609</v>
      </c>
      <c r="V578" s="26">
        <f t="shared" si="217"/>
        <v>204.16588680762337</v>
      </c>
      <c r="W578" s="26">
        <f t="shared" si="220"/>
        <v>204.17304111945319</v>
      </c>
      <c r="X578" s="26">
        <f t="shared" si="219"/>
        <v>-7.1543118298222907E-3</v>
      </c>
      <c r="Y578" s="26">
        <f t="shared" si="228"/>
        <v>-0.28753847243810571</v>
      </c>
      <c r="Z578" s="26">
        <v>11431.35</v>
      </c>
      <c r="AA578" s="26">
        <f t="shared" si="207"/>
        <v>217.24678307547623</v>
      </c>
      <c r="AB578" s="27">
        <f t="shared" si="208"/>
        <v>6.446559398048031E-2</v>
      </c>
      <c r="BK578" s="24">
        <v>44772</v>
      </c>
      <c r="BL578" s="25">
        <v>204.09</v>
      </c>
      <c r="BM578" s="26">
        <f t="shared" si="221"/>
        <v>211.9</v>
      </c>
      <c r="BN578" s="26">
        <f t="shared" si="222"/>
        <v>210.60399999999998</v>
      </c>
      <c r="BO578" s="26">
        <f t="shared" si="223"/>
        <v>210.63714285714286</v>
      </c>
      <c r="BP578" s="26">
        <f t="shared" si="224"/>
        <v>212.15153846153848</v>
      </c>
      <c r="BQ578" s="26">
        <f t="shared" si="225"/>
        <v>210.99454545454543</v>
      </c>
      <c r="BR578" s="26">
        <f t="shared" si="226"/>
        <v>210.96600000000001</v>
      </c>
      <c r="BS578" s="26">
        <f t="shared" si="227"/>
        <v>210.81284655970208</v>
      </c>
      <c r="BT578" s="26">
        <f t="shared" si="213"/>
        <v>202.94986488682105</v>
      </c>
    </row>
    <row r="579" spans="1:72" x14ac:dyDescent="0.2">
      <c r="A579" s="74"/>
      <c r="B579" s="24">
        <v>44773</v>
      </c>
      <c r="C579" s="25">
        <v>198.66</v>
      </c>
      <c r="D579" s="26">
        <f t="shared" si="229"/>
        <v>201.36333333333334</v>
      </c>
      <c r="E579" s="26">
        <f t="shared" si="215"/>
        <v>201.27199999999999</v>
      </c>
      <c r="F579" s="26">
        <f t="shared" si="231"/>
        <v>201.62000000000003</v>
      </c>
      <c r="G579" s="26">
        <f t="shared" si="232"/>
        <v>203.16846153846154</v>
      </c>
      <c r="H579" s="26">
        <f t="shared" si="233"/>
        <v>209.90666666666669</v>
      </c>
      <c r="I579" s="26">
        <f t="shared" si="230"/>
        <v>201.08933333333334</v>
      </c>
      <c r="J579" s="26">
        <f t="shared" si="210"/>
        <v>201.00976526964536</v>
      </c>
      <c r="K579" s="26">
        <f t="shared" si="211"/>
        <v>200.37594595472842</v>
      </c>
      <c r="L579" s="26">
        <f t="shared" si="206"/>
        <v>213.86440557720599</v>
      </c>
      <c r="V579" s="26">
        <f t="shared" si="217"/>
        <v>203.31882729875824</v>
      </c>
      <c r="W579" s="26">
        <f t="shared" si="220"/>
        <v>203.75804334039202</v>
      </c>
      <c r="X579" s="26">
        <f t="shared" si="219"/>
        <v>-0.43921604163378447</v>
      </c>
      <c r="Y579" s="26">
        <f t="shared" si="228"/>
        <v>-0.3178739862772415</v>
      </c>
      <c r="Z579" s="26">
        <v>11358.94</v>
      </c>
      <c r="AA579" s="26">
        <f t="shared" si="207"/>
        <v>217.21490317087674</v>
      </c>
      <c r="AB579" s="27">
        <f t="shared" si="208"/>
        <v>9.3400297849978567E-2</v>
      </c>
      <c r="BK579" s="24">
        <v>44773</v>
      </c>
      <c r="BL579" s="25">
        <v>198.66</v>
      </c>
      <c r="BM579" s="26">
        <f t="shared" si="221"/>
        <v>211.9</v>
      </c>
      <c r="BN579" s="26">
        <f t="shared" si="222"/>
        <v>210.60399999999998</v>
      </c>
      <c r="BO579" s="26">
        <f t="shared" si="223"/>
        <v>210.63714285714286</v>
      </c>
      <c r="BP579" s="26">
        <f t="shared" si="224"/>
        <v>212.15153846153848</v>
      </c>
      <c r="BQ579" s="26">
        <f t="shared" si="225"/>
        <v>210.99454545454543</v>
      </c>
      <c r="BR579" s="26">
        <f t="shared" si="226"/>
        <v>210.96600000000001</v>
      </c>
      <c r="BS579" s="26">
        <f t="shared" si="227"/>
        <v>210.81284655970208</v>
      </c>
      <c r="BT579" s="26">
        <f t="shared" si="213"/>
        <v>200.37594595472842</v>
      </c>
    </row>
    <row r="580" spans="1:72" x14ac:dyDescent="0.2">
      <c r="A580" s="73">
        <v>44774</v>
      </c>
      <c r="B580" s="24">
        <v>44774</v>
      </c>
      <c r="C580" s="25">
        <v>198.32</v>
      </c>
      <c r="D580" s="26">
        <f t="shared" si="229"/>
        <v>200.35666666666665</v>
      </c>
      <c r="E580" s="26">
        <f t="shared" si="215"/>
        <v>200.56</v>
      </c>
      <c r="F580" s="26">
        <f t="shared" si="231"/>
        <v>200.97</v>
      </c>
      <c r="G580" s="26">
        <f t="shared" si="232"/>
        <v>202.71461538461537</v>
      </c>
      <c r="H580" s="26">
        <f t="shared" si="233"/>
        <v>209.43454545454543</v>
      </c>
      <c r="I580" s="26">
        <f t="shared" si="230"/>
        <v>200.10533333333331</v>
      </c>
      <c r="J580" s="26">
        <f t="shared" si="210"/>
        <v>199.93385916178721</v>
      </c>
      <c r="K580" s="26">
        <f t="shared" si="211"/>
        <v>199.14237838189138</v>
      </c>
      <c r="L580" s="26">
        <f t="shared" ref="L580:L610" si="234">$N$20+$N$21*A1187</f>
        <v>213.84956691520591</v>
      </c>
      <c r="V580" s="26">
        <f t="shared" si="217"/>
        <v>202.5497769451031</v>
      </c>
      <c r="W580" s="26">
        <f t="shared" si="220"/>
        <v>202.94854379514652</v>
      </c>
      <c r="X580" s="26">
        <f t="shared" si="219"/>
        <v>-0.39876685004341539</v>
      </c>
      <c r="Y580" s="26">
        <f t="shared" si="228"/>
        <v>-0.33405255903047631</v>
      </c>
      <c r="Z580" s="26">
        <v>11548.28</v>
      </c>
      <c r="AA580" s="26">
        <f t="shared" ref="AA580:AA610" si="235">$AD$20+$AD$21*Z580</f>
        <v>217.29826377213161</v>
      </c>
      <c r="AB580" s="27">
        <f t="shared" si="208"/>
        <v>9.5695158189449445E-2</v>
      </c>
      <c r="BK580" s="35">
        <v>44774</v>
      </c>
      <c r="BL580" s="36">
        <v>198.32</v>
      </c>
      <c r="BM580" s="39">
        <f t="shared" si="221"/>
        <v>211.9</v>
      </c>
      <c r="BN580" s="39">
        <f t="shared" si="222"/>
        <v>210.60399999999998</v>
      </c>
      <c r="BO580" s="39">
        <f t="shared" si="223"/>
        <v>210.63714285714286</v>
      </c>
      <c r="BP580" s="39">
        <f t="shared" si="224"/>
        <v>212.15153846153848</v>
      </c>
      <c r="BQ580" s="39">
        <f t="shared" si="225"/>
        <v>210.99454545454543</v>
      </c>
      <c r="BR580" s="39">
        <f t="shared" si="226"/>
        <v>210.96600000000001</v>
      </c>
      <c r="BS580" s="39">
        <f t="shared" si="227"/>
        <v>210.81284655970208</v>
      </c>
      <c r="BT580" s="39">
        <f t="shared" si="213"/>
        <v>199.14237838189138</v>
      </c>
    </row>
    <row r="581" spans="1:72" x14ac:dyDescent="0.2">
      <c r="A581" s="74"/>
      <c r="B581" s="24">
        <v>44775</v>
      </c>
      <c r="C581" s="25">
        <v>198.93</v>
      </c>
      <c r="D581" s="26">
        <f t="shared" si="229"/>
        <v>198.63666666666668</v>
      </c>
      <c r="E581" s="26">
        <f t="shared" si="215"/>
        <v>200.26800000000003</v>
      </c>
      <c r="F581" s="26">
        <f t="shared" si="231"/>
        <v>200.5157142857143</v>
      </c>
      <c r="G581" s="26">
        <f t="shared" si="232"/>
        <v>201.99076923076922</v>
      </c>
      <c r="H581" s="26">
        <f t="shared" si="233"/>
        <v>209.13818181818181</v>
      </c>
      <c r="I581" s="26">
        <f t="shared" si="230"/>
        <v>199.56199999999998</v>
      </c>
      <c r="J581" s="26">
        <f t="shared" si="210"/>
        <v>199.53231549707232</v>
      </c>
      <c r="K581" s="26">
        <f t="shared" si="211"/>
        <v>199.01495135275655</v>
      </c>
      <c r="L581" s="26">
        <f t="shared" si="234"/>
        <v>213.83472825320581</v>
      </c>
      <c r="V581" s="26">
        <f t="shared" si="217"/>
        <v>201.99288818431802</v>
      </c>
      <c r="W581" s="26">
        <f t="shared" si="220"/>
        <v>202.2816453195399</v>
      </c>
      <c r="X581" s="26">
        <f t="shared" si="219"/>
        <v>-0.28875713522188562</v>
      </c>
      <c r="Y581" s="26">
        <f t="shared" si="228"/>
        <v>-0.32499347426875819</v>
      </c>
      <c r="Z581" s="26">
        <v>11506.01</v>
      </c>
      <c r="AA581" s="26">
        <f t="shared" si="235"/>
        <v>217.27965358614321</v>
      </c>
      <c r="AB581" s="27">
        <f t="shared" ref="AB581:AB610" si="236">(AA581-C581)/C581</f>
        <v>9.22417613539597E-2</v>
      </c>
      <c r="BK581" s="24">
        <v>44775</v>
      </c>
      <c r="BL581" s="25">
        <v>198.93</v>
      </c>
      <c r="BM581" s="26">
        <f t="shared" si="221"/>
        <v>211.9</v>
      </c>
      <c r="BN581" s="26">
        <f t="shared" si="222"/>
        <v>210.60399999999998</v>
      </c>
      <c r="BO581" s="26">
        <f t="shared" si="223"/>
        <v>210.63714285714286</v>
      </c>
      <c r="BP581" s="26">
        <f t="shared" si="224"/>
        <v>212.15153846153848</v>
      </c>
      <c r="BQ581" s="26">
        <f t="shared" si="225"/>
        <v>210.99454545454543</v>
      </c>
      <c r="BR581" s="26">
        <f t="shared" si="226"/>
        <v>210.96600000000001</v>
      </c>
      <c r="BS581" s="26">
        <f t="shared" si="227"/>
        <v>210.81284655970208</v>
      </c>
      <c r="BT581" s="26">
        <f t="shared" si="213"/>
        <v>199.01495135275655</v>
      </c>
    </row>
    <row r="582" spans="1:72" x14ac:dyDescent="0.2">
      <c r="A582" s="74"/>
      <c r="B582" s="24">
        <v>44776</v>
      </c>
      <c r="C582" s="25">
        <v>197.8</v>
      </c>
      <c r="D582" s="26">
        <f t="shared" si="229"/>
        <v>198.35</v>
      </c>
      <c r="E582" s="26">
        <f t="shared" si="215"/>
        <v>199.56</v>
      </c>
      <c r="F582" s="26">
        <f t="shared" si="231"/>
        <v>199.93285714285713</v>
      </c>
      <c r="G582" s="26">
        <f t="shared" si="232"/>
        <v>201.5953846153846</v>
      </c>
      <c r="H582" s="26">
        <f t="shared" si="233"/>
        <v>208.74636363636364</v>
      </c>
      <c r="I582" s="26">
        <f t="shared" si="230"/>
        <v>198.73933333333338</v>
      </c>
      <c r="J582" s="26">
        <f t="shared" ref="J582:J610" si="237">C582*$J$3+J581*(1-$J$3)</f>
        <v>198.83938929824339</v>
      </c>
      <c r="K582" s="26">
        <f t="shared" ref="K582:K610" si="238">C582*$K$3+K581*(1-$K$3)</f>
        <v>198.28598054110262</v>
      </c>
      <c r="L582" s="26">
        <f t="shared" si="234"/>
        <v>213.81988959120571</v>
      </c>
      <c r="V582" s="26">
        <f t="shared" si="217"/>
        <v>201.34782846365371</v>
      </c>
      <c r="W582" s="26">
        <f t="shared" si="220"/>
        <v>201.68230387436856</v>
      </c>
      <c r="X582" s="26">
        <f t="shared" si="219"/>
        <v>-0.33447541071484466</v>
      </c>
      <c r="Y582" s="26">
        <f t="shared" si="228"/>
        <v>-0.3268898615579755</v>
      </c>
      <c r="Z582" s="26">
        <v>11484.69</v>
      </c>
      <c r="AA582" s="26">
        <f t="shared" si="235"/>
        <v>217.27026704331678</v>
      </c>
      <c r="AB582" s="27">
        <f t="shared" si="236"/>
        <v>9.8434110431328437E-2</v>
      </c>
      <c r="BK582" s="24">
        <v>44776</v>
      </c>
      <c r="BL582" s="25">
        <v>197.8</v>
      </c>
      <c r="BM582" s="26">
        <f t="shared" si="221"/>
        <v>211.9</v>
      </c>
      <c r="BN582" s="26">
        <f t="shared" si="222"/>
        <v>210.60399999999998</v>
      </c>
      <c r="BO582" s="26">
        <f t="shared" si="223"/>
        <v>210.63714285714286</v>
      </c>
      <c r="BP582" s="26">
        <f t="shared" si="224"/>
        <v>212.15153846153848</v>
      </c>
      <c r="BQ582" s="26">
        <f t="shared" si="225"/>
        <v>210.99454545454543</v>
      </c>
      <c r="BR582" s="26">
        <f t="shared" si="226"/>
        <v>210.96600000000001</v>
      </c>
      <c r="BS582" s="26">
        <f t="shared" si="227"/>
        <v>210.81284655970208</v>
      </c>
      <c r="BT582" s="26">
        <f t="shared" ref="BT582:BT610" si="239">BL582*$K$3+BT581*(1-$K$3)</f>
        <v>198.28598054110262</v>
      </c>
    </row>
    <row r="583" spans="1:72" x14ac:dyDescent="0.2">
      <c r="A583" s="74"/>
      <c r="B583" s="24">
        <v>44777</v>
      </c>
      <c r="C583" s="25">
        <v>200.13</v>
      </c>
      <c r="D583" s="26">
        <f t="shared" si="229"/>
        <v>198.95333333333335</v>
      </c>
      <c r="E583" s="26">
        <f t="shared" si="215"/>
        <v>198.768</v>
      </c>
      <c r="F583" s="26">
        <f t="shared" si="231"/>
        <v>199.89571428571429</v>
      </c>
      <c r="G583" s="26">
        <f t="shared" si="232"/>
        <v>200.9823076923077</v>
      </c>
      <c r="H583" s="26">
        <f t="shared" si="233"/>
        <v>208.41636363636363</v>
      </c>
      <c r="I583" s="26">
        <f t="shared" si="230"/>
        <v>198.92933333333332</v>
      </c>
      <c r="J583" s="26">
        <f t="shared" si="237"/>
        <v>199.35563357894603</v>
      </c>
      <c r="K583" s="26">
        <f t="shared" si="238"/>
        <v>199.39239221644104</v>
      </c>
      <c r="L583" s="26">
        <f t="shared" si="234"/>
        <v>213.80505092920563</v>
      </c>
      <c r="V583" s="26">
        <f t="shared" si="217"/>
        <v>201.16047023847619</v>
      </c>
      <c r="W583" s="26">
        <f t="shared" si="220"/>
        <v>201.25761894782752</v>
      </c>
      <c r="X583" s="26">
        <f t="shared" si="219"/>
        <v>-9.7148709351330353E-2</v>
      </c>
      <c r="Y583" s="26">
        <f t="shared" si="228"/>
        <v>-0.2809416311166465</v>
      </c>
      <c r="Z583" s="26">
        <v>11516.49</v>
      </c>
      <c r="AA583" s="26">
        <f t="shared" si="235"/>
        <v>217.28426760907101</v>
      </c>
      <c r="AB583" s="27">
        <f t="shared" si="236"/>
        <v>8.5715622890476253E-2</v>
      </c>
      <c r="BK583" s="24">
        <v>44777</v>
      </c>
      <c r="BL583" s="25">
        <v>200.13</v>
      </c>
      <c r="BM583" s="26">
        <f t="shared" si="221"/>
        <v>211.9</v>
      </c>
      <c r="BN583" s="26">
        <f t="shared" si="222"/>
        <v>210.60399999999998</v>
      </c>
      <c r="BO583" s="26">
        <f t="shared" si="223"/>
        <v>210.63714285714286</v>
      </c>
      <c r="BP583" s="26">
        <f t="shared" si="224"/>
        <v>212.15153846153848</v>
      </c>
      <c r="BQ583" s="26">
        <f t="shared" si="225"/>
        <v>210.99454545454543</v>
      </c>
      <c r="BR583" s="26">
        <f t="shared" si="226"/>
        <v>210.96600000000001</v>
      </c>
      <c r="BS583" s="26">
        <f t="shared" si="227"/>
        <v>210.81284655970208</v>
      </c>
      <c r="BT583" s="26">
        <f t="shared" si="239"/>
        <v>199.39239221644104</v>
      </c>
    </row>
    <row r="584" spans="1:72" x14ac:dyDescent="0.2">
      <c r="A584" s="74"/>
      <c r="B584" s="24">
        <v>44778</v>
      </c>
      <c r="C584" s="25">
        <v>197.98</v>
      </c>
      <c r="D584" s="26">
        <f t="shared" si="229"/>
        <v>198.63666666666666</v>
      </c>
      <c r="E584" s="26">
        <f t="shared" si="215"/>
        <v>198.63200000000001</v>
      </c>
      <c r="F584" s="26">
        <f t="shared" si="231"/>
        <v>199.41571428571427</v>
      </c>
      <c r="G584" s="26">
        <f t="shared" si="232"/>
        <v>200.55769230769232</v>
      </c>
      <c r="H584" s="26">
        <f t="shared" si="233"/>
        <v>207.93969696969697</v>
      </c>
      <c r="I584" s="26">
        <f t="shared" si="230"/>
        <v>198.66666666666669</v>
      </c>
      <c r="J584" s="26">
        <f t="shared" si="237"/>
        <v>198.8053801473676</v>
      </c>
      <c r="K584" s="26">
        <f t="shared" si="238"/>
        <v>198.54495688657641</v>
      </c>
      <c r="L584" s="26">
        <f t="shared" si="234"/>
        <v>213.79021226720553</v>
      </c>
      <c r="V584" s="26">
        <f t="shared" si="217"/>
        <v>200.67116712486447</v>
      </c>
      <c r="W584" s="26">
        <f t="shared" si="220"/>
        <v>200.9248798504409</v>
      </c>
      <c r="X584" s="26">
        <f t="shared" si="219"/>
        <v>-0.25371272557643465</v>
      </c>
      <c r="Y584" s="26">
        <f t="shared" si="228"/>
        <v>-0.27549585000860416</v>
      </c>
      <c r="Z584" s="26">
        <v>11478.98</v>
      </c>
      <c r="AA584" s="26">
        <f t="shared" si="235"/>
        <v>217.26775310525213</v>
      </c>
      <c r="AB584" s="27">
        <f t="shared" si="236"/>
        <v>9.74227351512887E-2</v>
      </c>
      <c r="BK584" s="24">
        <v>44778</v>
      </c>
      <c r="BL584" s="25">
        <v>197.98</v>
      </c>
      <c r="BM584" s="26">
        <f t="shared" si="221"/>
        <v>211.9</v>
      </c>
      <c r="BN584" s="26">
        <f t="shared" si="222"/>
        <v>210.60399999999998</v>
      </c>
      <c r="BO584" s="26">
        <f t="shared" si="223"/>
        <v>210.63714285714286</v>
      </c>
      <c r="BP584" s="26">
        <f t="shared" si="224"/>
        <v>212.15153846153848</v>
      </c>
      <c r="BQ584" s="26">
        <f t="shared" si="225"/>
        <v>210.99454545454543</v>
      </c>
      <c r="BR584" s="26">
        <f t="shared" si="226"/>
        <v>210.96600000000001</v>
      </c>
      <c r="BS584" s="26">
        <f t="shared" si="227"/>
        <v>210.81284655970208</v>
      </c>
      <c r="BT584" s="26">
        <f t="shared" si="239"/>
        <v>198.54495688657641</v>
      </c>
    </row>
    <row r="585" spans="1:72" x14ac:dyDescent="0.2">
      <c r="A585" s="74"/>
      <c r="B585" s="24">
        <v>44779</v>
      </c>
      <c r="C585" s="25">
        <v>200.73</v>
      </c>
      <c r="D585" s="26">
        <f t="shared" si="229"/>
        <v>199.61333333333334</v>
      </c>
      <c r="E585" s="26">
        <f t="shared" ref="E585:E610" si="240">AVERAGE(C581:C585)</f>
        <v>199.114</v>
      </c>
      <c r="F585" s="26">
        <f t="shared" si="231"/>
        <v>198.93571428571428</v>
      </c>
      <c r="G585" s="26">
        <f t="shared" si="232"/>
        <v>200.40230769230769</v>
      </c>
      <c r="H585" s="26">
        <f t="shared" si="233"/>
        <v>207.59696969696967</v>
      </c>
      <c r="I585" s="26">
        <f t="shared" si="230"/>
        <v>199.36599999999999</v>
      </c>
      <c r="J585" s="26">
        <f t="shared" si="237"/>
        <v>199.57522808842054</v>
      </c>
      <c r="K585" s="26">
        <f t="shared" si="238"/>
        <v>199.85598275463056</v>
      </c>
      <c r="L585" s="26">
        <f t="shared" si="234"/>
        <v>213.77537360520543</v>
      </c>
      <c r="V585" s="26">
        <f t="shared" si="217"/>
        <v>200.68021833642379</v>
      </c>
      <c r="W585" s="26">
        <f t="shared" si="220"/>
        <v>200.67552511561524</v>
      </c>
      <c r="X585" s="26">
        <f t="shared" si="219"/>
        <v>4.6932208085479488E-3</v>
      </c>
      <c r="Y585" s="26">
        <f t="shared" si="228"/>
        <v>-0.21945803584517376</v>
      </c>
      <c r="Z585" s="26">
        <v>11671.66</v>
      </c>
      <c r="AA585" s="26">
        <f t="shared" si="235"/>
        <v>217.35258420618052</v>
      </c>
      <c r="AB585" s="27">
        <f t="shared" si="236"/>
        <v>8.281066211418589E-2</v>
      </c>
      <c r="BK585" s="24">
        <v>44779</v>
      </c>
      <c r="BL585" s="25">
        <v>200.73</v>
      </c>
      <c r="BM585" s="26">
        <f t="shared" si="221"/>
        <v>211.9</v>
      </c>
      <c r="BN585" s="26">
        <f t="shared" si="222"/>
        <v>210.60399999999998</v>
      </c>
      <c r="BO585" s="26">
        <f t="shared" si="223"/>
        <v>210.63714285714286</v>
      </c>
      <c r="BP585" s="26">
        <f t="shared" si="224"/>
        <v>212.15153846153848</v>
      </c>
      <c r="BQ585" s="26">
        <f t="shared" si="225"/>
        <v>210.99454545454543</v>
      </c>
      <c r="BR585" s="26">
        <f t="shared" si="226"/>
        <v>210.96600000000001</v>
      </c>
      <c r="BS585" s="26">
        <f t="shared" si="227"/>
        <v>210.81284655970208</v>
      </c>
      <c r="BT585" s="26">
        <f t="shared" si="239"/>
        <v>199.85598275463056</v>
      </c>
    </row>
    <row r="586" spans="1:72" x14ac:dyDescent="0.2">
      <c r="A586" s="74"/>
      <c r="B586" s="24">
        <v>44780</v>
      </c>
      <c r="C586" s="25">
        <v>198.55</v>
      </c>
      <c r="D586" s="26">
        <f t="shared" si="229"/>
        <v>199.08666666666667</v>
      </c>
      <c r="E586" s="26">
        <f t="shared" si="240"/>
        <v>199.03800000000001</v>
      </c>
      <c r="F586" s="26">
        <f t="shared" si="231"/>
        <v>198.92</v>
      </c>
      <c r="G586" s="26">
        <f t="shared" si="232"/>
        <v>200.07000000000002</v>
      </c>
      <c r="H586" s="26">
        <f t="shared" si="233"/>
        <v>207.08515151515149</v>
      </c>
      <c r="I586" s="26">
        <f t="shared" si="230"/>
        <v>199.178</v>
      </c>
      <c r="J586" s="26">
        <f t="shared" si="237"/>
        <v>199.16513685305233</v>
      </c>
      <c r="K586" s="26">
        <f t="shared" si="238"/>
        <v>199.07239310185224</v>
      </c>
      <c r="L586" s="26">
        <f t="shared" si="234"/>
        <v>213.76053494320536</v>
      </c>
      <c r="V586" s="26">
        <f t="shared" si="217"/>
        <v>200.35249243851246</v>
      </c>
      <c r="W586" s="26">
        <f t="shared" si="220"/>
        <v>200.52242438557758</v>
      </c>
      <c r="X586" s="26">
        <f t="shared" si="219"/>
        <v>-0.16993194706512327</v>
      </c>
      <c r="Y586" s="26">
        <f t="shared" si="228"/>
        <v>-0.20955281808916368</v>
      </c>
      <c r="Z586" s="26">
        <v>11713.97</v>
      </c>
      <c r="AA586" s="26">
        <f t="shared" si="235"/>
        <v>217.37121200294345</v>
      </c>
      <c r="AB586" s="27">
        <f t="shared" si="236"/>
        <v>9.4793311523260843E-2</v>
      </c>
      <c r="BK586" s="24">
        <v>44780</v>
      </c>
      <c r="BL586" s="25">
        <v>198.55</v>
      </c>
      <c r="BM586" s="26">
        <f t="shared" si="221"/>
        <v>211.9</v>
      </c>
      <c r="BN586" s="26">
        <f t="shared" si="222"/>
        <v>210.60399999999998</v>
      </c>
      <c r="BO586" s="26">
        <f t="shared" si="223"/>
        <v>210.63714285714286</v>
      </c>
      <c r="BP586" s="26">
        <f t="shared" si="224"/>
        <v>212.15153846153848</v>
      </c>
      <c r="BQ586" s="26">
        <f t="shared" si="225"/>
        <v>210.99454545454543</v>
      </c>
      <c r="BR586" s="26">
        <f t="shared" si="226"/>
        <v>210.96600000000001</v>
      </c>
      <c r="BS586" s="26">
        <f t="shared" si="227"/>
        <v>210.81284655970208</v>
      </c>
      <c r="BT586" s="26">
        <f t="shared" si="239"/>
        <v>199.07239310185224</v>
      </c>
    </row>
    <row r="587" spans="1:72" x14ac:dyDescent="0.2">
      <c r="A587" s="74"/>
      <c r="B587" s="24">
        <v>44781</v>
      </c>
      <c r="C587" s="25">
        <v>196.08</v>
      </c>
      <c r="D587" s="26">
        <f t="shared" si="229"/>
        <v>198.45333333333335</v>
      </c>
      <c r="E587" s="26">
        <f t="shared" si="240"/>
        <v>198.69400000000002</v>
      </c>
      <c r="F587" s="26">
        <f t="shared" si="231"/>
        <v>198.6</v>
      </c>
      <c r="G587" s="26">
        <f t="shared" si="232"/>
        <v>199.60615384615386</v>
      </c>
      <c r="H587" s="26">
        <f t="shared" si="233"/>
        <v>206.53242424242424</v>
      </c>
      <c r="I587" s="26">
        <f t="shared" si="230"/>
        <v>198.19200000000001</v>
      </c>
      <c r="J587" s="26">
        <f t="shared" si="237"/>
        <v>197.93108211183142</v>
      </c>
      <c r="K587" s="26">
        <f t="shared" si="238"/>
        <v>197.2769572407409</v>
      </c>
      <c r="L587" s="26">
        <f t="shared" si="234"/>
        <v>213.74569628120526</v>
      </c>
      <c r="V587" s="26">
        <f t="shared" si="217"/>
        <v>199.69518590951054</v>
      </c>
      <c r="W587" s="26">
        <f t="shared" si="220"/>
        <v>200.03601151714116</v>
      </c>
      <c r="X587" s="26">
        <f t="shared" si="219"/>
        <v>-0.3408256076306202</v>
      </c>
      <c r="Y587" s="26">
        <f t="shared" si="228"/>
        <v>-0.23580737599745499</v>
      </c>
      <c r="Z587" s="26">
        <v>11768.83</v>
      </c>
      <c r="AA587" s="26">
        <f t="shared" si="235"/>
        <v>217.39536518021632</v>
      </c>
      <c r="AB587" s="27">
        <f t="shared" si="236"/>
        <v>0.10870749275916107</v>
      </c>
      <c r="BK587" s="24">
        <v>44781</v>
      </c>
      <c r="BL587" s="25">
        <v>196.08</v>
      </c>
      <c r="BM587" s="26">
        <f t="shared" si="221"/>
        <v>211.9</v>
      </c>
      <c r="BN587" s="26">
        <f t="shared" si="222"/>
        <v>210.60399999999998</v>
      </c>
      <c r="BO587" s="26">
        <f t="shared" si="223"/>
        <v>210.63714285714286</v>
      </c>
      <c r="BP587" s="26">
        <f t="shared" si="224"/>
        <v>212.15153846153848</v>
      </c>
      <c r="BQ587" s="26">
        <f t="shared" si="225"/>
        <v>210.99454545454543</v>
      </c>
      <c r="BR587" s="26">
        <f t="shared" si="226"/>
        <v>210.96600000000001</v>
      </c>
      <c r="BS587" s="26">
        <f t="shared" si="227"/>
        <v>210.81284655970208</v>
      </c>
      <c r="BT587" s="26">
        <f t="shared" si="239"/>
        <v>197.2769572407409</v>
      </c>
    </row>
    <row r="588" spans="1:72" x14ac:dyDescent="0.2">
      <c r="A588" s="74"/>
      <c r="B588" s="24">
        <v>44782</v>
      </c>
      <c r="C588" s="25">
        <v>190.4</v>
      </c>
      <c r="D588" s="26">
        <f t="shared" si="229"/>
        <v>195.01</v>
      </c>
      <c r="E588" s="26">
        <f t="shared" si="240"/>
        <v>196.74799999999999</v>
      </c>
      <c r="F588" s="26">
        <f t="shared" si="231"/>
        <v>197.38142857142859</v>
      </c>
      <c r="G588" s="26">
        <f t="shared" si="232"/>
        <v>198.72307692307692</v>
      </c>
      <c r="H588" s="26">
        <f t="shared" si="233"/>
        <v>205.63969696969696</v>
      </c>
      <c r="I588" s="26">
        <f t="shared" si="230"/>
        <v>195.42733333333337</v>
      </c>
      <c r="J588" s="26">
        <f t="shared" si="237"/>
        <v>194.91864926709886</v>
      </c>
      <c r="K588" s="26">
        <f t="shared" si="238"/>
        <v>193.15078289629636</v>
      </c>
      <c r="L588" s="26">
        <f t="shared" si="234"/>
        <v>213.73085761920515</v>
      </c>
      <c r="V588" s="26">
        <f t="shared" si="217"/>
        <v>198.26515730804738</v>
      </c>
      <c r="W588" s="26">
        <f t="shared" si="220"/>
        <v>199.00665361991716</v>
      </c>
      <c r="X588" s="26">
        <f t="shared" si="219"/>
        <v>-0.74149631186978127</v>
      </c>
      <c r="Y588" s="26">
        <f t="shared" si="228"/>
        <v>-0.33694516317192025</v>
      </c>
      <c r="Z588" s="26">
        <v>11864</v>
      </c>
      <c r="AA588" s="26">
        <f t="shared" si="235"/>
        <v>217.4372656155254</v>
      </c>
      <c r="AB588" s="27">
        <f t="shared" si="236"/>
        <v>0.14200244545969221</v>
      </c>
      <c r="BK588" s="24">
        <v>44782</v>
      </c>
      <c r="BL588" s="25">
        <v>190.4</v>
      </c>
      <c r="BM588" s="26">
        <f t="shared" si="221"/>
        <v>211.9</v>
      </c>
      <c r="BN588" s="26">
        <f t="shared" si="222"/>
        <v>210.60399999999998</v>
      </c>
      <c r="BO588" s="26">
        <f t="shared" si="223"/>
        <v>210.63714285714286</v>
      </c>
      <c r="BP588" s="26">
        <f t="shared" si="224"/>
        <v>212.15153846153848</v>
      </c>
      <c r="BQ588" s="26">
        <f t="shared" si="225"/>
        <v>210.99454545454543</v>
      </c>
      <c r="BR588" s="26">
        <f t="shared" si="226"/>
        <v>210.96600000000001</v>
      </c>
      <c r="BS588" s="26">
        <f t="shared" si="227"/>
        <v>210.81284655970208</v>
      </c>
      <c r="BT588" s="26">
        <f t="shared" si="239"/>
        <v>193.15078289629636</v>
      </c>
    </row>
    <row r="589" spans="1:72" x14ac:dyDescent="0.2">
      <c r="A589" s="74"/>
      <c r="B589" s="24">
        <v>44783</v>
      </c>
      <c r="C589" s="25">
        <v>191.32</v>
      </c>
      <c r="D589" s="26">
        <f t="shared" si="229"/>
        <v>192.6</v>
      </c>
      <c r="E589" s="26">
        <f t="shared" si="240"/>
        <v>195.416</v>
      </c>
      <c r="F589" s="26">
        <f t="shared" si="231"/>
        <v>196.45571428571429</v>
      </c>
      <c r="G589" s="26">
        <f t="shared" si="232"/>
        <v>198.02538461538464</v>
      </c>
      <c r="H589" s="26">
        <f t="shared" si="233"/>
        <v>204.83787878787874</v>
      </c>
      <c r="I589" s="26">
        <f t="shared" si="230"/>
        <v>193.61799999999997</v>
      </c>
      <c r="J589" s="26">
        <f t="shared" si="237"/>
        <v>193.47918956025933</v>
      </c>
      <c r="K589" s="26">
        <f t="shared" si="238"/>
        <v>192.05231315851853</v>
      </c>
      <c r="L589" s="26">
        <f t="shared" si="234"/>
        <v>213.71601895720508</v>
      </c>
      <c r="V589" s="26">
        <f t="shared" si="217"/>
        <v>197.1966715683478</v>
      </c>
      <c r="W589" s="26">
        <f t="shared" si="220"/>
        <v>197.75070121115496</v>
      </c>
      <c r="X589" s="26">
        <f t="shared" si="219"/>
        <v>-0.5540296428071656</v>
      </c>
      <c r="Y589" s="26">
        <f t="shared" si="228"/>
        <v>-0.38036205909896931</v>
      </c>
      <c r="Z589" s="26">
        <v>11167.68</v>
      </c>
      <c r="AA589" s="26">
        <f t="shared" si="235"/>
        <v>217.13069725244429</v>
      </c>
      <c r="AB589" s="27">
        <f t="shared" si="236"/>
        <v>0.13490851585011657</v>
      </c>
      <c r="BK589" s="24">
        <v>44783</v>
      </c>
      <c r="BL589" s="25">
        <v>191.32</v>
      </c>
      <c r="BM589" s="26">
        <f t="shared" si="221"/>
        <v>211.9</v>
      </c>
      <c r="BN589" s="26">
        <f t="shared" si="222"/>
        <v>210.60399999999998</v>
      </c>
      <c r="BO589" s="26">
        <f t="shared" si="223"/>
        <v>210.63714285714286</v>
      </c>
      <c r="BP589" s="26">
        <f t="shared" si="224"/>
        <v>212.15153846153848</v>
      </c>
      <c r="BQ589" s="26">
        <f t="shared" si="225"/>
        <v>210.99454545454543</v>
      </c>
      <c r="BR589" s="26">
        <f t="shared" si="226"/>
        <v>210.96600000000001</v>
      </c>
      <c r="BS589" s="26">
        <f t="shared" si="227"/>
        <v>210.81284655970208</v>
      </c>
      <c r="BT589" s="26">
        <f t="shared" si="239"/>
        <v>192.05231315851853</v>
      </c>
    </row>
    <row r="590" spans="1:72" x14ac:dyDescent="0.2">
      <c r="A590" s="74"/>
      <c r="B590" s="24">
        <v>44784</v>
      </c>
      <c r="C590" s="25">
        <v>191.38</v>
      </c>
      <c r="D590" s="26">
        <f t="shared" si="229"/>
        <v>191.03333333333333</v>
      </c>
      <c r="E590" s="26">
        <f t="shared" si="240"/>
        <v>193.54599999999999</v>
      </c>
      <c r="F590" s="26">
        <f t="shared" si="231"/>
        <v>195.20571428571429</v>
      </c>
      <c r="G590" s="26">
        <f t="shared" si="232"/>
        <v>197.25923076923075</v>
      </c>
      <c r="H590" s="26">
        <f t="shared" si="233"/>
        <v>204.02909090909088</v>
      </c>
      <c r="I590" s="26">
        <f t="shared" si="230"/>
        <v>192.27266666666668</v>
      </c>
      <c r="J590" s="26">
        <f t="shared" si="237"/>
        <v>192.63951373615561</v>
      </c>
      <c r="K590" s="26">
        <f t="shared" si="238"/>
        <v>191.64892526340742</v>
      </c>
      <c r="L590" s="26">
        <f t="shared" si="234"/>
        <v>213.70118029520498</v>
      </c>
      <c r="V590" s="26">
        <f t="shared" si="217"/>
        <v>196.3017990193712</v>
      </c>
      <c r="W590" s="26">
        <f t="shared" si="220"/>
        <v>196.76580700772945</v>
      </c>
      <c r="X590" s="26">
        <f t="shared" si="219"/>
        <v>-0.4640079883582473</v>
      </c>
      <c r="Y590" s="26">
        <f t="shared" si="228"/>
        <v>-0.39709124495082493</v>
      </c>
      <c r="Z590" s="26">
        <v>11085.42</v>
      </c>
      <c r="AA590" s="26">
        <f t="shared" si="235"/>
        <v>217.0944806946159</v>
      </c>
      <c r="AB590" s="27">
        <f t="shared" si="236"/>
        <v>0.13436346898639304</v>
      </c>
      <c r="BK590" s="24">
        <v>44784</v>
      </c>
      <c r="BL590" s="25">
        <v>191.38</v>
      </c>
      <c r="BM590" s="26">
        <f t="shared" si="221"/>
        <v>211.9</v>
      </c>
      <c r="BN590" s="26">
        <f t="shared" si="222"/>
        <v>210.60399999999998</v>
      </c>
      <c r="BO590" s="26">
        <f t="shared" si="223"/>
        <v>210.63714285714286</v>
      </c>
      <c r="BP590" s="26">
        <f t="shared" si="224"/>
        <v>212.15153846153848</v>
      </c>
      <c r="BQ590" s="26">
        <f t="shared" si="225"/>
        <v>210.99454545454543</v>
      </c>
      <c r="BR590" s="26">
        <f t="shared" si="226"/>
        <v>210.96600000000001</v>
      </c>
      <c r="BS590" s="26">
        <f t="shared" si="227"/>
        <v>210.81284655970208</v>
      </c>
      <c r="BT590" s="26">
        <f t="shared" si="239"/>
        <v>191.64892526340742</v>
      </c>
    </row>
    <row r="591" spans="1:72" x14ac:dyDescent="0.2">
      <c r="A591" s="74"/>
      <c r="B591" s="24">
        <v>44785</v>
      </c>
      <c r="C591" s="25">
        <v>190.03</v>
      </c>
      <c r="D591" s="26">
        <f t="shared" si="229"/>
        <v>190.91</v>
      </c>
      <c r="E591" s="26">
        <f t="shared" si="240"/>
        <v>191.84199999999998</v>
      </c>
      <c r="F591" s="26">
        <f t="shared" si="231"/>
        <v>194.07</v>
      </c>
      <c r="G591" s="26">
        <f t="shared" si="232"/>
        <v>196.17769230769233</v>
      </c>
      <c r="H591" s="26">
        <f t="shared" si="233"/>
        <v>203.06909090909087</v>
      </c>
      <c r="I591" s="26">
        <f t="shared" si="230"/>
        <v>191.10066666666668</v>
      </c>
      <c r="J591" s="26">
        <f t="shared" si="237"/>
        <v>191.59570824169336</v>
      </c>
      <c r="K591" s="26">
        <f t="shared" si="238"/>
        <v>190.67757010536297</v>
      </c>
      <c r="L591" s="26">
        <f t="shared" si="234"/>
        <v>213.68634163320488</v>
      </c>
      <c r="V591" s="26">
        <f t="shared" si="217"/>
        <v>195.33690686254485</v>
      </c>
      <c r="W591" s="26">
        <f t="shared" si="220"/>
        <v>195.83722131423261</v>
      </c>
      <c r="X591" s="26">
        <f t="shared" si="219"/>
        <v>-0.5003144516877569</v>
      </c>
      <c r="Y591" s="26">
        <f t="shared" si="228"/>
        <v>-0.41773588629821135</v>
      </c>
      <c r="Z591" s="26">
        <v>11117.7</v>
      </c>
      <c r="AA591" s="26">
        <f t="shared" si="235"/>
        <v>217.10869258966454</v>
      </c>
      <c r="AB591" s="27">
        <f t="shared" si="236"/>
        <v>0.14249693516636605</v>
      </c>
      <c r="BK591" s="24">
        <v>44785</v>
      </c>
      <c r="BL591" s="25">
        <v>190.03</v>
      </c>
      <c r="BM591" s="26">
        <f t="shared" si="221"/>
        <v>211.9</v>
      </c>
      <c r="BN591" s="26">
        <f t="shared" si="222"/>
        <v>210.60399999999998</v>
      </c>
      <c r="BO591" s="26">
        <f t="shared" si="223"/>
        <v>210.63714285714286</v>
      </c>
      <c r="BP591" s="26">
        <f t="shared" si="224"/>
        <v>212.15153846153848</v>
      </c>
      <c r="BQ591" s="26">
        <f t="shared" si="225"/>
        <v>210.99454545454543</v>
      </c>
      <c r="BR591" s="26">
        <f t="shared" si="226"/>
        <v>210.96600000000001</v>
      </c>
      <c r="BS591" s="26">
        <f t="shared" si="227"/>
        <v>210.81284655970208</v>
      </c>
      <c r="BT591" s="26">
        <f t="shared" si="239"/>
        <v>190.67757010536297</v>
      </c>
    </row>
    <row r="592" spans="1:72" x14ac:dyDescent="0.2">
      <c r="A592" s="74"/>
      <c r="B592" s="24">
        <v>44786</v>
      </c>
      <c r="C592" s="25">
        <v>189.95</v>
      </c>
      <c r="D592" s="26">
        <f t="shared" si="229"/>
        <v>190.45333333333329</v>
      </c>
      <c r="E592" s="26">
        <f t="shared" si="240"/>
        <v>190.61599999999999</v>
      </c>
      <c r="F592" s="26">
        <f t="shared" si="231"/>
        <v>192.53</v>
      </c>
      <c r="G592" s="26">
        <f t="shared" si="232"/>
        <v>195.50769230769231</v>
      </c>
      <c r="H592" s="26">
        <f t="shared" si="233"/>
        <v>202.07151515151511</v>
      </c>
      <c r="I592" s="26">
        <f t="shared" si="230"/>
        <v>190.46999999999997</v>
      </c>
      <c r="J592" s="26">
        <f t="shared" si="237"/>
        <v>190.93742494501601</v>
      </c>
      <c r="K592" s="26">
        <f t="shared" si="238"/>
        <v>190.24102804214516</v>
      </c>
      <c r="L592" s="26">
        <f t="shared" si="234"/>
        <v>213.6715029712048</v>
      </c>
      <c r="V592" s="26">
        <f t="shared" si="217"/>
        <v>194.50815196061487</v>
      </c>
      <c r="W592" s="26">
        <f t="shared" si="220"/>
        <v>194.93787672457856</v>
      </c>
      <c r="X592" s="26">
        <f t="shared" si="219"/>
        <v>-0.42972476396369075</v>
      </c>
      <c r="Y592" s="26">
        <f t="shared" si="228"/>
        <v>-0.42013366183130729</v>
      </c>
      <c r="Z592" s="26">
        <v>10913.73</v>
      </c>
      <c r="AA592" s="26">
        <f t="shared" si="235"/>
        <v>217.01889084762402</v>
      </c>
      <c r="AB592" s="27">
        <f t="shared" si="236"/>
        <v>0.14250534797380382</v>
      </c>
      <c r="BK592" s="24">
        <v>44786</v>
      </c>
      <c r="BL592" s="25">
        <v>189.95</v>
      </c>
      <c r="BM592" s="26">
        <f t="shared" si="221"/>
        <v>211.9</v>
      </c>
      <c r="BN592" s="26">
        <f t="shared" si="222"/>
        <v>210.60399999999998</v>
      </c>
      <c r="BO592" s="26">
        <f t="shared" si="223"/>
        <v>210.63714285714286</v>
      </c>
      <c r="BP592" s="26">
        <f t="shared" si="224"/>
        <v>212.15153846153848</v>
      </c>
      <c r="BQ592" s="26">
        <f t="shared" si="225"/>
        <v>210.99454545454543</v>
      </c>
      <c r="BR592" s="26">
        <f t="shared" si="226"/>
        <v>210.96600000000001</v>
      </c>
      <c r="BS592" s="26">
        <f t="shared" si="227"/>
        <v>210.81284655970208</v>
      </c>
      <c r="BT592" s="26">
        <f t="shared" si="239"/>
        <v>190.24102804214516</v>
      </c>
    </row>
    <row r="593" spans="1:72" x14ac:dyDescent="0.2">
      <c r="A593" s="74"/>
      <c r="B593" s="24">
        <v>44787</v>
      </c>
      <c r="C593" s="25">
        <v>191.7</v>
      </c>
      <c r="D593" s="26">
        <f t="shared" si="229"/>
        <v>190.56000000000003</v>
      </c>
      <c r="E593" s="26">
        <f t="shared" si="240"/>
        <v>190.87600000000003</v>
      </c>
      <c r="F593" s="26">
        <f t="shared" si="231"/>
        <v>191.55142857142854</v>
      </c>
      <c r="G593" s="26">
        <f t="shared" si="232"/>
        <v>194.99846153846153</v>
      </c>
      <c r="H593" s="26">
        <f t="shared" si="233"/>
        <v>201.21090909090904</v>
      </c>
      <c r="I593" s="26">
        <f t="shared" si="230"/>
        <v>190.83133333333333</v>
      </c>
      <c r="J593" s="26">
        <f t="shared" si="237"/>
        <v>191.24245496700959</v>
      </c>
      <c r="K593" s="26">
        <f t="shared" si="238"/>
        <v>191.11641121685807</v>
      </c>
      <c r="L593" s="26">
        <f t="shared" si="234"/>
        <v>213.6566643092047</v>
      </c>
      <c r="V593" s="26">
        <f t="shared" ref="V593:V610" si="241">C593*(2/(12+1))+V592*(1-(2/(12+1)))</f>
        <v>194.07612858205874</v>
      </c>
      <c r="W593" s="26">
        <f t="shared" si="220"/>
        <v>194.30014070427302</v>
      </c>
      <c r="X593" s="26">
        <f t="shared" si="219"/>
        <v>-0.22401212221427613</v>
      </c>
      <c r="Y593" s="26">
        <f t="shared" si="228"/>
        <v>-0.38090935390790104</v>
      </c>
      <c r="Z593" s="26">
        <v>10672.43</v>
      </c>
      <c r="AA593" s="26">
        <f t="shared" si="235"/>
        <v>216.91265385025</v>
      </c>
      <c r="AB593" s="27">
        <f t="shared" si="236"/>
        <v>0.13152140766953577</v>
      </c>
      <c r="BK593" s="24">
        <v>44787</v>
      </c>
      <c r="BL593" s="25">
        <v>191.7</v>
      </c>
      <c r="BM593" s="26">
        <f t="shared" si="221"/>
        <v>211.9</v>
      </c>
      <c r="BN593" s="26">
        <f t="shared" si="222"/>
        <v>210.60399999999998</v>
      </c>
      <c r="BO593" s="26">
        <f t="shared" si="223"/>
        <v>210.63714285714286</v>
      </c>
      <c r="BP593" s="26">
        <f t="shared" si="224"/>
        <v>212.15153846153848</v>
      </c>
      <c r="BQ593" s="26">
        <f t="shared" si="225"/>
        <v>210.99454545454543</v>
      </c>
      <c r="BR593" s="26">
        <f t="shared" si="226"/>
        <v>210.96600000000001</v>
      </c>
      <c r="BS593" s="26">
        <f t="shared" si="227"/>
        <v>210.81284655970208</v>
      </c>
      <c r="BT593" s="26">
        <f t="shared" si="239"/>
        <v>191.11641121685807</v>
      </c>
    </row>
    <row r="594" spans="1:72" x14ac:dyDescent="0.2">
      <c r="A594" s="74"/>
      <c r="B594" s="24">
        <v>44788</v>
      </c>
      <c r="C594" s="25">
        <v>191.65</v>
      </c>
      <c r="D594" s="26">
        <f t="shared" si="229"/>
        <v>191.1</v>
      </c>
      <c r="E594" s="26">
        <f t="shared" si="240"/>
        <v>190.94199999999998</v>
      </c>
      <c r="F594" s="26">
        <f t="shared" si="231"/>
        <v>190.91857142857143</v>
      </c>
      <c r="G594" s="26">
        <f t="shared" si="232"/>
        <v>194.43846153846152</v>
      </c>
      <c r="H594" s="26">
        <f t="shared" si="233"/>
        <v>200.26090909090902</v>
      </c>
      <c r="I594" s="26">
        <f t="shared" si="230"/>
        <v>191.08933333333331</v>
      </c>
      <c r="J594" s="26">
        <f t="shared" si="237"/>
        <v>191.40547298020576</v>
      </c>
      <c r="K594" s="26">
        <f t="shared" si="238"/>
        <v>191.43656448674324</v>
      </c>
      <c r="L594" s="26">
        <f t="shared" si="234"/>
        <v>213.6418256472046</v>
      </c>
      <c r="V594" s="26">
        <f t="shared" si="241"/>
        <v>193.70287803097278</v>
      </c>
      <c r="W594" s="26">
        <f t="shared" si="220"/>
        <v>193.89641535375807</v>
      </c>
      <c r="X594" s="26">
        <f t="shared" si="219"/>
        <v>-0.19353732278528923</v>
      </c>
      <c r="Y594" s="26">
        <f t="shared" si="228"/>
        <v>-0.34343494768337873</v>
      </c>
      <c r="Z594" s="26">
        <v>10633.15</v>
      </c>
      <c r="AA594" s="26">
        <f t="shared" si="235"/>
        <v>216.89536006965798</v>
      </c>
      <c r="AB594" s="27">
        <f t="shared" si="236"/>
        <v>0.13172637657009117</v>
      </c>
      <c r="BK594" s="24">
        <v>44788</v>
      </c>
      <c r="BL594" s="25">
        <v>191.65</v>
      </c>
      <c r="BM594" s="26">
        <f t="shared" si="221"/>
        <v>211.9</v>
      </c>
      <c r="BN594" s="26">
        <f t="shared" si="222"/>
        <v>210.60399999999998</v>
      </c>
      <c r="BO594" s="26">
        <f t="shared" si="223"/>
        <v>210.63714285714286</v>
      </c>
      <c r="BP594" s="26">
        <f t="shared" si="224"/>
        <v>212.15153846153848</v>
      </c>
      <c r="BQ594" s="26">
        <f t="shared" si="225"/>
        <v>210.99454545454543</v>
      </c>
      <c r="BR594" s="26">
        <f t="shared" si="226"/>
        <v>210.96600000000001</v>
      </c>
      <c r="BS594" s="26">
        <f t="shared" si="227"/>
        <v>210.81284655970208</v>
      </c>
      <c r="BT594" s="26">
        <f t="shared" si="239"/>
        <v>191.43656448674324</v>
      </c>
    </row>
    <row r="595" spans="1:72" x14ac:dyDescent="0.2">
      <c r="A595" s="74"/>
      <c r="B595" s="24">
        <v>44789</v>
      </c>
      <c r="C595" s="25">
        <v>195.15</v>
      </c>
      <c r="D595" s="26">
        <f t="shared" si="229"/>
        <v>192.83333333333334</v>
      </c>
      <c r="E595" s="26">
        <f t="shared" si="240"/>
        <v>191.696</v>
      </c>
      <c r="F595" s="26">
        <f t="shared" si="231"/>
        <v>191.5971428571429</v>
      </c>
      <c r="G595" s="26">
        <f t="shared" si="232"/>
        <v>194.23461538461541</v>
      </c>
      <c r="H595" s="26">
        <f t="shared" si="233"/>
        <v>199.82242424242418</v>
      </c>
      <c r="I595" s="26">
        <f t="shared" si="230"/>
        <v>192.49200000000002</v>
      </c>
      <c r="J595" s="26">
        <f t="shared" si="237"/>
        <v>192.90328378812347</v>
      </c>
      <c r="K595" s="26">
        <f t="shared" si="238"/>
        <v>193.66462579469732</v>
      </c>
      <c r="L595" s="26">
        <f t="shared" si="234"/>
        <v>213.62698698520452</v>
      </c>
      <c r="V595" s="26">
        <f t="shared" si="241"/>
        <v>193.92551218005389</v>
      </c>
      <c r="W595" s="26">
        <f t="shared" si="220"/>
        <v>193.81007225090073</v>
      </c>
      <c r="X595" s="26">
        <f t="shared" si="219"/>
        <v>0.11543992915315471</v>
      </c>
      <c r="Y595" s="26">
        <f t="shared" si="228"/>
        <v>-0.25165997231607207</v>
      </c>
      <c r="Z595" s="26">
        <v>10963.77</v>
      </c>
      <c r="AA595" s="26">
        <f t="shared" si="235"/>
        <v>217.04092192656557</v>
      </c>
      <c r="AB595" s="27">
        <f t="shared" si="236"/>
        <v>0.11217484973899855</v>
      </c>
      <c r="BK595" s="24">
        <v>44789</v>
      </c>
      <c r="BL595" s="25">
        <v>195.15</v>
      </c>
      <c r="BM595" s="26">
        <f t="shared" si="221"/>
        <v>211.9</v>
      </c>
      <c r="BN595" s="26">
        <f t="shared" si="222"/>
        <v>210.60399999999998</v>
      </c>
      <c r="BO595" s="26">
        <f t="shared" si="223"/>
        <v>210.63714285714286</v>
      </c>
      <c r="BP595" s="26">
        <f t="shared" si="224"/>
        <v>212.15153846153848</v>
      </c>
      <c r="BQ595" s="26">
        <f t="shared" si="225"/>
        <v>210.99454545454543</v>
      </c>
      <c r="BR595" s="26">
        <f t="shared" si="226"/>
        <v>210.96600000000001</v>
      </c>
      <c r="BS595" s="26">
        <f t="shared" si="227"/>
        <v>210.81284655970208</v>
      </c>
      <c r="BT595" s="26">
        <f t="shared" si="239"/>
        <v>193.66462579469732</v>
      </c>
    </row>
    <row r="596" spans="1:72" x14ac:dyDescent="0.2">
      <c r="A596" s="74"/>
      <c r="B596" s="24">
        <v>44790</v>
      </c>
      <c r="C596" s="25">
        <v>191.86</v>
      </c>
      <c r="D596" s="26">
        <f t="shared" si="229"/>
        <v>192.88666666666668</v>
      </c>
      <c r="E596" s="26">
        <f t="shared" si="240"/>
        <v>192.06199999999998</v>
      </c>
      <c r="F596" s="26">
        <f t="shared" si="231"/>
        <v>191.67428571428567</v>
      </c>
      <c r="G596" s="26">
        <f t="shared" si="232"/>
        <v>193.59846153846155</v>
      </c>
      <c r="H596" s="26">
        <f t="shared" si="233"/>
        <v>199.2836363636363</v>
      </c>
      <c r="I596" s="26">
        <f t="shared" si="230"/>
        <v>192.54666666666668</v>
      </c>
      <c r="J596" s="26">
        <f t="shared" si="237"/>
        <v>192.48597027287411</v>
      </c>
      <c r="K596" s="26">
        <f t="shared" si="238"/>
        <v>192.58185031787895</v>
      </c>
      <c r="L596" s="26">
        <f t="shared" si="234"/>
        <v>213.61214832320442</v>
      </c>
      <c r="V596" s="26">
        <f t="shared" si="241"/>
        <v>193.60774107543023</v>
      </c>
      <c r="W596" s="26">
        <f t="shared" si="220"/>
        <v>193.77251127782768</v>
      </c>
      <c r="X596" s="26">
        <f t="shared" si="219"/>
        <v>-0.16477020239744888</v>
      </c>
      <c r="Y596" s="26">
        <f t="shared" si="228"/>
        <v>-0.23428201833234744</v>
      </c>
      <c r="Z596" s="26">
        <v>10778.94</v>
      </c>
      <c r="AA596" s="26">
        <f t="shared" si="235"/>
        <v>216.95954694013938</v>
      </c>
      <c r="AB596" s="27">
        <f t="shared" si="236"/>
        <v>0.13082219816605525</v>
      </c>
      <c r="BK596" s="24">
        <v>44790</v>
      </c>
      <c r="BL596" s="25">
        <v>191.86</v>
      </c>
      <c r="BM596" s="26">
        <f t="shared" si="221"/>
        <v>211.9</v>
      </c>
      <c r="BN596" s="26">
        <f t="shared" si="222"/>
        <v>210.60399999999998</v>
      </c>
      <c r="BO596" s="26">
        <f t="shared" si="223"/>
        <v>210.63714285714286</v>
      </c>
      <c r="BP596" s="26">
        <f t="shared" si="224"/>
        <v>212.15153846153848</v>
      </c>
      <c r="BQ596" s="26">
        <f t="shared" si="225"/>
        <v>210.99454545454543</v>
      </c>
      <c r="BR596" s="26">
        <f t="shared" si="226"/>
        <v>210.96600000000001</v>
      </c>
      <c r="BS596" s="26">
        <f t="shared" si="227"/>
        <v>210.81284655970208</v>
      </c>
      <c r="BT596" s="26">
        <f t="shared" si="239"/>
        <v>192.58185031787895</v>
      </c>
    </row>
    <row r="597" spans="1:72" x14ac:dyDescent="0.2">
      <c r="A597" s="74"/>
      <c r="B597" s="24">
        <v>44791</v>
      </c>
      <c r="C597" s="25">
        <v>192.77</v>
      </c>
      <c r="D597" s="26">
        <f t="shared" si="229"/>
        <v>193.26</v>
      </c>
      <c r="E597" s="26">
        <f t="shared" si="240"/>
        <v>192.626</v>
      </c>
      <c r="F597" s="26">
        <f t="shared" si="231"/>
        <v>191.87285714285716</v>
      </c>
      <c r="G597" s="26">
        <f t="shared" si="232"/>
        <v>193.19769230769231</v>
      </c>
      <c r="H597" s="26">
        <f t="shared" si="233"/>
        <v>198.76757575757574</v>
      </c>
      <c r="I597" s="26">
        <f t="shared" si="230"/>
        <v>192.78266666666664</v>
      </c>
      <c r="J597" s="26">
        <f t="shared" si="237"/>
        <v>192.59958216372445</v>
      </c>
      <c r="K597" s="26">
        <f t="shared" si="238"/>
        <v>192.69474012715159</v>
      </c>
      <c r="L597" s="26">
        <f t="shared" si="234"/>
        <v>213.59730966120432</v>
      </c>
      <c r="V597" s="26">
        <f t="shared" si="241"/>
        <v>193.47885783305634</v>
      </c>
      <c r="W597" s="26">
        <f t="shared" si="220"/>
        <v>193.54568618095391</v>
      </c>
      <c r="X597" s="26">
        <f t="shared" si="219"/>
        <v>-6.6828347897569529E-2</v>
      </c>
      <c r="Y597" s="26">
        <f t="shared" si="228"/>
        <v>-0.20079128424539186</v>
      </c>
      <c r="Z597" s="26">
        <v>10793.28</v>
      </c>
      <c r="AA597" s="26">
        <f t="shared" si="235"/>
        <v>216.96586040280968</v>
      </c>
      <c r="AB597" s="27">
        <f t="shared" si="236"/>
        <v>0.12551673187119194</v>
      </c>
      <c r="BK597" s="24">
        <v>44791</v>
      </c>
      <c r="BL597" s="25">
        <v>192.77</v>
      </c>
      <c r="BM597" s="26">
        <f t="shared" si="221"/>
        <v>211.9</v>
      </c>
      <c r="BN597" s="26">
        <f t="shared" si="222"/>
        <v>210.60399999999998</v>
      </c>
      <c r="BO597" s="26">
        <f t="shared" si="223"/>
        <v>210.63714285714286</v>
      </c>
      <c r="BP597" s="26">
        <f t="shared" si="224"/>
        <v>212.15153846153848</v>
      </c>
      <c r="BQ597" s="26">
        <f t="shared" si="225"/>
        <v>210.99454545454543</v>
      </c>
      <c r="BR597" s="26">
        <f t="shared" si="226"/>
        <v>210.96600000000001</v>
      </c>
      <c r="BS597" s="26">
        <f t="shared" si="227"/>
        <v>210.81284655970208</v>
      </c>
      <c r="BT597" s="26">
        <f t="shared" si="239"/>
        <v>192.69474012715159</v>
      </c>
    </row>
    <row r="598" spans="1:72" x14ac:dyDescent="0.2">
      <c r="A598" s="74"/>
      <c r="B598" s="24">
        <v>44792</v>
      </c>
      <c r="C598" s="25">
        <v>188.48</v>
      </c>
      <c r="D598" s="26">
        <f t="shared" si="229"/>
        <v>191.03666666666666</v>
      </c>
      <c r="E598" s="26">
        <f t="shared" si="240"/>
        <v>191.98200000000003</v>
      </c>
      <c r="F598" s="26">
        <f t="shared" si="231"/>
        <v>191.65142857142857</v>
      </c>
      <c r="G598" s="26">
        <f t="shared" si="232"/>
        <v>192.25538461538463</v>
      </c>
      <c r="H598" s="26">
        <f t="shared" si="233"/>
        <v>198.16424242424236</v>
      </c>
      <c r="I598" s="26">
        <f t="shared" si="230"/>
        <v>191.40066666666669</v>
      </c>
      <c r="J598" s="26">
        <f t="shared" si="237"/>
        <v>190.95174929823466</v>
      </c>
      <c r="K598" s="26">
        <f t="shared" si="238"/>
        <v>190.16589605086062</v>
      </c>
      <c r="L598" s="26">
        <f t="shared" si="234"/>
        <v>213.58247099920425</v>
      </c>
      <c r="V598" s="26">
        <f t="shared" si="241"/>
        <v>192.7098027818169</v>
      </c>
      <c r="W598" s="26">
        <f t="shared" si="220"/>
        <v>193.10857206764476</v>
      </c>
      <c r="X598" s="26">
        <f t="shared" si="219"/>
        <v>-0.39876928582785354</v>
      </c>
      <c r="Y598" s="26">
        <f t="shared" si="228"/>
        <v>-0.2403868845618842</v>
      </c>
      <c r="Z598" s="26">
        <v>10910.28</v>
      </c>
      <c r="AA598" s="26">
        <f t="shared" si="235"/>
        <v>217.01737191832049</v>
      </c>
      <c r="AB598" s="27">
        <f t="shared" si="236"/>
        <v>0.15140795797071574</v>
      </c>
      <c r="BK598" s="24">
        <v>44792</v>
      </c>
      <c r="BL598" s="25">
        <v>188.48</v>
      </c>
      <c r="BM598" s="26">
        <f t="shared" si="221"/>
        <v>211.9</v>
      </c>
      <c r="BN598" s="26">
        <f t="shared" si="222"/>
        <v>210.60399999999998</v>
      </c>
      <c r="BO598" s="26">
        <f t="shared" si="223"/>
        <v>210.63714285714286</v>
      </c>
      <c r="BP598" s="26">
        <f t="shared" si="224"/>
        <v>212.15153846153848</v>
      </c>
      <c r="BQ598" s="26">
        <f t="shared" si="225"/>
        <v>210.99454545454543</v>
      </c>
      <c r="BR598" s="26">
        <f t="shared" si="226"/>
        <v>210.96600000000001</v>
      </c>
      <c r="BS598" s="26">
        <f t="shared" si="227"/>
        <v>210.81284655970208</v>
      </c>
      <c r="BT598" s="26">
        <f t="shared" si="239"/>
        <v>190.16589605086062</v>
      </c>
    </row>
    <row r="599" spans="1:72" x14ac:dyDescent="0.2">
      <c r="A599" s="74"/>
      <c r="B599" s="24">
        <v>44793</v>
      </c>
      <c r="C599" s="25">
        <v>188.92</v>
      </c>
      <c r="D599" s="26">
        <f t="shared" si="229"/>
        <v>190.05666666666664</v>
      </c>
      <c r="E599" s="26">
        <f t="shared" si="240"/>
        <v>191.43599999999998</v>
      </c>
      <c r="F599" s="26">
        <f t="shared" si="231"/>
        <v>191.50428571428571</v>
      </c>
      <c r="G599" s="26">
        <f t="shared" si="232"/>
        <v>191.51461538461538</v>
      </c>
      <c r="H599" s="26">
        <f t="shared" si="233"/>
        <v>197.67636363636359</v>
      </c>
      <c r="I599" s="26">
        <f t="shared" si="230"/>
        <v>190.38000000000002</v>
      </c>
      <c r="J599" s="26">
        <f t="shared" si="237"/>
        <v>190.13904957894079</v>
      </c>
      <c r="K599" s="26">
        <f t="shared" si="238"/>
        <v>189.41835842034425</v>
      </c>
      <c r="L599" s="26">
        <f t="shared" si="234"/>
        <v>213.56763233720415</v>
      </c>
      <c r="V599" s="26">
        <f t="shared" si="241"/>
        <v>192.12675619999894</v>
      </c>
      <c r="W599" s="26">
        <f t="shared" si="220"/>
        <v>192.42907664983045</v>
      </c>
      <c r="X599" s="26">
        <f t="shared" si="219"/>
        <v>-0.30232044983151241</v>
      </c>
      <c r="Y599" s="26">
        <f t="shared" si="228"/>
        <v>-0.25277359761580986</v>
      </c>
      <c r="Z599" s="26">
        <v>11050.47</v>
      </c>
      <c r="AA599" s="26">
        <f t="shared" si="235"/>
        <v>217.07909328036718</v>
      </c>
      <c r="AB599" s="27">
        <f t="shared" si="236"/>
        <v>0.14905300275443145</v>
      </c>
      <c r="BK599" s="24">
        <v>44793</v>
      </c>
      <c r="BL599" s="25">
        <v>188.92</v>
      </c>
      <c r="BM599" s="26">
        <f t="shared" si="221"/>
        <v>211.9</v>
      </c>
      <c r="BN599" s="26">
        <f t="shared" si="222"/>
        <v>210.60399999999998</v>
      </c>
      <c r="BO599" s="26">
        <f t="shared" si="223"/>
        <v>210.63714285714286</v>
      </c>
      <c r="BP599" s="26">
        <f t="shared" si="224"/>
        <v>212.15153846153848</v>
      </c>
      <c r="BQ599" s="26">
        <f t="shared" si="225"/>
        <v>210.99454545454543</v>
      </c>
      <c r="BR599" s="26">
        <f t="shared" si="226"/>
        <v>210.96600000000001</v>
      </c>
      <c r="BS599" s="26">
        <f t="shared" si="227"/>
        <v>210.81284655970208</v>
      </c>
      <c r="BT599" s="26">
        <f t="shared" si="239"/>
        <v>189.41835842034425</v>
      </c>
    </row>
    <row r="600" spans="1:72" x14ac:dyDescent="0.2">
      <c r="A600" s="74"/>
      <c r="B600" s="24">
        <v>44794</v>
      </c>
      <c r="C600" s="25">
        <v>189.43</v>
      </c>
      <c r="D600" s="26">
        <f t="shared" si="229"/>
        <v>188.9433333333333</v>
      </c>
      <c r="E600" s="26">
        <f t="shared" si="240"/>
        <v>190.292</v>
      </c>
      <c r="F600" s="26">
        <f t="shared" si="231"/>
        <v>191.18000000000004</v>
      </c>
      <c r="G600" s="26">
        <f t="shared" si="232"/>
        <v>191.00307692307692</v>
      </c>
      <c r="H600" s="26">
        <f t="shared" si="233"/>
        <v>197.22818181818178</v>
      </c>
      <c r="I600" s="26">
        <f t="shared" si="230"/>
        <v>189.71133333333333</v>
      </c>
      <c r="J600" s="26">
        <f t="shared" si="237"/>
        <v>189.85542974736447</v>
      </c>
      <c r="K600" s="26">
        <f t="shared" si="238"/>
        <v>189.4253433681377</v>
      </c>
      <c r="L600" s="26">
        <f t="shared" si="234"/>
        <v>213.55279367520404</v>
      </c>
      <c r="V600" s="26">
        <f t="shared" si="241"/>
        <v>191.71187063076835</v>
      </c>
      <c r="W600" s="26">
        <f t="shared" si="220"/>
        <v>191.9269964814805</v>
      </c>
      <c r="X600" s="26">
        <f t="shared" si="219"/>
        <v>-0.2151258507121554</v>
      </c>
      <c r="Y600" s="26">
        <f t="shared" si="228"/>
        <v>-0.245244048235079</v>
      </c>
      <c r="Z600" s="26">
        <v>11190.32</v>
      </c>
      <c r="AA600" s="26">
        <f t="shared" si="235"/>
        <v>217.14066495083031</v>
      </c>
      <c r="AB600" s="27">
        <f t="shared" si="236"/>
        <v>0.14628445837950854</v>
      </c>
      <c r="BK600" s="24">
        <v>44794</v>
      </c>
      <c r="BL600" s="25">
        <v>189.43</v>
      </c>
      <c r="BM600" s="26">
        <f t="shared" si="221"/>
        <v>211.9</v>
      </c>
      <c r="BN600" s="26">
        <f t="shared" si="222"/>
        <v>210.60399999999998</v>
      </c>
      <c r="BO600" s="26">
        <f t="shared" si="223"/>
        <v>210.63714285714286</v>
      </c>
      <c r="BP600" s="26">
        <f t="shared" si="224"/>
        <v>212.15153846153848</v>
      </c>
      <c r="BQ600" s="26">
        <f t="shared" si="225"/>
        <v>210.99454545454543</v>
      </c>
      <c r="BR600" s="26">
        <f t="shared" si="226"/>
        <v>210.96600000000001</v>
      </c>
      <c r="BS600" s="26">
        <f t="shared" si="227"/>
        <v>210.81284655970208</v>
      </c>
      <c r="BT600" s="26">
        <f t="shared" si="239"/>
        <v>189.4253433681377</v>
      </c>
    </row>
    <row r="601" spans="1:72" x14ac:dyDescent="0.2">
      <c r="A601" s="74"/>
      <c r="B601" s="24">
        <v>44795</v>
      </c>
      <c r="C601" s="25">
        <v>189.73</v>
      </c>
      <c r="D601" s="26">
        <f t="shared" si="229"/>
        <v>189.36</v>
      </c>
      <c r="E601" s="26">
        <f t="shared" si="240"/>
        <v>189.86599999999999</v>
      </c>
      <c r="F601" s="26">
        <f t="shared" si="231"/>
        <v>190.90571428571428</v>
      </c>
      <c r="G601" s="26">
        <f t="shared" si="232"/>
        <v>190.95153846153849</v>
      </c>
      <c r="H601" s="26">
        <f t="shared" si="233"/>
        <v>196.66424242424236</v>
      </c>
      <c r="I601" s="26">
        <f t="shared" si="230"/>
        <v>189.524</v>
      </c>
      <c r="J601" s="26">
        <f t="shared" si="237"/>
        <v>189.80525784841868</v>
      </c>
      <c r="K601" s="26">
        <f t="shared" si="238"/>
        <v>189.60813734725508</v>
      </c>
      <c r="L601" s="26">
        <f t="shared" si="234"/>
        <v>213.53795501320397</v>
      </c>
      <c r="V601" s="26">
        <f t="shared" si="241"/>
        <v>191.40696745680398</v>
      </c>
      <c r="W601" s="26">
        <f t="shared" si="220"/>
        <v>191.56506539885956</v>
      </c>
      <c r="X601" s="26">
        <f t="shared" si="219"/>
        <v>-0.15809794205557637</v>
      </c>
      <c r="Y601" s="26">
        <f t="shared" si="228"/>
        <v>-0.22781482699917849</v>
      </c>
      <c r="Z601" s="26">
        <v>11056.65</v>
      </c>
      <c r="AA601" s="26">
        <f t="shared" si="235"/>
        <v>217.08181414503261</v>
      </c>
      <c r="AB601" s="27">
        <f t="shared" si="236"/>
        <v>0.14416177802684141</v>
      </c>
      <c r="BK601" s="24">
        <v>44795</v>
      </c>
      <c r="BL601" s="25">
        <v>189.73</v>
      </c>
      <c r="BM601" s="26">
        <f t="shared" si="221"/>
        <v>211.9</v>
      </c>
      <c r="BN601" s="26">
        <f t="shared" si="222"/>
        <v>210.60399999999998</v>
      </c>
      <c r="BO601" s="26">
        <f t="shared" si="223"/>
        <v>210.63714285714286</v>
      </c>
      <c r="BP601" s="26">
        <f t="shared" si="224"/>
        <v>212.15153846153848</v>
      </c>
      <c r="BQ601" s="26">
        <f t="shared" si="225"/>
        <v>210.99454545454543</v>
      </c>
      <c r="BR601" s="26">
        <f t="shared" si="226"/>
        <v>210.96600000000001</v>
      </c>
      <c r="BS601" s="26">
        <f t="shared" si="227"/>
        <v>210.81284655970208</v>
      </c>
      <c r="BT601" s="26">
        <f t="shared" si="239"/>
        <v>189.60813734725508</v>
      </c>
    </row>
    <row r="602" spans="1:72" x14ac:dyDescent="0.2">
      <c r="A602" s="74"/>
      <c r="B602" s="24">
        <v>44796</v>
      </c>
      <c r="C602" s="25">
        <v>186.46</v>
      </c>
      <c r="D602" s="26">
        <f t="shared" si="229"/>
        <v>188.54</v>
      </c>
      <c r="E602" s="26">
        <f t="shared" si="240"/>
        <v>188.60399999999998</v>
      </c>
      <c r="F602" s="26">
        <f t="shared" si="231"/>
        <v>189.66428571428574</v>
      </c>
      <c r="G602" s="26">
        <f t="shared" si="232"/>
        <v>190.5776923076923</v>
      </c>
      <c r="H602" s="26">
        <f t="shared" si="233"/>
        <v>196.16484848484845</v>
      </c>
      <c r="I602" s="26">
        <f t="shared" si="230"/>
        <v>188.38866666666669</v>
      </c>
      <c r="J602" s="26">
        <f t="shared" si="237"/>
        <v>188.46715470905121</v>
      </c>
      <c r="K602" s="26">
        <f t="shared" si="238"/>
        <v>187.71925493890205</v>
      </c>
      <c r="L602" s="26">
        <f t="shared" si="234"/>
        <v>213.52311635120387</v>
      </c>
      <c r="V602" s="26">
        <f t="shared" si="241"/>
        <v>190.64589554037261</v>
      </c>
      <c r="W602" s="26">
        <f t="shared" si="220"/>
        <v>191.04052542296665</v>
      </c>
      <c r="X602" s="26">
        <f t="shared" si="219"/>
        <v>-0.39462988259404597</v>
      </c>
      <c r="Y602" s="26">
        <f t="shared" si="228"/>
        <v>-0.26117783811815198</v>
      </c>
      <c r="Z602" s="26">
        <v>11775.46</v>
      </c>
      <c r="AA602" s="26">
        <f t="shared" si="235"/>
        <v>217.39828416609527</v>
      </c>
      <c r="AB602" s="27">
        <f t="shared" si="236"/>
        <v>0.1659245101689116</v>
      </c>
      <c r="BK602" s="24">
        <v>44796</v>
      </c>
      <c r="BL602" s="25">
        <v>186.46</v>
      </c>
      <c r="BM602" s="26">
        <f t="shared" si="221"/>
        <v>211.9</v>
      </c>
      <c r="BN602" s="26">
        <f t="shared" si="222"/>
        <v>210.60399999999998</v>
      </c>
      <c r="BO602" s="26">
        <f t="shared" si="223"/>
        <v>210.63714285714286</v>
      </c>
      <c r="BP602" s="26">
        <f t="shared" si="224"/>
        <v>212.15153846153848</v>
      </c>
      <c r="BQ602" s="26">
        <f t="shared" si="225"/>
        <v>210.99454545454543</v>
      </c>
      <c r="BR602" s="26">
        <f t="shared" si="226"/>
        <v>210.96600000000001</v>
      </c>
      <c r="BS602" s="26">
        <f t="shared" si="227"/>
        <v>210.81284655970208</v>
      </c>
      <c r="BT602" s="26">
        <f t="shared" si="239"/>
        <v>187.71925493890205</v>
      </c>
    </row>
    <row r="603" spans="1:72" x14ac:dyDescent="0.2">
      <c r="A603" s="74"/>
      <c r="B603" s="24">
        <v>44797</v>
      </c>
      <c r="C603" s="25">
        <v>190.51</v>
      </c>
      <c r="D603" s="26">
        <f t="shared" si="229"/>
        <v>188.9</v>
      </c>
      <c r="E603" s="26">
        <f t="shared" si="240"/>
        <v>189.01000000000002</v>
      </c>
      <c r="F603" s="26">
        <f t="shared" si="231"/>
        <v>189.47142857142856</v>
      </c>
      <c r="G603" s="26">
        <f t="shared" si="232"/>
        <v>190.51076923076926</v>
      </c>
      <c r="H603" s="26">
        <f t="shared" si="233"/>
        <v>195.63181818181818</v>
      </c>
      <c r="I603" s="26">
        <f t="shared" si="230"/>
        <v>189.024</v>
      </c>
      <c r="J603" s="26">
        <f t="shared" si="237"/>
        <v>189.28429282543073</v>
      </c>
      <c r="K603" s="26">
        <f t="shared" si="238"/>
        <v>189.39370197556082</v>
      </c>
      <c r="L603" s="26">
        <f t="shared" si="234"/>
        <v>213.50827768920377</v>
      </c>
      <c r="V603" s="26">
        <f t="shared" si="241"/>
        <v>190.62498853416142</v>
      </c>
      <c r="W603" s="26">
        <f t="shared" si="220"/>
        <v>190.63582920404869</v>
      </c>
      <c r="X603" s="26">
        <f t="shared" si="219"/>
        <v>-1.0840669887272725E-2</v>
      </c>
      <c r="Y603" s="26">
        <f t="shared" si="228"/>
        <v>-0.21111040447197615</v>
      </c>
      <c r="Z603" s="26">
        <v>11695.63</v>
      </c>
      <c r="AA603" s="26">
        <f t="shared" si="235"/>
        <v>217.36313746281979</v>
      </c>
      <c r="AB603" s="27">
        <f t="shared" si="236"/>
        <v>0.14095395235326127</v>
      </c>
      <c r="BK603" s="24">
        <v>44797</v>
      </c>
      <c r="BL603" s="25">
        <v>190.51</v>
      </c>
      <c r="BM603" s="26">
        <f t="shared" si="221"/>
        <v>211.9</v>
      </c>
      <c r="BN603" s="26">
        <f t="shared" si="222"/>
        <v>210.60399999999998</v>
      </c>
      <c r="BO603" s="26">
        <f t="shared" si="223"/>
        <v>210.63714285714286</v>
      </c>
      <c r="BP603" s="26">
        <f t="shared" si="224"/>
        <v>212.15153846153848</v>
      </c>
      <c r="BQ603" s="26">
        <f t="shared" si="225"/>
        <v>210.99454545454543</v>
      </c>
      <c r="BR603" s="26">
        <f t="shared" si="226"/>
        <v>210.96600000000001</v>
      </c>
      <c r="BS603" s="26">
        <f t="shared" si="227"/>
        <v>210.81284655970208</v>
      </c>
      <c r="BT603" s="26">
        <f t="shared" si="239"/>
        <v>189.39370197556082</v>
      </c>
    </row>
    <row r="604" spans="1:72" x14ac:dyDescent="0.2">
      <c r="A604" s="74"/>
      <c r="B604" s="24">
        <v>44798</v>
      </c>
      <c r="C604" s="25">
        <v>190.02</v>
      </c>
      <c r="D604" s="26">
        <f t="shared" si="229"/>
        <v>188.99666666666667</v>
      </c>
      <c r="E604" s="26">
        <f t="shared" si="240"/>
        <v>189.23</v>
      </c>
      <c r="F604" s="26">
        <f t="shared" si="231"/>
        <v>189.07857142857142</v>
      </c>
      <c r="G604" s="26">
        <f t="shared" si="232"/>
        <v>190.50999999999996</v>
      </c>
      <c r="H604" s="26">
        <f t="shared" si="233"/>
        <v>195.22333333333333</v>
      </c>
      <c r="I604" s="26">
        <f t="shared" si="230"/>
        <v>189.36066666666665</v>
      </c>
      <c r="J604" s="26">
        <f t="shared" si="237"/>
        <v>189.57857569525845</v>
      </c>
      <c r="K604" s="26">
        <f t="shared" si="238"/>
        <v>189.76948079022435</v>
      </c>
      <c r="L604" s="26">
        <f t="shared" si="234"/>
        <v>213.49343902720369</v>
      </c>
      <c r="V604" s="26">
        <f t="shared" si="241"/>
        <v>190.53191337505967</v>
      </c>
      <c r="W604" s="26">
        <f t="shared" si="220"/>
        <v>190.58017456866799</v>
      </c>
      <c r="X604" s="26">
        <f t="shared" si="219"/>
        <v>-4.8261193608311714E-2</v>
      </c>
      <c r="Y604" s="26">
        <f t="shared" si="228"/>
        <v>-0.17854056229924328</v>
      </c>
      <c r="Z604" s="26">
        <v>11625.34</v>
      </c>
      <c r="AA604" s="26">
        <f t="shared" si="235"/>
        <v>217.33219092927061</v>
      </c>
      <c r="AB604" s="27">
        <f t="shared" si="236"/>
        <v>0.14373324349684558</v>
      </c>
      <c r="BK604" s="24">
        <v>44798</v>
      </c>
      <c r="BL604" s="25">
        <v>190.02</v>
      </c>
      <c r="BM604" s="26">
        <f t="shared" si="221"/>
        <v>211.9</v>
      </c>
      <c r="BN604" s="26">
        <f t="shared" si="222"/>
        <v>210.60399999999998</v>
      </c>
      <c r="BO604" s="26">
        <f t="shared" si="223"/>
        <v>210.63714285714286</v>
      </c>
      <c r="BP604" s="26">
        <f t="shared" si="224"/>
        <v>212.15153846153848</v>
      </c>
      <c r="BQ604" s="26">
        <f t="shared" si="225"/>
        <v>210.99454545454543</v>
      </c>
      <c r="BR604" s="26">
        <f t="shared" si="226"/>
        <v>210.96600000000001</v>
      </c>
      <c r="BS604" s="26">
        <f t="shared" si="227"/>
        <v>210.81284655970208</v>
      </c>
      <c r="BT604" s="26">
        <f t="shared" si="239"/>
        <v>189.76948079022435</v>
      </c>
    </row>
    <row r="605" spans="1:72" x14ac:dyDescent="0.2">
      <c r="A605" s="74"/>
      <c r="B605" s="24">
        <v>44799</v>
      </c>
      <c r="C605" s="25">
        <v>189.39</v>
      </c>
      <c r="D605" s="26">
        <f t="shared" si="229"/>
        <v>189.97333333333333</v>
      </c>
      <c r="E605" s="26">
        <f t="shared" si="240"/>
        <v>189.22200000000001</v>
      </c>
      <c r="F605" s="26">
        <f t="shared" si="231"/>
        <v>189.20857142857145</v>
      </c>
      <c r="G605" s="26">
        <f t="shared" si="232"/>
        <v>190.46692307692305</v>
      </c>
      <c r="H605" s="26">
        <f t="shared" si="233"/>
        <v>194.81848484848484</v>
      </c>
      <c r="I605" s="26">
        <f t="shared" si="230"/>
        <v>189.41400000000002</v>
      </c>
      <c r="J605" s="26">
        <f t="shared" si="237"/>
        <v>189.50314541715505</v>
      </c>
      <c r="K605" s="26">
        <f t="shared" si="238"/>
        <v>189.54179231608973</v>
      </c>
      <c r="L605" s="26">
        <f t="shared" si="234"/>
        <v>213.47860036520359</v>
      </c>
      <c r="V605" s="26">
        <f t="shared" si="241"/>
        <v>190.35623439428124</v>
      </c>
      <c r="W605" s="26">
        <f t="shared" si="220"/>
        <v>190.44732719912935</v>
      </c>
      <c r="X605" s="26">
        <f t="shared" si="219"/>
        <v>-9.109280484810256E-2</v>
      </c>
      <c r="Y605" s="26">
        <f t="shared" si="228"/>
        <v>-0.16105101080901515</v>
      </c>
      <c r="Z605" s="26">
        <v>11665.06</v>
      </c>
      <c r="AA605" s="26">
        <f t="shared" si="235"/>
        <v>217.34967842838248</v>
      </c>
      <c r="AB605" s="27">
        <f t="shared" si="236"/>
        <v>0.14763017280945398</v>
      </c>
      <c r="BK605" s="24">
        <v>44799</v>
      </c>
      <c r="BL605" s="25">
        <v>189.39</v>
      </c>
      <c r="BM605" s="26">
        <f t="shared" si="221"/>
        <v>211.9</v>
      </c>
      <c r="BN605" s="26">
        <f t="shared" si="222"/>
        <v>210.60399999999998</v>
      </c>
      <c r="BO605" s="26">
        <f t="shared" si="223"/>
        <v>210.63714285714286</v>
      </c>
      <c r="BP605" s="26">
        <f t="shared" si="224"/>
        <v>212.15153846153848</v>
      </c>
      <c r="BQ605" s="26">
        <f t="shared" si="225"/>
        <v>210.99454545454543</v>
      </c>
      <c r="BR605" s="26">
        <f t="shared" si="226"/>
        <v>210.96600000000001</v>
      </c>
      <c r="BS605" s="26">
        <f t="shared" si="227"/>
        <v>210.81284655970208</v>
      </c>
      <c r="BT605" s="26">
        <f t="shared" si="239"/>
        <v>189.54179231608973</v>
      </c>
    </row>
    <row r="606" spans="1:72" x14ac:dyDescent="0.2">
      <c r="A606" s="74"/>
      <c r="B606" s="24">
        <v>44800</v>
      </c>
      <c r="C606" s="25">
        <v>190.67</v>
      </c>
      <c r="D606" s="26">
        <f t="shared" si="229"/>
        <v>190.02666666666664</v>
      </c>
      <c r="E606" s="26">
        <f t="shared" si="240"/>
        <v>189.41</v>
      </c>
      <c r="F606" s="26">
        <f t="shared" si="231"/>
        <v>189.45857142857145</v>
      </c>
      <c r="G606" s="26">
        <f t="shared" si="232"/>
        <v>190.38769230769233</v>
      </c>
      <c r="H606" s="26">
        <f t="shared" si="233"/>
        <v>194.4487878787879</v>
      </c>
      <c r="I606" s="26">
        <f t="shared" si="230"/>
        <v>189.89666666666665</v>
      </c>
      <c r="J606" s="26">
        <f t="shared" si="237"/>
        <v>189.96988725029303</v>
      </c>
      <c r="K606" s="26">
        <f t="shared" si="238"/>
        <v>190.21871692643589</v>
      </c>
      <c r="L606" s="26">
        <f t="shared" si="234"/>
        <v>213.46376170320349</v>
      </c>
      <c r="V606" s="26">
        <f t="shared" si="241"/>
        <v>190.40450602593029</v>
      </c>
      <c r="W606" s="26">
        <f t="shared" si="220"/>
        <v>190.37947629100117</v>
      </c>
      <c r="X606" s="26">
        <f t="shared" ref="X606:X610" si="242">V606-W606</f>
        <v>2.5029734929120195E-2</v>
      </c>
      <c r="Y606" s="26">
        <f t="shared" si="228"/>
        <v>-0.12383486166138807</v>
      </c>
      <c r="Z606" s="26">
        <v>11466.47</v>
      </c>
      <c r="AA606" s="26">
        <f t="shared" si="235"/>
        <v>217.26224533551672</v>
      </c>
      <c r="AB606" s="27">
        <f t="shared" si="236"/>
        <v>0.13946737995236136</v>
      </c>
      <c r="BK606" s="24">
        <v>44800</v>
      </c>
      <c r="BL606" s="25">
        <v>190.67</v>
      </c>
      <c r="BM606" s="26">
        <f t="shared" si="221"/>
        <v>211.9</v>
      </c>
      <c r="BN606" s="26">
        <f t="shared" si="222"/>
        <v>210.60399999999998</v>
      </c>
      <c r="BO606" s="26">
        <f t="shared" si="223"/>
        <v>210.63714285714286</v>
      </c>
      <c r="BP606" s="26">
        <f t="shared" si="224"/>
        <v>212.15153846153848</v>
      </c>
      <c r="BQ606" s="26">
        <f t="shared" si="225"/>
        <v>210.99454545454543</v>
      </c>
      <c r="BR606" s="26">
        <f t="shared" si="226"/>
        <v>210.96600000000001</v>
      </c>
      <c r="BS606" s="26">
        <f t="shared" si="227"/>
        <v>210.81284655970208</v>
      </c>
      <c r="BT606" s="26">
        <f t="shared" si="239"/>
        <v>190.21871692643589</v>
      </c>
    </row>
    <row r="607" spans="1:72" x14ac:dyDescent="0.2">
      <c r="A607" s="74"/>
      <c r="B607" s="24">
        <v>44801</v>
      </c>
      <c r="C607" s="25">
        <v>191.85</v>
      </c>
      <c r="D607" s="26">
        <f t="shared" si="229"/>
        <v>190.63666666666666</v>
      </c>
      <c r="E607" s="26">
        <f t="shared" si="240"/>
        <v>190.488</v>
      </c>
      <c r="F607" s="26">
        <f t="shared" si="231"/>
        <v>189.8042857142857</v>
      </c>
      <c r="G607" s="26">
        <f t="shared" si="232"/>
        <v>190.4030769230769</v>
      </c>
      <c r="H607" s="26">
        <f t="shared" si="233"/>
        <v>194.13787878787883</v>
      </c>
      <c r="I607" s="26">
        <f t="shared" si="230"/>
        <v>190.70999999999998</v>
      </c>
      <c r="J607" s="26">
        <f t="shared" si="237"/>
        <v>190.72193235017582</v>
      </c>
      <c r="K607" s="26">
        <f t="shared" si="238"/>
        <v>191.19748677057436</v>
      </c>
      <c r="L607" s="26">
        <f t="shared" si="234"/>
        <v>213.44892304120341</v>
      </c>
      <c r="V607" s="26">
        <f t="shared" si="241"/>
        <v>190.6268897142487</v>
      </c>
      <c r="W607" s="26">
        <f t="shared" ref="W607:W610" si="243">C607*(2/(26+1))+V606*(1-(2/(26+1)))</f>
        <v>190.51157965363916</v>
      </c>
      <c r="X607" s="26">
        <f t="shared" si="242"/>
        <v>0.11531006060954496</v>
      </c>
      <c r="Y607" s="26">
        <f t="shared" si="228"/>
        <v>-7.6005877207201478E-2</v>
      </c>
      <c r="Z607" s="26">
        <v>11379.72</v>
      </c>
      <c r="AA607" s="26">
        <f t="shared" si="235"/>
        <v>217.22405196824695</v>
      </c>
      <c r="AB607" s="27">
        <f t="shared" si="236"/>
        <v>0.13225984867473006</v>
      </c>
      <c r="BK607" s="24">
        <v>44801</v>
      </c>
      <c r="BL607" s="25">
        <v>191.85</v>
      </c>
      <c r="BM607" s="26">
        <f t="shared" si="221"/>
        <v>211.9</v>
      </c>
      <c r="BN607" s="26">
        <f t="shared" si="222"/>
        <v>210.60399999999998</v>
      </c>
      <c r="BO607" s="26">
        <f t="shared" si="223"/>
        <v>210.63714285714286</v>
      </c>
      <c r="BP607" s="26">
        <f t="shared" si="224"/>
        <v>212.15153846153848</v>
      </c>
      <c r="BQ607" s="26">
        <f t="shared" si="225"/>
        <v>210.99454545454543</v>
      </c>
      <c r="BR607" s="26">
        <f t="shared" si="226"/>
        <v>210.96600000000001</v>
      </c>
      <c r="BS607" s="26">
        <f t="shared" si="227"/>
        <v>210.81284655970208</v>
      </c>
      <c r="BT607" s="26">
        <f t="shared" si="239"/>
        <v>191.19748677057436</v>
      </c>
    </row>
    <row r="608" spans="1:72" x14ac:dyDescent="0.2">
      <c r="A608" s="74"/>
      <c r="B608" s="24">
        <v>44802</v>
      </c>
      <c r="C608" s="25">
        <v>189.97</v>
      </c>
      <c r="D608" s="26">
        <f t="shared" si="229"/>
        <v>190.83</v>
      </c>
      <c r="E608" s="26">
        <f t="shared" si="240"/>
        <v>190.38</v>
      </c>
      <c r="F608" s="26">
        <f t="shared" si="231"/>
        <v>189.83857142857141</v>
      </c>
      <c r="G608" s="26">
        <f t="shared" si="232"/>
        <v>190.00461538461539</v>
      </c>
      <c r="H608" s="26">
        <f t="shared" si="233"/>
        <v>193.77696969696976</v>
      </c>
      <c r="I608" s="26">
        <f t="shared" si="230"/>
        <v>190.53733333333332</v>
      </c>
      <c r="J608" s="26">
        <f t="shared" si="237"/>
        <v>190.42115941010547</v>
      </c>
      <c r="K608" s="26">
        <f t="shared" si="238"/>
        <v>190.46099470822975</v>
      </c>
      <c r="L608" s="26">
        <f t="shared" si="234"/>
        <v>213.43408437920331</v>
      </c>
      <c r="V608" s="26">
        <f t="shared" si="241"/>
        <v>190.52582975821042</v>
      </c>
      <c r="W608" s="26">
        <f t="shared" si="243"/>
        <v>190.57823121689694</v>
      </c>
      <c r="X608" s="26">
        <f t="shared" si="242"/>
        <v>-5.2401458686517799E-2</v>
      </c>
      <c r="Y608" s="26">
        <f t="shared" si="228"/>
        <v>-7.1284993503064747E-2</v>
      </c>
      <c r="Z608" s="26">
        <v>11311.8</v>
      </c>
      <c r="AA608" s="26">
        <f t="shared" si="235"/>
        <v>217.19414887308889</v>
      </c>
      <c r="AB608" s="27">
        <f t="shared" si="236"/>
        <v>0.14330762158808702</v>
      </c>
      <c r="BK608" s="24">
        <v>44802</v>
      </c>
      <c r="BL608" s="25">
        <v>189.97</v>
      </c>
      <c r="BM608" s="26">
        <f t="shared" si="221"/>
        <v>211.9</v>
      </c>
      <c r="BN608" s="26">
        <f t="shared" si="222"/>
        <v>210.60399999999998</v>
      </c>
      <c r="BO608" s="26">
        <f t="shared" si="223"/>
        <v>210.63714285714286</v>
      </c>
      <c r="BP608" s="26">
        <f t="shared" si="224"/>
        <v>212.15153846153848</v>
      </c>
      <c r="BQ608" s="26">
        <f t="shared" si="225"/>
        <v>210.99454545454543</v>
      </c>
      <c r="BR608" s="26">
        <f t="shared" si="226"/>
        <v>210.96600000000001</v>
      </c>
      <c r="BS608" s="26">
        <f t="shared" si="227"/>
        <v>210.81284655970208</v>
      </c>
      <c r="BT608" s="26">
        <f t="shared" si="239"/>
        <v>190.46099470822975</v>
      </c>
    </row>
    <row r="609" spans="1:72" x14ac:dyDescent="0.2">
      <c r="A609" s="74"/>
      <c r="B609" s="24">
        <v>44803</v>
      </c>
      <c r="C609" s="25">
        <v>192.14</v>
      </c>
      <c r="D609" s="26">
        <f t="shared" si="229"/>
        <v>191.32000000000002</v>
      </c>
      <c r="E609" s="26">
        <f t="shared" si="240"/>
        <v>190.804</v>
      </c>
      <c r="F609" s="26">
        <f t="shared" si="231"/>
        <v>190.64999999999995</v>
      </c>
      <c r="G609" s="26">
        <f t="shared" si="232"/>
        <v>190.02615384615382</v>
      </c>
      <c r="H609" s="26">
        <f t="shared" si="233"/>
        <v>193.52696969696976</v>
      </c>
      <c r="I609" s="26">
        <f t="shared" si="230"/>
        <v>191.124</v>
      </c>
      <c r="J609" s="26">
        <f t="shared" si="237"/>
        <v>191.10869564606327</v>
      </c>
      <c r="K609" s="26">
        <f t="shared" si="238"/>
        <v>191.46839788329191</v>
      </c>
      <c r="L609" s="26">
        <f t="shared" si="234"/>
        <v>213.41924571720321</v>
      </c>
      <c r="V609" s="26">
        <f t="shared" si="241"/>
        <v>190.77416364156267</v>
      </c>
      <c r="W609" s="26">
        <f t="shared" si="243"/>
        <v>190.64539792426891</v>
      </c>
      <c r="X609" s="26">
        <f t="shared" si="242"/>
        <v>0.12876571729375996</v>
      </c>
      <c r="Y609" s="26">
        <f t="shared" si="228"/>
        <v>-3.1274851343699804E-2</v>
      </c>
      <c r="Z609" s="26">
        <v>11264.95</v>
      </c>
      <c r="AA609" s="26">
        <f t="shared" si="235"/>
        <v>217.17352225341639</v>
      </c>
      <c r="AB609" s="27">
        <f t="shared" si="236"/>
        <v>0.13028792678992615</v>
      </c>
      <c r="BK609" s="24">
        <v>44803</v>
      </c>
      <c r="BL609" s="25">
        <v>192.14</v>
      </c>
      <c r="BM609" s="26">
        <f t="shared" si="221"/>
        <v>211.9</v>
      </c>
      <c r="BN609" s="26">
        <f t="shared" si="222"/>
        <v>210.60399999999998</v>
      </c>
      <c r="BO609" s="26">
        <f t="shared" si="223"/>
        <v>210.63714285714286</v>
      </c>
      <c r="BP609" s="26">
        <f t="shared" si="224"/>
        <v>212.15153846153848</v>
      </c>
      <c r="BQ609" s="26">
        <f t="shared" si="225"/>
        <v>210.99454545454543</v>
      </c>
      <c r="BR609" s="26">
        <f t="shared" si="226"/>
        <v>210.96600000000001</v>
      </c>
      <c r="BS609" s="26">
        <f t="shared" si="227"/>
        <v>210.81284655970208</v>
      </c>
      <c r="BT609" s="26">
        <f t="shared" si="239"/>
        <v>191.46839788329191</v>
      </c>
    </row>
    <row r="610" spans="1:72" x14ac:dyDescent="0.2">
      <c r="A610" s="74"/>
      <c r="B610" s="24">
        <v>44804</v>
      </c>
      <c r="C610" s="25">
        <v>188.78</v>
      </c>
      <c r="D610" s="26">
        <f t="shared" si="229"/>
        <v>190.29666666666665</v>
      </c>
      <c r="E610" s="26">
        <f t="shared" si="240"/>
        <v>190.68199999999999</v>
      </c>
      <c r="F610" s="26">
        <f t="shared" si="231"/>
        <v>190.40285714285713</v>
      </c>
      <c r="G610" s="26">
        <f t="shared" si="232"/>
        <v>189.71923076923076</v>
      </c>
      <c r="H610" s="26">
        <f t="shared" si="233"/>
        <v>193.1463636363637</v>
      </c>
      <c r="I610" s="26">
        <f t="shared" si="230"/>
        <v>190.44933333333333</v>
      </c>
      <c r="J610" s="26">
        <f t="shared" si="237"/>
        <v>190.17721738763794</v>
      </c>
      <c r="K610" s="26">
        <f t="shared" si="238"/>
        <v>189.85535915331678</v>
      </c>
      <c r="L610" s="26">
        <f t="shared" si="234"/>
        <v>213.40440705520314</v>
      </c>
      <c r="V610" s="26">
        <f t="shared" si="241"/>
        <v>190.46736923516841</v>
      </c>
      <c r="W610" s="26">
        <f t="shared" si="243"/>
        <v>190.62644781626173</v>
      </c>
      <c r="X610" s="26">
        <f t="shared" si="242"/>
        <v>-0.15907858109332551</v>
      </c>
      <c r="Y610" s="26">
        <f t="shared" si="228"/>
        <v>-5.6835597293624945E-2</v>
      </c>
      <c r="Z610" s="26">
        <v>11146.46</v>
      </c>
      <c r="AA610" s="26">
        <f t="shared" si="235"/>
        <v>217.1213547365542</v>
      </c>
      <c r="AB610" s="27">
        <f t="shared" si="236"/>
        <v>0.15012901121175015</v>
      </c>
      <c r="BK610" s="24">
        <v>44804</v>
      </c>
      <c r="BL610" s="25">
        <v>188.78</v>
      </c>
      <c r="BM610" s="26">
        <f t="shared" si="221"/>
        <v>211.9</v>
      </c>
      <c r="BN610" s="26">
        <f t="shared" si="222"/>
        <v>210.60399999999998</v>
      </c>
      <c r="BO610" s="26">
        <f t="shared" si="223"/>
        <v>210.63714285714286</v>
      </c>
      <c r="BP610" s="26">
        <f t="shared" si="224"/>
        <v>212.15153846153848</v>
      </c>
      <c r="BQ610" s="26">
        <f t="shared" si="225"/>
        <v>210.99454545454543</v>
      </c>
      <c r="BR610" s="26">
        <f t="shared" si="226"/>
        <v>210.96600000000001</v>
      </c>
      <c r="BS610" s="26">
        <f t="shared" si="227"/>
        <v>210.81284655970208</v>
      </c>
      <c r="BT610" s="26">
        <f t="shared" si="239"/>
        <v>189.85535915331678</v>
      </c>
    </row>
    <row r="612" spans="1:72" x14ac:dyDescent="0.2">
      <c r="A612" s="41">
        <v>2</v>
      </c>
    </row>
    <row r="613" spans="1:72" x14ac:dyDescent="0.2">
      <c r="A613" s="41">
        <v>3</v>
      </c>
    </row>
    <row r="614" spans="1:72" x14ac:dyDescent="0.2">
      <c r="A614" s="41">
        <v>4</v>
      </c>
    </row>
    <row r="615" spans="1:72" x14ac:dyDescent="0.2">
      <c r="A615" s="41">
        <v>5</v>
      </c>
    </row>
    <row r="616" spans="1:72" x14ac:dyDescent="0.2">
      <c r="A616" s="41">
        <v>6</v>
      </c>
    </row>
    <row r="617" spans="1:72" x14ac:dyDescent="0.2">
      <c r="A617" s="41">
        <v>7</v>
      </c>
    </row>
    <row r="618" spans="1:72" x14ac:dyDescent="0.2">
      <c r="A618" s="41">
        <v>8</v>
      </c>
    </row>
    <row r="619" spans="1:72" x14ac:dyDescent="0.2">
      <c r="A619" s="41">
        <v>9</v>
      </c>
    </row>
    <row r="620" spans="1:72" x14ac:dyDescent="0.2">
      <c r="A620" s="41">
        <v>10</v>
      </c>
    </row>
    <row r="621" spans="1:72" x14ac:dyDescent="0.2">
      <c r="A621" s="41">
        <v>11</v>
      </c>
    </row>
    <row r="622" spans="1:72" x14ac:dyDescent="0.2">
      <c r="A622" s="41">
        <v>12</v>
      </c>
    </row>
    <row r="623" spans="1:72" x14ac:dyDescent="0.2">
      <c r="A623" s="41">
        <v>13</v>
      </c>
    </row>
    <row r="624" spans="1:72" x14ac:dyDescent="0.2">
      <c r="A624" s="41">
        <v>14</v>
      </c>
    </row>
    <row r="625" spans="1:1" x14ac:dyDescent="0.2">
      <c r="A625" s="41">
        <v>15</v>
      </c>
    </row>
    <row r="626" spans="1:1" x14ac:dyDescent="0.2">
      <c r="A626" s="41">
        <v>16</v>
      </c>
    </row>
    <row r="627" spans="1:1" x14ac:dyDescent="0.2">
      <c r="A627" s="41">
        <v>17</v>
      </c>
    </row>
    <row r="628" spans="1:1" x14ac:dyDescent="0.2">
      <c r="A628" s="41">
        <v>18</v>
      </c>
    </row>
    <row r="629" spans="1:1" x14ac:dyDescent="0.2">
      <c r="A629" s="41">
        <v>19</v>
      </c>
    </row>
    <row r="630" spans="1:1" x14ac:dyDescent="0.2">
      <c r="A630" s="41">
        <v>20</v>
      </c>
    </row>
    <row r="631" spans="1:1" x14ac:dyDescent="0.2">
      <c r="A631" s="41">
        <v>21</v>
      </c>
    </row>
    <row r="632" spans="1:1" x14ac:dyDescent="0.2">
      <c r="A632" s="41">
        <v>22</v>
      </c>
    </row>
    <row r="633" spans="1:1" x14ac:dyDescent="0.2">
      <c r="A633" s="41">
        <v>23</v>
      </c>
    </row>
    <row r="634" spans="1:1" x14ac:dyDescent="0.2">
      <c r="A634" s="41">
        <v>24</v>
      </c>
    </row>
    <row r="635" spans="1:1" x14ac:dyDescent="0.2">
      <c r="A635" s="41">
        <v>25</v>
      </c>
    </row>
    <row r="636" spans="1:1" x14ac:dyDescent="0.2">
      <c r="A636" s="41">
        <v>26</v>
      </c>
    </row>
    <row r="637" spans="1:1" x14ac:dyDescent="0.2">
      <c r="A637" s="41">
        <v>27</v>
      </c>
    </row>
    <row r="638" spans="1:1" x14ac:dyDescent="0.2">
      <c r="A638" s="41">
        <v>28</v>
      </c>
    </row>
    <row r="639" spans="1:1" x14ac:dyDescent="0.2">
      <c r="A639" s="41">
        <v>29</v>
      </c>
    </row>
    <row r="640" spans="1:1" x14ac:dyDescent="0.2">
      <c r="A640" s="41">
        <v>30</v>
      </c>
    </row>
    <row r="641" spans="1:1" x14ac:dyDescent="0.2">
      <c r="A641" s="41">
        <v>31</v>
      </c>
    </row>
    <row r="642" spans="1:1" x14ac:dyDescent="0.2">
      <c r="A642" s="41">
        <v>32</v>
      </c>
    </row>
    <row r="643" spans="1:1" x14ac:dyDescent="0.2">
      <c r="A643" s="41">
        <v>33</v>
      </c>
    </row>
    <row r="644" spans="1:1" x14ac:dyDescent="0.2">
      <c r="A644" s="41">
        <v>34</v>
      </c>
    </row>
    <row r="645" spans="1:1" x14ac:dyDescent="0.2">
      <c r="A645" s="41">
        <v>35</v>
      </c>
    </row>
    <row r="646" spans="1:1" x14ac:dyDescent="0.2">
      <c r="A646" s="41">
        <v>36</v>
      </c>
    </row>
    <row r="647" spans="1:1" x14ac:dyDescent="0.2">
      <c r="A647" s="41">
        <v>37</v>
      </c>
    </row>
    <row r="648" spans="1:1" x14ac:dyDescent="0.2">
      <c r="A648" s="41">
        <v>38</v>
      </c>
    </row>
    <row r="649" spans="1:1" x14ac:dyDescent="0.2">
      <c r="A649" s="41">
        <v>39</v>
      </c>
    </row>
    <row r="650" spans="1:1" x14ac:dyDescent="0.2">
      <c r="A650" s="41">
        <v>40</v>
      </c>
    </row>
    <row r="651" spans="1:1" x14ac:dyDescent="0.2">
      <c r="A651" s="41">
        <v>41</v>
      </c>
    </row>
    <row r="652" spans="1:1" x14ac:dyDescent="0.2">
      <c r="A652" s="41">
        <v>42</v>
      </c>
    </row>
    <row r="653" spans="1:1" x14ac:dyDescent="0.2">
      <c r="A653" s="41">
        <v>43</v>
      </c>
    </row>
    <row r="654" spans="1:1" x14ac:dyDescent="0.2">
      <c r="A654" s="41">
        <v>44</v>
      </c>
    </row>
    <row r="655" spans="1:1" x14ac:dyDescent="0.2">
      <c r="A655" s="41">
        <v>45</v>
      </c>
    </row>
    <row r="656" spans="1:1" x14ac:dyDescent="0.2">
      <c r="A656" s="41">
        <v>46</v>
      </c>
    </row>
    <row r="657" spans="1:1" x14ac:dyDescent="0.2">
      <c r="A657" s="41">
        <v>47</v>
      </c>
    </row>
    <row r="658" spans="1:1" x14ac:dyDescent="0.2">
      <c r="A658" s="41">
        <v>48</v>
      </c>
    </row>
    <row r="659" spans="1:1" x14ac:dyDescent="0.2">
      <c r="A659" s="41">
        <v>49</v>
      </c>
    </row>
    <row r="660" spans="1:1" x14ac:dyDescent="0.2">
      <c r="A660" s="41">
        <v>50</v>
      </c>
    </row>
    <row r="661" spans="1:1" x14ac:dyDescent="0.2">
      <c r="A661" s="41">
        <v>51</v>
      </c>
    </row>
    <row r="662" spans="1:1" x14ac:dyDescent="0.2">
      <c r="A662" s="41">
        <v>52</v>
      </c>
    </row>
    <row r="663" spans="1:1" x14ac:dyDescent="0.2">
      <c r="A663" s="41">
        <v>53</v>
      </c>
    </row>
    <row r="664" spans="1:1" x14ac:dyDescent="0.2">
      <c r="A664" s="41">
        <v>54</v>
      </c>
    </row>
    <row r="665" spans="1:1" x14ac:dyDescent="0.2">
      <c r="A665" s="41">
        <v>55</v>
      </c>
    </row>
    <row r="666" spans="1:1" x14ac:dyDescent="0.2">
      <c r="A666" s="41">
        <v>56</v>
      </c>
    </row>
    <row r="667" spans="1:1" x14ac:dyDescent="0.2">
      <c r="A667" s="41">
        <v>57</v>
      </c>
    </row>
    <row r="668" spans="1:1" x14ac:dyDescent="0.2">
      <c r="A668" s="41">
        <v>58</v>
      </c>
    </row>
    <row r="669" spans="1:1" x14ac:dyDescent="0.2">
      <c r="A669" s="41">
        <v>59</v>
      </c>
    </row>
    <row r="670" spans="1:1" x14ac:dyDescent="0.2">
      <c r="A670" s="41">
        <v>60</v>
      </c>
    </row>
    <row r="671" spans="1:1" x14ac:dyDescent="0.2">
      <c r="A671" s="41">
        <v>61</v>
      </c>
    </row>
    <row r="672" spans="1:1" x14ac:dyDescent="0.2">
      <c r="A672" s="41">
        <v>62</v>
      </c>
    </row>
    <row r="673" spans="1:1" x14ac:dyDescent="0.2">
      <c r="A673" s="41">
        <v>63</v>
      </c>
    </row>
    <row r="674" spans="1:1" x14ac:dyDescent="0.2">
      <c r="A674" s="41">
        <v>64</v>
      </c>
    </row>
    <row r="675" spans="1:1" x14ac:dyDescent="0.2">
      <c r="A675" s="41">
        <v>65</v>
      </c>
    </row>
    <row r="676" spans="1:1" x14ac:dyDescent="0.2">
      <c r="A676" s="41">
        <v>66</v>
      </c>
    </row>
    <row r="677" spans="1:1" x14ac:dyDescent="0.2">
      <c r="A677" s="41">
        <v>67</v>
      </c>
    </row>
    <row r="678" spans="1:1" x14ac:dyDescent="0.2">
      <c r="A678" s="41">
        <v>68</v>
      </c>
    </row>
    <row r="679" spans="1:1" x14ac:dyDescent="0.2">
      <c r="A679" s="41">
        <v>69</v>
      </c>
    </row>
    <row r="680" spans="1:1" x14ac:dyDescent="0.2">
      <c r="A680" s="41">
        <v>70</v>
      </c>
    </row>
    <row r="681" spans="1:1" x14ac:dyDescent="0.2">
      <c r="A681" s="41">
        <v>71</v>
      </c>
    </row>
    <row r="682" spans="1:1" x14ac:dyDescent="0.2">
      <c r="A682" s="41">
        <v>72</v>
      </c>
    </row>
    <row r="683" spans="1:1" x14ac:dyDescent="0.2">
      <c r="A683" s="41">
        <v>73</v>
      </c>
    </row>
    <row r="684" spans="1:1" x14ac:dyDescent="0.2">
      <c r="A684" s="41">
        <v>74</v>
      </c>
    </row>
    <row r="685" spans="1:1" x14ac:dyDescent="0.2">
      <c r="A685" s="41">
        <v>75</v>
      </c>
    </row>
    <row r="686" spans="1:1" x14ac:dyDescent="0.2">
      <c r="A686" s="41">
        <v>76</v>
      </c>
    </row>
    <row r="687" spans="1:1" x14ac:dyDescent="0.2">
      <c r="A687" s="41">
        <v>77</v>
      </c>
    </row>
    <row r="688" spans="1:1" x14ac:dyDescent="0.2">
      <c r="A688" s="41">
        <v>78</v>
      </c>
    </row>
    <row r="689" spans="1:1" x14ac:dyDescent="0.2">
      <c r="A689" s="41">
        <v>79</v>
      </c>
    </row>
    <row r="690" spans="1:1" x14ac:dyDescent="0.2">
      <c r="A690" s="41">
        <v>80</v>
      </c>
    </row>
    <row r="691" spans="1:1" x14ac:dyDescent="0.2">
      <c r="A691" s="41">
        <v>81</v>
      </c>
    </row>
    <row r="692" spans="1:1" x14ac:dyDescent="0.2">
      <c r="A692" s="41">
        <v>82</v>
      </c>
    </row>
    <row r="693" spans="1:1" x14ac:dyDescent="0.2">
      <c r="A693" s="41">
        <v>83</v>
      </c>
    </row>
    <row r="694" spans="1:1" x14ac:dyDescent="0.2">
      <c r="A694" s="41">
        <v>84</v>
      </c>
    </row>
    <row r="695" spans="1:1" x14ac:dyDescent="0.2">
      <c r="A695" s="41">
        <v>85</v>
      </c>
    </row>
    <row r="696" spans="1:1" x14ac:dyDescent="0.2">
      <c r="A696" s="41">
        <v>86</v>
      </c>
    </row>
    <row r="697" spans="1:1" x14ac:dyDescent="0.2">
      <c r="A697" s="41">
        <v>87</v>
      </c>
    </row>
    <row r="698" spans="1:1" x14ac:dyDescent="0.2">
      <c r="A698" s="41">
        <v>88</v>
      </c>
    </row>
    <row r="699" spans="1:1" x14ac:dyDescent="0.2">
      <c r="A699" s="41">
        <v>89</v>
      </c>
    </row>
    <row r="700" spans="1:1" x14ac:dyDescent="0.2">
      <c r="A700" s="41">
        <v>90</v>
      </c>
    </row>
    <row r="701" spans="1:1" x14ac:dyDescent="0.2">
      <c r="A701" s="41">
        <v>91</v>
      </c>
    </row>
    <row r="702" spans="1:1" x14ac:dyDescent="0.2">
      <c r="A702" s="41">
        <v>92</v>
      </c>
    </row>
    <row r="703" spans="1:1" x14ac:dyDescent="0.2">
      <c r="A703" s="41">
        <v>93</v>
      </c>
    </row>
    <row r="704" spans="1:1" x14ac:dyDescent="0.2">
      <c r="A704" s="41">
        <v>94</v>
      </c>
    </row>
    <row r="705" spans="1:1" x14ac:dyDescent="0.2">
      <c r="A705" s="41">
        <v>95</v>
      </c>
    </row>
    <row r="706" spans="1:1" x14ac:dyDescent="0.2">
      <c r="A706" s="41">
        <v>96</v>
      </c>
    </row>
    <row r="707" spans="1:1" x14ac:dyDescent="0.2">
      <c r="A707" s="41">
        <v>97</v>
      </c>
    </row>
    <row r="708" spans="1:1" x14ac:dyDescent="0.2">
      <c r="A708" s="41">
        <v>98</v>
      </c>
    </row>
    <row r="709" spans="1:1" x14ac:dyDescent="0.2">
      <c r="A709" s="41">
        <v>99</v>
      </c>
    </row>
    <row r="710" spans="1:1" x14ac:dyDescent="0.2">
      <c r="A710" s="41">
        <v>100</v>
      </c>
    </row>
    <row r="711" spans="1:1" x14ac:dyDescent="0.2">
      <c r="A711" s="41">
        <v>101</v>
      </c>
    </row>
    <row r="712" spans="1:1" x14ac:dyDescent="0.2">
      <c r="A712" s="41">
        <v>102</v>
      </c>
    </row>
    <row r="713" spans="1:1" x14ac:dyDescent="0.2">
      <c r="A713" s="41">
        <v>103</v>
      </c>
    </row>
    <row r="714" spans="1:1" x14ac:dyDescent="0.2">
      <c r="A714" s="41">
        <v>104</v>
      </c>
    </row>
    <row r="715" spans="1:1" x14ac:dyDescent="0.2">
      <c r="A715" s="41">
        <v>105</v>
      </c>
    </row>
    <row r="716" spans="1:1" x14ac:dyDescent="0.2">
      <c r="A716" s="41">
        <v>106</v>
      </c>
    </row>
    <row r="717" spans="1:1" x14ac:dyDescent="0.2">
      <c r="A717" s="41">
        <v>107</v>
      </c>
    </row>
    <row r="718" spans="1:1" x14ac:dyDescent="0.2">
      <c r="A718" s="41">
        <v>108</v>
      </c>
    </row>
    <row r="719" spans="1:1" x14ac:dyDescent="0.2">
      <c r="A719" s="41">
        <v>109</v>
      </c>
    </row>
    <row r="720" spans="1:1" x14ac:dyDescent="0.2">
      <c r="A720" s="41">
        <v>110</v>
      </c>
    </row>
    <row r="721" spans="1:1" x14ac:dyDescent="0.2">
      <c r="A721" s="41">
        <v>111</v>
      </c>
    </row>
    <row r="722" spans="1:1" x14ac:dyDescent="0.2">
      <c r="A722" s="41">
        <v>112</v>
      </c>
    </row>
    <row r="723" spans="1:1" x14ac:dyDescent="0.2">
      <c r="A723" s="41">
        <v>113</v>
      </c>
    </row>
    <row r="724" spans="1:1" x14ac:dyDescent="0.2">
      <c r="A724" s="41">
        <v>114</v>
      </c>
    </row>
    <row r="725" spans="1:1" x14ac:dyDescent="0.2">
      <c r="A725" s="41">
        <v>115</v>
      </c>
    </row>
    <row r="726" spans="1:1" x14ac:dyDescent="0.2">
      <c r="A726" s="41">
        <v>116</v>
      </c>
    </row>
    <row r="727" spans="1:1" x14ac:dyDescent="0.2">
      <c r="A727" s="41">
        <v>117</v>
      </c>
    </row>
    <row r="728" spans="1:1" x14ac:dyDescent="0.2">
      <c r="A728" s="41">
        <v>118</v>
      </c>
    </row>
    <row r="729" spans="1:1" x14ac:dyDescent="0.2">
      <c r="A729" s="41">
        <v>119</v>
      </c>
    </row>
    <row r="730" spans="1:1" x14ac:dyDescent="0.2">
      <c r="A730" s="41">
        <v>120</v>
      </c>
    </row>
    <row r="731" spans="1:1" x14ac:dyDescent="0.2">
      <c r="A731" s="41">
        <v>121</v>
      </c>
    </row>
    <row r="732" spans="1:1" x14ac:dyDescent="0.2">
      <c r="A732" s="41">
        <v>122</v>
      </c>
    </row>
    <row r="733" spans="1:1" x14ac:dyDescent="0.2">
      <c r="A733" s="41">
        <v>123</v>
      </c>
    </row>
    <row r="734" spans="1:1" x14ac:dyDescent="0.2">
      <c r="A734" s="41">
        <v>124</v>
      </c>
    </row>
    <row r="735" spans="1:1" x14ac:dyDescent="0.2">
      <c r="A735" s="41">
        <v>125</v>
      </c>
    </row>
    <row r="736" spans="1:1" x14ac:dyDescent="0.2">
      <c r="A736" s="41">
        <v>126</v>
      </c>
    </row>
    <row r="737" spans="1:1" x14ac:dyDescent="0.2">
      <c r="A737" s="41">
        <v>127</v>
      </c>
    </row>
    <row r="738" spans="1:1" x14ac:dyDescent="0.2">
      <c r="A738" s="41">
        <v>128</v>
      </c>
    </row>
    <row r="739" spans="1:1" x14ac:dyDescent="0.2">
      <c r="A739" s="41">
        <v>129</v>
      </c>
    </row>
    <row r="740" spans="1:1" x14ac:dyDescent="0.2">
      <c r="A740" s="41">
        <v>130</v>
      </c>
    </row>
    <row r="741" spans="1:1" x14ac:dyDescent="0.2">
      <c r="A741" s="41">
        <v>131</v>
      </c>
    </row>
    <row r="742" spans="1:1" x14ac:dyDescent="0.2">
      <c r="A742" s="41">
        <v>132</v>
      </c>
    </row>
    <row r="743" spans="1:1" x14ac:dyDescent="0.2">
      <c r="A743" s="41">
        <v>133</v>
      </c>
    </row>
    <row r="744" spans="1:1" x14ac:dyDescent="0.2">
      <c r="A744" s="41">
        <v>134</v>
      </c>
    </row>
    <row r="745" spans="1:1" x14ac:dyDescent="0.2">
      <c r="A745" s="41">
        <v>135</v>
      </c>
    </row>
    <row r="746" spans="1:1" x14ac:dyDescent="0.2">
      <c r="A746" s="41">
        <v>136</v>
      </c>
    </row>
    <row r="747" spans="1:1" x14ac:dyDescent="0.2">
      <c r="A747" s="41">
        <v>137</v>
      </c>
    </row>
    <row r="748" spans="1:1" x14ac:dyDescent="0.2">
      <c r="A748" s="41">
        <v>138</v>
      </c>
    </row>
    <row r="749" spans="1:1" x14ac:dyDescent="0.2">
      <c r="A749" s="41">
        <v>139</v>
      </c>
    </row>
    <row r="750" spans="1:1" x14ac:dyDescent="0.2">
      <c r="A750" s="41">
        <v>140</v>
      </c>
    </row>
    <row r="751" spans="1:1" x14ac:dyDescent="0.2">
      <c r="A751" s="41">
        <v>141</v>
      </c>
    </row>
    <row r="752" spans="1:1" x14ac:dyDescent="0.2">
      <c r="A752" s="41">
        <v>142</v>
      </c>
    </row>
    <row r="753" spans="1:1" x14ac:dyDescent="0.2">
      <c r="A753" s="41">
        <v>143</v>
      </c>
    </row>
    <row r="754" spans="1:1" x14ac:dyDescent="0.2">
      <c r="A754" s="41">
        <v>144</v>
      </c>
    </row>
    <row r="755" spans="1:1" x14ac:dyDescent="0.2">
      <c r="A755" s="41">
        <v>145</v>
      </c>
    </row>
    <row r="756" spans="1:1" x14ac:dyDescent="0.2">
      <c r="A756" s="41">
        <v>146</v>
      </c>
    </row>
    <row r="757" spans="1:1" x14ac:dyDescent="0.2">
      <c r="A757" s="41">
        <v>147</v>
      </c>
    </row>
    <row r="758" spans="1:1" x14ac:dyDescent="0.2">
      <c r="A758" s="41">
        <v>148</v>
      </c>
    </row>
    <row r="759" spans="1:1" x14ac:dyDescent="0.2">
      <c r="A759" s="41">
        <v>149</v>
      </c>
    </row>
    <row r="760" spans="1:1" x14ac:dyDescent="0.2">
      <c r="A760" s="41">
        <v>150</v>
      </c>
    </row>
    <row r="761" spans="1:1" x14ac:dyDescent="0.2">
      <c r="A761" s="41">
        <v>151</v>
      </c>
    </row>
    <row r="762" spans="1:1" x14ac:dyDescent="0.2">
      <c r="A762" s="41">
        <v>152</v>
      </c>
    </row>
    <row r="763" spans="1:1" x14ac:dyDescent="0.2">
      <c r="A763" s="41">
        <v>153</v>
      </c>
    </row>
    <row r="764" spans="1:1" x14ac:dyDescent="0.2">
      <c r="A764" s="41">
        <v>154</v>
      </c>
    </row>
    <row r="765" spans="1:1" x14ac:dyDescent="0.2">
      <c r="A765" s="41">
        <v>155</v>
      </c>
    </row>
    <row r="766" spans="1:1" x14ac:dyDescent="0.2">
      <c r="A766" s="41">
        <v>156</v>
      </c>
    </row>
    <row r="767" spans="1:1" x14ac:dyDescent="0.2">
      <c r="A767" s="41">
        <v>157</v>
      </c>
    </row>
    <row r="768" spans="1:1" x14ac:dyDescent="0.2">
      <c r="A768" s="41">
        <v>158</v>
      </c>
    </row>
    <row r="769" spans="1:1" x14ac:dyDescent="0.2">
      <c r="A769" s="41">
        <v>159</v>
      </c>
    </row>
    <row r="770" spans="1:1" x14ac:dyDescent="0.2">
      <c r="A770" s="41">
        <v>160</v>
      </c>
    </row>
    <row r="771" spans="1:1" x14ac:dyDescent="0.2">
      <c r="A771" s="41">
        <v>161</v>
      </c>
    </row>
    <row r="772" spans="1:1" x14ac:dyDescent="0.2">
      <c r="A772" s="41">
        <v>162</v>
      </c>
    </row>
    <row r="773" spans="1:1" x14ac:dyDescent="0.2">
      <c r="A773" s="41">
        <v>163</v>
      </c>
    </row>
    <row r="774" spans="1:1" x14ac:dyDescent="0.2">
      <c r="A774" s="41">
        <v>164</v>
      </c>
    </row>
    <row r="775" spans="1:1" x14ac:dyDescent="0.2">
      <c r="A775" s="41">
        <v>165</v>
      </c>
    </row>
    <row r="776" spans="1:1" x14ac:dyDescent="0.2">
      <c r="A776" s="41">
        <v>166</v>
      </c>
    </row>
    <row r="777" spans="1:1" x14ac:dyDescent="0.2">
      <c r="A777" s="41">
        <v>167</v>
      </c>
    </row>
    <row r="778" spans="1:1" x14ac:dyDescent="0.2">
      <c r="A778" s="41">
        <v>168</v>
      </c>
    </row>
    <row r="779" spans="1:1" x14ac:dyDescent="0.2">
      <c r="A779" s="41">
        <v>169</v>
      </c>
    </row>
    <row r="780" spans="1:1" x14ac:dyDescent="0.2">
      <c r="A780" s="41">
        <v>170</v>
      </c>
    </row>
    <row r="781" spans="1:1" x14ac:dyDescent="0.2">
      <c r="A781" s="41">
        <v>171</v>
      </c>
    </row>
    <row r="782" spans="1:1" x14ac:dyDescent="0.2">
      <c r="A782" s="41">
        <v>172</v>
      </c>
    </row>
    <row r="783" spans="1:1" x14ac:dyDescent="0.2">
      <c r="A783" s="41">
        <v>173</v>
      </c>
    </row>
    <row r="784" spans="1:1" x14ac:dyDescent="0.2">
      <c r="A784" s="41">
        <v>174</v>
      </c>
    </row>
    <row r="785" spans="1:1" x14ac:dyDescent="0.2">
      <c r="A785" s="41">
        <v>175</v>
      </c>
    </row>
    <row r="786" spans="1:1" x14ac:dyDescent="0.2">
      <c r="A786" s="41">
        <v>176</v>
      </c>
    </row>
    <row r="787" spans="1:1" x14ac:dyDescent="0.2">
      <c r="A787" s="41">
        <v>177</v>
      </c>
    </row>
    <row r="788" spans="1:1" x14ac:dyDescent="0.2">
      <c r="A788" s="41">
        <v>178</v>
      </c>
    </row>
    <row r="789" spans="1:1" x14ac:dyDescent="0.2">
      <c r="A789" s="41">
        <v>179</v>
      </c>
    </row>
    <row r="790" spans="1:1" x14ac:dyDescent="0.2">
      <c r="A790" s="41">
        <v>180</v>
      </c>
    </row>
    <row r="791" spans="1:1" x14ac:dyDescent="0.2">
      <c r="A791" s="41">
        <v>181</v>
      </c>
    </row>
    <row r="792" spans="1:1" x14ac:dyDescent="0.2">
      <c r="A792" s="41">
        <v>182</v>
      </c>
    </row>
    <row r="793" spans="1:1" x14ac:dyDescent="0.2">
      <c r="A793" s="41">
        <v>183</v>
      </c>
    </row>
    <row r="794" spans="1:1" x14ac:dyDescent="0.2">
      <c r="A794" s="41">
        <v>184</v>
      </c>
    </row>
    <row r="795" spans="1:1" x14ac:dyDescent="0.2">
      <c r="A795" s="41">
        <v>185</v>
      </c>
    </row>
    <row r="796" spans="1:1" x14ac:dyDescent="0.2">
      <c r="A796" s="41">
        <v>186</v>
      </c>
    </row>
    <row r="797" spans="1:1" x14ac:dyDescent="0.2">
      <c r="A797" s="41">
        <v>187</v>
      </c>
    </row>
    <row r="798" spans="1:1" x14ac:dyDescent="0.2">
      <c r="A798" s="41">
        <v>188</v>
      </c>
    </row>
    <row r="799" spans="1:1" x14ac:dyDescent="0.2">
      <c r="A799" s="41">
        <v>189</v>
      </c>
    </row>
    <row r="800" spans="1:1" x14ac:dyDescent="0.2">
      <c r="A800" s="41">
        <v>190</v>
      </c>
    </row>
    <row r="801" spans="1:1" x14ac:dyDescent="0.2">
      <c r="A801" s="41">
        <v>191</v>
      </c>
    </row>
    <row r="802" spans="1:1" x14ac:dyDescent="0.2">
      <c r="A802" s="41">
        <v>192</v>
      </c>
    </row>
    <row r="803" spans="1:1" x14ac:dyDescent="0.2">
      <c r="A803" s="41">
        <v>193</v>
      </c>
    </row>
    <row r="804" spans="1:1" x14ac:dyDescent="0.2">
      <c r="A804" s="41">
        <v>194</v>
      </c>
    </row>
    <row r="805" spans="1:1" x14ac:dyDescent="0.2">
      <c r="A805" s="41">
        <v>195</v>
      </c>
    </row>
    <row r="806" spans="1:1" x14ac:dyDescent="0.2">
      <c r="A806" s="41">
        <v>196</v>
      </c>
    </row>
    <row r="807" spans="1:1" x14ac:dyDescent="0.2">
      <c r="A807" s="41">
        <v>197</v>
      </c>
    </row>
    <row r="808" spans="1:1" x14ac:dyDescent="0.2">
      <c r="A808" s="41">
        <v>198</v>
      </c>
    </row>
    <row r="809" spans="1:1" x14ac:dyDescent="0.2">
      <c r="A809" s="41">
        <v>199</v>
      </c>
    </row>
    <row r="810" spans="1:1" x14ac:dyDescent="0.2">
      <c r="A810" s="41">
        <v>200</v>
      </c>
    </row>
    <row r="811" spans="1:1" x14ac:dyDescent="0.2">
      <c r="A811" s="41">
        <v>201</v>
      </c>
    </row>
    <row r="812" spans="1:1" x14ac:dyDescent="0.2">
      <c r="A812" s="41">
        <v>202</v>
      </c>
    </row>
    <row r="813" spans="1:1" x14ac:dyDescent="0.2">
      <c r="A813" s="41">
        <v>203</v>
      </c>
    </row>
    <row r="814" spans="1:1" x14ac:dyDescent="0.2">
      <c r="A814" s="41">
        <v>204</v>
      </c>
    </row>
    <row r="815" spans="1:1" x14ac:dyDescent="0.2">
      <c r="A815" s="41">
        <v>205</v>
      </c>
    </row>
    <row r="816" spans="1:1" x14ac:dyDescent="0.2">
      <c r="A816" s="41">
        <v>206</v>
      </c>
    </row>
    <row r="817" spans="1:1" x14ac:dyDescent="0.2">
      <c r="A817" s="41">
        <v>207</v>
      </c>
    </row>
    <row r="818" spans="1:1" x14ac:dyDescent="0.2">
      <c r="A818" s="41">
        <v>208</v>
      </c>
    </row>
    <row r="819" spans="1:1" x14ac:dyDescent="0.2">
      <c r="A819" s="41">
        <v>209</v>
      </c>
    </row>
    <row r="820" spans="1:1" x14ac:dyDescent="0.2">
      <c r="A820" s="41">
        <v>210</v>
      </c>
    </row>
    <row r="821" spans="1:1" x14ac:dyDescent="0.2">
      <c r="A821" s="41">
        <v>211</v>
      </c>
    </row>
    <row r="822" spans="1:1" x14ac:dyDescent="0.2">
      <c r="A822" s="41">
        <v>212</v>
      </c>
    </row>
    <row r="823" spans="1:1" x14ac:dyDescent="0.2">
      <c r="A823" s="41">
        <v>213</v>
      </c>
    </row>
    <row r="824" spans="1:1" x14ac:dyDescent="0.2">
      <c r="A824" s="41">
        <v>214</v>
      </c>
    </row>
    <row r="825" spans="1:1" x14ac:dyDescent="0.2">
      <c r="A825" s="41">
        <v>215</v>
      </c>
    </row>
    <row r="826" spans="1:1" x14ac:dyDescent="0.2">
      <c r="A826" s="41">
        <v>216</v>
      </c>
    </row>
    <row r="827" spans="1:1" x14ac:dyDescent="0.2">
      <c r="A827" s="41">
        <v>217</v>
      </c>
    </row>
    <row r="828" spans="1:1" x14ac:dyDescent="0.2">
      <c r="A828" s="41">
        <v>218</v>
      </c>
    </row>
    <row r="829" spans="1:1" x14ac:dyDescent="0.2">
      <c r="A829" s="41">
        <v>219</v>
      </c>
    </row>
    <row r="830" spans="1:1" x14ac:dyDescent="0.2">
      <c r="A830" s="41">
        <v>220</v>
      </c>
    </row>
    <row r="831" spans="1:1" x14ac:dyDescent="0.2">
      <c r="A831" s="41">
        <v>221</v>
      </c>
    </row>
    <row r="832" spans="1:1" x14ac:dyDescent="0.2">
      <c r="A832" s="41">
        <v>222</v>
      </c>
    </row>
    <row r="833" spans="1:1" x14ac:dyDescent="0.2">
      <c r="A833" s="41">
        <v>223</v>
      </c>
    </row>
    <row r="834" spans="1:1" x14ac:dyDescent="0.2">
      <c r="A834" s="41">
        <v>224</v>
      </c>
    </row>
    <row r="835" spans="1:1" x14ac:dyDescent="0.2">
      <c r="A835" s="41">
        <v>225</v>
      </c>
    </row>
    <row r="836" spans="1:1" x14ac:dyDescent="0.2">
      <c r="A836" s="41">
        <v>226</v>
      </c>
    </row>
    <row r="837" spans="1:1" x14ac:dyDescent="0.2">
      <c r="A837" s="41">
        <v>227</v>
      </c>
    </row>
    <row r="838" spans="1:1" x14ac:dyDescent="0.2">
      <c r="A838" s="41">
        <v>228</v>
      </c>
    </row>
    <row r="839" spans="1:1" x14ac:dyDescent="0.2">
      <c r="A839" s="41">
        <v>229</v>
      </c>
    </row>
    <row r="840" spans="1:1" x14ac:dyDescent="0.2">
      <c r="A840" s="41">
        <v>230</v>
      </c>
    </row>
    <row r="841" spans="1:1" x14ac:dyDescent="0.2">
      <c r="A841" s="41">
        <v>231</v>
      </c>
    </row>
    <row r="842" spans="1:1" x14ac:dyDescent="0.2">
      <c r="A842" s="41">
        <v>232</v>
      </c>
    </row>
    <row r="843" spans="1:1" x14ac:dyDescent="0.2">
      <c r="A843" s="41">
        <v>233</v>
      </c>
    </row>
    <row r="844" spans="1:1" x14ac:dyDescent="0.2">
      <c r="A844" s="41">
        <v>234</v>
      </c>
    </row>
    <row r="845" spans="1:1" x14ac:dyDescent="0.2">
      <c r="A845" s="41">
        <v>235</v>
      </c>
    </row>
    <row r="846" spans="1:1" x14ac:dyDescent="0.2">
      <c r="A846" s="41">
        <v>236</v>
      </c>
    </row>
    <row r="847" spans="1:1" x14ac:dyDescent="0.2">
      <c r="A847" s="41">
        <v>237</v>
      </c>
    </row>
    <row r="848" spans="1:1" x14ac:dyDescent="0.2">
      <c r="A848" s="41">
        <v>238</v>
      </c>
    </row>
    <row r="849" spans="1:1" x14ac:dyDescent="0.2">
      <c r="A849" s="41">
        <v>239</v>
      </c>
    </row>
    <row r="850" spans="1:1" x14ac:dyDescent="0.2">
      <c r="A850" s="41">
        <v>240</v>
      </c>
    </row>
    <row r="851" spans="1:1" x14ac:dyDescent="0.2">
      <c r="A851" s="41">
        <v>241</v>
      </c>
    </row>
    <row r="852" spans="1:1" x14ac:dyDescent="0.2">
      <c r="A852" s="41">
        <v>242</v>
      </c>
    </row>
    <row r="853" spans="1:1" x14ac:dyDescent="0.2">
      <c r="A853" s="41">
        <v>243</v>
      </c>
    </row>
    <row r="854" spans="1:1" x14ac:dyDescent="0.2">
      <c r="A854" s="41">
        <v>244</v>
      </c>
    </row>
    <row r="855" spans="1:1" x14ac:dyDescent="0.2">
      <c r="A855" s="41">
        <v>245</v>
      </c>
    </row>
    <row r="856" spans="1:1" x14ac:dyDescent="0.2">
      <c r="A856" s="41">
        <v>246</v>
      </c>
    </row>
    <row r="857" spans="1:1" x14ac:dyDescent="0.2">
      <c r="A857" s="41">
        <v>247</v>
      </c>
    </row>
    <row r="858" spans="1:1" x14ac:dyDescent="0.2">
      <c r="A858" s="41">
        <v>248</v>
      </c>
    </row>
    <row r="859" spans="1:1" x14ac:dyDescent="0.2">
      <c r="A859" s="41">
        <v>249</v>
      </c>
    </row>
    <row r="860" spans="1:1" x14ac:dyDescent="0.2">
      <c r="A860" s="41">
        <v>250</v>
      </c>
    </row>
    <row r="861" spans="1:1" x14ac:dyDescent="0.2">
      <c r="A861" s="41">
        <v>251</v>
      </c>
    </row>
    <row r="862" spans="1:1" x14ac:dyDescent="0.2">
      <c r="A862" s="41">
        <v>252</v>
      </c>
    </row>
    <row r="863" spans="1:1" x14ac:dyDescent="0.2">
      <c r="A863" s="41">
        <v>253</v>
      </c>
    </row>
    <row r="864" spans="1:1" x14ac:dyDescent="0.2">
      <c r="A864" s="41">
        <v>254</v>
      </c>
    </row>
    <row r="865" spans="1:1" x14ac:dyDescent="0.2">
      <c r="A865" s="41">
        <v>255</v>
      </c>
    </row>
    <row r="866" spans="1:1" x14ac:dyDescent="0.2">
      <c r="A866" s="41">
        <v>256</v>
      </c>
    </row>
    <row r="867" spans="1:1" x14ac:dyDescent="0.2">
      <c r="A867" s="41">
        <v>257</v>
      </c>
    </row>
    <row r="868" spans="1:1" x14ac:dyDescent="0.2">
      <c r="A868" s="41">
        <v>258</v>
      </c>
    </row>
    <row r="869" spans="1:1" x14ac:dyDescent="0.2">
      <c r="A869" s="41">
        <v>259</v>
      </c>
    </row>
    <row r="870" spans="1:1" x14ac:dyDescent="0.2">
      <c r="A870" s="41">
        <v>260</v>
      </c>
    </row>
    <row r="871" spans="1:1" x14ac:dyDescent="0.2">
      <c r="A871" s="41">
        <v>261</v>
      </c>
    </row>
    <row r="872" spans="1:1" x14ac:dyDescent="0.2">
      <c r="A872" s="41">
        <v>262</v>
      </c>
    </row>
    <row r="873" spans="1:1" x14ac:dyDescent="0.2">
      <c r="A873" s="41">
        <v>263</v>
      </c>
    </row>
    <row r="874" spans="1:1" x14ac:dyDescent="0.2">
      <c r="A874" s="41">
        <v>264</v>
      </c>
    </row>
    <row r="875" spans="1:1" x14ac:dyDescent="0.2">
      <c r="A875" s="41">
        <v>265</v>
      </c>
    </row>
    <row r="876" spans="1:1" x14ac:dyDescent="0.2">
      <c r="A876" s="41">
        <v>266</v>
      </c>
    </row>
    <row r="877" spans="1:1" x14ac:dyDescent="0.2">
      <c r="A877" s="41">
        <v>267</v>
      </c>
    </row>
    <row r="878" spans="1:1" x14ac:dyDescent="0.2">
      <c r="A878" s="41">
        <v>268</v>
      </c>
    </row>
    <row r="879" spans="1:1" x14ac:dyDescent="0.2">
      <c r="A879" s="41">
        <v>269</v>
      </c>
    </row>
    <row r="880" spans="1:1" x14ac:dyDescent="0.2">
      <c r="A880" s="41">
        <v>270</v>
      </c>
    </row>
    <row r="881" spans="1:1" x14ac:dyDescent="0.2">
      <c r="A881" s="41">
        <v>271</v>
      </c>
    </row>
    <row r="882" spans="1:1" x14ac:dyDescent="0.2">
      <c r="A882" s="41">
        <v>272</v>
      </c>
    </row>
    <row r="883" spans="1:1" x14ac:dyDescent="0.2">
      <c r="A883" s="41">
        <v>273</v>
      </c>
    </row>
    <row r="884" spans="1:1" x14ac:dyDescent="0.2">
      <c r="A884" s="41">
        <v>274</v>
      </c>
    </row>
    <row r="885" spans="1:1" x14ac:dyDescent="0.2">
      <c r="A885" s="41">
        <v>275</v>
      </c>
    </row>
    <row r="886" spans="1:1" x14ac:dyDescent="0.2">
      <c r="A886" s="41">
        <v>276</v>
      </c>
    </row>
    <row r="887" spans="1:1" x14ac:dyDescent="0.2">
      <c r="A887" s="41">
        <v>277</v>
      </c>
    </row>
    <row r="888" spans="1:1" x14ac:dyDescent="0.2">
      <c r="A888" s="41">
        <v>278</v>
      </c>
    </row>
    <row r="889" spans="1:1" x14ac:dyDescent="0.2">
      <c r="A889" s="41">
        <v>279</v>
      </c>
    </row>
    <row r="890" spans="1:1" x14ac:dyDescent="0.2">
      <c r="A890" s="41">
        <v>280</v>
      </c>
    </row>
    <row r="891" spans="1:1" x14ac:dyDescent="0.2">
      <c r="A891" s="41">
        <v>281</v>
      </c>
    </row>
    <row r="892" spans="1:1" x14ac:dyDescent="0.2">
      <c r="A892" s="41">
        <v>282</v>
      </c>
    </row>
    <row r="893" spans="1:1" x14ac:dyDescent="0.2">
      <c r="A893" s="41">
        <v>283</v>
      </c>
    </row>
    <row r="894" spans="1:1" x14ac:dyDescent="0.2">
      <c r="A894" s="41">
        <v>284</v>
      </c>
    </row>
    <row r="895" spans="1:1" x14ac:dyDescent="0.2">
      <c r="A895" s="41">
        <v>285</v>
      </c>
    </row>
    <row r="896" spans="1:1" x14ac:dyDescent="0.2">
      <c r="A896" s="41">
        <v>286</v>
      </c>
    </row>
    <row r="897" spans="1:1" x14ac:dyDescent="0.2">
      <c r="A897" s="41">
        <v>287</v>
      </c>
    </row>
    <row r="898" spans="1:1" x14ac:dyDescent="0.2">
      <c r="A898" s="41">
        <v>288</v>
      </c>
    </row>
    <row r="899" spans="1:1" x14ac:dyDescent="0.2">
      <c r="A899" s="41">
        <v>289</v>
      </c>
    </row>
    <row r="900" spans="1:1" x14ac:dyDescent="0.2">
      <c r="A900" s="41">
        <v>290</v>
      </c>
    </row>
    <row r="901" spans="1:1" x14ac:dyDescent="0.2">
      <c r="A901" s="41">
        <v>291</v>
      </c>
    </row>
    <row r="902" spans="1:1" x14ac:dyDescent="0.2">
      <c r="A902" s="41">
        <v>292</v>
      </c>
    </row>
    <row r="903" spans="1:1" x14ac:dyDescent="0.2">
      <c r="A903" s="41">
        <v>293</v>
      </c>
    </row>
    <row r="904" spans="1:1" x14ac:dyDescent="0.2">
      <c r="A904" s="41">
        <v>294</v>
      </c>
    </row>
    <row r="905" spans="1:1" x14ac:dyDescent="0.2">
      <c r="A905" s="41">
        <v>295</v>
      </c>
    </row>
    <row r="906" spans="1:1" x14ac:dyDescent="0.2">
      <c r="A906" s="41">
        <v>296</v>
      </c>
    </row>
    <row r="907" spans="1:1" x14ac:dyDescent="0.2">
      <c r="A907" s="41">
        <v>297</v>
      </c>
    </row>
    <row r="908" spans="1:1" x14ac:dyDescent="0.2">
      <c r="A908" s="41">
        <v>298</v>
      </c>
    </row>
    <row r="909" spans="1:1" x14ac:dyDescent="0.2">
      <c r="A909" s="41">
        <v>299</v>
      </c>
    </row>
    <row r="910" spans="1:1" x14ac:dyDescent="0.2">
      <c r="A910" s="41">
        <v>300</v>
      </c>
    </row>
    <row r="911" spans="1:1" x14ac:dyDescent="0.2">
      <c r="A911" s="41">
        <v>301</v>
      </c>
    </row>
    <row r="912" spans="1:1" x14ac:dyDescent="0.2">
      <c r="A912" s="41">
        <v>302</v>
      </c>
    </row>
    <row r="913" spans="1:1" x14ac:dyDescent="0.2">
      <c r="A913" s="41">
        <v>303</v>
      </c>
    </row>
    <row r="914" spans="1:1" x14ac:dyDescent="0.2">
      <c r="A914" s="41">
        <v>304</v>
      </c>
    </row>
    <row r="915" spans="1:1" x14ac:dyDescent="0.2">
      <c r="A915" s="41">
        <v>305</v>
      </c>
    </row>
    <row r="916" spans="1:1" x14ac:dyDescent="0.2">
      <c r="A916" s="41">
        <v>306</v>
      </c>
    </row>
    <row r="917" spans="1:1" x14ac:dyDescent="0.2">
      <c r="A917" s="41">
        <v>307</v>
      </c>
    </row>
    <row r="918" spans="1:1" x14ac:dyDescent="0.2">
      <c r="A918" s="41">
        <v>308</v>
      </c>
    </row>
    <row r="919" spans="1:1" x14ac:dyDescent="0.2">
      <c r="A919" s="41">
        <v>309</v>
      </c>
    </row>
    <row r="920" spans="1:1" x14ac:dyDescent="0.2">
      <c r="A920" s="41">
        <v>310</v>
      </c>
    </row>
    <row r="921" spans="1:1" x14ac:dyDescent="0.2">
      <c r="A921" s="41">
        <v>311</v>
      </c>
    </row>
    <row r="922" spans="1:1" x14ac:dyDescent="0.2">
      <c r="A922" s="41">
        <v>312</v>
      </c>
    </row>
    <row r="923" spans="1:1" x14ac:dyDescent="0.2">
      <c r="A923" s="41">
        <v>313</v>
      </c>
    </row>
    <row r="924" spans="1:1" x14ac:dyDescent="0.2">
      <c r="A924" s="41">
        <v>314</v>
      </c>
    </row>
    <row r="925" spans="1:1" x14ac:dyDescent="0.2">
      <c r="A925" s="41">
        <v>315</v>
      </c>
    </row>
    <row r="926" spans="1:1" x14ac:dyDescent="0.2">
      <c r="A926" s="41">
        <v>316</v>
      </c>
    </row>
    <row r="927" spans="1:1" x14ac:dyDescent="0.2">
      <c r="A927" s="41">
        <v>317</v>
      </c>
    </row>
    <row r="928" spans="1:1" x14ac:dyDescent="0.2">
      <c r="A928" s="41">
        <v>318</v>
      </c>
    </row>
    <row r="929" spans="1:1" x14ac:dyDescent="0.2">
      <c r="A929" s="41">
        <v>319</v>
      </c>
    </row>
    <row r="930" spans="1:1" x14ac:dyDescent="0.2">
      <c r="A930" s="41">
        <v>320</v>
      </c>
    </row>
    <row r="931" spans="1:1" x14ac:dyDescent="0.2">
      <c r="A931" s="41">
        <v>321</v>
      </c>
    </row>
    <row r="932" spans="1:1" x14ac:dyDescent="0.2">
      <c r="A932" s="41">
        <v>322</v>
      </c>
    </row>
    <row r="933" spans="1:1" x14ac:dyDescent="0.2">
      <c r="A933" s="41">
        <v>323</v>
      </c>
    </row>
    <row r="934" spans="1:1" x14ac:dyDescent="0.2">
      <c r="A934" s="41">
        <v>324</v>
      </c>
    </row>
    <row r="935" spans="1:1" x14ac:dyDescent="0.2">
      <c r="A935" s="41">
        <v>325</v>
      </c>
    </row>
    <row r="936" spans="1:1" x14ac:dyDescent="0.2">
      <c r="A936" s="41">
        <v>326</v>
      </c>
    </row>
    <row r="937" spans="1:1" x14ac:dyDescent="0.2">
      <c r="A937" s="41">
        <v>327</v>
      </c>
    </row>
    <row r="938" spans="1:1" x14ac:dyDescent="0.2">
      <c r="A938" s="41">
        <v>328</v>
      </c>
    </row>
    <row r="939" spans="1:1" x14ac:dyDescent="0.2">
      <c r="A939" s="41">
        <v>329</v>
      </c>
    </row>
    <row r="940" spans="1:1" x14ac:dyDescent="0.2">
      <c r="A940" s="41">
        <v>330</v>
      </c>
    </row>
    <row r="941" spans="1:1" x14ac:dyDescent="0.2">
      <c r="A941" s="41">
        <v>331</v>
      </c>
    </row>
    <row r="942" spans="1:1" x14ac:dyDescent="0.2">
      <c r="A942" s="41">
        <v>332</v>
      </c>
    </row>
    <row r="943" spans="1:1" x14ac:dyDescent="0.2">
      <c r="A943" s="41">
        <v>333</v>
      </c>
    </row>
    <row r="944" spans="1:1" x14ac:dyDescent="0.2">
      <c r="A944" s="41">
        <v>334</v>
      </c>
    </row>
    <row r="945" spans="1:1" x14ac:dyDescent="0.2">
      <c r="A945" s="41">
        <v>335</v>
      </c>
    </row>
    <row r="946" spans="1:1" x14ac:dyDescent="0.2">
      <c r="A946" s="41">
        <v>336</v>
      </c>
    </row>
    <row r="947" spans="1:1" x14ac:dyDescent="0.2">
      <c r="A947" s="41">
        <v>337</v>
      </c>
    </row>
    <row r="948" spans="1:1" x14ac:dyDescent="0.2">
      <c r="A948" s="41">
        <v>338</v>
      </c>
    </row>
    <row r="949" spans="1:1" x14ac:dyDescent="0.2">
      <c r="A949" s="41">
        <v>339</v>
      </c>
    </row>
    <row r="950" spans="1:1" x14ac:dyDescent="0.2">
      <c r="A950" s="41">
        <v>340</v>
      </c>
    </row>
    <row r="951" spans="1:1" x14ac:dyDescent="0.2">
      <c r="A951" s="41">
        <v>341</v>
      </c>
    </row>
    <row r="952" spans="1:1" x14ac:dyDescent="0.2">
      <c r="A952" s="41">
        <v>342</v>
      </c>
    </row>
    <row r="953" spans="1:1" x14ac:dyDescent="0.2">
      <c r="A953" s="41">
        <v>343</v>
      </c>
    </row>
    <row r="954" spans="1:1" x14ac:dyDescent="0.2">
      <c r="A954" s="41">
        <v>344</v>
      </c>
    </row>
    <row r="955" spans="1:1" x14ac:dyDescent="0.2">
      <c r="A955" s="41">
        <v>345</v>
      </c>
    </row>
    <row r="956" spans="1:1" x14ac:dyDescent="0.2">
      <c r="A956" s="41">
        <v>346</v>
      </c>
    </row>
    <row r="957" spans="1:1" x14ac:dyDescent="0.2">
      <c r="A957" s="41">
        <v>347</v>
      </c>
    </row>
    <row r="958" spans="1:1" x14ac:dyDescent="0.2">
      <c r="A958" s="41">
        <v>348</v>
      </c>
    </row>
    <row r="959" spans="1:1" x14ac:dyDescent="0.2">
      <c r="A959" s="41">
        <v>349</v>
      </c>
    </row>
    <row r="960" spans="1:1" x14ac:dyDescent="0.2">
      <c r="A960" s="41">
        <v>350</v>
      </c>
    </row>
    <row r="961" spans="1:1" x14ac:dyDescent="0.2">
      <c r="A961" s="41">
        <v>351</v>
      </c>
    </row>
    <row r="962" spans="1:1" x14ac:dyDescent="0.2">
      <c r="A962" s="41">
        <v>352</v>
      </c>
    </row>
    <row r="963" spans="1:1" x14ac:dyDescent="0.2">
      <c r="A963" s="41">
        <v>353</v>
      </c>
    </row>
    <row r="964" spans="1:1" x14ac:dyDescent="0.2">
      <c r="A964" s="41">
        <v>354</v>
      </c>
    </row>
    <row r="965" spans="1:1" x14ac:dyDescent="0.2">
      <c r="A965" s="41">
        <v>355</v>
      </c>
    </row>
    <row r="966" spans="1:1" x14ac:dyDescent="0.2">
      <c r="A966" s="41">
        <v>356</v>
      </c>
    </row>
    <row r="967" spans="1:1" x14ac:dyDescent="0.2">
      <c r="A967" s="41">
        <v>357</v>
      </c>
    </row>
    <row r="968" spans="1:1" x14ac:dyDescent="0.2">
      <c r="A968" s="41">
        <v>358</v>
      </c>
    </row>
    <row r="969" spans="1:1" x14ac:dyDescent="0.2">
      <c r="A969" s="41">
        <v>359</v>
      </c>
    </row>
    <row r="970" spans="1:1" x14ac:dyDescent="0.2">
      <c r="A970" s="41">
        <v>360</v>
      </c>
    </row>
    <row r="971" spans="1:1" x14ac:dyDescent="0.2">
      <c r="A971" s="41">
        <v>361</v>
      </c>
    </row>
    <row r="972" spans="1:1" x14ac:dyDescent="0.2">
      <c r="A972" s="41">
        <v>362</v>
      </c>
    </row>
    <row r="973" spans="1:1" x14ac:dyDescent="0.2">
      <c r="A973" s="41">
        <v>363</v>
      </c>
    </row>
    <row r="974" spans="1:1" x14ac:dyDescent="0.2">
      <c r="A974" s="41">
        <v>364</v>
      </c>
    </row>
    <row r="975" spans="1:1" x14ac:dyDescent="0.2">
      <c r="A975" s="41">
        <v>365</v>
      </c>
    </row>
    <row r="976" spans="1:1" x14ac:dyDescent="0.2">
      <c r="A976" s="41">
        <v>366</v>
      </c>
    </row>
    <row r="977" spans="1:1" x14ac:dyDescent="0.2">
      <c r="A977" s="41">
        <v>367</v>
      </c>
    </row>
    <row r="978" spans="1:1" x14ac:dyDescent="0.2">
      <c r="A978" s="41">
        <v>368</v>
      </c>
    </row>
    <row r="979" spans="1:1" x14ac:dyDescent="0.2">
      <c r="A979" s="41">
        <v>369</v>
      </c>
    </row>
    <row r="980" spans="1:1" x14ac:dyDescent="0.2">
      <c r="A980" s="41">
        <v>370</v>
      </c>
    </row>
    <row r="981" spans="1:1" x14ac:dyDescent="0.2">
      <c r="A981" s="41">
        <v>371</v>
      </c>
    </row>
    <row r="982" spans="1:1" x14ac:dyDescent="0.2">
      <c r="A982" s="41">
        <v>372</v>
      </c>
    </row>
    <row r="983" spans="1:1" x14ac:dyDescent="0.2">
      <c r="A983" s="41">
        <v>373</v>
      </c>
    </row>
    <row r="984" spans="1:1" x14ac:dyDescent="0.2">
      <c r="A984" s="41">
        <v>374</v>
      </c>
    </row>
    <row r="985" spans="1:1" x14ac:dyDescent="0.2">
      <c r="A985" s="41">
        <v>375</v>
      </c>
    </row>
    <row r="986" spans="1:1" x14ac:dyDescent="0.2">
      <c r="A986" s="41">
        <v>376</v>
      </c>
    </row>
    <row r="987" spans="1:1" x14ac:dyDescent="0.2">
      <c r="A987" s="41">
        <v>377</v>
      </c>
    </row>
    <row r="988" spans="1:1" x14ac:dyDescent="0.2">
      <c r="A988" s="41">
        <v>378</v>
      </c>
    </row>
    <row r="989" spans="1:1" x14ac:dyDescent="0.2">
      <c r="A989" s="41">
        <v>379</v>
      </c>
    </row>
    <row r="990" spans="1:1" x14ac:dyDescent="0.2">
      <c r="A990" s="41">
        <v>380</v>
      </c>
    </row>
    <row r="991" spans="1:1" x14ac:dyDescent="0.2">
      <c r="A991" s="41">
        <v>381</v>
      </c>
    </row>
    <row r="992" spans="1:1" x14ac:dyDescent="0.2">
      <c r="A992" s="41">
        <v>382</v>
      </c>
    </row>
    <row r="993" spans="1:1" x14ac:dyDescent="0.2">
      <c r="A993" s="41">
        <v>383</v>
      </c>
    </row>
    <row r="994" spans="1:1" x14ac:dyDescent="0.2">
      <c r="A994" s="41">
        <v>384</v>
      </c>
    </row>
    <row r="995" spans="1:1" x14ac:dyDescent="0.2">
      <c r="A995" s="41">
        <v>385</v>
      </c>
    </row>
    <row r="996" spans="1:1" x14ac:dyDescent="0.2">
      <c r="A996" s="41">
        <v>386</v>
      </c>
    </row>
    <row r="997" spans="1:1" x14ac:dyDescent="0.2">
      <c r="A997" s="41">
        <v>387</v>
      </c>
    </row>
    <row r="998" spans="1:1" x14ac:dyDescent="0.2">
      <c r="A998" s="41">
        <v>388</v>
      </c>
    </row>
    <row r="999" spans="1:1" x14ac:dyDescent="0.2">
      <c r="A999" s="41">
        <v>389</v>
      </c>
    </row>
    <row r="1000" spans="1:1" x14ac:dyDescent="0.2">
      <c r="A1000" s="41">
        <v>390</v>
      </c>
    </row>
    <row r="1001" spans="1:1" x14ac:dyDescent="0.2">
      <c r="A1001" s="41">
        <v>391</v>
      </c>
    </row>
    <row r="1002" spans="1:1" x14ac:dyDescent="0.2">
      <c r="A1002" s="41">
        <v>392</v>
      </c>
    </row>
    <row r="1003" spans="1:1" x14ac:dyDescent="0.2">
      <c r="A1003" s="41">
        <v>393</v>
      </c>
    </row>
    <row r="1004" spans="1:1" x14ac:dyDescent="0.2">
      <c r="A1004" s="41">
        <v>394</v>
      </c>
    </row>
    <row r="1005" spans="1:1" x14ac:dyDescent="0.2">
      <c r="A1005" s="41">
        <v>395</v>
      </c>
    </row>
    <row r="1006" spans="1:1" x14ac:dyDescent="0.2">
      <c r="A1006" s="41">
        <v>396</v>
      </c>
    </row>
    <row r="1007" spans="1:1" x14ac:dyDescent="0.2">
      <c r="A1007" s="41">
        <v>397</v>
      </c>
    </row>
    <row r="1008" spans="1:1" x14ac:dyDescent="0.2">
      <c r="A1008" s="41">
        <v>398</v>
      </c>
    </row>
    <row r="1009" spans="1:1" x14ac:dyDescent="0.2">
      <c r="A1009" s="41">
        <v>399</v>
      </c>
    </row>
    <row r="1010" spans="1:1" x14ac:dyDescent="0.2">
      <c r="A1010" s="41">
        <v>400</v>
      </c>
    </row>
    <row r="1011" spans="1:1" x14ac:dyDescent="0.2">
      <c r="A1011" s="41">
        <v>401</v>
      </c>
    </row>
    <row r="1012" spans="1:1" x14ac:dyDescent="0.2">
      <c r="A1012" s="41">
        <v>402</v>
      </c>
    </row>
    <row r="1013" spans="1:1" x14ac:dyDescent="0.2">
      <c r="A1013" s="41">
        <v>403</v>
      </c>
    </row>
    <row r="1014" spans="1:1" x14ac:dyDescent="0.2">
      <c r="A1014" s="41">
        <v>404</v>
      </c>
    </row>
    <row r="1015" spans="1:1" x14ac:dyDescent="0.2">
      <c r="A1015" s="41">
        <v>405</v>
      </c>
    </row>
    <row r="1016" spans="1:1" x14ac:dyDescent="0.2">
      <c r="A1016" s="41">
        <v>406</v>
      </c>
    </row>
    <row r="1017" spans="1:1" x14ac:dyDescent="0.2">
      <c r="A1017" s="41">
        <v>407</v>
      </c>
    </row>
    <row r="1018" spans="1:1" x14ac:dyDescent="0.2">
      <c r="A1018" s="41">
        <v>408</v>
      </c>
    </row>
    <row r="1019" spans="1:1" x14ac:dyDescent="0.2">
      <c r="A1019" s="41">
        <v>409</v>
      </c>
    </row>
    <row r="1020" spans="1:1" x14ac:dyDescent="0.2">
      <c r="A1020" s="41">
        <v>410</v>
      </c>
    </row>
    <row r="1021" spans="1:1" x14ac:dyDescent="0.2">
      <c r="A1021" s="41">
        <v>411</v>
      </c>
    </row>
    <row r="1022" spans="1:1" x14ac:dyDescent="0.2">
      <c r="A1022" s="41">
        <v>412</v>
      </c>
    </row>
    <row r="1023" spans="1:1" x14ac:dyDescent="0.2">
      <c r="A1023" s="41">
        <v>413</v>
      </c>
    </row>
    <row r="1024" spans="1:1" x14ac:dyDescent="0.2">
      <c r="A1024" s="41">
        <v>414</v>
      </c>
    </row>
    <row r="1025" spans="1:1" x14ac:dyDescent="0.2">
      <c r="A1025" s="41">
        <v>415</v>
      </c>
    </row>
    <row r="1026" spans="1:1" x14ac:dyDescent="0.2">
      <c r="A1026" s="41">
        <v>416</v>
      </c>
    </row>
    <row r="1027" spans="1:1" x14ac:dyDescent="0.2">
      <c r="A1027" s="41">
        <v>417</v>
      </c>
    </row>
    <row r="1028" spans="1:1" x14ac:dyDescent="0.2">
      <c r="A1028" s="41">
        <v>418</v>
      </c>
    </row>
    <row r="1029" spans="1:1" x14ac:dyDescent="0.2">
      <c r="A1029" s="41">
        <v>419</v>
      </c>
    </row>
    <row r="1030" spans="1:1" x14ac:dyDescent="0.2">
      <c r="A1030" s="41">
        <v>420</v>
      </c>
    </row>
    <row r="1031" spans="1:1" x14ac:dyDescent="0.2">
      <c r="A1031" s="41">
        <v>421</v>
      </c>
    </row>
    <row r="1032" spans="1:1" x14ac:dyDescent="0.2">
      <c r="A1032" s="41">
        <v>422</v>
      </c>
    </row>
    <row r="1033" spans="1:1" x14ac:dyDescent="0.2">
      <c r="A1033" s="41">
        <v>423</v>
      </c>
    </row>
    <row r="1034" spans="1:1" x14ac:dyDescent="0.2">
      <c r="A1034" s="41">
        <v>424</v>
      </c>
    </row>
    <row r="1035" spans="1:1" x14ac:dyDescent="0.2">
      <c r="A1035" s="41">
        <v>425</v>
      </c>
    </row>
    <row r="1036" spans="1:1" x14ac:dyDescent="0.2">
      <c r="A1036" s="41">
        <v>426</v>
      </c>
    </row>
    <row r="1037" spans="1:1" x14ac:dyDescent="0.2">
      <c r="A1037" s="41">
        <v>427</v>
      </c>
    </row>
    <row r="1038" spans="1:1" x14ac:dyDescent="0.2">
      <c r="A1038" s="41">
        <v>428</v>
      </c>
    </row>
    <row r="1039" spans="1:1" x14ac:dyDescent="0.2">
      <c r="A1039" s="41">
        <v>429</v>
      </c>
    </row>
    <row r="1040" spans="1:1" x14ac:dyDescent="0.2">
      <c r="A1040" s="41">
        <v>430</v>
      </c>
    </row>
    <row r="1041" spans="1:1" x14ac:dyDescent="0.2">
      <c r="A1041" s="41">
        <v>431</v>
      </c>
    </row>
    <row r="1042" spans="1:1" x14ac:dyDescent="0.2">
      <c r="A1042" s="41">
        <v>432</v>
      </c>
    </row>
    <row r="1043" spans="1:1" x14ac:dyDescent="0.2">
      <c r="A1043" s="41">
        <v>433</v>
      </c>
    </row>
    <row r="1044" spans="1:1" x14ac:dyDescent="0.2">
      <c r="A1044" s="41">
        <v>434</v>
      </c>
    </row>
    <row r="1045" spans="1:1" x14ac:dyDescent="0.2">
      <c r="A1045" s="41">
        <v>435</v>
      </c>
    </row>
    <row r="1046" spans="1:1" x14ac:dyDescent="0.2">
      <c r="A1046" s="41">
        <v>436</v>
      </c>
    </row>
    <row r="1047" spans="1:1" x14ac:dyDescent="0.2">
      <c r="A1047" s="41">
        <v>437</v>
      </c>
    </row>
    <row r="1048" spans="1:1" x14ac:dyDescent="0.2">
      <c r="A1048" s="41">
        <v>438</v>
      </c>
    </row>
    <row r="1049" spans="1:1" x14ac:dyDescent="0.2">
      <c r="A1049" s="41">
        <v>439</v>
      </c>
    </row>
    <row r="1050" spans="1:1" x14ac:dyDescent="0.2">
      <c r="A1050" s="41">
        <v>440</v>
      </c>
    </row>
    <row r="1051" spans="1:1" x14ac:dyDescent="0.2">
      <c r="A1051" s="41">
        <v>441</v>
      </c>
    </row>
    <row r="1052" spans="1:1" x14ac:dyDescent="0.2">
      <c r="A1052" s="41">
        <v>442</v>
      </c>
    </row>
    <row r="1053" spans="1:1" x14ac:dyDescent="0.2">
      <c r="A1053" s="41">
        <v>443</v>
      </c>
    </row>
    <row r="1054" spans="1:1" x14ac:dyDescent="0.2">
      <c r="A1054" s="41">
        <v>444</v>
      </c>
    </row>
    <row r="1055" spans="1:1" x14ac:dyDescent="0.2">
      <c r="A1055" s="41">
        <v>445</v>
      </c>
    </row>
    <row r="1056" spans="1:1" x14ac:dyDescent="0.2">
      <c r="A1056" s="41">
        <v>446</v>
      </c>
    </row>
    <row r="1057" spans="1:1" x14ac:dyDescent="0.2">
      <c r="A1057" s="41">
        <v>447</v>
      </c>
    </row>
    <row r="1058" spans="1:1" x14ac:dyDescent="0.2">
      <c r="A1058" s="41">
        <v>448</v>
      </c>
    </row>
    <row r="1059" spans="1:1" x14ac:dyDescent="0.2">
      <c r="A1059" s="41">
        <v>449</v>
      </c>
    </row>
    <row r="1060" spans="1:1" x14ac:dyDescent="0.2">
      <c r="A1060" s="41">
        <v>450</v>
      </c>
    </row>
    <row r="1061" spans="1:1" x14ac:dyDescent="0.2">
      <c r="A1061" s="41">
        <v>451</v>
      </c>
    </row>
    <row r="1062" spans="1:1" x14ac:dyDescent="0.2">
      <c r="A1062" s="41">
        <v>452</v>
      </c>
    </row>
    <row r="1063" spans="1:1" x14ac:dyDescent="0.2">
      <c r="A1063" s="41">
        <v>453</v>
      </c>
    </row>
    <row r="1064" spans="1:1" x14ac:dyDescent="0.2">
      <c r="A1064" s="41">
        <v>454</v>
      </c>
    </row>
    <row r="1065" spans="1:1" x14ac:dyDescent="0.2">
      <c r="A1065" s="41">
        <v>455</v>
      </c>
    </row>
    <row r="1066" spans="1:1" x14ac:dyDescent="0.2">
      <c r="A1066" s="41">
        <v>456</v>
      </c>
    </row>
    <row r="1067" spans="1:1" x14ac:dyDescent="0.2">
      <c r="A1067" s="41">
        <v>457</v>
      </c>
    </row>
    <row r="1068" spans="1:1" x14ac:dyDescent="0.2">
      <c r="A1068" s="41">
        <v>458</v>
      </c>
    </row>
    <row r="1069" spans="1:1" x14ac:dyDescent="0.2">
      <c r="A1069" s="41">
        <v>459</v>
      </c>
    </row>
    <row r="1070" spans="1:1" x14ac:dyDescent="0.2">
      <c r="A1070" s="41">
        <v>460</v>
      </c>
    </row>
    <row r="1071" spans="1:1" x14ac:dyDescent="0.2">
      <c r="A1071" s="41">
        <v>461</v>
      </c>
    </row>
    <row r="1072" spans="1:1" x14ac:dyDescent="0.2">
      <c r="A1072" s="41">
        <v>462</v>
      </c>
    </row>
    <row r="1073" spans="1:1" x14ac:dyDescent="0.2">
      <c r="A1073" s="41">
        <v>463</v>
      </c>
    </row>
    <row r="1074" spans="1:1" x14ac:dyDescent="0.2">
      <c r="A1074" s="41">
        <v>464</v>
      </c>
    </row>
    <row r="1075" spans="1:1" x14ac:dyDescent="0.2">
      <c r="A1075" s="41">
        <v>465</v>
      </c>
    </row>
    <row r="1076" spans="1:1" x14ac:dyDescent="0.2">
      <c r="A1076" s="41">
        <v>466</v>
      </c>
    </row>
    <row r="1077" spans="1:1" x14ac:dyDescent="0.2">
      <c r="A1077" s="41">
        <v>467</v>
      </c>
    </row>
    <row r="1078" spans="1:1" x14ac:dyDescent="0.2">
      <c r="A1078" s="41">
        <v>468</v>
      </c>
    </row>
    <row r="1079" spans="1:1" x14ac:dyDescent="0.2">
      <c r="A1079" s="41">
        <v>469</v>
      </c>
    </row>
    <row r="1080" spans="1:1" x14ac:dyDescent="0.2">
      <c r="A1080" s="41">
        <v>470</v>
      </c>
    </row>
    <row r="1081" spans="1:1" x14ac:dyDescent="0.2">
      <c r="A1081" s="41">
        <v>471</v>
      </c>
    </row>
    <row r="1082" spans="1:1" x14ac:dyDescent="0.2">
      <c r="A1082" s="41">
        <v>472</v>
      </c>
    </row>
    <row r="1083" spans="1:1" x14ac:dyDescent="0.2">
      <c r="A1083" s="41">
        <v>473</v>
      </c>
    </row>
    <row r="1084" spans="1:1" x14ac:dyDescent="0.2">
      <c r="A1084" s="41">
        <v>474</v>
      </c>
    </row>
    <row r="1085" spans="1:1" x14ac:dyDescent="0.2">
      <c r="A1085" s="41">
        <v>475</v>
      </c>
    </row>
    <row r="1086" spans="1:1" x14ac:dyDescent="0.2">
      <c r="A1086" s="41">
        <v>476</v>
      </c>
    </row>
    <row r="1087" spans="1:1" x14ac:dyDescent="0.2">
      <c r="A1087" s="41">
        <v>477</v>
      </c>
    </row>
    <row r="1088" spans="1:1" x14ac:dyDescent="0.2">
      <c r="A1088" s="41">
        <v>478</v>
      </c>
    </row>
    <row r="1089" spans="1:1" x14ac:dyDescent="0.2">
      <c r="A1089" s="41">
        <v>479</v>
      </c>
    </row>
    <row r="1090" spans="1:1" x14ac:dyDescent="0.2">
      <c r="A1090" s="41">
        <v>480</v>
      </c>
    </row>
    <row r="1091" spans="1:1" x14ac:dyDescent="0.2">
      <c r="A1091" s="41">
        <v>481</v>
      </c>
    </row>
    <row r="1092" spans="1:1" x14ac:dyDescent="0.2">
      <c r="A1092" s="41">
        <v>482</v>
      </c>
    </row>
    <row r="1093" spans="1:1" x14ac:dyDescent="0.2">
      <c r="A1093" s="41">
        <v>483</v>
      </c>
    </row>
    <row r="1094" spans="1:1" x14ac:dyDescent="0.2">
      <c r="A1094" s="41">
        <v>484</v>
      </c>
    </row>
    <row r="1095" spans="1:1" x14ac:dyDescent="0.2">
      <c r="A1095" s="41">
        <v>485</v>
      </c>
    </row>
    <row r="1096" spans="1:1" x14ac:dyDescent="0.2">
      <c r="A1096" s="41">
        <v>486</v>
      </c>
    </row>
    <row r="1097" spans="1:1" x14ac:dyDescent="0.2">
      <c r="A1097" s="41">
        <v>487</v>
      </c>
    </row>
    <row r="1098" spans="1:1" x14ac:dyDescent="0.2">
      <c r="A1098" s="41">
        <v>488</v>
      </c>
    </row>
    <row r="1099" spans="1:1" x14ac:dyDescent="0.2">
      <c r="A1099" s="41">
        <v>489</v>
      </c>
    </row>
    <row r="1100" spans="1:1" x14ac:dyDescent="0.2">
      <c r="A1100" s="41">
        <v>490</v>
      </c>
    </row>
    <row r="1101" spans="1:1" x14ac:dyDescent="0.2">
      <c r="A1101" s="41">
        <v>491</v>
      </c>
    </row>
    <row r="1102" spans="1:1" x14ac:dyDescent="0.2">
      <c r="A1102" s="41">
        <v>492</v>
      </c>
    </row>
    <row r="1103" spans="1:1" x14ac:dyDescent="0.2">
      <c r="A1103" s="41">
        <v>493</v>
      </c>
    </row>
    <row r="1104" spans="1:1" x14ac:dyDescent="0.2">
      <c r="A1104" s="41">
        <v>494</v>
      </c>
    </row>
    <row r="1105" spans="1:1" x14ac:dyDescent="0.2">
      <c r="A1105" s="41">
        <v>495</v>
      </c>
    </row>
    <row r="1106" spans="1:1" x14ac:dyDescent="0.2">
      <c r="A1106" s="41">
        <v>496</v>
      </c>
    </row>
    <row r="1107" spans="1:1" x14ac:dyDescent="0.2">
      <c r="A1107" s="41">
        <v>497</v>
      </c>
    </row>
    <row r="1108" spans="1:1" x14ac:dyDescent="0.2">
      <c r="A1108" s="41">
        <v>498</v>
      </c>
    </row>
    <row r="1109" spans="1:1" x14ac:dyDescent="0.2">
      <c r="A1109" s="41">
        <v>499</v>
      </c>
    </row>
    <row r="1110" spans="1:1" x14ac:dyDescent="0.2">
      <c r="A1110" s="41">
        <v>500</v>
      </c>
    </row>
    <row r="1111" spans="1:1" x14ac:dyDescent="0.2">
      <c r="A1111" s="41">
        <v>501</v>
      </c>
    </row>
    <row r="1112" spans="1:1" x14ac:dyDescent="0.2">
      <c r="A1112" s="41">
        <v>502</v>
      </c>
    </row>
    <row r="1113" spans="1:1" x14ac:dyDescent="0.2">
      <c r="A1113" s="41">
        <v>503</v>
      </c>
    </row>
    <row r="1114" spans="1:1" x14ac:dyDescent="0.2">
      <c r="A1114" s="41">
        <v>504</v>
      </c>
    </row>
    <row r="1115" spans="1:1" x14ac:dyDescent="0.2">
      <c r="A1115" s="41">
        <v>505</v>
      </c>
    </row>
    <row r="1116" spans="1:1" x14ac:dyDescent="0.2">
      <c r="A1116" s="41">
        <v>506</v>
      </c>
    </row>
    <row r="1117" spans="1:1" x14ac:dyDescent="0.2">
      <c r="A1117" s="41">
        <v>507</v>
      </c>
    </row>
    <row r="1118" spans="1:1" x14ac:dyDescent="0.2">
      <c r="A1118" s="41">
        <v>508</v>
      </c>
    </row>
    <row r="1119" spans="1:1" x14ac:dyDescent="0.2">
      <c r="A1119" s="41">
        <v>509</v>
      </c>
    </row>
    <row r="1120" spans="1:1" x14ac:dyDescent="0.2">
      <c r="A1120" s="41">
        <v>510</v>
      </c>
    </row>
    <row r="1121" spans="1:1" x14ac:dyDescent="0.2">
      <c r="A1121" s="41">
        <v>511</v>
      </c>
    </row>
    <row r="1122" spans="1:1" x14ac:dyDescent="0.2">
      <c r="A1122" s="41">
        <v>512</v>
      </c>
    </row>
    <row r="1123" spans="1:1" x14ac:dyDescent="0.2">
      <c r="A1123" s="41">
        <v>513</v>
      </c>
    </row>
    <row r="1124" spans="1:1" x14ac:dyDescent="0.2">
      <c r="A1124" s="41">
        <v>514</v>
      </c>
    </row>
    <row r="1125" spans="1:1" x14ac:dyDescent="0.2">
      <c r="A1125" s="41">
        <v>515</v>
      </c>
    </row>
    <row r="1126" spans="1:1" x14ac:dyDescent="0.2">
      <c r="A1126" s="41">
        <v>516</v>
      </c>
    </row>
    <row r="1127" spans="1:1" x14ac:dyDescent="0.2">
      <c r="A1127" s="41">
        <v>517</v>
      </c>
    </row>
    <row r="1128" spans="1:1" x14ac:dyDescent="0.2">
      <c r="A1128" s="41">
        <v>518</v>
      </c>
    </row>
    <row r="1129" spans="1:1" x14ac:dyDescent="0.2">
      <c r="A1129" s="41">
        <v>519</v>
      </c>
    </row>
    <row r="1130" spans="1:1" x14ac:dyDescent="0.2">
      <c r="A1130" s="41">
        <v>520</v>
      </c>
    </row>
    <row r="1131" spans="1:1" x14ac:dyDescent="0.2">
      <c r="A1131" s="41">
        <v>521</v>
      </c>
    </row>
    <row r="1132" spans="1:1" x14ac:dyDescent="0.2">
      <c r="A1132" s="41">
        <v>522</v>
      </c>
    </row>
    <row r="1133" spans="1:1" x14ac:dyDescent="0.2">
      <c r="A1133" s="41">
        <v>523</v>
      </c>
    </row>
    <row r="1134" spans="1:1" x14ac:dyDescent="0.2">
      <c r="A1134" s="41">
        <v>524</v>
      </c>
    </row>
    <row r="1135" spans="1:1" x14ac:dyDescent="0.2">
      <c r="A1135" s="41">
        <v>525</v>
      </c>
    </row>
    <row r="1136" spans="1:1" x14ac:dyDescent="0.2">
      <c r="A1136" s="41">
        <v>526</v>
      </c>
    </row>
    <row r="1137" spans="1:1" x14ac:dyDescent="0.2">
      <c r="A1137" s="41">
        <v>527</v>
      </c>
    </row>
    <row r="1138" spans="1:1" x14ac:dyDescent="0.2">
      <c r="A1138" s="41">
        <v>528</v>
      </c>
    </row>
    <row r="1139" spans="1:1" x14ac:dyDescent="0.2">
      <c r="A1139" s="41">
        <v>529</v>
      </c>
    </row>
    <row r="1140" spans="1:1" x14ac:dyDescent="0.2">
      <c r="A1140" s="41">
        <v>530</v>
      </c>
    </row>
    <row r="1141" spans="1:1" x14ac:dyDescent="0.2">
      <c r="A1141" s="41">
        <v>531</v>
      </c>
    </row>
    <row r="1142" spans="1:1" x14ac:dyDescent="0.2">
      <c r="A1142" s="41">
        <v>532</v>
      </c>
    </row>
    <row r="1143" spans="1:1" x14ac:dyDescent="0.2">
      <c r="A1143" s="41">
        <v>533</v>
      </c>
    </row>
    <row r="1144" spans="1:1" x14ac:dyDescent="0.2">
      <c r="A1144" s="41">
        <v>534</v>
      </c>
    </row>
    <row r="1145" spans="1:1" x14ac:dyDescent="0.2">
      <c r="A1145" s="41">
        <v>535</v>
      </c>
    </row>
    <row r="1146" spans="1:1" x14ac:dyDescent="0.2">
      <c r="A1146" s="41">
        <v>536</v>
      </c>
    </row>
    <row r="1147" spans="1:1" x14ac:dyDescent="0.2">
      <c r="A1147" s="41">
        <v>537</v>
      </c>
    </row>
    <row r="1148" spans="1:1" x14ac:dyDescent="0.2">
      <c r="A1148" s="41">
        <v>538</v>
      </c>
    </row>
    <row r="1149" spans="1:1" x14ac:dyDescent="0.2">
      <c r="A1149" s="41">
        <v>539</v>
      </c>
    </row>
    <row r="1150" spans="1:1" x14ac:dyDescent="0.2">
      <c r="A1150" s="41">
        <v>540</v>
      </c>
    </row>
    <row r="1151" spans="1:1" x14ac:dyDescent="0.2">
      <c r="A1151" s="41">
        <v>541</v>
      </c>
    </row>
    <row r="1152" spans="1:1" x14ac:dyDescent="0.2">
      <c r="A1152" s="41">
        <v>542</v>
      </c>
    </row>
    <row r="1153" spans="1:1" x14ac:dyDescent="0.2">
      <c r="A1153" s="41">
        <v>543</v>
      </c>
    </row>
    <row r="1154" spans="1:1" x14ac:dyDescent="0.2">
      <c r="A1154" s="41">
        <v>544</v>
      </c>
    </row>
    <row r="1155" spans="1:1" x14ac:dyDescent="0.2">
      <c r="A1155" s="41">
        <v>545</v>
      </c>
    </row>
    <row r="1156" spans="1:1" x14ac:dyDescent="0.2">
      <c r="A1156" s="41">
        <v>546</v>
      </c>
    </row>
    <row r="1157" spans="1:1" x14ac:dyDescent="0.2">
      <c r="A1157" s="41">
        <v>547</v>
      </c>
    </row>
    <row r="1158" spans="1:1" x14ac:dyDescent="0.2">
      <c r="A1158" s="41">
        <v>548</v>
      </c>
    </row>
    <row r="1159" spans="1:1" x14ac:dyDescent="0.2">
      <c r="A1159" s="41">
        <v>549</v>
      </c>
    </row>
    <row r="1160" spans="1:1" x14ac:dyDescent="0.2">
      <c r="A1160" s="41">
        <v>550</v>
      </c>
    </row>
    <row r="1161" spans="1:1" x14ac:dyDescent="0.2">
      <c r="A1161" s="41">
        <v>551</v>
      </c>
    </row>
    <row r="1162" spans="1:1" x14ac:dyDescent="0.2">
      <c r="A1162" s="41">
        <v>552</v>
      </c>
    </row>
    <row r="1163" spans="1:1" x14ac:dyDescent="0.2">
      <c r="A1163" s="41">
        <v>553</v>
      </c>
    </row>
    <row r="1164" spans="1:1" x14ac:dyDescent="0.2">
      <c r="A1164" s="41">
        <v>554</v>
      </c>
    </row>
    <row r="1165" spans="1:1" x14ac:dyDescent="0.2">
      <c r="A1165" s="41">
        <v>555</v>
      </c>
    </row>
    <row r="1166" spans="1:1" x14ac:dyDescent="0.2">
      <c r="A1166" s="41">
        <v>556</v>
      </c>
    </row>
    <row r="1167" spans="1:1" x14ac:dyDescent="0.2">
      <c r="A1167" s="41">
        <v>557</v>
      </c>
    </row>
    <row r="1168" spans="1:1" x14ac:dyDescent="0.2">
      <c r="A1168" s="41">
        <v>558</v>
      </c>
    </row>
    <row r="1169" spans="1:1" x14ac:dyDescent="0.2">
      <c r="A1169" s="41">
        <v>559</v>
      </c>
    </row>
    <row r="1170" spans="1:1" x14ac:dyDescent="0.2">
      <c r="A1170" s="41">
        <v>560</v>
      </c>
    </row>
    <row r="1171" spans="1:1" x14ac:dyDescent="0.2">
      <c r="A1171" s="41">
        <v>561</v>
      </c>
    </row>
    <row r="1172" spans="1:1" x14ac:dyDescent="0.2">
      <c r="A1172" s="41">
        <v>562</v>
      </c>
    </row>
    <row r="1173" spans="1:1" x14ac:dyDescent="0.2">
      <c r="A1173" s="41">
        <v>563</v>
      </c>
    </row>
    <row r="1174" spans="1:1" x14ac:dyDescent="0.2">
      <c r="A1174" s="41">
        <v>564</v>
      </c>
    </row>
    <row r="1175" spans="1:1" x14ac:dyDescent="0.2">
      <c r="A1175" s="41">
        <v>565</v>
      </c>
    </row>
    <row r="1176" spans="1:1" x14ac:dyDescent="0.2">
      <c r="A1176" s="41">
        <v>566</v>
      </c>
    </row>
    <row r="1177" spans="1:1" x14ac:dyDescent="0.2">
      <c r="A1177" s="41">
        <v>567</v>
      </c>
    </row>
    <row r="1178" spans="1:1" x14ac:dyDescent="0.2">
      <c r="A1178" s="41">
        <v>568</v>
      </c>
    </row>
    <row r="1179" spans="1:1" x14ac:dyDescent="0.2">
      <c r="A1179" s="41">
        <v>569</v>
      </c>
    </row>
    <row r="1180" spans="1:1" x14ac:dyDescent="0.2">
      <c r="A1180" s="41">
        <v>570</v>
      </c>
    </row>
    <row r="1181" spans="1:1" x14ac:dyDescent="0.2">
      <c r="A1181" s="41">
        <v>571</v>
      </c>
    </row>
    <row r="1182" spans="1:1" x14ac:dyDescent="0.2">
      <c r="A1182" s="41">
        <v>572</v>
      </c>
    </row>
    <row r="1183" spans="1:1" x14ac:dyDescent="0.2">
      <c r="A1183" s="41">
        <v>573</v>
      </c>
    </row>
    <row r="1184" spans="1:1" x14ac:dyDescent="0.2">
      <c r="A1184" s="41">
        <v>574</v>
      </c>
    </row>
    <row r="1185" spans="1:1" x14ac:dyDescent="0.2">
      <c r="A1185" s="41">
        <v>575</v>
      </c>
    </row>
    <row r="1186" spans="1:1" x14ac:dyDescent="0.2">
      <c r="A1186" s="41">
        <v>576</v>
      </c>
    </row>
    <row r="1187" spans="1:1" x14ac:dyDescent="0.2">
      <c r="A1187" s="41">
        <v>577</v>
      </c>
    </row>
    <row r="1188" spans="1:1" x14ac:dyDescent="0.2">
      <c r="A1188" s="41">
        <v>578</v>
      </c>
    </row>
    <row r="1189" spans="1:1" x14ac:dyDescent="0.2">
      <c r="A1189" s="41">
        <v>579</v>
      </c>
    </row>
    <row r="1190" spans="1:1" x14ac:dyDescent="0.2">
      <c r="A1190" s="41">
        <v>580</v>
      </c>
    </row>
    <row r="1191" spans="1:1" x14ac:dyDescent="0.2">
      <c r="A1191" s="41">
        <v>581</v>
      </c>
    </row>
    <row r="1192" spans="1:1" x14ac:dyDescent="0.2">
      <c r="A1192" s="41">
        <v>582</v>
      </c>
    </row>
    <row r="1193" spans="1:1" x14ac:dyDescent="0.2">
      <c r="A1193" s="41">
        <v>583</v>
      </c>
    </row>
    <row r="1194" spans="1:1" x14ac:dyDescent="0.2">
      <c r="A1194" s="41">
        <v>584</v>
      </c>
    </row>
    <row r="1195" spans="1:1" x14ac:dyDescent="0.2">
      <c r="A1195" s="41">
        <v>585</v>
      </c>
    </row>
    <row r="1196" spans="1:1" x14ac:dyDescent="0.2">
      <c r="A1196" s="41">
        <v>586</v>
      </c>
    </row>
    <row r="1197" spans="1:1" x14ac:dyDescent="0.2">
      <c r="A1197" s="41">
        <v>587</v>
      </c>
    </row>
    <row r="1198" spans="1:1" x14ac:dyDescent="0.2">
      <c r="A1198" s="41">
        <v>588</v>
      </c>
    </row>
    <row r="1199" spans="1:1" x14ac:dyDescent="0.2">
      <c r="A1199" s="41">
        <v>589</v>
      </c>
    </row>
    <row r="1200" spans="1:1" x14ac:dyDescent="0.2">
      <c r="A1200" s="41">
        <v>590</v>
      </c>
    </row>
    <row r="1201" spans="1:1" x14ac:dyDescent="0.2">
      <c r="A1201" s="41">
        <v>591</v>
      </c>
    </row>
    <row r="1202" spans="1:1" x14ac:dyDescent="0.2">
      <c r="A1202" s="41">
        <v>592</v>
      </c>
    </row>
    <row r="1203" spans="1:1" x14ac:dyDescent="0.2">
      <c r="A1203" s="41">
        <v>593</v>
      </c>
    </row>
    <row r="1204" spans="1:1" x14ac:dyDescent="0.2">
      <c r="A1204" s="41">
        <v>594</v>
      </c>
    </row>
    <row r="1205" spans="1:1" x14ac:dyDescent="0.2">
      <c r="A1205" s="41">
        <v>595</v>
      </c>
    </row>
    <row r="1206" spans="1:1" x14ac:dyDescent="0.2">
      <c r="A1206" s="41">
        <v>596</v>
      </c>
    </row>
    <row r="1207" spans="1:1" x14ac:dyDescent="0.2">
      <c r="A1207" s="41">
        <v>597</v>
      </c>
    </row>
    <row r="1208" spans="1:1" x14ac:dyDescent="0.2">
      <c r="A1208" s="41">
        <v>598</v>
      </c>
    </row>
    <row r="1209" spans="1:1" x14ac:dyDescent="0.2">
      <c r="A1209" s="41">
        <v>599</v>
      </c>
    </row>
    <row r="1210" spans="1:1" x14ac:dyDescent="0.2">
      <c r="A1210" s="41">
        <v>600</v>
      </c>
    </row>
    <row r="1211" spans="1:1" x14ac:dyDescent="0.2">
      <c r="A1211" s="41">
        <v>601</v>
      </c>
    </row>
    <row r="1212" spans="1:1" x14ac:dyDescent="0.2">
      <c r="A1212" s="41">
        <v>602</v>
      </c>
    </row>
    <row r="1213" spans="1:1" x14ac:dyDescent="0.2">
      <c r="A1213" s="41">
        <v>603</v>
      </c>
    </row>
    <row r="1214" spans="1:1" x14ac:dyDescent="0.2">
      <c r="A1214" s="41">
        <v>604</v>
      </c>
    </row>
    <row r="1215" spans="1:1" x14ac:dyDescent="0.2">
      <c r="A1215" s="41">
        <v>605</v>
      </c>
    </row>
    <row r="1216" spans="1:1" x14ac:dyDescent="0.2">
      <c r="A1216" s="41">
        <v>606</v>
      </c>
    </row>
    <row r="1217" spans="1:1" x14ac:dyDescent="0.2">
      <c r="A1217" s="41">
        <v>607</v>
      </c>
    </row>
    <row r="1218" spans="1:1" x14ac:dyDescent="0.2">
      <c r="A1218" s="41">
        <v>608</v>
      </c>
    </row>
    <row r="1219" spans="1:1" x14ac:dyDescent="0.2">
      <c r="A1219" s="41">
        <v>609</v>
      </c>
    </row>
    <row r="1220" spans="1:1" x14ac:dyDescent="0.2">
      <c r="A1220" s="41">
        <v>610</v>
      </c>
    </row>
    <row r="1221" spans="1:1" x14ac:dyDescent="0.2">
      <c r="A1221" s="41">
        <v>611</v>
      </c>
    </row>
    <row r="1222" spans="1:1" x14ac:dyDescent="0.2">
      <c r="A1222" s="41">
        <v>612</v>
      </c>
    </row>
    <row r="1223" spans="1:1" x14ac:dyDescent="0.2">
      <c r="A1223" s="41">
        <v>613</v>
      </c>
    </row>
    <row r="1224" spans="1:1" x14ac:dyDescent="0.2">
      <c r="A1224" s="41">
        <v>614</v>
      </c>
    </row>
    <row r="1225" spans="1:1" x14ac:dyDescent="0.2">
      <c r="A1225" s="41">
        <v>615</v>
      </c>
    </row>
    <row r="1226" spans="1:1" x14ac:dyDescent="0.2">
      <c r="A1226" s="41">
        <v>616</v>
      </c>
    </row>
    <row r="1227" spans="1:1" x14ac:dyDescent="0.2">
      <c r="A1227" s="41">
        <v>617</v>
      </c>
    </row>
    <row r="1228" spans="1:1" x14ac:dyDescent="0.2">
      <c r="A1228" s="41">
        <v>618</v>
      </c>
    </row>
    <row r="1229" spans="1:1" x14ac:dyDescent="0.2">
      <c r="A1229" s="41">
        <v>619</v>
      </c>
    </row>
    <row r="1230" spans="1:1" x14ac:dyDescent="0.2">
      <c r="A1230" s="41">
        <v>620</v>
      </c>
    </row>
    <row r="1231" spans="1:1" x14ac:dyDescent="0.2">
      <c r="A1231" s="41">
        <v>621</v>
      </c>
    </row>
    <row r="1232" spans="1:1" x14ac:dyDescent="0.2">
      <c r="A1232" s="41">
        <v>622</v>
      </c>
    </row>
    <row r="1233" spans="1:1" x14ac:dyDescent="0.2">
      <c r="A1233" s="41">
        <v>623</v>
      </c>
    </row>
    <row r="1234" spans="1:1" x14ac:dyDescent="0.2">
      <c r="A1234" s="41">
        <v>624</v>
      </c>
    </row>
    <row r="1235" spans="1:1" x14ac:dyDescent="0.2">
      <c r="A1235" s="41">
        <v>625</v>
      </c>
    </row>
    <row r="1236" spans="1:1" x14ac:dyDescent="0.2">
      <c r="A1236" s="41">
        <v>626</v>
      </c>
    </row>
    <row r="1237" spans="1:1" x14ac:dyDescent="0.2">
      <c r="A1237" s="41">
        <v>627</v>
      </c>
    </row>
    <row r="1238" spans="1:1" x14ac:dyDescent="0.2">
      <c r="A1238" s="41">
        <v>628</v>
      </c>
    </row>
    <row r="1239" spans="1:1" x14ac:dyDescent="0.2">
      <c r="A1239" s="41">
        <v>629</v>
      </c>
    </row>
    <row r="1240" spans="1:1" x14ac:dyDescent="0.2">
      <c r="A1240" s="41">
        <v>630</v>
      </c>
    </row>
    <row r="1241" spans="1:1" x14ac:dyDescent="0.2">
      <c r="A1241" s="41">
        <v>631</v>
      </c>
    </row>
    <row r="1242" spans="1:1" x14ac:dyDescent="0.2">
      <c r="A1242" s="41">
        <v>632</v>
      </c>
    </row>
    <row r="1243" spans="1:1" x14ac:dyDescent="0.2">
      <c r="A1243" s="41">
        <v>633</v>
      </c>
    </row>
    <row r="1244" spans="1:1" x14ac:dyDescent="0.2">
      <c r="A1244" s="41">
        <v>634</v>
      </c>
    </row>
    <row r="1245" spans="1:1" x14ac:dyDescent="0.2">
      <c r="A1245" s="41">
        <v>635</v>
      </c>
    </row>
    <row r="1246" spans="1:1" x14ac:dyDescent="0.2">
      <c r="A1246" s="41">
        <v>636</v>
      </c>
    </row>
    <row r="1247" spans="1:1" x14ac:dyDescent="0.2">
      <c r="A1247" s="41">
        <v>637</v>
      </c>
    </row>
    <row r="1248" spans="1:1" x14ac:dyDescent="0.2">
      <c r="A1248" s="41">
        <v>638</v>
      </c>
    </row>
    <row r="1249" spans="1:1" x14ac:dyDescent="0.2">
      <c r="A1249" s="41">
        <v>639</v>
      </c>
    </row>
    <row r="1250" spans="1:1" x14ac:dyDescent="0.2">
      <c r="A1250" s="41">
        <v>640</v>
      </c>
    </row>
    <row r="1251" spans="1:1" x14ac:dyDescent="0.2">
      <c r="A1251" s="41">
        <v>641</v>
      </c>
    </row>
    <row r="1252" spans="1:1" x14ac:dyDescent="0.2">
      <c r="A1252" s="41">
        <v>642</v>
      </c>
    </row>
    <row r="1253" spans="1:1" x14ac:dyDescent="0.2">
      <c r="A1253" s="41">
        <v>643</v>
      </c>
    </row>
    <row r="1254" spans="1:1" x14ac:dyDescent="0.2">
      <c r="A1254" s="41">
        <v>644</v>
      </c>
    </row>
    <row r="1255" spans="1:1" x14ac:dyDescent="0.2">
      <c r="A1255" s="41">
        <v>645</v>
      </c>
    </row>
    <row r="1256" spans="1:1" x14ac:dyDescent="0.2">
      <c r="A1256" s="41">
        <v>646</v>
      </c>
    </row>
    <row r="1257" spans="1:1" x14ac:dyDescent="0.2">
      <c r="A1257" s="41">
        <v>647</v>
      </c>
    </row>
    <row r="1258" spans="1:1" x14ac:dyDescent="0.2">
      <c r="A1258" s="41">
        <v>648</v>
      </c>
    </row>
    <row r="1259" spans="1:1" x14ac:dyDescent="0.2">
      <c r="A1259" s="41">
        <v>649</v>
      </c>
    </row>
    <row r="1260" spans="1:1" x14ac:dyDescent="0.2">
      <c r="A1260" s="41">
        <v>650</v>
      </c>
    </row>
    <row r="1261" spans="1:1" x14ac:dyDescent="0.2">
      <c r="A1261" s="41">
        <v>651</v>
      </c>
    </row>
    <row r="1262" spans="1:1" x14ac:dyDescent="0.2">
      <c r="A1262" s="41">
        <v>652</v>
      </c>
    </row>
    <row r="1263" spans="1:1" x14ac:dyDescent="0.2">
      <c r="A1263" s="41">
        <v>653</v>
      </c>
    </row>
    <row r="1264" spans="1:1" x14ac:dyDescent="0.2">
      <c r="A1264" s="41">
        <v>654</v>
      </c>
    </row>
    <row r="1265" spans="1:1" x14ac:dyDescent="0.2">
      <c r="A1265" s="41">
        <v>655</v>
      </c>
    </row>
    <row r="1266" spans="1:1" x14ac:dyDescent="0.2">
      <c r="A1266" s="41">
        <v>656</v>
      </c>
    </row>
    <row r="1267" spans="1:1" x14ac:dyDescent="0.2">
      <c r="A1267" s="41">
        <v>657</v>
      </c>
    </row>
    <row r="1268" spans="1:1" x14ac:dyDescent="0.2">
      <c r="A1268" s="41">
        <v>658</v>
      </c>
    </row>
    <row r="1269" spans="1:1" x14ac:dyDescent="0.2">
      <c r="A1269" s="41">
        <v>659</v>
      </c>
    </row>
    <row r="1270" spans="1:1" x14ac:dyDescent="0.2">
      <c r="A1270" s="41">
        <v>660</v>
      </c>
    </row>
    <row r="1271" spans="1:1" x14ac:dyDescent="0.2">
      <c r="A1271" s="41">
        <v>661</v>
      </c>
    </row>
    <row r="1272" spans="1:1" x14ac:dyDescent="0.2">
      <c r="A1272" s="41">
        <v>662</v>
      </c>
    </row>
    <row r="1273" spans="1:1" x14ac:dyDescent="0.2">
      <c r="A1273" s="41">
        <v>663</v>
      </c>
    </row>
    <row r="1274" spans="1:1" x14ac:dyDescent="0.2">
      <c r="A1274" s="41">
        <v>664</v>
      </c>
    </row>
    <row r="1275" spans="1:1" x14ac:dyDescent="0.2">
      <c r="A1275" s="41">
        <v>665</v>
      </c>
    </row>
    <row r="1276" spans="1:1" x14ac:dyDescent="0.2">
      <c r="A1276" s="41">
        <v>666</v>
      </c>
    </row>
    <row r="1277" spans="1:1" x14ac:dyDescent="0.2">
      <c r="A1277" s="41">
        <v>667</v>
      </c>
    </row>
    <row r="1278" spans="1:1" x14ac:dyDescent="0.2">
      <c r="A1278" s="41">
        <v>668</v>
      </c>
    </row>
    <row r="1279" spans="1:1" x14ac:dyDescent="0.2">
      <c r="A1279" s="41">
        <v>669</v>
      </c>
    </row>
    <row r="1280" spans="1:1" x14ac:dyDescent="0.2">
      <c r="A1280" s="41">
        <v>670</v>
      </c>
    </row>
    <row r="1281" spans="1:1" x14ac:dyDescent="0.2">
      <c r="A1281" s="41">
        <v>671</v>
      </c>
    </row>
    <row r="1282" spans="1:1" x14ac:dyDescent="0.2">
      <c r="A1282" s="41">
        <v>672</v>
      </c>
    </row>
    <row r="1283" spans="1:1" x14ac:dyDescent="0.2">
      <c r="A1283" s="41">
        <v>673</v>
      </c>
    </row>
    <row r="1284" spans="1:1" x14ac:dyDescent="0.2">
      <c r="A1284" s="41">
        <v>674</v>
      </c>
    </row>
    <row r="1285" spans="1:1" x14ac:dyDescent="0.2">
      <c r="A1285" s="41">
        <v>675</v>
      </c>
    </row>
    <row r="1286" spans="1:1" x14ac:dyDescent="0.2">
      <c r="A1286" s="41">
        <v>676</v>
      </c>
    </row>
    <row r="1287" spans="1:1" x14ac:dyDescent="0.2">
      <c r="A1287" s="41">
        <v>677</v>
      </c>
    </row>
    <row r="1288" spans="1:1" x14ac:dyDescent="0.2">
      <c r="A1288" s="41">
        <v>678</v>
      </c>
    </row>
    <row r="1289" spans="1:1" x14ac:dyDescent="0.2">
      <c r="A1289" s="41">
        <v>679</v>
      </c>
    </row>
    <row r="1290" spans="1:1" x14ac:dyDescent="0.2">
      <c r="A1290" s="41">
        <v>680</v>
      </c>
    </row>
    <row r="1291" spans="1:1" x14ac:dyDescent="0.2">
      <c r="A1291" s="41">
        <v>681</v>
      </c>
    </row>
    <row r="1292" spans="1:1" x14ac:dyDescent="0.2">
      <c r="A1292" s="41">
        <v>682</v>
      </c>
    </row>
    <row r="1293" spans="1:1" x14ac:dyDescent="0.2">
      <c r="A1293" s="41">
        <v>683</v>
      </c>
    </row>
    <row r="1294" spans="1:1" x14ac:dyDescent="0.2">
      <c r="A1294" s="41">
        <v>684</v>
      </c>
    </row>
    <row r="1295" spans="1:1" x14ac:dyDescent="0.2">
      <c r="A1295" s="41">
        <v>685</v>
      </c>
    </row>
    <row r="1296" spans="1:1" x14ac:dyDescent="0.2">
      <c r="A1296" s="41">
        <v>686</v>
      </c>
    </row>
    <row r="1297" spans="1:1" x14ac:dyDescent="0.2">
      <c r="A1297" s="41">
        <v>687</v>
      </c>
    </row>
    <row r="1298" spans="1:1" x14ac:dyDescent="0.2">
      <c r="A1298" s="41">
        <v>688</v>
      </c>
    </row>
    <row r="1299" spans="1:1" x14ac:dyDescent="0.2">
      <c r="A1299" s="41">
        <v>689</v>
      </c>
    </row>
    <row r="1300" spans="1:1" x14ac:dyDescent="0.2">
      <c r="A1300" s="41">
        <v>690</v>
      </c>
    </row>
    <row r="1301" spans="1:1" x14ac:dyDescent="0.2">
      <c r="A1301" s="41">
        <v>691</v>
      </c>
    </row>
    <row r="1302" spans="1:1" x14ac:dyDescent="0.2">
      <c r="A1302" s="41">
        <v>692</v>
      </c>
    </row>
    <row r="1303" spans="1:1" x14ac:dyDescent="0.2">
      <c r="A1303" s="41">
        <v>693</v>
      </c>
    </row>
    <row r="1304" spans="1:1" x14ac:dyDescent="0.2">
      <c r="A1304" s="41">
        <v>694</v>
      </c>
    </row>
    <row r="1305" spans="1:1" x14ac:dyDescent="0.2">
      <c r="A1305" s="41">
        <v>695</v>
      </c>
    </row>
    <row r="1306" spans="1:1" x14ac:dyDescent="0.2">
      <c r="A1306" s="41">
        <v>696</v>
      </c>
    </row>
    <row r="1307" spans="1:1" x14ac:dyDescent="0.2">
      <c r="A1307" s="41">
        <v>697</v>
      </c>
    </row>
    <row r="1308" spans="1:1" x14ac:dyDescent="0.2">
      <c r="A1308" s="41">
        <v>698</v>
      </c>
    </row>
    <row r="1309" spans="1:1" x14ac:dyDescent="0.2">
      <c r="A1309" s="41">
        <v>699</v>
      </c>
    </row>
    <row r="1310" spans="1:1" x14ac:dyDescent="0.2">
      <c r="A1310" s="41">
        <v>700</v>
      </c>
    </row>
    <row r="1311" spans="1:1" x14ac:dyDescent="0.2">
      <c r="A1311" s="41">
        <v>701</v>
      </c>
    </row>
    <row r="1312" spans="1:1" x14ac:dyDescent="0.2">
      <c r="A1312" s="41">
        <v>702</v>
      </c>
    </row>
  </sheetData>
  <mergeCells count="33">
    <mergeCell ref="A580:A610"/>
    <mergeCell ref="A399:A426"/>
    <mergeCell ref="A427:A457"/>
    <mergeCell ref="A458:A487"/>
    <mergeCell ref="A488:A518"/>
    <mergeCell ref="A519:A548"/>
    <mergeCell ref="A549:A579"/>
    <mergeCell ref="A276:A306"/>
    <mergeCell ref="BM1:BQ2"/>
    <mergeCell ref="BR1:BR2"/>
    <mergeCell ref="BS1:BT1"/>
    <mergeCell ref="BS2:BT2"/>
    <mergeCell ref="A4:A33"/>
    <mergeCell ref="A34:A61"/>
    <mergeCell ref="A62:A92"/>
    <mergeCell ref="A93:A122"/>
    <mergeCell ref="A123:A153"/>
    <mergeCell ref="A307:A336"/>
    <mergeCell ref="A337:A367"/>
    <mergeCell ref="A368:A398"/>
    <mergeCell ref="BB1:BH2"/>
    <mergeCell ref="J2:K2"/>
    <mergeCell ref="AL1:AR2"/>
    <mergeCell ref="I1:I2"/>
    <mergeCell ref="J1:K1"/>
    <mergeCell ref="L1:L2"/>
    <mergeCell ref="V1:Y2"/>
    <mergeCell ref="Z1:AB2"/>
    <mergeCell ref="D1:H2"/>
    <mergeCell ref="A154:A183"/>
    <mergeCell ref="A184:A214"/>
    <mergeCell ref="A215:A245"/>
    <mergeCell ref="A246:A27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E789-1550-4DB9-A5CB-E971F16DA102}">
  <dimension ref="A1:K52"/>
  <sheetViews>
    <sheetView tabSelected="1" topLeftCell="A10" workbookViewId="0">
      <selection activeCell="B40" sqref="B40"/>
    </sheetView>
  </sheetViews>
  <sheetFormatPr baseColWidth="10" defaultColWidth="8.83203125" defaultRowHeight="15" x14ac:dyDescent="0.2"/>
  <cols>
    <col min="1" max="1" width="17.5" customWidth="1"/>
    <col min="2" max="2" width="14" bestFit="1" customWidth="1"/>
    <col min="3" max="3" width="11.5" bestFit="1" customWidth="1"/>
    <col min="8" max="8" width="25.1640625" bestFit="1" customWidth="1"/>
    <col min="9" max="9" width="37" bestFit="1" customWidth="1"/>
    <col min="10" max="10" width="17.83203125" customWidth="1"/>
    <col min="11" max="11" width="17" customWidth="1"/>
  </cols>
  <sheetData>
    <row r="1" spans="1:11" x14ac:dyDescent="0.2">
      <c r="A1" s="55" t="s">
        <v>146</v>
      </c>
      <c r="B1" s="55"/>
      <c r="C1" s="55"/>
      <c r="D1" s="55"/>
      <c r="E1" s="55"/>
      <c r="F1" s="16"/>
      <c r="G1" s="16"/>
      <c r="H1" s="55" t="s">
        <v>147</v>
      </c>
      <c r="I1" s="55"/>
      <c r="J1" s="55"/>
      <c r="K1" s="55"/>
    </row>
    <row r="2" spans="1:11" x14ac:dyDescent="0.2">
      <c r="A2" s="4" t="s">
        <v>1</v>
      </c>
      <c r="B2" s="44" t="s">
        <v>147</v>
      </c>
      <c r="C2" s="45" t="s">
        <v>148</v>
      </c>
      <c r="D2" s="45" t="s">
        <v>149</v>
      </c>
      <c r="E2" s="45" t="s">
        <v>150</v>
      </c>
      <c r="F2" s="16"/>
      <c r="G2" s="6" t="s">
        <v>1</v>
      </c>
      <c r="H2" s="45" t="s">
        <v>151</v>
      </c>
      <c r="I2" s="45" t="s">
        <v>152</v>
      </c>
      <c r="J2" s="77" t="s">
        <v>153</v>
      </c>
      <c r="K2" s="77"/>
    </row>
    <row r="3" spans="1:11" ht="16" x14ac:dyDescent="0.2">
      <c r="A3" s="6">
        <v>2012</v>
      </c>
      <c r="B3" s="46">
        <v>1</v>
      </c>
      <c r="C3" s="46">
        <v>7</v>
      </c>
      <c r="D3" s="46">
        <v>7</v>
      </c>
      <c r="E3" s="46">
        <v>12</v>
      </c>
      <c r="F3" s="16"/>
      <c r="G3" s="6">
        <v>2012</v>
      </c>
      <c r="H3" s="28"/>
      <c r="I3" s="47">
        <f>B16</f>
        <v>3.7037037037037035E-2</v>
      </c>
      <c r="J3" s="47"/>
      <c r="K3" s="47"/>
    </row>
    <row r="4" spans="1:11" ht="16" x14ac:dyDescent="0.2">
      <c r="A4" s="6">
        <v>2013</v>
      </c>
      <c r="B4" s="46">
        <v>0</v>
      </c>
      <c r="C4" s="46">
        <v>13</v>
      </c>
      <c r="D4" s="46">
        <v>10</v>
      </c>
      <c r="E4" s="46">
        <v>11</v>
      </c>
      <c r="F4" s="16"/>
      <c r="G4" s="6">
        <v>2013</v>
      </c>
      <c r="H4" s="28"/>
      <c r="I4" s="47">
        <f>0.6*B17+0.4*I3</f>
        <v>1.4814814814814815E-2</v>
      </c>
      <c r="J4" s="47">
        <f>B17</f>
        <v>0</v>
      </c>
      <c r="K4" s="47">
        <f>B17-B16</f>
        <v>-3.7037037037037035E-2</v>
      </c>
    </row>
    <row r="5" spans="1:11" ht="16" x14ac:dyDescent="0.2">
      <c r="A5" s="6">
        <v>2014</v>
      </c>
      <c r="B5" s="46">
        <v>0</v>
      </c>
      <c r="C5" s="46">
        <v>10</v>
      </c>
      <c r="D5" s="46">
        <v>19</v>
      </c>
      <c r="E5" s="46">
        <v>7</v>
      </c>
      <c r="F5" s="16"/>
      <c r="G5" s="6">
        <v>2014</v>
      </c>
      <c r="H5" s="47">
        <f>AVERAGE(B16:B18)</f>
        <v>1.2345679012345678E-2</v>
      </c>
      <c r="I5" s="47">
        <f t="shared" ref="I5:I12" si="0">0.6*B18+0.4*I4</f>
        <v>5.9259259259259265E-3</v>
      </c>
      <c r="J5" s="47">
        <f>B18*0.7+(1-0.7)*(J4+K4)</f>
        <v>-1.1111111111111112E-2</v>
      </c>
      <c r="K5" s="47">
        <f>0.3*(J5-J4)+(1-0.3)*K4</f>
        <v>-2.9259259259259256E-2</v>
      </c>
    </row>
    <row r="6" spans="1:11" ht="16" x14ac:dyDescent="0.2">
      <c r="A6" s="6">
        <v>2015</v>
      </c>
      <c r="B6" s="46">
        <v>5</v>
      </c>
      <c r="C6" s="46">
        <v>8</v>
      </c>
      <c r="D6" s="46">
        <v>11</v>
      </c>
      <c r="E6" s="46">
        <v>11</v>
      </c>
      <c r="F6" s="16"/>
      <c r="G6" s="6">
        <v>2015</v>
      </c>
      <c r="H6" s="47">
        <f t="shared" ref="H6:H11" si="1">AVERAGE(B17:B19)</f>
        <v>4.7619047619047616E-2</v>
      </c>
      <c r="I6" s="47">
        <f t="shared" si="0"/>
        <v>8.8084656084656071E-2</v>
      </c>
      <c r="J6" s="47">
        <f t="shared" ref="J6:J12" si="2">B19*0.7+(1-0.7)*(J5+K5)</f>
        <v>8.7888888888888878E-2</v>
      </c>
      <c r="K6" s="47">
        <f t="shared" ref="K6:K12" si="3">0.3*(J6-J5)+(1-0.3)*K5</f>
        <v>9.2185185185185183E-3</v>
      </c>
    </row>
    <row r="7" spans="1:11" ht="16" x14ac:dyDescent="0.2">
      <c r="A7" s="6">
        <v>2016</v>
      </c>
      <c r="B7" s="46">
        <v>2</v>
      </c>
      <c r="C7" s="46">
        <v>11</v>
      </c>
      <c r="D7" s="46">
        <v>10</v>
      </c>
      <c r="E7" s="46">
        <v>9</v>
      </c>
      <c r="F7" s="16"/>
      <c r="G7" s="6">
        <v>2016</v>
      </c>
      <c r="H7" s="47">
        <f t="shared" si="1"/>
        <v>6.8452380952380945E-2</v>
      </c>
      <c r="I7" s="47">
        <f t="shared" si="0"/>
        <v>7.2733862433862428E-2</v>
      </c>
      <c r="J7" s="47">
        <f t="shared" si="2"/>
        <v>7.2882222222222223E-2</v>
      </c>
      <c r="K7" s="47">
        <f t="shared" si="3"/>
        <v>1.950962962962966E-3</v>
      </c>
    </row>
    <row r="8" spans="1:11" ht="16" x14ac:dyDescent="0.2">
      <c r="A8" s="6">
        <v>2017</v>
      </c>
      <c r="B8" s="42">
        <v>0</v>
      </c>
      <c r="C8" s="43">
        <v>6</v>
      </c>
      <c r="D8" s="43">
        <v>15</v>
      </c>
      <c r="E8" s="43">
        <v>13</v>
      </c>
      <c r="F8" s="16"/>
      <c r="G8" s="6">
        <v>2017</v>
      </c>
      <c r="H8" s="47">
        <f t="shared" si="1"/>
        <v>6.8452380952380945E-2</v>
      </c>
      <c r="I8" s="47">
        <f t="shared" si="0"/>
        <v>2.9093544973544973E-2</v>
      </c>
      <c r="J8" s="47">
        <f t="shared" si="2"/>
        <v>2.2449955555555557E-2</v>
      </c>
      <c r="K8" s="47">
        <f t="shared" si="3"/>
        <v>-1.3764005925925924E-2</v>
      </c>
    </row>
    <row r="9" spans="1:11" ht="16" x14ac:dyDescent="0.2">
      <c r="A9" s="6">
        <v>2018</v>
      </c>
      <c r="B9" s="46">
        <v>0</v>
      </c>
      <c r="C9" s="43">
        <v>11</v>
      </c>
      <c r="D9" s="43">
        <v>11</v>
      </c>
      <c r="E9" s="43">
        <v>9</v>
      </c>
      <c r="F9" s="16"/>
      <c r="G9" s="6">
        <v>2018</v>
      </c>
      <c r="H9" s="47">
        <f t="shared" si="1"/>
        <v>2.0833333333333332E-2</v>
      </c>
      <c r="I9" s="47">
        <f t="shared" si="0"/>
        <v>1.1637417989417989E-2</v>
      </c>
      <c r="J9" s="47">
        <f t="shared" si="2"/>
        <v>2.6057848888888903E-3</v>
      </c>
      <c r="K9" s="47">
        <f t="shared" si="3"/>
        <v>-1.5588055348148146E-2</v>
      </c>
    </row>
    <row r="10" spans="1:11" ht="16" x14ac:dyDescent="0.2">
      <c r="A10" s="6">
        <v>2019</v>
      </c>
      <c r="B10" s="53">
        <v>0</v>
      </c>
      <c r="C10" s="53">
        <v>10</v>
      </c>
      <c r="D10" s="53">
        <v>9</v>
      </c>
      <c r="E10" s="53">
        <v>11</v>
      </c>
      <c r="F10" s="16"/>
      <c r="G10" s="6">
        <v>2019</v>
      </c>
      <c r="H10" s="47">
        <f t="shared" si="1"/>
        <v>0</v>
      </c>
      <c r="I10" s="47">
        <f t="shared" si="0"/>
        <v>4.6549671957671962E-3</v>
      </c>
      <c r="J10" s="47">
        <f t="shared" si="2"/>
        <v>-3.8946811377777776E-3</v>
      </c>
      <c r="K10" s="47">
        <f t="shared" si="3"/>
        <v>-1.2861778551703701E-2</v>
      </c>
    </row>
    <row r="11" spans="1:11" ht="16" x14ac:dyDescent="0.2">
      <c r="A11" s="6">
        <v>2020</v>
      </c>
      <c r="B11" s="53">
        <v>1</v>
      </c>
      <c r="C11" s="53">
        <v>9</v>
      </c>
      <c r="D11" s="53">
        <v>13</v>
      </c>
      <c r="E11" s="53">
        <v>10</v>
      </c>
      <c r="F11" s="16"/>
      <c r="G11" s="6">
        <v>2020</v>
      </c>
      <c r="H11" s="48">
        <f t="shared" si="1"/>
        <v>1.0101010101010102E-2</v>
      </c>
      <c r="I11" s="47">
        <f t="shared" si="0"/>
        <v>2.0043805060125059E-2</v>
      </c>
      <c r="J11" s="47">
        <f t="shared" si="2"/>
        <v>1.6185183305276764E-2</v>
      </c>
      <c r="K11" s="47">
        <f t="shared" si="3"/>
        <v>-2.9792856532762282E-3</v>
      </c>
    </row>
    <row r="12" spans="1:11" ht="16" x14ac:dyDescent="0.2">
      <c r="A12" s="6">
        <v>2021</v>
      </c>
      <c r="B12" s="53">
        <v>3</v>
      </c>
      <c r="C12" s="53">
        <v>12</v>
      </c>
      <c r="D12" s="53">
        <v>12</v>
      </c>
      <c r="E12" s="53">
        <v>12</v>
      </c>
      <c r="F12" s="16"/>
      <c r="G12" s="49">
        <v>2021</v>
      </c>
      <c r="H12" s="47">
        <f>AVERAGE(B23:B25)</f>
        <v>3.5742035742035744E-2</v>
      </c>
      <c r="I12" s="47">
        <f t="shared" si="0"/>
        <v>5.4171368177896181E-2</v>
      </c>
      <c r="J12" s="47">
        <f t="shared" si="2"/>
        <v>5.7807923141754008E-2</v>
      </c>
      <c r="K12" s="47">
        <f t="shared" si="3"/>
        <v>1.0401321993649813E-2</v>
      </c>
    </row>
    <row r="13" spans="1:11" x14ac:dyDescent="0.2">
      <c r="A13" s="16"/>
      <c r="B13" s="16"/>
      <c r="C13" s="16"/>
      <c r="D13" s="16"/>
      <c r="E13" s="16"/>
      <c r="F13" s="16"/>
      <c r="G13" s="52"/>
      <c r="H13" s="50">
        <f>H12</f>
        <v>3.5742035742035744E-2</v>
      </c>
      <c r="I13" s="50">
        <f>I12</f>
        <v>5.4171368177896181E-2</v>
      </c>
      <c r="J13" s="78">
        <f>J12+K12</f>
        <v>6.8209245135403829E-2</v>
      </c>
      <c r="K13" s="79"/>
    </row>
    <row r="14" spans="1:11" x14ac:dyDescent="0.2">
      <c r="A14" s="55" t="s">
        <v>146</v>
      </c>
      <c r="B14" s="55"/>
      <c r="C14" s="55"/>
      <c r="D14" s="55"/>
      <c r="E14" s="55"/>
      <c r="F14" s="16"/>
      <c r="G14" s="16"/>
      <c r="H14" s="55" t="s">
        <v>148</v>
      </c>
      <c r="I14" s="55"/>
      <c r="J14" s="55"/>
      <c r="K14" s="55"/>
    </row>
    <row r="15" spans="1:11" x14ac:dyDescent="0.2">
      <c r="A15" s="4" t="s">
        <v>1</v>
      </c>
      <c r="B15" s="44" t="s">
        <v>147</v>
      </c>
      <c r="C15" s="45" t="s">
        <v>148</v>
      </c>
      <c r="D15" s="45" t="s">
        <v>149</v>
      </c>
      <c r="E15" s="45" t="s">
        <v>150</v>
      </c>
      <c r="F15" s="16"/>
      <c r="G15" s="6" t="s">
        <v>1</v>
      </c>
      <c r="H15" s="17" t="s">
        <v>151</v>
      </c>
      <c r="I15" s="17" t="s">
        <v>152</v>
      </c>
      <c r="J15" s="80" t="s">
        <v>153</v>
      </c>
      <c r="K15" s="80"/>
    </row>
    <row r="16" spans="1:11" ht="16" x14ac:dyDescent="0.2">
      <c r="A16" s="6">
        <v>2012</v>
      </c>
      <c r="B16" s="51">
        <f>B3/SUM($B3:$E3)</f>
        <v>3.7037037037037035E-2</v>
      </c>
      <c r="C16" s="51">
        <f t="shared" ref="C16:E16" si="4">C3/SUM($B3:$E3)</f>
        <v>0.25925925925925924</v>
      </c>
      <c r="D16" s="51">
        <f t="shared" si="4"/>
        <v>0.25925925925925924</v>
      </c>
      <c r="E16" s="51">
        <f t="shared" si="4"/>
        <v>0.44444444444444442</v>
      </c>
      <c r="F16" s="16"/>
      <c r="G16" s="6">
        <v>2012</v>
      </c>
      <c r="H16" s="28"/>
      <c r="I16" s="47">
        <f>C16</f>
        <v>0.25925925925925924</v>
      </c>
      <c r="J16" s="47"/>
      <c r="K16" s="47"/>
    </row>
    <row r="17" spans="1:11" ht="16" x14ac:dyDescent="0.2">
      <c r="A17" s="6">
        <v>2013</v>
      </c>
      <c r="B17" s="51">
        <f t="shared" ref="B17:E17" si="5">B4/SUM($B4:$E4)</f>
        <v>0</v>
      </c>
      <c r="C17" s="51">
        <f t="shared" si="5"/>
        <v>0.38235294117647056</v>
      </c>
      <c r="D17" s="51">
        <f t="shared" si="5"/>
        <v>0.29411764705882354</v>
      </c>
      <c r="E17" s="51">
        <f t="shared" si="5"/>
        <v>0.3235294117647059</v>
      </c>
      <c r="F17" s="16"/>
      <c r="G17" s="6">
        <v>2013</v>
      </c>
      <c r="H17" s="28"/>
      <c r="I17" s="47">
        <f>0.6*C17+0.4*I16</f>
        <v>0.333115468409586</v>
      </c>
      <c r="J17" s="47">
        <f>C17</f>
        <v>0.38235294117647056</v>
      </c>
      <c r="K17" s="47">
        <f>C17-C16</f>
        <v>0.12309368191721132</v>
      </c>
    </row>
    <row r="18" spans="1:11" ht="16" x14ac:dyDescent="0.2">
      <c r="A18" s="6">
        <v>2014</v>
      </c>
      <c r="B18" s="51">
        <f t="shared" ref="B18:E18" si="6">B5/SUM($B5:$E5)</f>
        <v>0</v>
      </c>
      <c r="C18" s="51">
        <f t="shared" si="6"/>
        <v>0.27777777777777779</v>
      </c>
      <c r="D18" s="51">
        <f t="shared" si="6"/>
        <v>0.52777777777777779</v>
      </c>
      <c r="E18" s="51">
        <f t="shared" si="6"/>
        <v>0.19444444444444445</v>
      </c>
      <c r="F18" s="16"/>
      <c r="G18" s="6">
        <v>2014</v>
      </c>
      <c r="H18" s="47">
        <f>AVERAGE(C16:C18)</f>
        <v>0.30646332607116922</v>
      </c>
      <c r="I18" s="47">
        <f t="shared" ref="I18:I25" si="7">0.6*C18+0.4*I17</f>
        <v>0.29991285403050105</v>
      </c>
      <c r="J18" s="47">
        <f>C18*0.7+(1-0.7)*(J17+K17)</f>
        <v>0.34607843137254901</v>
      </c>
      <c r="K18" s="47">
        <f>0.3*(J18-J17)+(1-0.3)*K17</f>
        <v>7.5283224400871443E-2</v>
      </c>
    </row>
    <row r="19" spans="1:11" ht="16" x14ac:dyDescent="0.2">
      <c r="A19" s="6">
        <v>2015</v>
      </c>
      <c r="B19" s="51">
        <f t="shared" ref="B19:E20" si="8">B6/SUM($B6:$E6)</f>
        <v>0.14285714285714285</v>
      </c>
      <c r="C19" s="51">
        <f t="shared" si="8"/>
        <v>0.22857142857142856</v>
      </c>
      <c r="D19" s="51">
        <f t="shared" si="8"/>
        <v>0.31428571428571428</v>
      </c>
      <c r="E19" s="51">
        <f t="shared" si="8"/>
        <v>0.31428571428571428</v>
      </c>
      <c r="F19" s="16"/>
      <c r="G19" s="6">
        <v>2015</v>
      </c>
      <c r="H19" s="47">
        <f t="shared" ref="H19:H25" si="9">AVERAGE(C17:C19)</f>
        <v>0.29623404917522561</v>
      </c>
      <c r="I19" s="47">
        <f t="shared" si="7"/>
        <v>0.25710799875505752</v>
      </c>
      <c r="J19" s="47">
        <f t="shared" ref="J19:J25" si="10">C19*0.7+(1-0.7)*(J18+K18)</f>
        <v>0.28640849673202612</v>
      </c>
      <c r="K19" s="47">
        <f t="shared" ref="K19:K25" si="11">0.3*(J19-J18)+(1-0.3)*K18</f>
        <v>3.4797276688453144E-2</v>
      </c>
    </row>
    <row r="20" spans="1:11" ht="16" x14ac:dyDescent="0.2">
      <c r="A20" s="6">
        <v>2016</v>
      </c>
      <c r="B20" s="51">
        <f t="shared" si="8"/>
        <v>6.25E-2</v>
      </c>
      <c r="C20" s="51">
        <f t="shared" si="8"/>
        <v>0.34375</v>
      </c>
      <c r="D20" s="51">
        <f t="shared" si="8"/>
        <v>0.3125</v>
      </c>
      <c r="E20" s="51">
        <f t="shared" si="8"/>
        <v>0.28125</v>
      </c>
      <c r="F20" s="16"/>
      <c r="G20" s="6">
        <v>2016</v>
      </c>
      <c r="H20" s="47">
        <f t="shared" si="9"/>
        <v>0.28336640211640213</v>
      </c>
      <c r="I20" s="47">
        <f t="shared" si="7"/>
        <v>0.30909319950202302</v>
      </c>
      <c r="J20" s="47">
        <f t="shared" si="10"/>
        <v>0.33698673202614376</v>
      </c>
      <c r="K20" s="47">
        <f t="shared" si="11"/>
        <v>3.9531564270152496E-2</v>
      </c>
    </row>
    <row r="21" spans="1:11" ht="16" x14ac:dyDescent="0.2">
      <c r="A21" s="6">
        <v>2017</v>
      </c>
      <c r="B21" s="51">
        <f t="shared" ref="B21:E21" si="12">B8/SUM($B8:$E8)</f>
        <v>0</v>
      </c>
      <c r="C21" s="51">
        <f t="shared" si="12"/>
        <v>0.17647058823529413</v>
      </c>
      <c r="D21" s="51">
        <f t="shared" si="12"/>
        <v>0.44117647058823528</v>
      </c>
      <c r="E21" s="51">
        <f t="shared" si="12"/>
        <v>0.38235294117647056</v>
      </c>
      <c r="F21" s="16"/>
      <c r="G21" s="6">
        <v>2017</v>
      </c>
      <c r="H21" s="47">
        <f t="shared" si="9"/>
        <v>0.24959733893557423</v>
      </c>
      <c r="I21" s="47">
        <f t="shared" si="7"/>
        <v>0.22951963274198567</v>
      </c>
      <c r="J21" s="47">
        <f t="shared" si="10"/>
        <v>0.23648490065359479</v>
      </c>
      <c r="K21" s="47">
        <f t="shared" si="11"/>
        <v>-2.4784544226579448E-3</v>
      </c>
    </row>
    <row r="22" spans="1:11" ht="16" x14ac:dyDescent="0.2">
      <c r="A22" s="6">
        <v>2018</v>
      </c>
      <c r="B22" s="51">
        <f t="shared" ref="B22:E25" si="13">B9/SUM($B9:$E9)</f>
        <v>0</v>
      </c>
      <c r="C22" s="51">
        <f t="shared" si="13"/>
        <v>0.35483870967741937</v>
      </c>
      <c r="D22" s="51">
        <f t="shared" si="13"/>
        <v>0.35483870967741937</v>
      </c>
      <c r="E22" s="51">
        <f t="shared" si="13"/>
        <v>0.29032258064516131</v>
      </c>
      <c r="F22" s="16"/>
      <c r="G22" s="6">
        <v>2018</v>
      </c>
      <c r="H22" s="47">
        <f t="shared" si="9"/>
        <v>0.29168643263757116</v>
      </c>
      <c r="I22" s="47">
        <f t="shared" si="7"/>
        <v>0.30471107890324589</v>
      </c>
      <c r="J22" s="47">
        <f t="shared" si="10"/>
        <v>0.3185890306434746</v>
      </c>
      <c r="K22" s="47">
        <f t="shared" si="11"/>
        <v>2.2896320901103384E-2</v>
      </c>
    </row>
    <row r="23" spans="1:11" ht="16" x14ac:dyDescent="0.2">
      <c r="A23" s="6">
        <v>2019</v>
      </c>
      <c r="B23" s="51">
        <f t="shared" si="13"/>
        <v>0</v>
      </c>
      <c r="C23" s="51">
        <f t="shared" si="13"/>
        <v>0.33333333333333331</v>
      </c>
      <c r="D23" s="51">
        <f t="shared" si="13"/>
        <v>0.3</v>
      </c>
      <c r="E23" s="51">
        <f t="shared" si="13"/>
        <v>0.36666666666666664</v>
      </c>
      <c r="F23" s="16"/>
      <c r="G23" s="6">
        <v>2019</v>
      </c>
      <c r="H23" s="47">
        <f t="shared" si="9"/>
        <v>0.28821421041534895</v>
      </c>
      <c r="I23" s="47">
        <f t="shared" si="7"/>
        <v>0.32188443156129831</v>
      </c>
      <c r="J23" s="47">
        <f t="shared" si="10"/>
        <v>0.33577893879670673</v>
      </c>
      <c r="K23" s="47">
        <f t="shared" si="11"/>
        <v>2.1184397076742002E-2</v>
      </c>
    </row>
    <row r="24" spans="1:11" ht="16" x14ac:dyDescent="0.2">
      <c r="A24" s="6">
        <v>2020</v>
      </c>
      <c r="B24" s="51">
        <f t="shared" si="13"/>
        <v>3.0303030303030304E-2</v>
      </c>
      <c r="C24" s="51">
        <f t="shared" si="13"/>
        <v>0.27272727272727271</v>
      </c>
      <c r="D24" s="51">
        <f t="shared" si="13"/>
        <v>0.39393939393939392</v>
      </c>
      <c r="E24" s="51">
        <f t="shared" si="13"/>
        <v>0.30303030303030304</v>
      </c>
      <c r="F24" s="16"/>
      <c r="G24" s="6">
        <v>2020</v>
      </c>
      <c r="H24" s="47">
        <f t="shared" si="9"/>
        <v>0.32029977191267517</v>
      </c>
      <c r="I24" s="47">
        <f t="shared" si="7"/>
        <v>0.29239013626088295</v>
      </c>
      <c r="J24" s="47">
        <f t="shared" si="10"/>
        <v>0.29799809167112556</v>
      </c>
      <c r="K24" s="47">
        <f t="shared" si="11"/>
        <v>3.494823816045052E-3</v>
      </c>
    </row>
    <row r="25" spans="1:11" ht="16" x14ac:dyDescent="0.2">
      <c r="A25" s="6">
        <v>2021</v>
      </c>
      <c r="B25" s="51">
        <f t="shared" si="13"/>
        <v>7.6923076923076927E-2</v>
      </c>
      <c r="C25" s="51">
        <f t="shared" si="13"/>
        <v>0.30769230769230771</v>
      </c>
      <c r="D25" s="51">
        <f t="shared" si="13"/>
        <v>0.30769230769230771</v>
      </c>
      <c r="E25" s="51">
        <f t="shared" si="13"/>
        <v>0.30769230769230771</v>
      </c>
      <c r="F25" s="16"/>
      <c r="G25" s="49">
        <v>2021</v>
      </c>
      <c r="H25" s="47">
        <f t="shared" si="9"/>
        <v>0.30458430458430458</v>
      </c>
      <c r="I25" s="47">
        <f t="shared" si="7"/>
        <v>0.30157143911973783</v>
      </c>
      <c r="J25" s="47">
        <f t="shared" si="10"/>
        <v>0.30583249003076662</v>
      </c>
      <c r="K25" s="47">
        <f t="shared" si="11"/>
        <v>4.7966961791238542E-3</v>
      </c>
    </row>
    <row r="26" spans="1:11" x14ac:dyDescent="0.2">
      <c r="A26" s="52">
        <v>2022</v>
      </c>
      <c r="B26" s="50">
        <f>AVERAGE(H13:K13)</f>
        <v>5.2707549685111911E-2</v>
      </c>
      <c r="C26" s="50">
        <f>AVERAGE(H26:K26)</f>
        <v>0.30559497663797758</v>
      </c>
      <c r="D26" s="50">
        <f>AVERAGE(H38:K39)</f>
        <v>0.28502337468588779</v>
      </c>
      <c r="E26" s="50">
        <f>AVERAGE(H52:K52)</f>
        <v>0.3131228520927799</v>
      </c>
      <c r="F26" s="16"/>
      <c r="G26" s="52"/>
      <c r="H26" s="50">
        <f>H25</f>
        <v>0.30458430458430458</v>
      </c>
      <c r="I26" s="50">
        <f>I25</f>
        <v>0.30157143911973783</v>
      </c>
      <c r="J26" s="78">
        <f>J25+K25</f>
        <v>0.3106291862098905</v>
      </c>
      <c r="K26" s="79"/>
    </row>
    <row r="27" spans="1:11" x14ac:dyDescent="0.2">
      <c r="A27" s="16"/>
      <c r="B27" s="16"/>
      <c r="C27" s="16"/>
      <c r="D27" s="16"/>
      <c r="E27" s="16"/>
      <c r="F27" s="16"/>
      <c r="G27" s="16"/>
      <c r="H27" s="55" t="s">
        <v>149</v>
      </c>
      <c r="I27" s="55"/>
      <c r="J27" s="55"/>
      <c r="K27" s="55"/>
    </row>
    <row r="28" spans="1:11" x14ac:dyDescent="0.2">
      <c r="A28" s="16"/>
      <c r="B28" s="16"/>
      <c r="C28" s="16"/>
      <c r="D28" s="16"/>
      <c r="E28" s="16"/>
      <c r="F28" s="16"/>
      <c r="G28" s="6" t="s">
        <v>1</v>
      </c>
      <c r="H28" s="17" t="s">
        <v>151</v>
      </c>
      <c r="I28" s="17" t="s">
        <v>152</v>
      </c>
      <c r="J28" s="80" t="s">
        <v>153</v>
      </c>
      <c r="K28" s="80"/>
    </row>
    <row r="29" spans="1:11" ht="16" x14ac:dyDescent="0.2">
      <c r="A29" s="16"/>
      <c r="B29" s="16"/>
      <c r="C29" s="16"/>
      <c r="D29" s="16"/>
      <c r="E29" s="16"/>
      <c r="F29" s="16"/>
      <c r="G29" s="6">
        <v>2012</v>
      </c>
      <c r="H29" s="28"/>
      <c r="I29" s="47">
        <f>D16</f>
        <v>0.25925925925925924</v>
      </c>
      <c r="J29" s="47"/>
      <c r="K29" s="47"/>
    </row>
    <row r="30" spans="1:11" ht="16" x14ac:dyDescent="0.2">
      <c r="A30" s="16"/>
      <c r="B30" s="16"/>
      <c r="C30" s="16"/>
      <c r="D30" s="16"/>
      <c r="E30" s="16"/>
      <c r="F30" s="16"/>
      <c r="G30" s="6">
        <v>2013</v>
      </c>
      <c r="H30" s="28"/>
      <c r="I30" s="47">
        <f>0.6*D17+0.4*I29</f>
        <v>0.28017429193899784</v>
      </c>
      <c r="J30" s="47">
        <f>D17</f>
        <v>0.29411764705882354</v>
      </c>
      <c r="K30" s="47">
        <f>D17-D16</f>
        <v>3.4858387799564294E-2</v>
      </c>
    </row>
    <row r="31" spans="1:11" ht="16" x14ac:dyDescent="0.2">
      <c r="A31" s="16"/>
      <c r="B31" s="16"/>
      <c r="C31" s="16"/>
      <c r="D31" s="16"/>
      <c r="E31" s="16"/>
      <c r="F31" s="16"/>
      <c r="G31" s="6">
        <v>2014</v>
      </c>
      <c r="H31" s="47">
        <f>AVERAGE(D16:D18)</f>
        <v>0.36038489469862017</v>
      </c>
      <c r="I31" s="47">
        <f t="shared" ref="I31:I38" si="14">0.6*D18+0.4*I30</f>
        <v>0.42873638344226578</v>
      </c>
      <c r="J31" s="47">
        <f>D18*0.7+(1-0.7)*(J30+K30)</f>
        <v>0.46813725490196079</v>
      </c>
      <c r="K31" s="47">
        <f>0.2*(J31-J30)+(1-0.2)*K30</f>
        <v>6.2690631808278885E-2</v>
      </c>
    </row>
    <row r="32" spans="1:11" ht="16" x14ac:dyDescent="0.2">
      <c r="A32" s="16"/>
      <c r="B32" s="16"/>
      <c r="C32" s="16"/>
      <c r="D32" s="16"/>
      <c r="E32" s="16"/>
      <c r="F32" s="16"/>
      <c r="G32" s="6">
        <v>2015</v>
      </c>
      <c r="H32" s="47">
        <f t="shared" ref="H32:H38" si="15">AVERAGE(D17:D19)</f>
        <v>0.3787270463741052</v>
      </c>
      <c r="I32" s="47">
        <f t="shared" si="14"/>
        <v>0.36006598194833489</v>
      </c>
      <c r="J32" s="47">
        <f t="shared" ref="J32:J38" si="16">D19*0.7+(1-0.7)*(J31+K31)</f>
        <v>0.37924836601307188</v>
      </c>
      <c r="K32" s="47">
        <f t="shared" ref="K32:K38" si="17">0.2*(J32-J31)+(1-0.2)*K31</f>
        <v>3.2374727668845332E-2</v>
      </c>
    </row>
    <row r="33" spans="1:11" ht="16" x14ac:dyDescent="0.2">
      <c r="A33" s="16"/>
      <c r="B33" s="16"/>
      <c r="C33" s="16"/>
      <c r="D33" s="16"/>
      <c r="E33" s="16"/>
      <c r="F33" s="16"/>
      <c r="G33" s="6">
        <v>2016</v>
      </c>
      <c r="H33" s="47">
        <f t="shared" si="15"/>
        <v>0.38485449735449739</v>
      </c>
      <c r="I33" s="47">
        <f t="shared" si="14"/>
        <v>0.33152639277933393</v>
      </c>
      <c r="J33" s="47">
        <f t="shared" si="16"/>
        <v>0.34223692810457518</v>
      </c>
      <c r="K33" s="47">
        <f t="shared" si="17"/>
        <v>1.8497494553376924E-2</v>
      </c>
    </row>
    <row r="34" spans="1:11" ht="16" x14ac:dyDescent="0.2">
      <c r="A34" s="16"/>
      <c r="B34" s="16"/>
      <c r="C34" s="16"/>
      <c r="D34" s="16"/>
      <c r="E34" s="16"/>
      <c r="F34" s="16"/>
      <c r="G34" s="6">
        <v>2017</v>
      </c>
      <c r="H34" s="47">
        <f t="shared" si="15"/>
        <v>0.35598739495798321</v>
      </c>
      <c r="I34" s="47">
        <f t="shared" si="14"/>
        <v>0.39731643946467476</v>
      </c>
      <c r="J34" s="47">
        <f t="shared" si="16"/>
        <v>0.4170438562091503</v>
      </c>
      <c r="K34" s="47">
        <f t="shared" si="17"/>
        <v>2.9759381263616564E-2</v>
      </c>
    </row>
    <row r="35" spans="1:11" ht="16" x14ac:dyDescent="0.2">
      <c r="A35" s="16"/>
      <c r="B35" s="16"/>
      <c r="C35" s="16"/>
      <c r="D35" s="16"/>
      <c r="E35" s="16"/>
      <c r="F35" s="16"/>
      <c r="G35" s="6">
        <v>2018</v>
      </c>
      <c r="H35" s="47">
        <f t="shared" si="15"/>
        <v>0.3695050600885515</v>
      </c>
      <c r="I35" s="47">
        <f t="shared" si="14"/>
        <v>0.37182980159232154</v>
      </c>
      <c r="J35" s="47">
        <f t="shared" si="16"/>
        <v>0.38242806801602358</v>
      </c>
      <c r="K35" s="47">
        <f t="shared" si="17"/>
        <v>1.6884347372267908E-2</v>
      </c>
    </row>
    <row r="36" spans="1:11" ht="16" x14ac:dyDescent="0.2">
      <c r="A36" s="16"/>
      <c r="B36" s="16"/>
      <c r="C36" s="16"/>
      <c r="D36" s="16"/>
      <c r="E36" s="16"/>
      <c r="F36" s="16"/>
      <c r="G36" s="6">
        <v>2019</v>
      </c>
      <c r="H36" s="47">
        <f t="shared" si="15"/>
        <v>0.36533839342188484</v>
      </c>
      <c r="I36" s="47">
        <f t="shared" si="14"/>
        <v>0.32873192063692858</v>
      </c>
      <c r="J36" s="47">
        <f t="shared" si="16"/>
        <v>0.32979372461648748</v>
      </c>
      <c r="K36" s="47">
        <f t="shared" si="17"/>
        <v>2.9806092179071059E-3</v>
      </c>
    </row>
    <row r="37" spans="1:11" ht="16" x14ac:dyDescent="0.2">
      <c r="A37" s="16"/>
      <c r="B37" s="16"/>
      <c r="C37" s="16"/>
      <c r="D37" s="16"/>
      <c r="E37" s="16"/>
      <c r="F37" s="16"/>
      <c r="G37" s="6">
        <v>2020</v>
      </c>
      <c r="H37" s="47">
        <f t="shared" si="15"/>
        <v>0.34959270120560443</v>
      </c>
      <c r="I37" s="47">
        <f t="shared" si="14"/>
        <v>0.36785640461840774</v>
      </c>
      <c r="J37" s="47">
        <f t="shared" si="16"/>
        <v>0.37558987590789411</v>
      </c>
      <c r="K37" s="47">
        <f t="shared" si="17"/>
        <v>1.154371763260701E-2</v>
      </c>
    </row>
    <row r="38" spans="1:11" ht="16" x14ac:dyDescent="0.2">
      <c r="A38" s="16"/>
      <c r="B38" s="16"/>
      <c r="C38" s="16"/>
      <c r="D38" s="16"/>
      <c r="E38" s="16"/>
      <c r="F38" s="16"/>
      <c r="G38" s="49">
        <v>2021</v>
      </c>
      <c r="H38" s="47">
        <f t="shared" si="15"/>
        <v>0.33387723387723384</v>
      </c>
      <c r="I38" s="47">
        <f t="shared" si="14"/>
        <v>0.3317579464627477</v>
      </c>
      <c r="J38" s="47">
        <f t="shared" si="16"/>
        <v>0.33152469344676577</v>
      </c>
      <c r="K38" s="47">
        <f t="shared" si="17"/>
        <v>4.2193761385994101E-4</v>
      </c>
    </row>
    <row r="39" spans="1:11" x14ac:dyDescent="0.2">
      <c r="A39" s="16"/>
      <c r="B39" s="16"/>
      <c r="C39" s="16"/>
      <c r="D39" s="16"/>
      <c r="E39" s="16"/>
      <c r="F39" s="16"/>
      <c r="G39" s="52"/>
      <c r="H39" s="50">
        <f>H38</f>
        <v>0.33387723387723384</v>
      </c>
      <c r="I39" s="50">
        <f>I38</f>
        <v>0.3317579464627477</v>
      </c>
      <c r="J39" s="78">
        <f>J38+K38</f>
        <v>0.33194663106062572</v>
      </c>
      <c r="K39" s="79"/>
    </row>
    <row r="40" spans="1:11" x14ac:dyDescent="0.2">
      <c r="A40" s="16"/>
      <c r="B40" s="16"/>
      <c r="C40" s="16"/>
      <c r="D40" s="16"/>
      <c r="E40" s="16"/>
      <c r="F40" s="16"/>
      <c r="G40" s="16"/>
      <c r="H40" s="55" t="s">
        <v>150</v>
      </c>
      <c r="I40" s="55"/>
      <c r="J40" s="55"/>
      <c r="K40" s="55"/>
    </row>
    <row r="41" spans="1:11" x14ac:dyDescent="0.2">
      <c r="A41" s="16"/>
      <c r="B41" s="16"/>
      <c r="C41" s="16"/>
      <c r="D41" s="16"/>
      <c r="E41" s="16"/>
      <c r="F41" s="16"/>
      <c r="G41" s="6" t="s">
        <v>1</v>
      </c>
      <c r="H41" s="45" t="s">
        <v>151</v>
      </c>
      <c r="I41" s="45" t="s">
        <v>152</v>
      </c>
      <c r="J41" s="77" t="s">
        <v>153</v>
      </c>
      <c r="K41" s="77"/>
    </row>
    <row r="42" spans="1:11" ht="16" x14ac:dyDescent="0.2">
      <c r="A42" s="16"/>
      <c r="B42" s="16"/>
      <c r="C42" s="16"/>
      <c r="D42" s="16"/>
      <c r="E42" s="16"/>
      <c r="F42" s="16"/>
      <c r="G42" s="6">
        <v>2012</v>
      </c>
      <c r="H42" s="28"/>
      <c r="I42" s="47">
        <f>E16</f>
        <v>0.44444444444444442</v>
      </c>
      <c r="J42" s="47"/>
      <c r="K42" s="47"/>
    </row>
    <row r="43" spans="1:11" ht="16" x14ac:dyDescent="0.2">
      <c r="A43" s="16"/>
      <c r="B43" s="16"/>
      <c r="C43" s="16"/>
      <c r="D43" s="16"/>
      <c r="E43" s="16"/>
      <c r="F43" s="16"/>
      <c r="G43" s="6">
        <v>2013</v>
      </c>
      <c r="H43" s="28"/>
      <c r="I43" s="47">
        <f>0.6*E17+0.4*I42</f>
        <v>0.37189542483660132</v>
      </c>
      <c r="J43" s="47">
        <f>E17</f>
        <v>0.3235294117647059</v>
      </c>
      <c r="K43" s="47">
        <f>E17-E16</f>
        <v>-0.12091503267973852</v>
      </c>
    </row>
    <row r="44" spans="1:11" ht="16" x14ac:dyDescent="0.2">
      <c r="A44" s="16"/>
      <c r="B44" s="16"/>
      <c r="C44" s="16"/>
      <c r="D44" s="16"/>
      <c r="E44" s="16"/>
      <c r="F44" s="16"/>
      <c r="G44" s="6">
        <v>2014</v>
      </c>
      <c r="H44" s="47">
        <f>AVERAGE(E16:E18)</f>
        <v>0.32080610021786488</v>
      </c>
      <c r="I44" s="47">
        <f t="shared" ref="I44:I51" si="18">0.6*E18+0.4*I43</f>
        <v>0.26542483660130722</v>
      </c>
      <c r="J44" s="47">
        <f>E18*0.7+(1-0.7)*(J43+K43)</f>
        <v>0.19689542483660133</v>
      </c>
      <c r="K44" s="47">
        <f>0.3*(J44-J43)+(1-0.3)*K43</f>
        <v>-0.12263071895424832</v>
      </c>
    </row>
    <row r="45" spans="1:11" ht="16" x14ac:dyDescent="0.2">
      <c r="A45" s="16"/>
      <c r="B45" s="16"/>
      <c r="C45" s="16"/>
      <c r="D45" s="16"/>
      <c r="E45" s="16"/>
      <c r="F45" s="16"/>
      <c r="G45" s="6">
        <v>2015</v>
      </c>
      <c r="H45" s="47">
        <f t="shared" ref="H45:H51" si="19">AVERAGE(E17:E19)</f>
        <v>0.27741985683162157</v>
      </c>
      <c r="I45" s="47">
        <f t="shared" si="18"/>
        <v>0.29474136321195143</v>
      </c>
      <c r="J45" s="47">
        <f t="shared" ref="J45:J50" si="20">E19*0.7+(1-0.7)*(J44+K44)</f>
        <v>0.24227941176470588</v>
      </c>
      <c r="K45" s="47">
        <f t="shared" ref="K45:K51" si="21">0.3*(J45-J44)+(1-0.3)*K44</f>
        <v>-7.2226307189542455E-2</v>
      </c>
    </row>
    <row r="46" spans="1:11" ht="16" x14ac:dyDescent="0.2">
      <c r="A46" s="16"/>
      <c r="B46" s="16"/>
      <c r="C46" s="16"/>
      <c r="D46" s="16"/>
      <c r="E46" s="16"/>
      <c r="F46" s="16"/>
      <c r="G46" s="6">
        <v>2016</v>
      </c>
      <c r="H46" s="47">
        <f t="shared" si="19"/>
        <v>0.26332671957671955</v>
      </c>
      <c r="I46" s="47">
        <f t="shared" si="18"/>
        <v>0.28664654528478056</v>
      </c>
      <c r="J46" s="47">
        <f t="shared" si="20"/>
        <v>0.24789093137254903</v>
      </c>
      <c r="K46" s="47">
        <f t="shared" si="21"/>
        <v>-4.8874959150326774E-2</v>
      </c>
    </row>
    <row r="47" spans="1:11" ht="16" x14ac:dyDescent="0.2">
      <c r="A47" s="16"/>
      <c r="B47" s="16"/>
      <c r="C47" s="16"/>
      <c r="D47" s="16"/>
      <c r="E47" s="16"/>
      <c r="F47" s="16"/>
      <c r="G47" s="6">
        <v>2017</v>
      </c>
      <c r="H47" s="47">
        <f t="shared" si="19"/>
        <v>0.32596288515406163</v>
      </c>
      <c r="I47" s="47">
        <f t="shared" si="18"/>
        <v>0.34407038281979452</v>
      </c>
      <c r="J47" s="47">
        <f t="shared" si="20"/>
        <v>0.32735185049019605</v>
      </c>
      <c r="K47" s="47">
        <f t="shared" si="21"/>
        <v>-1.0374195669934635E-2</v>
      </c>
    </row>
    <row r="48" spans="1:11" ht="16" x14ac:dyDescent="0.2">
      <c r="A48" s="16"/>
      <c r="B48" s="16"/>
      <c r="C48" s="16"/>
      <c r="D48" s="16"/>
      <c r="E48" s="16"/>
      <c r="F48" s="16"/>
      <c r="G48" s="6">
        <v>2018</v>
      </c>
      <c r="H48" s="47">
        <f t="shared" si="19"/>
        <v>0.31797517394054392</v>
      </c>
      <c r="I48" s="47">
        <f t="shared" si="18"/>
        <v>0.31182170151501459</v>
      </c>
      <c r="J48" s="47">
        <f t="shared" si="20"/>
        <v>0.29831910289769131</v>
      </c>
      <c r="K48" s="47">
        <f t="shared" si="21"/>
        <v>-1.5971761246705664E-2</v>
      </c>
    </row>
    <row r="49" spans="1:11" ht="16" x14ac:dyDescent="0.2">
      <c r="A49" s="16"/>
      <c r="B49" s="16"/>
      <c r="C49" s="16"/>
      <c r="D49" s="16"/>
      <c r="E49" s="16"/>
      <c r="F49" s="16"/>
      <c r="G49" s="6">
        <v>2019</v>
      </c>
      <c r="H49" s="47">
        <f t="shared" si="19"/>
        <v>0.34644739616276615</v>
      </c>
      <c r="I49" s="47">
        <f t="shared" si="18"/>
        <v>0.34472868060600581</v>
      </c>
      <c r="J49" s="47">
        <f t="shared" si="20"/>
        <v>0.34137086916196235</v>
      </c>
      <c r="K49" s="47">
        <f t="shared" si="21"/>
        <v>1.7352970065873472E-3</v>
      </c>
    </row>
    <row r="50" spans="1:11" ht="16" x14ac:dyDescent="0.2">
      <c r="A50" s="16"/>
      <c r="B50" s="16"/>
      <c r="C50" s="16"/>
      <c r="D50" s="16"/>
      <c r="E50" s="16"/>
      <c r="F50" s="16"/>
      <c r="G50" s="6">
        <v>2020</v>
      </c>
      <c r="H50" s="47">
        <f t="shared" si="19"/>
        <v>0.32000651678071029</v>
      </c>
      <c r="I50" s="47">
        <f t="shared" si="18"/>
        <v>0.31970965406058416</v>
      </c>
      <c r="J50" s="47">
        <f t="shared" si="20"/>
        <v>0.31505306197177707</v>
      </c>
      <c r="K50" s="47">
        <f t="shared" si="21"/>
        <v>-6.6806342524444425E-3</v>
      </c>
    </row>
    <row r="51" spans="1:11" ht="16" x14ac:dyDescent="0.2">
      <c r="A51" s="16"/>
      <c r="B51" s="16"/>
      <c r="C51" s="16"/>
      <c r="D51" s="16"/>
      <c r="E51" s="16"/>
      <c r="F51" s="16"/>
      <c r="G51" s="49">
        <v>2021</v>
      </c>
      <c r="H51" s="47">
        <f t="shared" si="19"/>
        <v>0.32579642579642581</v>
      </c>
      <c r="I51" s="47">
        <f t="shared" si="18"/>
        <v>0.31249924623961833</v>
      </c>
      <c r="J51" s="47">
        <f>E25*0.7+(1-0.7)*(J50+K50)</f>
        <v>0.30789634370041519</v>
      </c>
      <c r="K51" s="47">
        <f t="shared" si="21"/>
        <v>-6.8234594581196746E-3</v>
      </c>
    </row>
    <row r="52" spans="1:11" x14ac:dyDescent="0.2">
      <c r="A52" s="16"/>
      <c r="B52" s="16"/>
      <c r="C52" s="16"/>
      <c r="D52" s="16"/>
      <c r="E52" s="16"/>
      <c r="F52" s="16"/>
      <c r="G52" s="52"/>
      <c r="H52" s="50">
        <f>H51</f>
        <v>0.32579642579642581</v>
      </c>
      <c r="I52" s="50">
        <f>I51</f>
        <v>0.31249924623961833</v>
      </c>
      <c r="J52" s="78">
        <f>J51+K51</f>
        <v>0.3010728842422955</v>
      </c>
      <c r="K52" s="79"/>
    </row>
  </sheetData>
  <mergeCells count="14">
    <mergeCell ref="J41:K41"/>
    <mergeCell ref="J52:K52"/>
    <mergeCell ref="J15:K15"/>
    <mergeCell ref="J26:K26"/>
    <mergeCell ref="H27:K27"/>
    <mergeCell ref="J28:K28"/>
    <mergeCell ref="J39:K39"/>
    <mergeCell ref="H40:K40"/>
    <mergeCell ref="A1:E1"/>
    <mergeCell ref="H1:K1"/>
    <mergeCell ref="J2:K2"/>
    <mergeCell ref="J13:K13"/>
    <mergeCell ref="A14:E14"/>
    <mergeCell ref="H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Завдання 1</vt:lpstr>
      <vt:lpstr>Завдання 2</vt:lpstr>
      <vt:lpstr>Завдання 3</vt:lpstr>
      <vt:lpstr>Alpha</vt:lpstr>
      <vt:lpstr>Beta</vt:lpstr>
      <vt:lpstr>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Nikita Kuznetsov</cp:lastModifiedBy>
  <dcterms:created xsi:type="dcterms:W3CDTF">2022-10-31T21:38:30Z</dcterms:created>
  <dcterms:modified xsi:type="dcterms:W3CDTF">2026-02-01T16:06:09Z</dcterms:modified>
</cp:coreProperties>
</file>