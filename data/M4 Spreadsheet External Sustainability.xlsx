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ikita.kuznetsov/Downloads/"/>
    </mc:Choice>
  </mc:AlternateContent>
  <xr:revisionPtr revIDLastSave="0" documentId="13_ncr:1_{A5C4F317-C2BB-DA4A-ABBA-C0E5D806E39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DEBT SUST MOD 11" sheetId="1" r:id="rId1"/>
    <sheet name="MEMO BOP detail" sheetId="2" r:id="rId2"/>
    <sheet name="ARA MOD 11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BOP2" localSheetId="2">[1]BoP!#REF!</definedName>
    <definedName name="___BOP2" localSheetId="0">[1]BoP!#REF!</definedName>
    <definedName name="___BOP2">[1]BoP!#REF!</definedName>
    <definedName name="___EXP5" localSheetId="2">#REF!</definedName>
    <definedName name="___EXP5" localSheetId="0">#REF!</definedName>
    <definedName name="___EXP5">#REF!</definedName>
    <definedName name="___EXP6" localSheetId="2">#REF!</definedName>
    <definedName name="___EXP6" localSheetId="0">#REF!</definedName>
    <definedName name="___EXP6">#REF!</definedName>
    <definedName name="___EXP7" localSheetId="2">#REF!</definedName>
    <definedName name="___EXP7" localSheetId="0">#REF!</definedName>
    <definedName name="___EXP7">#REF!</definedName>
    <definedName name="___EXP9" localSheetId="2">#REF!</definedName>
    <definedName name="___EXP9" localSheetId="0">#REF!</definedName>
    <definedName name="___EXP9">#REF!</definedName>
    <definedName name="___IMP2" localSheetId="2">#REF!</definedName>
    <definedName name="___IMP2" localSheetId="0">#REF!</definedName>
    <definedName name="___IMP2">#REF!</definedName>
    <definedName name="___IMP4" localSheetId="2">#REF!</definedName>
    <definedName name="___IMP4" localSheetId="0">#REF!</definedName>
    <definedName name="___IMP4">#REF!</definedName>
    <definedName name="___IMP6" localSheetId="2">#REF!</definedName>
    <definedName name="___IMP6" localSheetId="0">#REF!</definedName>
    <definedName name="___IMP6">#REF!</definedName>
    <definedName name="___IMP7" localSheetId="2">#REF!</definedName>
    <definedName name="___IMP7" localSheetId="0">#REF!</definedName>
    <definedName name="___IMP7">#REF!</definedName>
    <definedName name="___MTS2" localSheetId="2">'[2]Annual Tables'!#REF!</definedName>
    <definedName name="___MTS2" localSheetId="0">'[2]Annual Tables'!#REF!</definedName>
    <definedName name="___MTS2">'[2]Annual Tables'!#REF!</definedName>
    <definedName name="___PAG2" localSheetId="2">[2]Index!#REF!</definedName>
    <definedName name="___PAG2" localSheetId="0">[2]Index!#REF!</definedName>
    <definedName name="___PAG2">[2]Index!#REF!</definedName>
    <definedName name="___PAG3" localSheetId="2">[2]Index!#REF!</definedName>
    <definedName name="___PAG3" localSheetId="0">[2]Index!#REF!</definedName>
    <definedName name="___PAG3">[2]Index!#REF!</definedName>
    <definedName name="___PAG4" localSheetId="2">[2]Index!#REF!</definedName>
    <definedName name="___PAG4" localSheetId="0">[2]Index!#REF!</definedName>
    <definedName name="___PAG4">[2]Index!#REF!</definedName>
    <definedName name="___PAG5" localSheetId="2">[2]Index!#REF!</definedName>
    <definedName name="___PAG5" localSheetId="0">[2]Index!#REF!</definedName>
    <definedName name="___PAG5">[2]Index!#REF!</definedName>
    <definedName name="___PAG6" localSheetId="2">[2]Index!#REF!</definedName>
    <definedName name="___PAG6" localSheetId="0">[2]Index!#REF!</definedName>
    <definedName name="___PAG6">[2]Index!#REF!</definedName>
    <definedName name="___RES2" localSheetId="2">[1]RES!#REF!</definedName>
    <definedName name="___RES2" localSheetId="0">[1]RES!#REF!</definedName>
    <definedName name="___RES2">[1]RES!#REF!</definedName>
    <definedName name="___TAB7" localSheetId="2">#REF!</definedName>
    <definedName name="___TAB7" localSheetId="0">#REF!</definedName>
    <definedName name="___TAB7">#REF!</definedName>
    <definedName name="__123Graph_A" localSheetId="2">#REF!</definedName>
    <definedName name="__123Graph_A" localSheetId="0">#REF!</definedName>
    <definedName name="__123Graph_A">#REF!</definedName>
    <definedName name="__123Graph_BCurrent" localSheetId="2">[3]G!#REF!</definedName>
    <definedName name="__123Graph_BCurrent" localSheetId="0">[3]G!#REF!</definedName>
    <definedName name="__123Graph_BCurrent">[3]G!#REF!</definedName>
    <definedName name="__BOP1" localSheetId="2">#REF!</definedName>
    <definedName name="__BOP1" localSheetId="0">#REF!</definedName>
    <definedName name="__BOP1">#REF!</definedName>
    <definedName name="__IMP10" localSheetId="2">#REF!</definedName>
    <definedName name="__IMP10" localSheetId="0">#REF!</definedName>
    <definedName name="__IMP10">#REF!</definedName>
    <definedName name="__IMP8" localSheetId="2">#REF!</definedName>
    <definedName name="__IMP8" localSheetId="0">#REF!</definedName>
    <definedName name="__IMP8">#REF!</definedName>
    <definedName name="__PAG7" localSheetId="2">#REF!</definedName>
    <definedName name="__PAG7" localSheetId="0">#REF!</definedName>
    <definedName name="__PAG7">#REF!</definedName>
    <definedName name="__TAB1" localSheetId="2">#REF!</definedName>
    <definedName name="__TAB1" localSheetId="0">#REF!</definedName>
    <definedName name="__TAB1">#REF!</definedName>
    <definedName name="__TAB10" localSheetId="2">#REF!</definedName>
    <definedName name="__TAB10" localSheetId="0">#REF!</definedName>
    <definedName name="__TAB10">#REF!</definedName>
    <definedName name="__TAB12" localSheetId="2">#REF!</definedName>
    <definedName name="__TAB12" localSheetId="0">#REF!</definedName>
    <definedName name="__TAB12">#REF!</definedName>
    <definedName name="__Tab19" localSheetId="2">#REF!</definedName>
    <definedName name="__Tab19" localSheetId="0">#REF!</definedName>
    <definedName name="__Tab19">#REF!</definedName>
    <definedName name="__TAB2" localSheetId="2">#REF!</definedName>
    <definedName name="__TAB2" localSheetId="0">#REF!</definedName>
    <definedName name="__TAB2">#REF!</definedName>
    <definedName name="__Tab20" localSheetId="2">#REF!</definedName>
    <definedName name="__Tab20" localSheetId="0">#REF!</definedName>
    <definedName name="__Tab20">#REF!</definedName>
    <definedName name="__Tab21" localSheetId="2">#REF!</definedName>
    <definedName name="__Tab21" localSheetId="0">#REF!</definedName>
    <definedName name="__Tab21">#REF!</definedName>
    <definedName name="__Tab22" localSheetId="2">#REF!</definedName>
    <definedName name="__Tab22" localSheetId="0">#REF!</definedName>
    <definedName name="__Tab22">#REF!</definedName>
    <definedName name="__Tab23" localSheetId="2">#REF!</definedName>
    <definedName name="__Tab23" localSheetId="0">#REF!</definedName>
    <definedName name="__Tab23">#REF!</definedName>
    <definedName name="__Tab24" localSheetId="2">#REF!</definedName>
    <definedName name="__Tab24" localSheetId="0">#REF!</definedName>
    <definedName name="__Tab24">#REF!</definedName>
    <definedName name="__Tab26" localSheetId="2">#REF!</definedName>
    <definedName name="__Tab26" localSheetId="0">#REF!</definedName>
    <definedName name="__Tab26">#REF!</definedName>
    <definedName name="__Tab27" localSheetId="2">#REF!</definedName>
    <definedName name="__Tab27" localSheetId="0">#REF!</definedName>
    <definedName name="__Tab27">#REF!</definedName>
    <definedName name="__Tab28" localSheetId="2">#REF!</definedName>
    <definedName name="__Tab28" localSheetId="0">#REF!</definedName>
    <definedName name="__Tab28">#REF!</definedName>
    <definedName name="__Tab29" localSheetId="2">#REF!</definedName>
    <definedName name="__Tab29" localSheetId="0">#REF!</definedName>
    <definedName name="__Tab29">#REF!</definedName>
    <definedName name="__TAB3" localSheetId="2">#REF!</definedName>
    <definedName name="__TAB3" localSheetId="0">#REF!</definedName>
    <definedName name="__TAB3">#REF!</definedName>
    <definedName name="__Tab30" localSheetId="2">#REF!</definedName>
    <definedName name="__Tab30" localSheetId="0">#REF!</definedName>
    <definedName name="__Tab30">#REF!</definedName>
    <definedName name="__Tab31" localSheetId="2">#REF!</definedName>
    <definedName name="__Tab31" localSheetId="0">#REF!</definedName>
    <definedName name="__Tab31">#REF!</definedName>
    <definedName name="__Tab32" localSheetId="2">#REF!</definedName>
    <definedName name="__Tab32" localSheetId="0">#REF!</definedName>
    <definedName name="__Tab32">#REF!</definedName>
    <definedName name="__Tab33" localSheetId="2">#REF!</definedName>
    <definedName name="__Tab33" localSheetId="0">#REF!</definedName>
    <definedName name="__Tab33">#REF!</definedName>
    <definedName name="__Tab34" localSheetId="2">#REF!</definedName>
    <definedName name="__Tab34" localSheetId="0">#REF!</definedName>
    <definedName name="__Tab34">#REF!</definedName>
    <definedName name="__Tab35" localSheetId="2">#REF!</definedName>
    <definedName name="__Tab35" localSheetId="0">#REF!</definedName>
    <definedName name="__Tab35">#REF!</definedName>
    <definedName name="__TAB4" localSheetId="2">#REF!</definedName>
    <definedName name="__TAB4" localSheetId="0">#REF!</definedName>
    <definedName name="__TAB4">#REF!</definedName>
    <definedName name="__TAB5" localSheetId="2">#REF!</definedName>
    <definedName name="__TAB5" localSheetId="0">#REF!</definedName>
    <definedName name="__TAB5">#REF!</definedName>
    <definedName name="__TAB8" localSheetId="2">#REF!</definedName>
    <definedName name="__TAB8" localSheetId="0">#REF!</definedName>
    <definedName name="__TAB8">#REF!</definedName>
    <definedName name="__WEO1" localSheetId="2">#REF!</definedName>
    <definedName name="__WEO1" localSheetId="0">#REF!</definedName>
    <definedName name="__WEO1">#REF!</definedName>
    <definedName name="__WEO2" localSheetId="2">#REF!</definedName>
    <definedName name="__WEO2" localSheetId="0">#REF!</definedName>
    <definedName name="__WEO2">#REF!</definedName>
    <definedName name="_5Macros_Import_.qbop" localSheetId="2">[4]!'[Macros Import].qbop'</definedName>
    <definedName name="_5Macros_Import_.qbop" localSheetId="0">[4]!'[Macros Import].qbop'</definedName>
    <definedName name="_5Macros_Import_.qbop">[4]!'[Macros Import].qbop'</definedName>
    <definedName name="_BOP1" localSheetId="2">#REF!</definedName>
    <definedName name="_BOP1" localSheetId="0">#REF!</definedName>
    <definedName name="_BOP1">#REF!</definedName>
    <definedName name="_BOP2" localSheetId="2">[1]BoP!#REF!</definedName>
    <definedName name="_BOP2" localSheetId="0">[1]BoP!#REF!</definedName>
    <definedName name="_BOP2">[1]BoP!#REF!</definedName>
    <definedName name="_DLX1.EMG3" localSheetId="2">#REF!</definedName>
    <definedName name="_DLX1.EMG3" localSheetId="0">#REF!</definedName>
    <definedName name="_DLX1.EMG3">#REF!</definedName>
    <definedName name="_DLX1.USE" localSheetId="2">#REF!</definedName>
    <definedName name="_DLX1.USE" localSheetId="0">#REF!</definedName>
    <definedName name="_DLX1.USE">#REF!</definedName>
    <definedName name="_DLX10.USE" localSheetId="2">#REF!</definedName>
    <definedName name="_DLX10.USE" localSheetId="0">#REF!</definedName>
    <definedName name="_DLX10.USE">#REF!</definedName>
    <definedName name="_DLX11.USE" localSheetId="2">#REF!</definedName>
    <definedName name="_DLX11.USE" localSheetId="0">#REF!</definedName>
    <definedName name="_DLX11.USE">#REF!</definedName>
    <definedName name="_DLX12.USE" localSheetId="2">#REF!</definedName>
    <definedName name="_DLX12.USE" localSheetId="0">#REF!</definedName>
    <definedName name="_DLX12.USE">#REF!</definedName>
    <definedName name="_DLX13.USE" localSheetId="2">#REF!</definedName>
    <definedName name="_DLX13.USE" localSheetId="0">#REF!</definedName>
    <definedName name="_DLX13.USE">#REF!</definedName>
    <definedName name="_DLX14.USE" localSheetId="2">#REF!</definedName>
    <definedName name="_DLX14.USE" localSheetId="0">#REF!</definedName>
    <definedName name="_DLX14.USE">#REF!</definedName>
    <definedName name="_DLX15.USE" localSheetId="2">#REF!</definedName>
    <definedName name="_DLX15.USE" localSheetId="0">#REF!</definedName>
    <definedName name="_DLX15.USE">#REF!</definedName>
    <definedName name="_DLX16.USE" localSheetId="2">#REF!</definedName>
    <definedName name="_DLX16.USE" localSheetId="0">#REF!</definedName>
    <definedName name="_DLX16.USE">#REF!</definedName>
    <definedName name="_DLX17.USE" localSheetId="2">#REF!</definedName>
    <definedName name="_DLX17.USE" localSheetId="0">#REF!</definedName>
    <definedName name="_DLX17.USE">#REF!</definedName>
    <definedName name="_DLX18.USE" localSheetId="2">#REF!</definedName>
    <definedName name="_DLX18.USE" localSheetId="0">#REF!</definedName>
    <definedName name="_DLX18.USE">#REF!</definedName>
    <definedName name="_DLX19.USE" localSheetId="2">#REF!</definedName>
    <definedName name="_DLX19.USE" localSheetId="0">#REF!</definedName>
    <definedName name="_DLX19.USE">#REF!</definedName>
    <definedName name="_DLX2.EMG4" localSheetId="2">#REF!</definedName>
    <definedName name="_DLX2.EMG4" localSheetId="0">#REF!</definedName>
    <definedName name="_DLX2.EMG4">#REF!</definedName>
    <definedName name="_DLX2.USE" localSheetId="2">#REF!</definedName>
    <definedName name="_DLX2.USE" localSheetId="0">#REF!</definedName>
    <definedName name="_DLX2.USE">#REF!</definedName>
    <definedName name="_DLX20.USE" localSheetId="2">#REF!</definedName>
    <definedName name="_DLX20.USE" localSheetId="0">#REF!</definedName>
    <definedName name="_DLX20.USE">#REF!</definedName>
    <definedName name="_DLX21.USE" localSheetId="2">#REF!</definedName>
    <definedName name="_DLX21.USE" localSheetId="0">#REF!</definedName>
    <definedName name="_DLX21.USE">#REF!</definedName>
    <definedName name="_DLX22.USE" localSheetId="2">#REF!</definedName>
    <definedName name="_DLX22.USE" localSheetId="0">#REF!</definedName>
    <definedName name="_DLX22.USE">#REF!</definedName>
    <definedName name="_DLX23.USE" localSheetId="2">#REF!</definedName>
    <definedName name="_DLX23.USE" localSheetId="0">#REF!</definedName>
    <definedName name="_DLX23.USE">#REF!</definedName>
    <definedName name="_DLX24.USE" localSheetId="2">#REF!</definedName>
    <definedName name="_DLX24.USE" localSheetId="0">#REF!</definedName>
    <definedName name="_DLX24.USE">#REF!</definedName>
    <definedName name="_DLX25.USE" localSheetId="2">#REF!</definedName>
    <definedName name="_DLX25.USE" localSheetId="0">#REF!</definedName>
    <definedName name="_DLX25.USE">#REF!</definedName>
    <definedName name="_DLX26.USE" localSheetId="2">#REF!</definedName>
    <definedName name="_DLX26.USE" localSheetId="0">#REF!</definedName>
    <definedName name="_DLX26.USE">#REF!</definedName>
    <definedName name="_DLX27.USE" localSheetId="2">#REF!</definedName>
    <definedName name="_DLX27.USE" localSheetId="0">#REF!</definedName>
    <definedName name="_DLX27.USE">#REF!</definedName>
    <definedName name="_DLX28.USE" localSheetId="2">#REF!</definedName>
    <definedName name="_DLX28.USE" localSheetId="0">#REF!</definedName>
    <definedName name="_DLX28.USE">#REF!</definedName>
    <definedName name="_DLX29.USE" localSheetId="2">#REF!</definedName>
    <definedName name="_DLX29.USE" localSheetId="0">#REF!</definedName>
    <definedName name="_DLX29.USE">#REF!</definedName>
    <definedName name="_DLX3.EMG3" localSheetId="2">#REF!</definedName>
    <definedName name="_DLX3.EMG3" localSheetId="0">#REF!</definedName>
    <definedName name="_DLX3.EMG3">#REF!</definedName>
    <definedName name="_DLX3.USE" localSheetId="2">#REF!</definedName>
    <definedName name="_DLX3.USE" localSheetId="0">#REF!</definedName>
    <definedName name="_DLX3.USE">#REF!</definedName>
    <definedName name="_DLX30.USE" localSheetId="2">#REF!</definedName>
    <definedName name="_DLX30.USE" localSheetId="0">#REF!</definedName>
    <definedName name="_DLX30.USE">#REF!</definedName>
    <definedName name="_DLX31.USE" localSheetId="2">#REF!</definedName>
    <definedName name="_DLX31.USE" localSheetId="0">#REF!</definedName>
    <definedName name="_DLX31.USE">#REF!</definedName>
    <definedName name="_DLX32.USE" localSheetId="2">#REF!</definedName>
    <definedName name="_DLX32.USE" localSheetId="0">#REF!</definedName>
    <definedName name="_DLX32.USE">#REF!</definedName>
    <definedName name="_DLX33.USE" localSheetId="2">#REF!</definedName>
    <definedName name="_DLX33.USE" localSheetId="0">#REF!</definedName>
    <definedName name="_DLX33.USE">#REF!</definedName>
    <definedName name="_DLX34.USE" localSheetId="2">#REF!</definedName>
    <definedName name="_DLX34.USE" localSheetId="0">#REF!</definedName>
    <definedName name="_DLX34.USE">#REF!</definedName>
    <definedName name="_DLX35.USE" localSheetId="2">#REF!</definedName>
    <definedName name="_DLX35.USE" localSheetId="0">#REF!</definedName>
    <definedName name="_DLX35.USE">#REF!</definedName>
    <definedName name="_DLX36.USE" localSheetId="2">#REF!</definedName>
    <definedName name="_DLX36.USE" localSheetId="0">#REF!</definedName>
    <definedName name="_DLX36.USE">#REF!</definedName>
    <definedName name="_DLX37.USE" localSheetId="2">#REF!</definedName>
    <definedName name="_DLX37.USE" localSheetId="0">#REF!</definedName>
    <definedName name="_DLX37.USE">#REF!</definedName>
    <definedName name="_DLX38.USE" localSheetId="2">#REF!</definedName>
    <definedName name="_DLX38.USE" localSheetId="0">#REF!</definedName>
    <definedName name="_DLX38.USE">#REF!</definedName>
    <definedName name="_DLX39.USE" localSheetId="2">#REF!</definedName>
    <definedName name="_DLX39.USE" localSheetId="0">#REF!</definedName>
    <definedName name="_DLX39.USE">#REF!</definedName>
    <definedName name="_DLX4.LAT1" localSheetId="2">#REF!</definedName>
    <definedName name="_DLX4.LAT1" localSheetId="0">#REF!</definedName>
    <definedName name="_DLX4.LAT1">#REF!</definedName>
    <definedName name="_DLX4.USE" localSheetId="2">#REF!</definedName>
    <definedName name="_DLX4.USE" localSheetId="0">#REF!</definedName>
    <definedName name="_DLX4.USE">#REF!</definedName>
    <definedName name="_DLX42.USE">'[5]Data-IN ARA Haver-WEO '!#REF!</definedName>
    <definedName name="_DLX44.USE">'[5]Data-IN ARA Haver-WEO '!#REF!</definedName>
    <definedName name="_DLX45.USE">[6]Haver_Debt!$B$3:$D$9</definedName>
    <definedName name="_DLX46.USE">[6]Haver_Debt!$F$3:$I$9</definedName>
    <definedName name="_DLX47.USE">[6]Haver_Debt!$J$3:$K$9</definedName>
    <definedName name="_DLX48.USE">[6]Haver_Debt!$L$3:$O$9</definedName>
    <definedName name="_DLX49.USE">[6]Haver_Debt!$P$3:$R$9</definedName>
    <definedName name="_DLX5.USE" localSheetId="2">#REF!</definedName>
    <definedName name="_DLX5.USE" localSheetId="0">#REF!</definedName>
    <definedName name="_DLX5.USE">#REF!</definedName>
    <definedName name="_DLX50.USE">[6]Sheet3!$A$2:$E$8</definedName>
    <definedName name="_DLX51.USE">[6]Sheet3!$F$2:$M$8</definedName>
    <definedName name="_DLX52.USE">[6]Sheet3!$O$2:$V$8</definedName>
    <definedName name="_DLX53.USE" localSheetId="2">#REF!</definedName>
    <definedName name="_DLX53.USE" localSheetId="0">#REF!</definedName>
    <definedName name="_DLX53.USE">#REF!</definedName>
    <definedName name="_DLX56.USE" localSheetId="2">#REF!</definedName>
    <definedName name="_DLX56.USE" localSheetId="0">#REF!</definedName>
    <definedName name="_DLX56.USE">#REF!</definedName>
    <definedName name="_DLX59.USE" localSheetId="2">#REF!</definedName>
    <definedName name="_DLX59.USE" localSheetId="0">#REF!</definedName>
    <definedName name="_DLX59.USE">#REF!</definedName>
    <definedName name="_DLX6.USE" localSheetId="2">#REF!</definedName>
    <definedName name="_DLX6.USE" localSheetId="0">#REF!</definedName>
    <definedName name="_DLX6.USE">#REF!</definedName>
    <definedName name="_DLX62.USE" localSheetId="2">#REF!</definedName>
    <definedName name="_DLX62.USE" localSheetId="0">#REF!</definedName>
    <definedName name="_DLX62.USE">#REF!</definedName>
    <definedName name="_DLX7.USE" localSheetId="2">#REF!</definedName>
    <definedName name="_DLX7.USE" localSheetId="0">#REF!</definedName>
    <definedName name="_DLX7.USE">#REF!</definedName>
    <definedName name="_DLX8.USE" localSheetId="2">#REF!</definedName>
    <definedName name="_DLX8.USE" localSheetId="0">#REF!</definedName>
    <definedName name="_DLX8.USE">#REF!</definedName>
    <definedName name="_DLX9.USE" localSheetId="2">#REF!</definedName>
    <definedName name="_DLX9.USE" localSheetId="0">#REF!</definedName>
    <definedName name="_DLX9.USE">#REF!</definedName>
    <definedName name="_EXP5" localSheetId="2">#REF!</definedName>
    <definedName name="_EXP5" localSheetId="0">#REF!</definedName>
    <definedName name="_EXP5">#REF!</definedName>
    <definedName name="_EXP6" localSheetId="2">#REF!</definedName>
    <definedName name="_EXP6" localSheetId="0">#REF!</definedName>
    <definedName name="_EXP6">#REF!</definedName>
    <definedName name="_EXP7" localSheetId="2">#REF!</definedName>
    <definedName name="_EXP7" localSheetId="0">#REF!</definedName>
    <definedName name="_EXP7">#REF!</definedName>
    <definedName name="_EXP9" localSheetId="2">#REF!</definedName>
    <definedName name="_EXP9" localSheetId="0">#REF!</definedName>
    <definedName name="_EXP9">#REF!</definedName>
    <definedName name="_Fill" localSheetId="2">#REF!</definedName>
    <definedName name="_Fill" localSheetId="0">#REF!</definedName>
    <definedName name="_Fill">#REF!</definedName>
    <definedName name="_IMP10" localSheetId="2">#REF!</definedName>
    <definedName name="_IMP10" localSheetId="0">#REF!</definedName>
    <definedName name="_IMP10">#REF!</definedName>
    <definedName name="_IMP2" localSheetId="2">#REF!</definedName>
    <definedName name="_IMP2" localSheetId="0">#REF!</definedName>
    <definedName name="_IMP2">#REF!</definedName>
    <definedName name="_IMP4" localSheetId="2">#REF!</definedName>
    <definedName name="_IMP4" localSheetId="0">#REF!</definedName>
    <definedName name="_IMP4">#REF!</definedName>
    <definedName name="_IMP6" localSheetId="2">#REF!</definedName>
    <definedName name="_IMP6" localSheetId="0">#REF!</definedName>
    <definedName name="_IMP6">#REF!</definedName>
    <definedName name="_IMP7" localSheetId="2">#REF!</definedName>
    <definedName name="_IMP7" localSheetId="0">#REF!</definedName>
    <definedName name="_IMP7">#REF!</definedName>
    <definedName name="_IMP8" localSheetId="2">#REF!</definedName>
    <definedName name="_IMP8" localSheetId="0">#REF!</definedName>
    <definedName name="_IMP8">#REF!</definedName>
    <definedName name="_Kur2002">[7]ONEMLI_OKUYUN!$H$86</definedName>
    <definedName name="_MTS2" localSheetId="2">'[2]Annual Tables'!#REF!</definedName>
    <definedName name="_MTS2" localSheetId="0">'[2]Annual Tables'!#REF!</definedName>
    <definedName name="_MTS2">'[2]Annual Tables'!#REF!</definedName>
    <definedName name="_Order1">255</definedName>
    <definedName name="_Order2">255</definedName>
    <definedName name="_PAG2" localSheetId="2">[2]Index!#REF!</definedName>
    <definedName name="_PAG2" localSheetId="0">[2]Index!#REF!</definedName>
    <definedName name="_PAG2">[2]Index!#REF!</definedName>
    <definedName name="_PAG3" localSheetId="2">[2]Index!#REF!</definedName>
    <definedName name="_PAG3" localSheetId="0">[2]Index!#REF!</definedName>
    <definedName name="_PAG3">[2]Index!#REF!</definedName>
    <definedName name="_PAG4" localSheetId="2">[2]Index!#REF!</definedName>
    <definedName name="_PAG4" localSheetId="0">[2]Index!#REF!</definedName>
    <definedName name="_PAG4">[2]Index!#REF!</definedName>
    <definedName name="_PAG5" localSheetId="2">[2]Index!#REF!</definedName>
    <definedName name="_PAG5" localSheetId="0">[2]Index!#REF!</definedName>
    <definedName name="_PAG5">[2]Index!#REF!</definedName>
    <definedName name="_PAG6" localSheetId="2">[2]Index!#REF!</definedName>
    <definedName name="_PAG6" localSheetId="0">[2]Index!#REF!</definedName>
    <definedName name="_PAG6">[2]Index!#REF!</definedName>
    <definedName name="_PAG7" localSheetId="2">#REF!</definedName>
    <definedName name="_PAG7" localSheetId="0">#REF!</definedName>
    <definedName name="_PAG7">#REF!</definedName>
    <definedName name="_RES2" localSheetId="2">[1]RES!#REF!</definedName>
    <definedName name="_RES2" localSheetId="0">[1]RES!#REF!</definedName>
    <definedName name="_RES2">[1]RES!#REF!</definedName>
    <definedName name="_TAB1" localSheetId="2">#REF!</definedName>
    <definedName name="_TAB1" localSheetId="0">#REF!</definedName>
    <definedName name="_TAB1">#REF!</definedName>
    <definedName name="_TAB10" localSheetId="2">#REF!</definedName>
    <definedName name="_TAB10" localSheetId="0">#REF!</definedName>
    <definedName name="_TAB10">#REF!</definedName>
    <definedName name="_TAB12" localSheetId="2">#REF!</definedName>
    <definedName name="_TAB12" localSheetId="0">#REF!</definedName>
    <definedName name="_TAB12">#REF!</definedName>
    <definedName name="_Tab18">'[8]Soc Sec OECD countries'!$B$5:$P$62</definedName>
    <definedName name="_Tab19" localSheetId="2">#REF!</definedName>
    <definedName name="_Tab19" localSheetId="0">#REF!</definedName>
    <definedName name="_Tab19">#REF!</definedName>
    <definedName name="_TAB2" localSheetId="2">#REF!</definedName>
    <definedName name="_TAB2" localSheetId="0">#REF!</definedName>
    <definedName name="_TAB2">#REF!</definedName>
    <definedName name="_Tab20" localSheetId="2">#REF!</definedName>
    <definedName name="_Tab20" localSheetId="0">#REF!</definedName>
    <definedName name="_Tab20">#REF!</definedName>
    <definedName name="_Tab21" localSheetId="2">#REF!</definedName>
    <definedName name="_Tab21" localSheetId="0">#REF!</definedName>
    <definedName name="_Tab21">#REF!</definedName>
    <definedName name="_Tab22" localSheetId="2">#REF!</definedName>
    <definedName name="_Tab22" localSheetId="0">#REF!</definedName>
    <definedName name="_Tab22">#REF!</definedName>
    <definedName name="_Tab23" localSheetId="2">#REF!</definedName>
    <definedName name="_Tab23" localSheetId="0">#REF!</definedName>
    <definedName name="_Tab23">#REF!</definedName>
    <definedName name="_Tab24" localSheetId="2">#REF!</definedName>
    <definedName name="_Tab24" localSheetId="0">#REF!</definedName>
    <definedName name="_Tab24">#REF!</definedName>
    <definedName name="_Tab26" localSheetId="2">#REF!</definedName>
    <definedName name="_Tab26" localSheetId="0">#REF!</definedName>
    <definedName name="_Tab26">#REF!</definedName>
    <definedName name="_Tab27" localSheetId="2">#REF!</definedName>
    <definedName name="_Tab27" localSheetId="0">#REF!</definedName>
    <definedName name="_Tab27">#REF!</definedName>
    <definedName name="_Tab28" localSheetId="2">#REF!</definedName>
    <definedName name="_Tab28" localSheetId="0">#REF!</definedName>
    <definedName name="_Tab28">#REF!</definedName>
    <definedName name="_Tab29" localSheetId="2">#REF!</definedName>
    <definedName name="_Tab29" localSheetId="0">#REF!</definedName>
    <definedName name="_Tab29">#REF!</definedName>
    <definedName name="_TAB3" localSheetId="2">#REF!</definedName>
    <definedName name="_TAB3" localSheetId="0">#REF!</definedName>
    <definedName name="_TAB3">#REF!</definedName>
    <definedName name="_Tab30" localSheetId="2">#REF!</definedName>
    <definedName name="_Tab30" localSheetId="0">#REF!</definedName>
    <definedName name="_Tab30">#REF!</definedName>
    <definedName name="_Tab31" localSheetId="2">#REF!</definedName>
    <definedName name="_Tab31" localSheetId="0">#REF!</definedName>
    <definedName name="_Tab31">#REF!</definedName>
    <definedName name="_Tab32" localSheetId="2">#REF!</definedName>
    <definedName name="_Tab32" localSheetId="0">#REF!</definedName>
    <definedName name="_Tab32">#REF!</definedName>
    <definedName name="_Tab33" localSheetId="2">#REF!</definedName>
    <definedName name="_Tab33" localSheetId="0">#REF!</definedName>
    <definedName name="_Tab33">#REF!</definedName>
    <definedName name="_Tab34" localSheetId="2">#REF!</definedName>
    <definedName name="_Tab34" localSheetId="0">#REF!</definedName>
    <definedName name="_Tab34">#REF!</definedName>
    <definedName name="_Tab35" localSheetId="2">#REF!</definedName>
    <definedName name="_Tab35" localSheetId="0">#REF!</definedName>
    <definedName name="_Tab35">#REF!</definedName>
    <definedName name="_TAB4" localSheetId="2">#REF!</definedName>
    <definedName name="_TAB4" localSheetId="0">#REF!</definedName>
    <definedName name="_TAB4">#REF!</definedName>
    <definedName name="_TAB5" localSheetId="2">#REF!</definedName>
    <definedName name="_TAB5" localSheetId="0">#REF!</definedName>
    <definedName name="_TAB5">#REF!</definedName>
    <definedName name="_TAB7" localSheetId="2">#REF!</definedName>
    <definedName name="_TAB7" localSheetId="0">#REF!</definedName>
    <definedName name="_TAB7">#REF!</definedName>
    <definedName name="_TAB8" localSheetId="2">#REF!</definedName>
    <definedName name="_TAB8" localSheetId="0">#REF!</definedName>
    <definedName name="_TAB8">#REF!</definedName>
    <definedName name="_Tab9">'[8]Dom GS OECD countries'!$B$5:$P$62</definedName>
    <definedName name="_WEO1" localSheetId="2">#REF!</definedName>
    <definedName name="_WEO1" localSheetId="0">#REF!</definedName>
    <definedName name="_WEO1">#REF!</definedName>
    <definedName name="_WEO2" localSheetId="2">#REF!</definedName>
    <definedName name="_WEO2" localSheetId="0">#REF!</definedName>
    <definedName name="_WEO2">#REF!</definedName>
    <definedName name="a" localSheetId="2">#REF!</definedName>
    <definedName name="a" localSheetId="0">#REF!</definedName>
    <definedName name="a">#REF!</definedName>
    <definedName name="aaa" localSheetId="2">#REF!</definedName>
    <definedName name="aaa" localSheetId="0">#REF!</definedName>
    <definedName name="aaa">#REF!</definedName>
    <definedName name="aaaa" localSheetId="2">#REF!</definedName>
    <definedName name="aaaa" localSheetId="0">#REF!</definedName>
    <definedName name="aaaa">#REF!</definedName>
    <definedName name="Africa" localSheetId="2">#REF!</definedName>
    <definedName name="Africa" localSheetId="0">#REF!</definedName>
    <definedName name="Africa">#REF!</definedName>
    <definedName name="ar_i_dag">2008</definedName>
    <definedName name="Asia" localSheetId="2">#REF!</definedName>
    <definedName name="Asia" localSheetId="0">#REF!</definedName>
    <definedName name="Asia">#REF!</definedName>
    <definedName name="atrade" localSheetId="2">[4]!atrade</definedName>
    <definedName name="atrade" localSheetId="0">[4]!atrade</definedName>
    <definedName name="atrade">[4]!atrade</definedName>
    <definedName name="b" localSheetId="2">#REF!</definedName>
    <definedName name="b" localSheetId="0">#REF!</definedName>
    <definedName name="b">#REF!</definedName>
    <definedName name="BASDAT" localSheetId="2">'[2]Annual Tables'!#REF!</definedName>
    <definedName name="BASDAT" localSheetId="0">'[2]Annual Tables'!#REF!</definedName>
    <definedName name="BASDAT">'[2]Annual Tables'!#REF!</definedName>
    <definedName name="bb" localSheetId="2">{"Riqfin97",#N/A,FALSE,"Tran";"Riqfinpro",#N/A,FALSE,"Tran"}</definedName>
    <definedName name="bb" localSheetId="1">{"Riqfin97",#N/A,FALSE,"Tran";"Riqfinpro",#N/A,FALSE,"Tran"}</definedName>
    <definedName name="bb">{"Riqfin97",#N/A,FALSE,"Tran";"Riqfinpro",#N/A,FALSE,"Tran"}</definedName>
    <definedName name="BCA">#REF!</definedName>
    <definedName name="BCA_GDP">#REF!</definedName>
    <definedName name="BE">#REF!</definedName>
    <definedName name="BEAI">#REF!</definedName>
    <definedName name="BEAIB">#REF!</definedName>
    <definedName name="BEAIG">#REF!</definedName>
    <definedName name="BEAP">#REF!</definedName>
    <definedName name="BEAPB">#REF!</definedName>
    <definedName name="BEAPG">#REF!</definedName>
    <definedName name="BEDE" localSheetId="2">#REF!</definedName>
    <definedName name="BEDE" localSheetId="0">#REF!</definedName>
    <definedName name="BEDE">#REF!</definedName>
    <definedName name="BERI">#REF!</definedName>
    <definedName name="BERIB">#REF!</definedName>
    <definedName name="BERIG">#REF!</definedName>
    <definedName name="BERP">#REF!</definedName>
    <definedName name="BERPB">#REF!</definedName>
    <definedName name="BERPG">#REF!</definedName>
    <definedName name="BF">#REF!</definedName>
    <definedName name="BFL">#REF!</definedName>
    <definedName name="BFL_D">#REF!</definedName>
    <definedName name="BFL_DF">#REF!</definedName>
    <definedName name="BFLB">#REF!</definedName>
    <definedName name="BFLB_D">#REF!</definedName>
    <definedName name="BFLB_DF">#REF!</definedName>
    <definedName name="BFLD_DF">#REF!</definedName>
    <definedName name="BFLG">#REF!</definedName>
    <definedName name="BFLG_D">#REF!</definedName>
    <definedName name="BFLG_DF">#REF!</definedName>
    <definedName name="BFRA">#REF!</definedName>
    <definedName name="BI">#REF!</definedName>
    <definedName name="BK">#REF!</definedName>
    <definedName name="BKF">#REF!</definedName>
    <definedName name="BMG">[9]Q6!$E$28:$AH$28</definedName>
    <definedName name="BMII">#REF!</definedName>
    <definedName name="BMIIB">#REF!</definedName>
    <definedName name="BMIIG">#REF!</definedName>
    <definedName name="Bolivia" localSheetId="2">#REF!</definedName>
    <definedName name="Bolivia" localSheetId="0">#REF!</definedName>
    <definedName name="Bolivia">#REF!</definedName>
    <definedName name="BOP">#REF!</definedName>
    <definedName name="Brazil" localSheetId="2">#REF!</definedName>
    <definedName name="Brazil" localSheetId="0">#REF!</definedName>
    <definedName name="Brazil">#REF!</definedName>
    <definedName name="Budget_expenditure" localSheetId="2">#REF!</definedName>
    <definedName name="Budget_expenditure" localSheetId="0">#REF!</definedName>
    <definedName name="Budget_expenditure">#REF!</definedName>
    <definedName name="Budget_revenue" localSheetId="2">#REF!</definedName>
    <definedName name="Budget_revenue" localSheetId="0">#REF!</definedName>
    <definedName name="Budget_revenue">#REF!</definedName>
    <definedName name="BXG">[9]Q6!$E$26:$AH$26</definedName>
    <definedName name="calcNGS_NGDP">#REF!</definedName>
    <definedName name="cc" localSheetId="2">{"Riqfin97",#N/A,FALSE,"Tran";"Riqfinpro",#N/A,FALSE,"Tran"}</definedName>
    <definedName name="cc" localSheetId="1">{"Riqfin97",#N/A,FALSE,"Tran";"Riqfinpro",#N/A,FALSE,"Tran"}</definedName>
    <definedName name="cc">{"Riqfin97",#N/A,FALSE,"Tran";"Riqfinpro",#N/A,FALSE,"Tran"}</definedName>
    <definedName name="ccc" localSheetId="2">{"Riqfin97",#N/A,FALSE,"Tran";"Riqfinpro",#N/A,FALSE,"Tran"}</definedName>
    <definedName name="ccc" localSheetId="1">{"Riqfin97",#N/A,FALSE,"Tran";"Riqfinpro",#N/A,FALSE,"Tran"}</definedName>
    <definedName name="ccc">{"Riqfin97",#N/A,FALSE,"Tran";"Riqfinpro",#N/A,FALSE,"Tran"}</definedName>
    <definedName name="CEE_BRO" localSheetId="2">#REF!</definedName>
    <definedName name="CEE_BRO" localSheetId="0">#REF!</definedName>
    <definedName name="CEE_BRO">#REF!</definedName>
    <definedName name="CHILE" localSheetId="2">#REF!</definedName>
    <definedName name="CHILE" localSheetId="0">#REF!</definedName>
    <definedName name="CHILE">#REF!</definedName>
    <definedName name="CHK" localSheetId="2">#REF!</definedName>
    <definedName name="CHK" localSheetId="0">#REF!</definedName>
    <definedName name="CHK">#REF!</definedName>
    <definedName name="cntryname">'[10]country name lookup'!$A$1:$B$50</definedName>
    <definedName name="CONCK" localSheetId="2">#REF!</definedName>
    <definedName name="CONCK" localSheetId="0">#REF!</definedName>
    <definedName name="CONCK">#REF!</definedName>
    <definedName name="Cons" localSheetId="2">#REF!</definedName>
    <definedName name="Cons" localSheetId="0">#REF!</definedName>
    <definedName name="Cons">#REF!</definedName>
    <definedName name="Consumption_HP" localSheetId="2">#REF!</definedName>
    <definedName name="Consumption_HP" localSheetId="0">#REF!</definedName>
    <definedName name="Consumption_HP">#REF!</definedName>
    <definedName name="d" localSheetId="2">#REF!</definedName>
    <definedName name="d" localSheetId="0">#REF!</definedName>
    <definedName name="d">#REF!</definedName>
    <definedName name="DABproj">#REF!</definedName>
    <definedName name="DAGproj">#REF!</definedName>
    <definedName name="DAproj">#REF!</definedName>
    <definedName name="DASD">#REF!</definedName>
    <definedName name="DASDB">#REF!</definedName>
    <definedName name="DASDG">#REF!</definedName>
    <definedName name="DATES" localSheetId="2">#REF!</definedName>
    <definedName name="DATES" localSheetId="0">#REF!</definedName>
    <definedName name="DATES">#REF!</definedName>
    <definedName name="dates_w" localSheetId="2">#REF!</definedName>
    <definedName name="dates_w" localSheetId="0">#REF!</definedName>
    <definedName name="dates_w">#REF!</definedName>
    <definedName name="DBproj">#REF!</definedName>
    <definedName name="dd" localSheetId="2">{"Riqfin97",#N/A,FALSE,"Tran";"Riqfinpro",#N/A,FALSE,"Tran"}</definedName>
    <definedName name="dd" localSheetId="1">{"Riqfin97",#N/A,FALSE,"Tran";"Riqfinpro",#N/A,FALSE,"Tran"}</definedName>
    <definedName name="dd">{"Riqfin97",#N/A,FALSE,"Tran";"Riqfinpro",#N/A,FALSE,"Tran"}</definedName>
    <definedName name="ddd" localSheetId="2">{"Riqfin97",#N/A,FALSE,"Tran";"Riqfinpro",#N/A,FALSE,"Tran"}</definedName>
    <definedName name="ddd" localSheetId="1">{"Riqfin97",#N/A,FALSE,"Tran";"Riqfinpro",#N/A,FALSE,"Tran"}</definedName>
    <definedName name="ddd">{"Riqfin97",#N/A,FALSE,"Tran";"Riqfinpro",#N/A,FALSE,"Tran"}</definedName>
    <definedName name="DEBT1" localSheetId="2">#REF!</definedName>
    <definedName name="DEBT1" localSheetId="0">#REF!</definedName>
    <definedName name="DEBT1">#REF!</definedName>
    <definedName name="DEBT10" localSheetId="2">#REF!</definedName>
    <definedName name="DEBT10" localSheetId="0">#REF!</definedName>
    <definedName name="DEBT10">#REF!</definedName>
    <definedName name="DEBT11" localSheetId="2">#REF!</definedName>
    <definedName name="DEBT11" localSheetId="0">#REF!</definedName>
    <definedName name="DEBT11">#REF!</definedName>
    <definedName name="DEBT12" localSheetId="2">#REF!</definedName>
    <definedName name="DEBT12" localSheetId="0">#REF!</definedName>
    <definedName name="DEBT12">#REF!</definedName>
    <definedName name="DEBT13" localSheetId="2">#REF!</definedName>
    <definedName name="DEBT13" localSheetId="0">#REF!</definedName>
    <definedName name="DEBT13">#REF!</definedName>
    <definedName name="DEBT14" localSheetId="2">#REF!</definedName>
    <definedName name="DEBT14" localSheetId="0">#REF!</definedName>
    <definedName name="DEBT14">#REF!</definedName>
    <definedName name="DEBT15" localSheetId="2">#REF!</definedName>
    <definedName name="DEBT15" localSheetId="0">#REF!</definedName>
    <definedName name="DEBT15">#REF!</definedName>
    <definedName name="DEBT16" localSheetId="2">#REF!</definedName>
    <definedName name="DEBT16" localSheetId="0">#REF!</definedName>
    <definedName name="DEBT16">#REF!</definedName>
    <definedName name="DEBT2" localSheetId="2">#REF!</definedName>
    <definedName name="DEBT2" localSheetId="0">#REF!</definedName>
    <definedName name="DEBT2">#REF!</definedName>
    <definedName name="DEBT3" localSheetId="2">#REF!</definedName>
    <definedName name="DEBT3" localSheetId="0">#REF!</definedName>
    <definedName name="DEBT3">#REF!</definedName>
    <definedName name="DEBT4" localSheetId="2">#REF!</definedName>
    <definedName name="DEBT4" localSheetId="0">#REF!</definedName>
    <definedName name="DEBT4">#REF!</definedName>
    <definedName name="DEBT5" localSheetId="2">#REF!</definedName>
    <definedName name="DEBT5" localSheetId="0">#REF!</definedName>
    <definedName name="DEBT5">#REF!</definedName>
    <definedName name="DEBT6" localSheetId="2">#REF!</definedName>
    <definedName name="DEBT6" localSheetId="0">#REF!</definedName>
    <definedName name="DEBT6">#REF!</definedName>
    <definedName name="DEBT7" localSheetId="2">#REF!</definedName>
    <definedName name="DEBT7" localSheetId="0">#REF!</definedName>
    <definedName name="DEBT7">#REF!</definedName>
    <definedName name="DEBT8" localSheetId="2">#REF!</definedName>
    <definedName name="DEBT8" localSheetId="0">#REF!</definedName>
    <definedName name="DEBT8">#REF!</definedName>
    <definedName name="DEBT9" localSheetId="2">#REF!</definedName>
    <definedName name="DEBT9" localSheetId="0">#REF!</definedName>
    <definedName name="DEBT9">#REF!</definedName>
    <definedName name="DES" localSheetId="2">#REF!</definedName>
    <definedName name="DES" localSheetId="0">#REF!</definedName>
    <definedName name="DES">#REF!</definedName>
    <definedName name="DGproj">#REF!</definedName>
    <definedName name="DLX1.EMG3" localSheetId="2">#REF!</definedName>
    <definedName name="DLX1.EMG3" localSheetId="0">#REF!</definedName>
    <definedName name="DLX1.EMG3">#REF!</definedName>
    <definedName name="DLX1.EMG4" localSheetId="2">#REF!</definedName>
    <definedName name="DLX1.EMG4" localSheetId="0">#REF!</definedName>
    <definedName name="DLX1.EMG4">#REF!</definedName>
    <definedName name="DLX2.USE" localSheetId="2">#REF!</definedName>
    <definedName name="DLX2.USE" localSheetId="0">#REF!</definedName>
    <definedName name="DLX2.USE">#REF!</definedName>
    <definedName name="DLX3.EMG3" localSheetId="2">#REF!</definedName>
    <definedName name="DLX3.EMG3" localSheetId="0">#REF!</definedName>
    <definedName name="DLX3.EMG3">#REF!</definedName>
    <definedName name="DME_Dirty">"False"</definedName>
    <definedName name="DME_LocalFile">"True"</definedName>
    <definedName name="Dproj">#REF!</definedName>
    <definedName name="DSD">#REF!</definedName>
    <definedName name="DSD_S">#REF!</definedName>
    <definedName name="DSDB">#REF!</definedName>
    <definedName name="DSDG">#REF!</definedName>
    <definedName name="DSIBproj">#REF!</definedName>
    <definedName name="DSIGproj">#REF!</definedName>
    <definedName name="DSIproj">#REF!</definedName>
    <definedName name="DSISD">#REF!</definedName>
    <definedName name="DSISDB">#REF!</definedName>
    <definedName name="DSISDG">#REF!</definedName>
    <definedName name="DSPBproj">#REF!</definedName>
    <definedName name="DSPGproj">#REF!</definedName>
    <definedName name="DSPproj">#REF!</definedName>
    <definedName name="DSPSD">#REF!</definedName>
    <definedName name="DSPSDB">#REF!</definedName>
    <definedName name="DSPSDG">#REF!</definedName>
    <definedName name="e" localSheetId="2">#REF!</definedName>
    <definedName name="e" localSheetId="0">#REF!</definedName>
    <definedName name="e">#REF!</definedName>
    <definedName name="EDNA">#REF!</definedName>
    <definedName name="ee" localSheetId="2">{"Tab1",#N/A,FALSE,"P";"Tab2",#N/A,FALSE,"P"}</definedName>
    <definedName name="ee" localSheetId="1">{"Tab1",#N/A,FALSE,"P";"Tab2",#N/A,FALSE,"P"}</definedName>
    <definedName name="ee">{"Tab1",#N/A,FALSE,"P";"Tab2",#N/A,FALSE,"P"}</definedName>
    <definedName name="eee" localSheetId="2">{"Tab1",#N/A,FALSE,"P";"Tab2",#N/A,FALSE,"P"}</definedName>
    <definedName name="eee" localSheetId="1">{"Tab1",#N/A,FALSE,"P";"Tab2",#N/A,FALSE,"P"}</definedName>
    <definedName name="eee">{"Tab1",#N/A,FALSE,"P";"Tab2",#N/A,FALSE,"P"}</definedName>
    <definedName name="Efn_hmb__DB">[11]EFN_HMB_!$A$1:$D$250</definedName>
    <definedName name="Efn_man__DB">[12]EFN_MAN_!$A$1:$D$226</definedName>
    <definedName name="elect" localSheetId="2">#REF!</definedName>
    <definedName name="elect" localSheetId="0">#REF!</definedName>
    <definedName name="elect">#REF!</definedName>
    <definedName name="EMETEL" localSheetId="2">#REF!</definedName>
    <definedName name="EMETEL" localSheetId="0">#REF!</definedName>
    <definedName name="EMETEL">#REF!</definedName>
    <definedName name="ENDA">#REF!</definedName>
    <definedName name="Escenario_AG" localSheetId="2">#REF!</definedName>
    <definedName name="Escenario_AG" localSheetId="0">#REF!</definedName>
    <definedName name="Escenario_AG">#REF!</definedName>
    <definedName name="Escenario_HI" localSheetId="2">#REF!</definedName>
    <definedName name="Escenario_HI" localSheetId="0">#REF!</definedName>
    <definedName name="Escenario_HI">#REF!</definedName>
    <definedName name="EUI" localSheetId="2">#REF!</definedName>
    <definedName name="EUI" localSheetId="0">#REF!</definedName>
    <definedName name="EUI">#REF!</definedName>
    <definedName name="ff" localSheetId="2">{"Tab1",#N/A,FALSE,"P";"Tab2",#N/A,FALSE,"P"}</definedName>
    <definedName name="ff" localSheetId="1">{"Tab1",#N/A,FALSE,"P";"Tab2",#N/A,FALSE,"P"}</definedName>
    <definedName name="ff">{"Tab1",#N/A,FALSE,"P";"Tab2",#N/A,FALSE,"P"}</definedName>
    <definedName name="fff" localSheetId="2">{"Tab1",#N/A,FALSE,"P";"Tab2",#N/A,FALSE,"P"}</definedName>
    <definedName name="fff" localSheetId="1">{"Tab1",#N/A,FALSE,"P";"Tab2",#N/A,FALSE,"P"}</definedName>
    <definedName name="fff">{"Tab1",#N/A,FALSE,"P";"Tab2",#N/A,FALSE,"P"}</definedName>
    <definedName name="finan" localSheetId="2">#REF!</definedName>
    <definedName name="finan" localSheetId="0">#REF!</definedName>
    <definedName name="finan">#REF!</definedName>
    <definedName name="finan1" localSheetId="2">#REF!</definedName>
    <definedName name="finan1" localSheetId="0">#REF!</definedName>
    <definedName name="finan1">#REF!</definedName>
    <definedName name="Financing" localSheetId="2">{"Tab1",#N/A,FALSE,"P";"Tab2",#N/A,FALSE,"P"}</definedName>
    <definedName name="Financing" localSheetId="1">{"Tab1",#N/A,FALSE,"P";"Tab2",#N/A,FALSE,"P"}</definedName>
    <definedName name="Financing">{"Tab1",#N/A,FALSE,"P";"Tab2",#N/A,FALSE,"P"}</definedName>
    <definedName name="FISUM" localSheetId="2">#REF!</definedName>
    <definedName name="FISUM" localSheetId="0">#REF!</definedName>
    <definedName name="FISUM">#REF!</definedName>
    <definedName name="FLOPEC" localSheetId="2">#REF!</definedName>
    <definedName name="FLOPEC" localSheetId="0">#REF!</definedName>
    <definedName name="FLOPEC">#REF!</definedName>
    <definedName name="FODESEC" localSheetId="2">#REF!</definedName>
    <definedName name="FODESEC" localSheetId="0">#REF!</definedName>
    <definedName name="FODESEC">#REF!</definedName>
    <definedName name="g" localSheetId="2">#REF!</definedName>
    <definedName name="g" localSheetId="0">#REF!</definedName>
    <definedName name="g">#REF!</definedName>
    <definedName name="GCB_NGDP">#REF!</definedName>
    <definedName name="GGB_NGDP">#REF!</definedName>
    <definedName name="ggg" localSheetId="2">{"Riqfin97",#N/A,FALSE,"Tran";"Riqfinpro",#N/A,FALSE,"Tran"}</definedName>
    <definedName name="ggg" localSheetId="1">{"Riqfin97",#N/A,FALSE,"Tran";"Riqfinpro",#N/A,FALSE,"Tran"}</definedName>
    <definedName name="ggg">{"Riqfin97",#N/A,FALSE,"Tran";"Riqfinpro",#N/A,FALSE,"Tran"}</definedName>
    <definedName name="ggggg" localSheetId="2">'[13]J(Priv.Cap)'!#REF!</definedName>
    <definedName name="ggggg" localSheetId="0">'[13]J(Priv.Cap)'!#REF!</definedName>
    <definedName name="ggggg">'[13]J(Priv.Cap)'!#REF!</definedName>
    <definedName name="hhh" localSheetId="2">'[14]J(Priv.Cap)'!#REF!</definedName>
    <definedName name="hhh" localSheetId="0">'[14]J(Priv.Cap)'!#REF!</definedName>
    <definedName name="hhh">'[14]J(Priv.Cap)'!#REF!</definedName>
    <definedName name="HTML_CodePage">1254</definedName>
    <definedName name="HTML_Control" localSheetId="2">{"'Sheet1'!$A$1:$Q$33"}</definedName>
    <definedName name="HTML_Control" localSheetId="1">{"'Sheet1'!$A$1:$Q$33"}</definedName>
    <definedName name="HTML_Control">{"'Sheet1'!$A$1:$Q$33"}</definedName>
    <definedName name="HTML_Description">""</definedName>
    <definedName name="HTML_Email">"vayvadae@pm.treasury.gov.tr"</definedName>
    <definedName name="HTML_Header">""</definedName>
    <definedName name="HTML_LastUpdate">"29.04.99"</definedName>
    <definedName name="HTML_LineAfter">FALSE</definedName>
    <definedName name="HTML_LineBefore">FALSE</definedName>
    <definedName name="HTML_Name">"Eylem Vayvada"</definedName>
    <definedName name="HTML_OBDlg2">TRUE</definedName>
    <definedName name="HTML_OBDlg4">TRUE</definedName>
    <definedName name="HTML_OS">0</definedName>
    <definedName name="HTML_PathFile">"L:\icborc\EYLEM\yeniduzen\ekleme\ti13.htm"</definedName>
    <definedName name="HTML_Title">"ICBORCLANMANIN VADE YAPISI"</definedName>
    <definedName name="i" localSheetId="2">#REF!</definedName>
    <definedName name="i" localSheetId="0">#REF!</definedName>
    <definedName name="i">#REF!</definedName>
    <definedName name="IDS" localSheetId="2">#REF!</definedName>
    <definedName name="IDS" localSheetId="0">#REF!</definedName>
    <definedName name="IDS">#REF!</definedName>
    <definedName name="IESS" localSheetId="2">#REF!</definedName>
    <definedName name="IESS" localSheetId="0">#REF!</definedName>
    <definedName name="IESS">#REF!</definedName>
    <definedName name="ii" localSheetId="2">{"Tab1",#N/A,FALSE,"P";"Tab2",#N/A,FALSE,"P"}</definedName>
    <definedName name="ii" localSheetId="1">{"Tab1",#N/A,FALSE,"P";"Tab2",#N/A,FALSE,"P"}</definedName>
    <definedName name="ii">{"Tab1",#N/A,FALSE,"P";"Tab2",#N/A,FALSE,"P"}</definedName>
    <definedName name="ima" localSheetId="2">#REF!</definedName>
    <definedName name="ima" localSheetId="0">#REF!</definedName>
    <definedName name="ima">#REF!</definedName>
    <definedName name="ind" localSheetId="2">#REF!</definedName>
    <definedName name="ind" localSheetId="0">#REF!</definedName>
    <definedName name="ind">#REF!</definedName>
    <definedName name="INECEL" localSheetId="2">#REF!</definedName>
    <definedName name="INECEL" localSheetId="0">#REF!</definedName>
    <definedName name="INECEL">#REF!</definedName>
    <definedName name="INPUT_2" localSheetId="2">[1]Input!#REF!</definedName>
    <definedName name="INPUT_2" localSheetId="0">[1]Input!#REF!</definedName>
    <definedName name="INPUT_2">[1]Input!#REF!</definedName>
    <definedName name="INPUT_4" localSheetId="2">[1]Input!#REF!</definedName>
    <definedName name="INPUT_4" localSheetId="0">[1]Input!#REF!</definedName>
    <definedName name="INPUT_4">[1]Input!#REF!</definedName>
    <definedName name="jj" localSheetId="2">{"Riqfin97",#N/A,FALSE,"Tran";"Riqfinpro",#N/A,FALSE,"Tran"}</definedName>
    <definedName name="jj" localSheetId="1">{"Riqfin97",#N/A,FALSE,"Tran";"Riqfinpro",#N/A,FALSE,"Tran"}</definedName>
    <definedName name="jj">{"Riqfin97",#N/A,FALSE,"Tran";"Riqfinpro",#N/A,FALSE,"Tran"}</definedName>
    <definedName name="jjj" localSheetId="2">[15]M!#REF!</definedName>
    <definedName name="jjj" localSheetId="0">[15]M!#REF!</definedName>
    <definedName name="jjj">[15]M!#REF!</definedName>
    <definedName name="jjjjjj" localSheetId="2">'[13]J(Priv.Cap)'!#REF!</definedName>
    <definedName name="jjjjjj" localSheetId="0">'[13]J(Priv.Cap)'!#REF!</definedName>
    <definedName name="jjjjjj">'[13]J(Priv.Cap)'!#REF!</definedName>
    <definedName name="kk" localSheetId="2">{"Tab1",#N/A,FALSE,"P";"Tab2",#N/A,FALSE,"P"}</definedName>
    <definedName name="kk" localSheetId="1">{"Tab1",#N/A,FALSE,"P";"Tab2",#N/A,FALSE,"P"}</definedName>
    <definedName name="kk">{"Tab1",#N/A,FALSE,"P";"Tab2",#N/A,FALSE,"P"}</definedName>
    <definedName name="kkk" localSheetId="2">{"Tab1",#N/A,FALSE,"P";"Tab2",#N/A,FALSE,"P"}</definedName>
    <definedName name="kkk" localSheetId="1">{"Tab1",#N/A,FALSE,"P";"Tab2",#N/A,FALSE,"P"}</definedName>
    <definedName name="kkk">{"Tab1",#N/A,FALSE,"P";"Tab2",#N/A,FALSE,"P"}</definedName>
    <definedName name="kkkk" localSheetId="2">[16]M!#REF!</definedName>
    <definedName name="kkkk" localSheetId="0">[16]M!#REF!</definedName>
    <definedName name="kkkk">[16]M!#REF!</definedName>
    <definedName name="ll" localSheetId="2">{"Tab1",#N/A,FALSE,"P";"Tab2",#N/A,FALSE,"P"}</definedName>
    <definedName name="ll" localSheetId="1">{"Tab1",#N/A,FALSE,"P";"Tab2",#N/A,FALSE,"P"}</definedName>
    <definedName name="ll">{"Tab1",#N/A,FALSE,"P";"Tab2",#N/A,FALSE,"P"}</definedName>
    <definedName name="lll" localSheetId="2">{"Riqfin97",#N/A,FALSE,"Tran";"Riqfinpro",#N/A,FALSE,"Tran"}</definedName>
    <definedName name="lll" localSheetId="1">{"Riqfin97",#N/A,FALSE,"Tran";"Riqfinpro",#N/A,FALSE,"Tran"}</definedName>
    <definedName name="lll">{"Riqfin97",#N/A,FALSE,"Tran";"Riqfinpro",#N/A,FALSE,"Tran"}</definedName>
    <definedName name="llll" localSheetId="2">[15]M!#REF!</definedName>
    <definedName name="llll" localSheetId="0">[15]M!#REF!</definedName>
    <definedName name="llll">[15]M!#REF!</definedName>
    <definedName name="LUR">#REF!</definedName>
    <definedName name="Malaysia" localSheetId="2">#REF!</definedName>
    <definedName name="Malaysia" localSheetId="0">#REF!</definedName>
    <definedName name="Malaysia">#REF!</definedName>
    <definedName name="MCV">#REF!</definedName>
    <definedName name="MCV_B">#REF!</definedName>
    <definedName name="MCV_D">#REF!</definedName>
    <definedName name="MCV_N">#REF!</definedName>
    <definedName name="MCV_T">#REF!</definedName>
    <definedName name="MED" localSheetId="2">#REF!</definedName>
    <definedName name="MED" localSheetId="0">#REF!</definedName>
    <definedName name="MED">#REF!</definedName>
    <definedName name="MENORES" localSheetId="2">#REF!</definedName>
    <definedName name="MENORES" localSheetId="0">#REF!</definedName>
    <definedName name="MENORES">#REF!</definedName>
    <definedName name="MFISCAL" localSheetId="2">'[2]Annual Raw Data'!#REF!</definedName>
    <definedName name="MFISCAL" localSheetId="0">'[2]Annual Raw Data'!#REF!</definedName>
    <definedName name="MFISCAL">'[2]Annual Raw Data'!#REF!</definedName>
    <definedName name="mflowsa" localSheetId="2">[4]!mflowsa</definedName>
    <definedName name="mflowsa" localSheetId="0">[4]!mflowsa</definedName>
    <definedName name="mflowsa">[4]!mflowsa</definedName>
    <definedName name="mflowsq" localSheetId="2">[4]!mflowsq</definedName>
    <definedName name="mflowsq" localSheetId="0">[4]!mflowsq</definedName>
    <definedName name="mflowsq">[4]!mflowsq</definedName>
    <definedName name="MICRO" localSheetId="2">#REF!</definedName>
    <definedName name="MICRO" localSheetId="0">#REF!</definedName>
    <definedName name="MICRO">#REF!</definedName>
    <definedName name="MISC3" localSheetId="2">#REF!</definedName>
    <definedName name="MISC3" localSheetId="0">#REF!</definedName>
    <definedName name="MISC3">#REF!</definedName>
    <definedName name="MISC4" localSheetId="2">[1]OUTPUT!#REF!</definedName>
    <definedName name="MISC4" localSheetId="0">[1]OUTPUT!#REF!</definedName>
    <definedName name="MISC4">[1]OUTPUT!#REF!</definedName>
    <definedName name="mmm" localSheetId="2">{"Riqfin97",#N/A,FALSE,"Tran";"Riqfinpro",#N/A,FALSE,"Tran"}</definedName>
    <definedName name="mmm" localSheetId="1">{"Riqfin97",#N/A,FALSE,"Tran";"Riqfinpro",#N/A,FALSE,"Tran"}</definedName>
    <definedName name="mmm">{"Riqfin97",#N/A,FALSE,"Tran";"Riqfinpro",#N/A,FALSE,"Tran"}</definedName>
    <definedName name="mmmm" localSheetId="2">{"Tab1",#N/A,FALSE,"P";"Tab2",#N/A,FALSE,"P"}</definedName>
    <definedName name="mmmm" localSheetId="1">{"Tab1",#N/A,FALSE,"P";"Tab2",#N/A,FALSE,"P"}</definedName>
    <definedName name="mmmm">{"Tab1",#N/A,FALSE,"P";"Tab2",#N/A,FALSE,"P"}</definedName>
    <definedName name="MON_SM" localSheetId="2">#REF!</definedName>
    <definedName name="MON_SM" localSheetId="0">#REF!</definedName>
    <definedName name="MON_SM">#REF!</definedName>
    <definedName name="MONF_SM" localSheetId="2">#REF!</definedName>
    <definedName name="MONF_SM" localSheetId="0">#REF!</definedName>
    <definedName name="MONF_SM">#REF!</definedName>
    <definedName name="mstocksa" localSheetId="2">[4]!mstocksa</definedName>
    <definedName name="mstocksa" localSheetId="0">[4]!mstocksa</definedName>
    <definedName name="mstocksa">[4]!mstocksa</definedName>
    <definedName name="mstocksq" localSheetId="2">[4]!mstocksq</definedName>
    <definedName name="mstocksq" localSheetId="0">[4]!mstocksq</definedName>
    <definedName name="mstocksq">[4]!mstocksq</definedName>
    <definedName name="Municipios" localSheetId="2">#REF!</definedName>
    <definedName name="Municipios" localSheetId="0">#REF!</definedName>
    <definedName name="Municipios">#REF!</definedName>
    <definedName name="names" localSheetId="2">#REF!</definedName>
    <definedName name="names" localSheetId="0">#REF!</definedName>
    <definedName name="names">#REF!</definedName>
    <definedName name="names_w" localSheetId="2">#REF!</definedName>
    <definedName name="names_w" localSheetId="0">#REF!</definedName>
    <definedName name="names_w">#REF!</definedName>
    <definedName name="NCG">#REF!</definedName>
    <definedName name="NCG_R">#REF!</definedName>
    <definedName name="NCP">#REF!</definedName>
    <definedName name="NCP_R">#REF!</definedName>
    <definedName name="NFI">#REF!</definedName>
    <definedName name="NFI_R">#REF!</definedName>
    <definedName name="NGDP">#REF!</definedName>
    <definedName name="NGDP_DG">#REF!</definedName>
    <definedName name="NGDP_R">#REF!</definedName>
    <definedName name="NGDP_RG">#REF!</definedName>
    <definedName name="NGDPA" localSheetId="2">#REF!</definedName>
    <definedName name="NGDPA" localSheetId="0">#REF!</definedName>
    <definedName name="NGDPA">#REF!</definedName>
    <definedName name="NGS_NGDP">#REF!</definedName>
    <definedName name="NINV">#REF!</definedName>
    <definedName name="NINV_R">#REF!</definedName>
    <definedName name="NM">#REF!</definedName>
    <definedName name="NM_R">#REF!</definedName>
    <definedName name="NMG_RG">#REF!</definedName>
    <definedName name="nn" localSheetId="2">{"Riqfin97",#N/A,FALSE,"Tran";"Riqfinpro",#N/A,FALSE,"Tran"}</definedName>
    <definedName name="nn" localSheetId="1">{"Riqfin97",#N/A,FALSE,"Tran";"Riqfinpro",#N/A,FALSE,"Tran"}</definedName>
    <definedName name="nn">{"Riqfin97",#N/A,FALSE,"Tran";"Riqfinpro",#N/A,FALSE,"Tran"}</definedName>
    <definedName name="nnn" localSheetId="2">{"Tab1",#N/A,FALSE,"P";"Tab2",#N/A,FALSE,"P"}</definedName>
    <definedName name="nnn" localSheetId="1">{"Tab1",#N/A,FALSE,"P";"Tab2",#N/A,FALSE,"P"}</definedName>
    <definedName name="nnn">{"Tab1",#N/A,FALSE,"P";"Tab2",#N/A,FALSE,"P"}</definedName>
    <definedName name="NTDD_RG">#REF!</definedName>
    <definedName name="NX">#REF!</definedName>
    <definedName name="NX_R">#REF!</definedName>
    <definedName name="NXG_RG">#REF!</definedName>
    <definedName name="OBS" localSheetId="2">#REF!</definedName>
    <definedName name="OBS" localSheetId="0">#REF!</definedName>
    <definedName name="OBS">#REF!</definedName>
    <definedName name="OECD">'[8]VAT rates OECD Countries'!$B$5:$G$68</definedName>
    <definedName name="oo" localSheetId="2">{"Riqfin97",#N/A,FALSE,"Tran";"Riqfinpro",#N/A,FALSE,"Tran"}</definedName>
    <definedName name="oo" localSheetId="1">{"Riqfin97",#N/A,FALSE,"Tran";"Riqfinpro",#N/A,FALSE,"Tran"}</definedName>
    <definedName name="oo">{"Riqfin97",#N/A,FALSE,"Tran";"Riqfinpro",#N/A,FALSE,"Tran"}</definedName>
    <definedName name="ooo" localSheetId="2">{"Tab1",#N/A,FALSE,"P";"Tab2",#N/A,FALSE,"P"}</definedName>
    <definedName name="ooo" localSheetId="1">{"Tab1",#N/A,FALSE,"P";"Tab2",#N/A,FALSE,"P"}</definedName>
    <definedName name="ooo">{"Tab1",#N/A,FALSE,"P";"Tab2",#N/A,FALSE,"P"}</definedName>
    <definedName name="Otras_Residuales" localSheetId="2">#REF!</definedName>
    <definedName name="Otras_Residuales" localSheetId="0">#REF!</definedName>
    <definedName name="Otras_Residuales">#REF!</definedName>
    <definedName name="OutputtoSEIWS3" localSheetId="2">#REF!</definedName>
    <definedName name="OutputtoSEIWS3" localSheetId="0">#REF!</definedName>
    <definedName name="OutputtoSEIWS3">#REF!</definedName>
    <definedName name="p" localSheetId="2">{"Riqfin97",#N/A,FALSE,"Tran";"Riqfinpro",#N/A,FALSE,"Tran"}</definedName>
    <definedName name="p" localSheetId="1">{"Riqfin97",#N/A,FALSE,"Tran";"Riqfinpro",#N/A,FALSE,"Tran"}</definedName>
    <definedName name="p">{"Riqfin97",#N/A,FALSE,"Tran";"Riqfinpro",#N/A,FALSE,"Tran"}</definedName>
    <definedName name="Part1" localSheetId="2">#REF!</definedName>
    <definedName name="Part1" localSheetId="0">#REF!</definedName>
    <definedName name="Part1">#REF!</definedName>
    <definedName name="PCPIG">#REF!</definedName>
    <definedName name="Petroecuador" localSheetId="2">#REF!</definedName>
    <definedName name="Petroecuador" localSheetId="0">#REF!</definedName>
    <definedName name="Petroecuador">#REF!</definedName>
    <definedName name="Ports" localSheetId="2">#REF!</definedName>
    <definedName name="Ports" localSheetId="0">#REF!</definedName>
    <definedName name="Ports">#REF!</definedName>
    <definedName name="pp" localSheetId="2">{"Riqfin97",#N/A,FALSE,"Tran";"Riqfinpro",#N/A,FALSE,"Tran"}</definedName>
    <definedName name="pp" localSheetId="1">{"Riqfin97",#N/A,FALSE,"Tran";"Riqfinpro",#N/A,FALSE,"Tran"}</definedName>
    <definedName name="pp">{"Riqfin97",#N/A,FALSE,"Tran";"Riqfinpro",#N/A,FALSE,"Tran"}</definedName>
    <definedName name="ppp" localSheetId="2">{"Riqfin97",#N/A,FALSE,"Tran";"Riqfinpro",#N/A,FALSE,"Tran"}</definedName>
    <definedName name="ppp" localSheetId="1">{"Riqfin97",#N/A,FALSE,"Tran";"Riqfinpro",#N/A,FALSE,"Tran"}</definedName>
    <definedName name="ppp">{"Riqfin97",#N/A,FALSE,"Tran";"Riqfinpro",#N/A,FALSE,"Tran"}</definedName>
    <definedName name="PPPWGT">#REF!</definedName>
    <definedName name="Q6_" localSheetId="2">#REF!</definedName>
    <definedName name="Q6_" localSheetId="0">#REF!</definedName>
    <definedName name="Q6_">#REF!</definedName>
    <definedName name="QFISCAL" localSheetId="2">'[2]Quarterly Raw Data'!#REF!</definedName>
    <definedName name="QFISCAL" localSheetId="0">'[2]Quarterly Raw Data'!#REF!</definedName>
    <definedName name="QFISCAL">'[2]Quarterly Raw Data'!#REF!</definedName>
    <definedName name="qq" localSheetId="2">'[14]J(Priv.Cap)'!#REF!</definedName>
    <definedName name="qq" localSheetId="0">'[14]J(Priv.Cap)'!#REF!</definedName>
    <definedName name="qq">'[14]J(Priv.Cap)'!#REF!</definedName>
    <definedName name="QTAB7" localSheetId="2">'[2]Quarterly MacroFlow'!#REF!</definedName>
    <definedName name="QTAB7" localSheetId="0">'[2]Quarterly MacroFlow'!#REF!</definedName>
    <definedName name="QTAB7">'[2]Quarterly MacroFlow'!#REF!</definedName>
    <definedName name="QTAB7A" localSheetId="2">'[2]Quarterly MacroFlow'!#REF!</definedName>
    <definedName name="QTAB7A" localSheetId="0">'[2]Quarterly MacroFlow'!#REF!</definedName>
    <definedName name="QTAB7A">'[2]Quarterly MacroFlow'!#REF!</definedName>
    <definedName name="QW" localSheetId="2">#REF!</definedName>
    <definedName name="QW" localSheetId="0">#REF!</definedName>
    <definedName name="QW">#REF!</definedName>
    <definedName name="REDTbl3" localSheetId="2">#REF!</definedName>
    <definedName name="REDTbl3" localSheetId="0">#REF!</definedName>
    <definedName name="REDTbl3">#REF!</definedName>
    <definedName name="REDTbl4" localSheetId="2">#REF!</definedName>
    <definedName name="REDTbl4" localSheetId="0">#REF!</definedName>
    <definedName name="REDTbl4">#REF!</definedName>
    <definedName name="REDTbl5" localSheetId="2">#REF!</definedName>
    <definedName name="REDTbl5" localSheetId="0">#REF!</definedName>
    <definedName name="REDTbl5">#REF!</definedName>
    <definedName name="REDTbl6" localSheetId="2">#REF!</definedName>
    <definedName name="REDTbl6" localSheetId="0">#REF!</definedName>
    <definedName name="REDTbl6">#REF!</definedName>
    <definedName name="REDTbl7" localSheetId="2">#REF!</definedName>
    <definedName name="REDTbl7" localSheetId="0">#REF!</definedName>
    <definedName name="REDTbl7">#REF!</definedName>
    <definedName name="RGDPA" localSheetId="2">#REF!</definedName>
    <definedName name="RGDPA" localSheetId="0">#REF!</definedName>
    <definedName name="RGDPA">#REF!</definedName>
    <definedName name="RGSPA" localSheetId="2">#REF!</definedName>
    <definedName name="RGSPA" localSheetId="0">#REF!</definedName>
    <definedName name="RGSPA">#REF!</definedName>
    <definedName name="rr" localSheetId="2">{"Riqfin97",#N/A,FALSE,"Tran";"Riqfinpro",#N/A,FALSE,"Tran"}</definedName>
    <definedName name="rr" localSheetId="1">{"Riqfin97",#N/A,FALSE,"Tran";"Riqfinpro",#N/A,FALSE,"Tran"}</definedName>
    <definedName name="rr">{"Riqfin97",#N/A,FALSE,"Tran";"Riqfinpro",#N/A,FALSE,"Tran"}</definedName>
    <definedName name="rrr" localSheetId="2">{"Riqfin97",#N/A,FALSE,"Tran";"Riqfinpro",#N/A,FALSE,"Tran"}</definedName>
    <definedName name="rrr" localSheetId="1">{"Riqfin97",#N/A,FALSE,"Tran";"Riqfinpro",#N/A,FALSE,"Tran"}</definedName>
    <definedName name="rrr">{"Riqfin97",#N/A,FALSE,"Tran";"Riqfinpro",#N/A,FALSE,"Tran"}</definedName>
    <definedName name="rrttttttttttttttttttt" localSheetId="2">'[2]Annual Tables'!#REF!</definedName>
    <definedName name="rrttttttttttttttttttt" localSheetId="0">'[2]Annual Tables'!#REF!</definedName>
    <definedName name="rrttttttttttttttttttt">'[2]Annual Tables'!#REF!</definedName>
    <definedName name="Solución_preguntas_13a_y_13b" localSheetId="2">#REF!</definedName>
    <definedName name="Solución_preguntas_13a_y_13b" localSheetId="0">#REF!</definedName>
    <definedName name="Solución_preguntas_13a_y_13b">#REF!</definedName>
    <definedName name="SS">[17]IMATA!$B$45:$B$108</definedName>
    <definedName name="TAB1A" localSheetId="2">#REF!</definedName>
    <definedName name="TAB1A" localSheetId="0">#REF!</definedName>
    <definedName name="TAB1A">#REF!</definedName>
    <definedName name="TAB1CK" localSheetId="2">#REF!</definedName>
    <definedName name="TAB1CK" localSheetId="0">#REF!</definedName>
    <definedName name="TAB1CK">#REF!</definedName>
    <definedName name="Tab25a" localSheetId="2">#REF!</definedName>
    <definedName name="Tab25a" localSheetId="0">#REF!</definedName>
    <definedName name="Tab25a">#REF!</definedName>
    <definedName name="Tab25b" localSheetId="2">#REF!</definedName>
    <definedName name="Tab25b" localSheetId="0">#REF!</definedName>
    <definedName name="Tab25b">#REF!</definedName>
    <definedName name="TAB2A" localSheetId="2">#REF!</definedName>
    <definedName name="TAB2A" localSheetId="0">#REF!</definedName>
    <definedName name="TAB2A">#REF!</definedName>
    <definedName name="TAB5A" localSheetId="2">#REF!</definedName>
    <definedName name="TAB5A" localSheetId="0">#REF!</definedName>
    <definedName name="TAB5A">#REF!</definedName>
    <definedName name="TAB6A" localSheetId="2">'[2]Annual Tables'!#REF!</definedName>
    <definedName name="TAB6A" localSheetId="0">'[2]Annual Tables'!#REF!</definedName>
    <definedName name="TAB6A">'[2]Annual Tables'!#REF!</definedName>
    <definedName name="TAB6B" localSheetId="2">'[2]Annual Tables'!#REF!</definedName>
    <definedName name="TAB6B" localSheetId="0">'[2]Annual Tables'!#REF!</definedName>
    <definedName name="TAB6B">'[2]Annual Tables'!#REF!</definedName>
    <definedName name="TAB6C" localSheetId="2">#REF!</definedName>
    <definedName name="TAB6C" localSheetId="0">#REF!</definedName>
    <definedName name="TAB6C">#REF!</definedName>
    <definedName name="TAB7A" localSheetId="2">#REF!</definedName>
    <definedName name="TAB7A" localSheetId="0">#REF!</definedName>
    <definedName name="TAB7A">#REF!</definedName>
    <definedName name="Table" localSheetId="2">#REF!</definedName>
    <definedName name="Table" localSheetId="0">#REF!</definedName>
    <definedName name="Table">#REF!</definedName>
    <definedName name="Table__47">[18]RED47!$A$1:$I$53</definedName>
    <definedName name="Table_2._Country_X___Public_Sector_Financing_1" localSheetId="2">#REF!</definedName>
    <definedName name="Table_2._Country_X___Public_Sector_Financing_1" localSheetId="0">#REF!</definedName>
    <definedName name="Table_2._Country_X___Public_Sector_Financing_1">#REF!</definedName>
    <definedName name="Table_4SR" localSheetId="2">#REF!</definedName>
    <definedName name="Table_4SR" localSheetId="0">#REF!</definedName>
    <definedName name="Table_4SR">#REF!</definedName>
    <definedName name="TAME" localSheetId="2">#REF!</definedName>
    <definedName name="TAME" localSheetId="0">#REF!</definedName>
    <definedName name="TAME">#REF!</definedName>
    <definedName name="Tegsun_DB">[19]tegsun!$A$1:$F$1136</definedName>
    <definedName name="TMG_D">[9]Q5!$E$23:$AH$23</definedName>
    <definedName name="TMGO">#REF!</definedName>
    <definedName name="Total_Consumption" localSheetId="2">#REF!</definedName>
    <definedName name="Total_Consumption" localSheetId="0">#REF!</definedName>
    <definedName name="Total_Consumption">#REF!</definedName>
    <definedName name="TOWEO" localSheetId="2">#REF!</definedName>
    <definedName name="TOWEO" localSheetId="0">#REF!</definedName>
    <definedName name="TOWEO">#REF!</definedName>
    <definedName name="TPD" localSheetId="2">#REF!</definedName>
    <definedName name="TPD" localSheetId="0">#REF!</definedName>
    <definedName name="TPD">#REF!</definedName>
    <definedName name="TRADE3" localSheetId="2">[1]Trade!#REF!</definedName>
    <definedName name="TRADE3" localSheetId="0">[1]Trade!#REF!</definedName>
    <definedName name="TRADE3">[1]Trade!#REF!</definedName>
    <definedName name="trans" localSheetId="2">#REF!</definedName>
    <definedName name="trans" localSheetId="0">#REF!</definedName>
    <definedName name="trans">#REF!</definedName>
    <definedName name="Transfer_check" localSheetId="2">#REF!</definedName>
    <definedName name="Transfer_check" localSheetId="0">#REF!</definedName>
    <definedName name="Transfer_check">#REF!</definedName>
    <definedName name="TRANSNAVE" localSheetId="2">#REF!</definedName>
    <definedName name="TRANSNAVE" localSheetId="0">#REF!</definedName>
    <definedName name="TRANSNAVE">#REF!</definedName>
    <definedName name="tt" localSheetId="2">{"Tab1",#N/A,FALSE,"P";"Tab2",#N/A,FALSE,"P"}</definedName>
    <definedName name="tt" localSheetId="1">{"Tab1",#N/A,FALSE,"P";"Tab2",#N/A,FALSE,"P"}</definedName>
    <definedName name="tt">{"Tab1",#N/A,FALSE,"P";"Tab2",#N/A,FALSE,"P"}</definedName>
    <definedName name="ttt" localSheetId="2">{"Tab1",#N/A,FALSE,"P";"Tab2",#N/A,FALSE,"P"}</definedName>
    <definedName name="ttt" localSheetId="1">{"Tab1",#N/A,FALSE,"P";"Tab2",#N/A,FALSE,"P"}</definedName>
    <definedName name="ttt">{"Tab1",#N/A,FALSE,"P";"Tab2",#N/A,FALSE,"P"}</definedName>
    <definedName name="ttttt" localSheetId="2">[15]M!#REF!</definedName>
    <definedName name="ttttt" localSheetId="0">[15]M!#REF!</definedName>
    <definedName name="ttttt">[15]M!#REF!</definedName>
    <definedName name="tttttttttttttttttt" localSheetId="2">[2]Index!#REF!</definedName>
    <definedName name="tttttttttttttttttt" localSheetId="0">[2]Index!#REF!</definedName>
    <definedName name="tttttttttttttttttt">[2]Index!#REF!</definedName>
    <definedName name="TXG_D">#REF!</definedName>
    <definedName name="TXGO">#REF!</definedName>
    <definedName name="UNITS" localSheetId="2">#REF!</definedName>
    <definedName name="UNITS" localSheetId="0">#REF!</definedName>
    <definedName name="UNITS">#REF!</definedName>
    <definedName name="Universities" localSheetId="2">#REF!</definedName>
    <definedName name="Universities" localSheetId="0">#REF!</definedName>
    <definedName name="Universities">#REF!</definedName>
    <definedName name="Uruguay" localSheetId="2">#REF!</definedName>
    <definedName name="Uruguay" localSheetId="0">#REF!</definedName>
    <definedName name="Uruguay">#REF!</definedName>
    <definedName name="uu" localSheetId="2">{"Riqfin97",#N/A,FALSE,"Tran";"Riqfinpro",#N/A,FALSE,"Tran"}</definedName>
    <definedName name="uu" localSheetId="1">{"Riqfin97",#N/A,FALSE,"Tran";"Riqfinpro",#N/A,FALSE,"Tran"}</definedName>
    <definedName name="uu">{"Riqfin97",#N/A,FALSE,"Tran";"Riqfinpro",#N/A,FALSE,"Tran"}</definedName>
    <definedName name="uuu" localSheetId="2">{"Riqfin97",#N/A,FALSE,"Tran";"Riqfinpro",#N/A,FALSE,"Tran"}</definedName>
    <definedName name="uuu" localSheetId="1">{"Riqfin97",#N/A,FALSE,"Tran";"Riqfinpro",#N/A,FALSE,"Tran"}</definedName>
    <definedName name="uuu">{"Riqfin97",#N/A,FALSE,"Tran";"Riqfinpro",#N/A,FALSE,"Tran"}</definedName>
    <definedName name="Venezuela" localSheetId="2">#REF!</definedName>
    <definedName name="Venezuela" localSheetId="0">#REF!</definedName>
    <definedName name="Venezuela">#REF!</definedName>
    <definedName name="vv" localSheetId="2">{"Tab1",#N/A,FALSE,"P";"Tab2",#N/A,FALSE,"P"}</definedName>
    <definedName name="vv" localSheetId="1">{"Tab1",#N/A,FALSE,"P";"Tab2",#N/A,FALSE,"P"}</definedName>
    <definedName name="vv">{"Tab1",#N/A,FALSE,"P";"Tab2",#N/A,FALSE,"P"}</definedName>
    <definedName name="vvv" localSheetId="2">{"Tab1",#N/A,FALSE,"P";"Tab2",#N/A,FALSE,"P"}</definedName>
    <definedName name="vvv" localSheetId="1">{"Tab1",#N/A,FALSE,"P";"Tab2",#N/A,FALSE,"P"}</definedName>
    <definedName name="vvv">{"Tab1",#N/A,FALSE,"P";"Tab2",#N/A,FALSE,"P"}</definedName>
    <definedName name="WHD" localSheetId="2">#REF!</definedName>
    <definedName name="WHD" localSheetId="0">#REF!</definedName>
    <definedName name="WHD">#REF!</definedName>
    <definedName name="wrn.Program." localSheetId="2">{"Tab1",#N/A,FALSE,"P";"Tab2",#N/A,FALSE,"P"}</definedName>
    <definedName name="wrn.Program." localSheetId="1">{"Tab1",#N/A,FALSE,"P";"Tab2",#N/A,FALSE,"P"}</definedName>
    <definedName name="wrn.Program.">{"Tab1",#N/A,FALSE,"P";"Tab2",#N/A,FALSE,"P"}</definedName>
    <definedName name="wrn.Riqfin." localSheetId="2">{"Riqfin97",#N/A,FALSE,"Tran";"Riqfinpro",#N/A,FALSE,"Tran"}</definedName>
    <definedName name="wrn.Riqfin." localSheetId="1">{"Riqfin97",#N/A,FALSE,"Tran";"Riqfinpro",#N/A,FALSE,"Tran"}</definedName>
    <definedName name="wrn.Riqfin.">{"Riqfin97",#N/A,FALSE,"Tran";"Riqfinpro",#N/A,FALSE,"Tran"}</definedName>
    <definedName name="ww" localSheetId="2">[15]M!#REF!</definedName>
    <definedName name="ww" localSheetId="0">[15]M!#REF!</definedName>
    <definedName name="ww">[15]M!#REF!</definedName>
    <definedName name="www" localSheetId="2">{"Riqfin97",#N/A,FALSE,"Tran";"Riqfinpro",#N/A,FALSE,"Tran"}</definedName>
    <definedName name="www" localSheetId="1">{"Riqfin97",#N/A,FALSE,"Tran";"Riqfinpro",#N/A,FALSE,"Tran"}</definedName>
    <definedName name="www">{"Riqfin97",#N/A,FALSE,"Tran";"Riqfinpro",#N/A,FALSE,"Tran"}</definedName>
    <definedName name="x" localSheetId="2">#REF!</definedName>
    <definedName name="x" localSheetId="0">#REF!</definedName>
    <definedName name="x">#REF!</definedName>
    <definedName name="xx" localSheetId="2">{"Riqfin97",#N/A,FALSE,"Tran";"Riqfinpro",#N/A,FALSE,"Tran"}</definedName>
    <definedName name="xx" localSheetId="1">{"Riqfin97",#N/A,FALSE,"Tran";"Riqfinpro",#N/A,FALSE,"Tran"}</definedName>
    <definedName name="xx">{"Riqfin97",#N/A,FALSE,"Tran";"Riqfinpro",#N/A,FALSE,"Tran"}</definedName>
    <definedName name="xxxx" localSheetId="2">{"Riqfin97",#N/A,FALSE,"Tran";"Riqfinpro",#N/A,FALSE,"Tran"}</definedName>
    <definedName name="xxxx" localSheetId="1">{"Riqfin97",#N/A,FALSE,"Tran";"Riqfinpro",#N/A,FALSE,"Tran"}</definedName>
    <definedName name="xxxx">{"Riqfin97",#N/A,FALSE,"Tran";"Riqfinpro",#N/A,FALSE,"Tran"}</definedName>
    <definedName name="xxxxx">#REF!</definedName>
    <definedName name="yy" localSheetId="2">{"Tab1",#N/A,FALSE,"P";"Tab2",#N/A,FALSE,"P"}</definedName>
    <definedName name="yy" localSheetId="1">{"Tab1",#N/A,FALSE,"P";"Tab2",#N/A,FALSE,"P"}</definedName>
    <definedName name="yy">{"Tab1",#N/A,FALSE,"P";"Tab2",#N/A,FALSE,"P"}</definedName>
    <definedName name="yyy" localSheetId="2">{"Tab1",#N/A,FALSE,"P";"Tab2",#N/A,FALSE,"P"}</definedName>
    <definedName name="yyy" localSheetId="1">{"Tab1",#N/A,FALSE,"P";"Tab2",#N/A,FALSE,"P"}</definedName>
    <definedName name="yyy">{"Tab1",#N/A,FALSE,"P";"Tab2",#N/A,FALSE,"P"}</definedName>
    <definedName name="yyyy" localSheetId="2">{"Riqfin97",#N/A,FALSE,"Tran";"Riqfinpro",#N/A,FALSE,"Tran"}</definedName>
    <definedName name="yyyy" localSheetId="1">{"Riqfin97",#N/A,FALSE,"Tran";"Riqfinpro",#N/A,FALSE,"Tran"}</definedName>
    <definedName name="yyyy">{"Riqfin97",#N/A,FALSE,"Tran";"Riqfinpro",#N/A,FALSE,"Tran"}</definedName>
    <definedName name="Z_95224721_0485_11D4_BFD1_00508B5F4DA4_.wvu.Cols" localSheetId="2">#REF!</definedName>
    <definedName name="Z_95224721_0485_11D4_BFD1_00508B5F4DA4_.wvu.Cols" localSheetId="0">#REF!</definedName>
    <definedName name="Z_95224721_0485_11D4_BFD1_00508B5F4DA4_.wvu.Cols">#REF!</definedName>
    <definedName name="zz" localSheetId="2">{"Tab1",#N/A,FALSE,"P";"Tab2",#N/A,FALSE,"P"}</definedName>
    <definedName name="zz" localSheetId="1">{"Tab1",#N/A,FALSE,"P";"Tab2",#N/A,FALSE,"P"}</definedName>
    <definedName name="zz">{"Tab1",#N/A,FALSE,"P";"Tab2",#N/A,FALSE,"P"}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7" roundtripDataChecksum="oub7TeqTcJdHNoRdm5+0HduBF+LuRSTii4lLmmAChtg="/>
    </ext>
  </extLst>
</workbook>
</file>

<file path=xl/calcChain.xml><?xml version="1.0" encoding="utf-8"?>
<calcChain xmlns="http://schemas.openxmlformats.org/spreadsheetml/2006/main">
  <c r="O42" i="3" l="1"/>
  <c r="P42" i="3"/>
  <c r="Q42" i="3"/>
  <c r="R42" i="3"/>
  <c r="P40" i="3"/>
  <c r="Q40" i="3"/>
  <c r="R40" i="3"/>
  <c r="S40" i="3"/>
  <c r="P39" i="3"/>
  <c r="Q39" i="3"/>
  <c r="R39" i="3"/>
  <c r="S39" i="3"/>
  <c r="P38" i="3"/>
  <c r="Q38" i="3"/>
  <c r="R38" i="3"/>
  <c r="S38" i="3"/>
  <c r="P37" i="3"/>
  <c r="Q37" i="3"/>
  <c r="R37" i="3"/>
  <c r="S37" i="3"/>
  <c r="P36" i="3"/>
  <c r="Q36" i="3"/>
  <c r="R36" i="3"/>
  <c r="S36" i="3"/>
  <c r="P24" i="3"/>
  <c r="Q24" i="3"/>
  <c r="R24" i="3"/>
  <c r="S24" i="3"/>
  <c r="O24" i="3"/>
  <c r="E19" i="3"/>
  <c r="F19" i="3"/>
  <c r="G19" i="3"/>
  <c r="H19" i="3"/>
  <c r="I19" i="3"/>
  <c r="I36" i="3" s="1"/>
  <c r="J19" i="3"/>
  <c r="J36" i="3" s="1"/>
  <c r="K19" i="3"/>
  <c r="K36" i="3" s="1"/>
  <c r="L19" i="3"/>
  <c r="L36" i="3" s="1"/>
  <c r="M19" i="3"/>
  <c r="N19" i="3"/>
  <c r="O19" i="3"/>
  <c r="P19" i="3"/>
  <c r="Q19" i="3"/>
  <c r="R19" i="3"/>
  <c r="S19" i="3"/>
  <c r="E24" i="3"/>
  <c r="E38" i="3" s="1"/>
  <c r="F24" i="3"/>
  <c r="G24" i="3"/>
  <c r="H24" i="3"/>
  <c r="I24" i="3"/>
  <c r="J24" i="3"/>
  <c r="K24" i="3"/>
  <c r="L24" i="3"/>
  <c r="L38" i="3" s="1"/>
  <c r="M24" i="3"/>
  <c r="M38" i="3" s="1"/>
  <c r="N24" i="3"/>
  <c r="L57" i="2"/>
  <c r="L58" i="2"/>
  <c r="L59" i="2"/>
  <c r="L60" i="2"/>
  <c r="L61" i="2"/>
  <c r="L62" i="2"/>
  <c r="L56" i="2"/>
  <c r="L67" i="2"/>
  <c r="I56" i="2"/>
  <c r="J56" i="2"/>
  <c r="L21" i="2"/>
  <c r="L12" i="2"/>
  <c r="F48" i="2"/>
  <c r="O39" i="3"/>
  <c r="N39" i="3"/>
  <c r="M39" i="3"/>
  <c r="L39" i="3"/>
  <c r="K39" i="3"/>
  <c r="J39" i="3"/>
  <c r="I39" i="3"/>
  <c r="H39" i="3"/>
  <c r="G39" i="3"/>
  <c r="F39" i="3"/>
  <c r="E39" i="3"/>
  <c r="O38" i="3"/>
  <c r="K38" i="3"/>
  <c r="O37" i="3"/>
  <c r="N37" i="3"/>
  <c r="M37" i="3"/>
  <c r="L37" i="3"/>
  <c r="K37" i="3"/>
  <c r="J37" i="3"/>
  <c r="I37" i="3"/>
  <c r="H37" i="3"/>
  <c r="G37" i="3"/>
  <c r="F37" i="3"/>
  <c r="E37" i="3"/>
  <c r="O36" i="3"/>
  <c r="N36" i="3"/>
  <c r="M36" i="3"/>
  <c r="F36" i="3"/>
  <c r="M32" i="3"/>
  <c r="E32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N38" i="3"/>
  <c r="J38" i="3"/>
  <c r="I38" i="3"/>
  <c r="H38" i="3"/>
  <c r="G38" i="3"/>
  <c r="F38" i="3"/>
  <c r="H36" i="3"/>
  <c r="G36" i="3"/>
  <c r="E36" i="3"/>
  <c r="E40" i="3" s="1"/>
  <c r="E42" i="3" s="1"/>
  <c r="S9" i="3"/>
  <c r="S32" i="3" s="1"/>
  <c r="R9" i="3"/>
  <c r="R32" i="3" s="1"/>
  <c r="Q9" i="3"/>
  <c r="Q32" i="3" s="1"/>
  <c r="P9" i="3"/>
  <c r="P32" i="3" s="1"/>
  <c r="O9" i="3"/>
  <c r="O32" i="3" s="1"/>
  <c r="N9" i="3"/>
  <c r="N32" i="3" s="1"/>
  <c r="M9" i="3"/>
  <c r="L9" i="3"/>
  <c r="L32" i="3" s="1"/>
  <c r="K9" i="3"/>
  <c r="K32" i="3" s="1"/>
  <c r="J9" i="3"/>
  <c r="J32" i="3" s="1"/>
  <c r="I9" i="3"/>
  <c r="I32" i="3" s="1"/>
  <c r="H9" i="3"/>
  <c r="H32" i="3" s="1"/>
  <c r="G9" i="3"/>
  <c r="G32" i="3" s="1"/>
  <c r="F9" i="3"/>
  <c r="F32" i="3" s="1"/>
  <c r="E9" i="3"/>
  <c r="F67" i="2"/>
  <c r="E67" i="2"/>
  <c r="K62" i="2"/>
  <c r="J62" i="2"/>
  <c r="K61" i="2"/>
  <c r="J61" i="2"/>
  <c r="K60" i="2"/>
  <c r="J60" i="2"/>
  <c r="K59" i="2"/>
  <c r="K56" i="2" s="1"/>
  <c r="K67" i="2" s="1"/>
  <c r="J59" i="2"/>
  <c r="K58" i="2"/>
  <c r="J58" i="2"/>
  <c r="K57" i="2"/>
  <c r="J57" i="2"/>
  <c r="I67" i="2"/>
  <c r="H56" i="2"/>
  <c r="H67" i="2" s="1"/>
  <c r="G56" i="2"/>
  <c r="G67" i="2" s="1"/>
  <c r="F56" i="2"/>
  <c r="E56" i="2"/>
  <c r="I48" i="2"/>
  <c r="H48" i="2"/>
  <c r="G48" i="2"/>
  <c r="E48" i="2"/>
  <c r="I45" i="2"/>
  <c r="H45" i="2"/>
  <c r="H43" i="2" s="1"/>
  <c r="G45" i="2"/>
  <c r="F45" i="2"/>
  <c r="F43" i="2" s="1"/>
  <c r="E45" i="2"/>
  <c r="K40" i="2"/>
  <c r="L40" i="2" s="1"/>
  <c r="K39" i="2"/>
  <c r="L39" i="2" s="1"/>
  <c r="J37" i="2"/>
  <c r="J36" i="2"/>
  <c r="I33" i="2"/>
  <c r="H33" i="2"/>
  <c r="G33" i="2"/>
  <c r="F33" i="2"/>
  <c r="E33" i="2"/>
  <c r="K32" i="2"/>
  <c r="L32" i="2" s="1"/>
  <c r="J32" i="2"/>
  <c r="K31" i="2"/>
  <c r="L31" i="2" s="1"/>
  <c r="J31" i="2"/>
  <c r="K27" i="2"/>
  <c r="L27" i="2" s="1"/>
  <c r="J27" i="2"/>
  <c r="K24" i="2"/>
  <c r="L24" i="2" s="1"/>
  <c r="J24" i="2"/>
  <c r="I21" i="2"/>
  <c r="H21" i="2"/>
  <c r="G21" i="2"/>
  <c r="F21" i="2"/>
  <c r="E21" i="2"/>
  <c r="K17" i="2"/>
  <c r="J17" i="2"/>
  <c r="K16" i="2"/>
  <c r="L16" i="2" s="1"/>
  <c r="J16" i="2"/>
  <c r="K15" i="2"/>
  <c r="L15" i="2" s="1"/>
  <c r="J15" i="2"/>
  <c r="K14" i="2"/>
  <c r="L14" i="2" s="1"/>
  <c r="J14" i="2"/>
  <c r="K13" i="2"/>
  <c r="L13" i="2" s="1"/>
  <c r="J13" i="2"/>
  <c r="I12" i="2"/>
  <c r="H12" i="2"/>
  <c r="G12" i="2"/>
  <c r="F12" i="2"/>
  <c r="F11" i="2" s="1"/>
  <c r="F20" i="2" s="1"/>
  <c r="E12" i="2"/>
  <c r="F9" i="2"/>
  <c r="G9" i="2" s="1"/>
  <c r="H9" i="2" s="1"/>
  <c r="C48" i="1"/>
  <c r="E47" i="1"/>
  <c r="F47" i="1" s="1"/>
  <c r="G47" i="1" s="1"/>
  <c r="H47" i="1" s="1"/>
  <c r="I47" i="1" s="1"/>
  <c r="J47" i="1" s="1"/>
  <c r="K47" i="1" s="1"/>
  <c r="L47" i="1" s="1"/>
  <c r="M47" i="1" s="1"/>
  <c r="D47" i="1"/>
  <c r="D44" i="1"/>
  <c r="E44" i="1" s="1"/>
  <c r="F44" i="1" s="1"/>
  <c r="G44" i="1" s="1"/>
  <c r="H44" i="1" s="1"/>
  <c r="I44" i="1" s="1"/>
  <c r="J44" i="1" s="1"/>
  <c r="K44" i="1" s="1"/>
  <c r="L44" i="1" s="1"/>
  <c r="M44" i="1" s="1"/>
  <c r="D42" i="1"/>
  <c r="E42" i="1" s="1"/>
  <c r="F42" i="1" s="1"/>
  <c r="G42" i="1" s="1"/>
  <c r="H42" i="1" s="1"/>
  <c r="I42" i="1" s="1"/>
  <c r="J42" i="1" s="1"/>
  <c r="K42" i="1" s="1"/>
  <c r="L42" i="1" s="1"/>
  <c r="M42" i="1" s="1"/>
  <c r="G41" i="1"/>
  <c r="H41" i="1" s="1"/>
  <c r="I41" i="1" s="1"/>
  <c r="J41" i="1" s="1"/>
  <c r="K41" i="1" s="1"/>
  <c r="L41" i="1" s="1"/>
  <c r="M41" i="1" s="1"/>
  <c r="O34" i="1"/>
  <c r="O24" i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O12" i="1"/>
  <c r="O13" i="1" s="1"/>
  <c r="G40" i="3" l="1"/>
  <c r="G42" i="3" s="1"/>
  <c r="H40" i="3"/>
  <c r="H42" i="3" s="1"/>
  <c r="I40" i="3"/>
  <c r="I42" i="3" s="1"/>
  <c r="J40" i="3"/>
  <c r="J42" i="3" s="1"/>
  <c r="K40" i="3"/>
  <c r="K42" i="3" s="1"/>
  <c r="L40" i="3"/>
  <c r="L42" i="3" s="1"/>
  <c r="O40" i="3"/>
  <c r="S42" i="3"/>
  <c r="G43" i="2"/>
  <c r="E43" i="2"/>
  <c r="J35" i="2"/>
  <c r="K33" i="2"/>
  <c r="L33" i="2" s="1"/>
  <c r="J12" i="2"/>
  <c r="K12" i="2"/>
  <c r="K11" i="2" s="1"/>
  <c r="K20" i="2" s="1"/>
  <c r="G50" i="2"/>
  <c r="G11" i="2"/>
  <c r="G23" i="2" s="1"/>
  <c r="I11" i="2"/>
  <c r="I53" i="2" s="1"/>
  <c r="I64" i="2" s="1"/>
  <c r="K21" i="2"/>
  <c r="L11" i="2"/>
  <c r="L20" i="2" s="1"/>
  <c r="H50" i="2"/>
  <c r="F23" i="2"/>
  <c r="F28" i="2"/>
  <c r="F50" i="2"/>
  <c r="I23" i="2"/>
  <c r="H11" i="2"/>
  <c r="I43" i="2"/>
  <c r="D48" i="1"/>
  <c r="E48" i="1" s="1"/>
  <c r="F48" i="1" s="1"/>
  <c r="G48" i="1" s="1"/>
  <c r="H48" i="1" s="1"/>
  <c r="I48" i="1" s="1"/>
  <c r="J48" i="1" s="1"/>
  <c r="K48" i="1" s="1"/>
  <c r="L48" i="1" s="1"/>
  <c r="M48" i="1" s="1"/>
  <c r="F40" i="3"/>
  <c r="F42" i="3" s="1"/>
  <c r="M40" i="3"/>
  <c r="M42" i="3" s="1"/>
  <c r="N40" i="3"/>
  <c r="N42" i="3" s="1"/>
  <c r="I20" i="2"/>
  <c r="E11" i="2"/>
  <c r="J11" i="2" s="1"/>
  <c r="F53" i="2"/>
  <c r="F64" i="2" s="1"/>
  <c r="J33" i="2"/>
  <c r="O14" i="1"/>
  <c r="E50" i="2"/>
  <c r="G20" i="2" l="1"/>
  <c r="I28" i="2"/>
  <c r="G28" i="2"/>
  <c r="G53" i="2"/>
  <c r="G64" i="2" s="1"/>
  <c r="I50" i="2"/>
  <c r="H53" i="2"/>
  <c r="H64" i="2" s="1"/>
  <c r="H20" i="2"/>
  <c r="H23" i="2"/>
  <c r="H28" i="2"/>
  <c r="O16" i="1"/>
  <c r="O33" i="1" s="1"/>
  <c r="O35" i="1" s="1"/>
  <c r="O36" i="1" s="1"/>
  <c r="D43" i="1"/>
  <c r="E20" i="2"/>
  <c r="E23" i="2"/>
  <c r="E53" i="2"/>
  <c r="E28" i="2"/>
  <c r="K28" i="2" l="1"/>
  <c r="L28" i="2" s="1"/>
  <c r="K23" i="2"/>
  <c r="L23" i="2" s="1"/>
  <c r="J23" i="2"/>
  <c r="E43" i="1"/>
  <c r="F43" i="1" s="1"/>
  <c r="G43" i="1" s="1"/>
  <c r="H43" i="1" s="1"/>
  <c r="I43" i="1" s="1"/>
  <c r="J43" i="1" s="1"/>
  <c r="K43" i="1" s="1"/>
  <c r="L43" i="1" s="1"/>
  <c r="M43" i="1" s="1"/>
  <c r="D49" i="1"/>
  <c r="E49" i="1" s="1"/>
  <c r="F49" i="1" s="1"/>
  <c r="G49" i="1" s="1"/>
  <c r="H49" i="1" s="1"/>
  <c r="I49" i="1" s="1"/>
  <c r="J49" i="1" s="1"/>
  <c r="K49" i="1" s="1"/>
  <c r="L49" i="1" s="1"/>
  <c r="M49" i="1" s="1"/>
  <c r="E64" i="2"/>
  <c r="K53" i="2"/>
  <c r="L53" i="2" s="1"/>
  <c r="J53" i="2"/>
  <c r="J28" i="2"/>
  <c r="K64" i="2" l="1"/>
  <c r="L64" i="2" s="1"/>
  <c r="J64" i="2"/>
</calcChain>
</file>

<file path=xl/sharedStrings.xml><?xml version="1.0" encoding="utf-8"?>
<sst xmlns="http://schemas.openxmlformats.org/spreadsheetml/2006/main" count="147" uniqueCount="144">
  <si>
    <t>xx</t>
  </si>
  <si>
    <t>External Sustainability and Vulnerability</t>
  </si>
  <si>
    <t xml:space="preserve"> Medium-term External Debt Sustainability</t>
  </si>
  <si>
    <t>A: Interest rates, exchange rates, growth: percent per annum</t>
  </si>
  <si>
    <r>
      <rPr>
        <b/>
        <sz val="14"/>
        <color theme="0"/>
        <rFont val="Calibri"/>
        <family val="2"/>
      </rPr>
      <t xml:space="preserve">Nominal interest rate on foreign currency debt in US$  </t>
    </r>
    <r>
      <rPr>
        <i/>
        <sz val="14"/>
        <color theme="0"/>
        <rFont val="Segoe UI"/>
      </rPr>
      <t>i</t>
    </r>
    <r>
      <rPr>
        <i/>
        <vertAlign val="superscript"/>
        <sz val="14"/>
        <color theme="0"/>
        <rFont val="Segoe UI"/>
      </rPr>
      <t>f</t>
    </r>
  </si>
  <si>
    <t>N.B. This number was referred to as the "effective" interest rate. It is an interest rate denominated in US Dollars.</t>
  </si>
  <si>
    <r>
      <rPr>
        <b/>
        <sz val="14"/>
        <color theme="0"/>
        <rFont val="Calibri"/>
        <family val="2"/>
      </rPr>
      <t>Domestic Inflation</t>
    </r>
    <r>
      <rPr>
        <i/>
        <sz val="14"/>
        <color theme="0"/>
        <rFont val="Segoe UI"/>
      </rPr>
      <t xml:space="preserve"> </t>
    </r>
    <r>
      <rPr>
        <i/>
        <sz val="18"/>
        <color theme="0"/>
        <rFont val="Symbol"/>
        <charset val="2"/>
      </rPr>
      <t>p</t>
    </r>
  </si>
  <si>
    <r>
      <rPr>
        <b/>
        <sz val="14"/>
        <color theme="0"/>
        <rFont val="Calibri"/>
        <family val="2"/>
      </rPr>
      <t>External (foreign) inflation:</t>
    </r>
    <r>
      <rPr>
        <i/>
        <sz val="12"/>
        <color theme="0"/>
        <rFont val="Segoe UI"/>
      </rPr>
      <t xml:space="preserve"> </t>
    </r>
    <r>
      <rPr>
        <i/>
        <sz val="14"/>
        <color theme="0"/>
        <rFont val="Symbol"/>
        <charset val="2"/>
      </rPr>
      <t>p</t>
    </r>
    <r>
      <rPr>
        <i/>
        <vertAlign val="superscript"/>
        <sz val="14"/>
        <color theme="0"/>
        <rFont val="Segoe UI"/>
      </rPr>
      <t>F</t>
    </r>
  </si>
  <si>
    <r>
      <rPr>
        <b/>
        <sz val="14"/>
        <color theme="0"/>
        <rFont val="Calibri"/>
        <family val="2"/>
      </rPr>
      <t xml:space="preserve">Rate of Change in Domestic Currency/US$ </t>
    </r>
    <r>
      <rPr>
        <sz val="16"/>
        <color theme="0"/>
        <rFont val="Cambria"/>
        <family val="1"/>
      </rPr>
      <t xml:space="preserve"> </t>
    </r>
    <r>
      <rPr>
        <i/>
        <sz val="16"/>
        <color theme="0"/>
        <rFont val="Symbol"/>
        <charset val="2"/>
      </rPr>
      <t>e</t>
    </r>
    <r>
      <rPr>
        <b/>
        <i/>
        <sz val="12"/>
        <color theme="0"/>
        <rFont val="Symbol"/>
        <charset val="2"/>
      </rPr>
      <t xml:space="preserve"> </t>
    </r>
    <r>
      <rPr>
        <b/>
        <i/>
        <sz val="12"/>
        <color theme="0"/>
        <rFont val="Segoe UI"/>
      </rPr>
      <t xml:space="preserve"> -</t>
    </r>
    <r>
      <rPr>
        <i/>
        <sz val="12"/>
        <color theme="0"/>
        <rFont val="Segoe UI"/>
      </rPr>
      <t xml:space="preserve"> Assume PPP in growth rates</t>
    </r>
  </si>
  <si>
    <r>
      <rPr>
        <b/>
        <sz val="14"/>
        <color theme="0"/>
        <rFont val="Calibri"/>
        <family val="2"/>
      </rPr>
      <t>Effective Nominal Interest Rate</t>
    </r>
    <r>
      <rPr>
        <sz val="14"/>
        <color theme="0"/>
        <rFont val="Segoe UI"/>
      </rPr>
      <t xml:space="preserve"> (1+i</t>
    </r>
    <r>
      <rPr>
        <vertAlign val="superscript"/>
        <sz val="14"/>
        <color theme="0"/>
        <rFont val="Segoe UI"/>
      </rPr>
      <t>f</t>
    </r>
    <r>
      <rPr>
        <sz val="14"/>
        <color theme="0"/>
        <rFont val="Segoe UI"/>
      </rPr>
      <t>)*(1+</t>
    </r>
    <r>
      <rPr>
        <sz val="14"/>
        <color theme="0"/>
        <rFont val="Symbol"/>
        <charset val="2"/>
      </rPr>
      <t>e</t>
    </r>
    <r>
      <rPr>
        <sz val="14"/>
        <color theme="0"/>
        <rFont val="Segoe UI"/>
      </rPr>
      <t>)-1</t>
    </r>
  </si>
  <si>
    <t>N.B. This number is an "effective" interrest rate in nominal terms. It is an interest rate denominated in Diagnostica Dinars.</t>
  </si>
  <si>
    <r>
      <rPr>
        <b/>
        <sz val="14"/>
        <color theme="0"/>
        <rFont val="Calibri"/>
        <family val="2"/>
      </rPr>
      <t>Effective Real Interest Rate</t>
    </r>
    <r>
      <rPr>
        <sz val="16"/>
        <color theme="0"/>
        <rFont val="Segoe UI"/>
      </rPr>
      <t xml:space="preserve"> </t>
    </r>
    <r>
      <rPr>
        <sz val="14"/>
        <color theme="0"/>
        <rFont val="Segoe UI"/>
      </rPr>
      <t>((1+i</t>
    </r>
    <r>
      <rPr>
        <vertAlign val="superscript"/>
        <sz val="14"/>
        <color theme="0"/>
        <rFont val="Segoe UI"/>
      </rPr>
      <t>f</t>
    </r>
    <r>
      <rPr>
        <sz val="14"/>
        <color theme="0"/>
        <rFont val="Segoe UI"/>
      </rPr>
      <t>)*(1+</t>
    </r>
    <r>
      <rPr>
        <sz val="14"/>
        <color theme="0"/>
        <rFont val="Symbol"/>
        <charset val="2"/>
      </rPr>
      <t>e</t>
    </r>
    <r>
      <rPr>
        <sz val="14"/>
        <color theme="0"/>
        <rFont val="Segoe UI"/>
      </rPr>
      <t>))/(1+</t>
    </r>
    <r>
      <rPr>
        <sz val="14"/>
        <color theme="0"/>
        <rFont val="Symbol"/>
        <charset val="2"/>
      </rPr>
      <t>p</t>
    </r>
    <r>
      <rPr>
        <sz val="14"/>
        <color theme="0"/>
        <rFont val="Segoe UI"/>
      </rPr>
      <t>)-1</t>
    </r>
  </si>
  <si>
    <r>
      <rPr>
        <b/>
        <sz val="14"/>
        <color theme="0"/>
        <rFont val="Calibri"/>
        <family val="2"/>
      </rPr>
      <t>Growth adjusted interest factor</t>
    </r>
    <r>
      <rPr>
        <b/>
        <i/>
        <sz val="12"/>
        <color theme="0"/>
        <rFont val="Segoe UI"/>
      </rPr>
      <t xml:space="preserve"> </t>
    </r>
    <r>
      <rPr>
        <i/>
        <sz val="14"/>
        <color theme="0"/>
        <rFont val="Candara"/>
        <family val="2"/>
      </rPr>
      <t>(1+r)/(1+g)</t>
    </r>
  </si>
  <si>
    <t>B: Primary Current Account Flows, in Percent of GDP</t>
  </si>
  <si>
    <t>nx: Net exports (balances on goods and services)</t>
  </si>
  <si>
    <t xml:space="preserve">ioa: Non debt primary income (ioa) </t>
  </si>
  <si>
    <t xml:space="preserve">tr: Secondary Income (transfers) </t>
  </si>
  <si>
    <r>
      <rPr>
        <b/>
        <sz val="14"/>
        <color theme="0"/>
        <rFont val="Calibri"/>
        <family val="2"/>
      </rPr>
      <t>Primary Current Account Balance</t>
    </r>
    <r>
      <rPr>
        <i/>
        <sz val="14"/>
        <color theme="0"/>
        <rFont val="Calibri"/>
        <family val="2"/>
      </rPr>
      <t xml:space="preserve"> </t>
    </r>
    <r>
      <rPr>
        <i/>
        <sz val="16"/>
        <color theme="0"/>
        <rFont val="Calibri"/>
        <family val="2"/>
      </rPr>
      <t>cap</t>
    </r>
  </si>
  <si>
    <t>C: Baseline values -- Financing flows and debt - in percent of GDP</t>
  </si>
  <si>
    <r>
      <rPr>
        <b/>
        <sz val="14"/>
        <color theme="0"/>
        <rFont val="Calibri"/>
        <family val="2"/>
      </rPr>
      <t>Initial Period External Debt to GDP in US$</t>
    </r>
    <r>
      <rPr>
        <b/>
        <i/>
        <sz val="14"/>
        <color theme="0"/>
        <rFont val="Segoe UI"/>
      </rPr>
      <t xml:space="preserve"> </t>
    </r>
    <r>
      <rPr>
        <i/>
        <sz val="16"/>
        <color theme="0"/>
        <rFont val="Calibri"/>
        <family val="2"/>
      </rPr>
      <t>d</t>
    </r>
    <r>
      <rPr>
        <i/>
        <vertAlign val="superscript"/>
        <sz val="16"/>
        <color theme="0"/>
        <rFont val="Calibri"/>
        <family val="2"/>
      </rPr>
      <t>f</t>
    </r>
  </si>
  <si>
    <t xml:space="preserve">D: Stabilizing the debt - GDP Ratio </t>
  </si>
  <si>
    <r>
      <rPr>
        <b/>
        <sz val="12"/>
        <color theme="0"/>
        <rFont val="Segoe UI"/>
      </rPr>
      <t>Debt-stabilizing Primary Current Account Balance</t>
    </r>
    <r>
      <rPr>
        <b/>
        <i/>
        <sz val="14"/>
        <color theme="0"/>
        <rFont val="Segoe UI"/>
      </rPr>
      <t xml:space="preserve">  cap</t>
    </r>
    <r>
      <rPr>
        <b/>
        <i/>
        <vertAlign val="superscript"/>
        <sz val="14"/>
        <color theme="0"/>
        <rFont val="Segoe UI"/>
      </rPr>
      <t>DS</t>
    </r>
  </si>
  <si>
    <t>Memo: tr+ioa</t>
  </si>
  <si>
    <r>
      <rPr>
        <b/>
        <sz val="12"/>
        <color theme="0"/>
        <rFont val="Segoe UI"/>
      </rPr>
      <t>Debt-stabilizing net exports</t>
    </r>
    <r>
      <rPr>
        <b/>
        <i/>
        <sz val="14"/>
        <color theme="0"/>
        <rFont val="Segoe UI"/>
      </rPr>
      <t xml:space="preserve">  nx</t>
    </r>
    <r>
      <rPr>
        <b/>
        <i/>
        <vertAlign val="superscript"/>
        <sz val="14"/>
        <color theme="0"/>
        <rFont val="Segoe UI"/>
      </rPr>
      <t>DS</t>
    </r>
  </si>
  <si>
    <r>
      <rPr>
        <b/>
        <sz val="14"/>
        <color theme="0"/>
        <rFont val="Calibri"/>
        <family val="2"/>
      </rPr>
      <t xml:space="preserve">Gap: </t>
    </r>
    <r>
      <rPr>
        <b/>
        <i/>
        <sz val="14"/>
        <color theme="0"/>
        <rFont val="Calibri"/>
        <family val="2"/>
      </rPr>
      <t>nx-nx</t>
    </r>
    <r>
      <rPr>
        <i/>
        <vertAlign val="superscript"/>
        <sz val="14"/>
        <color theme="0"/>
        <rFont val="Segoe UI"/>
      </rPr>
      <t>DS</t>
    </r>
  </si>
  <si>
    <t>Negative number means: deficit too high or suruplus too low -- debt ratio will rise</t>
  </si>
  <si>
    <t xml:space="preserve">E: External Debt: Forward Projectin Under Baseline Assumptions </t>
  </si>
  <si>
    <t>Year</t>
  </si>
  <si>
    <t>Baseline Assumptions</t>
  </si>
  <si>
    <t>g</t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</si>
  <si>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Segoe UI"/>
      </rPr>
      <t>f</t>
    </r>
  </si>
  <si>
    <t>oaf</t>
  </si>
  <si>
    <t>cap</t>
  </si>
  <si>
    <t>Baseline</t>
  </si>
  <si>
    <r>
      <rPr>
        <b/>
        <sz val="14"/>
        <color theme="0"/>
        <rFont val="Calibri"/>
        <family val="2"/>
      </rPr>
      <t xml:space="preserve">Growth adjusted interest factor </t>
    </r>
    <r>
      <rPr>
        <b/>
        <i/>
        <sz val="14"/>
        <color theme="0"/>
        <rFont val="Calibri"/>
        <family val="2"/>
      </rPr>
      <t xml:space="preserve"> (1+r)/(1+g) </t>
    </r>
  </si>
  <si>
    <t>…</t>
  </si>
  <si>
    <t>Start Date</t>
  </si>
  <si>
    <t>End Date</t>
  </si>
  <si>
    <t>Change: End minus Start</t>
  </si>
  <si>
    <t>Average</t>
  </si>
  <si>
    <t>Prospective Average</t>
  </si>
  <si>
    <t xml:space="preserve">Balance of Payments </t>
  </si>
  <si>
    <t>Current Account</t>
  </si>
  <si>
    <t>Net Exports</t>
  </si>
  <si>
    <t xml:space="preserve">  Exports (Credit)</t>
  </si>
  <si>
    <t xml:space="preserve">  Imports (Debit)</t>
  </si>
  <si>
    <t>Primary Income</t>
  </si>
  <si>
    <t xml:space="preserve">   Of which: interest payments on debt (pmt - )</t>
  </si>
  <si>
    <t>Secondary Income</t>
  </si>
  <si>
    <t xml:space="preserve">Capital Account </t>
  </si>
  <si>
    <t>Primary current account (cap)</t>
  </si>
  <si>
    <t>Non-debt primary income (ioa)</t>
  </si>
  <si>
    <t>Savings / Investment Perpsective</t>
  </si>
  <si>
    <t>National Saving</t>
  </si>
  <si>
    <t>National Investment</t>
  </si>
  <si>
    <t>Public and Private S-I Gap perspective</t>
  </si>
  <si>
    <t>Public S-I Gap</t>
  </si>
  <si>
    <t>Private S-I Gap</t>
  </si>
  <si>
    <t>Impacts of Export and Import Prices</t>
  </si>
  <si>
    <r>
      <rPr>
        <sz val="10"/>
        <color theme="1"/>
        <rFont val="Calibri"/>
        <family val="2"/>
      </rPr>
      <t xml:space="preserve">% </t>
    </r>
    <r>
      <rPr>
        <sz val="10"/>
        <color theme="1"/>
        <rFont val="Symbol"/>
        <charset val="2"/>
      </rPr>
      <t>D</t>
    </r>
    <r>
      <rPr>
        <sz val="10"/>
        <color theme="1"/>
        <rFont val="Calibri"/>
        <family val="2"/>
      </rPr>
      <t xml:space="preserve"> Prices</t>
    </r>
  </si>
  <si>
    <t>Export Price Index</t>
  </si>
  <si>
    <t>Import Price Index</t>
  </si>
  <si>
    <t>Terms of Trade Index</t>
  </si>
  <si>
    <t xml:space="preserve">Pure Impact of Prices on Volume </t>
  </si>
  <si>
    <t xml:space="preserve">        Net</t>
  </si>
  <si>
    <t xml:space="preserve">        Export </t>
  </si>
  <si>
    <t xml:space="preserve">        Import </t>
  </si>
  <si>
    <t xml:space="preserve">Exports of goods </t>
  </si>
  <si>
    <t xml:space="preserve">Imports of goods </t>
  </si>
  <si>
    <t xml:space="preserve">Cyclically Adjustmed Net Exports </t>
  </si>
  <si>
    <t>Trading partner output gap (percent of potential GDP)</t>
  </si>
  <si>
    <t>Cyclically adjusted exports</t>
  </si>
  <si>
    <t xml:space="preserve">   Export elasticity w.r.t. trad. part output gap</t>
  </si>
  <si>
    <t>Domestic output gap (percent of potential GDP)</t>
  </si>
  <si>
    <t>Cyclically adjusted imports</t>
  </si>
  <si>
    <t xml:space="preserve">   Import elasticity w.r.t. domestic output gap</t>
  </si>
  <si>
    <t>Observed minus cyclically adjusted</t>
  </si>
  <si>
    <t>Current Account plus Capital Account</t>
  </si>
  <si>
    <t>Financing and Reserve Items (Asset +)</t>
  </si>
  <si>
    <t xml:space="preserve">Financial Account Balance  (Non-reserve) </t>
  </si>
  <si>
    <t xml:space="preserve">Foreign Direct Investment (net) </t>
  </si>
  <si>
    <t>Portfolio Investment (net)</t>
  </si>
  <si>
    <t>Other Investment (net)</t>
  </si>
  <si>
    <t xml:space="preserve">  Memo: Of which, Gross Debt Creating Flows</t>
  </si>
  <si>
    <t>Change in Reserve Assets (accum +)</t>
  </si>
  <si>
    <t>Stock Of International Reserves (US$ Bn)</t>
  </si>
  <si>
    <t xml:space="preserve">Net Errors and Omissions </t>
  </si>
  <si>
    <t>=-(E53-E56-E61)</t>
  </si>
  <si>
    <t>Non debt creating flows (oaf)</t>
  </si>
  <si>
    <t>formulas</t>
  </si>
  <si>
    <t xml:space="preserve">Inputs for Key External Indicators </t>
  </si>
  <si>
    <t>External Flows (from BOP, bil. US$)</t>
  </si>
  <si>
    <t>Total debt service: interest and amortization paid (bil US$)</t>
  </si>
  <si>
    <t>'=C7+C8</t>
  </si>
  <si>
    <t xml:space="preserve">  Total debt interest paid</t>
  </si>
  <si>
    <t xml:space="preserve">  Total amortization paid</t>
  </si>
  <si>
    <t>Trade (bil US$)</t>
  </si>
  <si>
    <t xml:space="preserve">    Exports of goods and services</t>
  </si>
  <si>
    <t xml:space="preserve">    Imports of goods and services </t>
  </si>
  <si>
    <t>Stocks  (from IIP and Monetary Survey, bil. US$)</t>
  </si>
  <si>
    <t>International reserves (bil US$)</t>
  </si>
  <si>
    <t>Total external debt (bil US$)</t>
  </si>
  <si>
    <t>Short-term debt by remaining maturity (bil US$)</t>
  </si>
  <si>
    <t>'=C17+C18</t>
  </si>
  <si>
    <t xml:space="preserve">     Gross short-term debt (bil US$)</t>
  </si>
  <si>
    <t xml:space="preserve">     Amortization (bil US$)</t>
  </si>
  <si>
    <t>Other liabilities (bil US$)</t>
  </si>
  <si>
    <t>Broad money (bil US$)</t>
  </si>
  <si>
    <t>=C20/C23</t>
  </si>
  <si>
    <t>Memorandum Items:</t>
  </si>
  <si>
    <t>GDP (bil US$)</t>
  </si>
  <si>
    <t>Indicators of External Debt Sustainability</t>
  </si>
  <si>
    <t>Debt-to-exports* (%)</t>
  </si>
  <si>
    <t>'=C15/C10*100</t>
  </si>
  <si>
    <t>Debt-to-GDP* (%)</t>
  </si>
  <si>
    <t>'=C15/C24*100</t>
  </si>
  <si>
    <t>Debt service-to-exports (%)</t>
  </si>
  <si>
    <t>'=C6/C10*100</t>
  </si>
  <si>
    <t>* These indicators are usually calculated using the Net Present Value (NPV) of Debt. India's debt is at market interest rates, so face value = net present value (NPV).</t>
  </si>
  <si>
    <t>Indicator of Reserve Adequacy (Vulnerability)</t>
  </si>
  <si>
    <t>Indicator of Reserve Adequacy (Vulnerability)- ARA reserve adequacy components</t>
  </si>
  <si>
    <t>30% of ST Debt (bil US$)</t>
  </si>
  <si>
    <t>'=0.3*C16</t>
  </si>
  <si>
    <t>20% of Oth Liabilities (bil US$)</t>
  </si>
  <si>
    <t>'=0.2*C19</t>
  </si>
  <si>
    <t>5% of M3 (bil US$)</t>
  </si>
  <si>
    <t>'=0.05*C21</t>
  </si>
  <si>
    <t>5% of Exports g&amp;s (bil US$)</t>
  </si>
  <si>
    <t>'=0.05*C10</t>
  </si>
  <si>
    <t>Total ARA Metric  (bil US$)</t>
  </si>
  <si>
    <t>'=SUM(C33:C36)</t>
  </si>
  <si>
    <t xml:space="preserve">Reserves / Reserve Adequacy (ARA) Metric  (%) </t>
  </si>
  <si>
    <t>'=C14/C37*100</t>
  </si>
  <si>
    <t>Minimum Guidelines (100 - 150 %)</t>
  </si>
  <si>
    <t>External Sustainability and Vulnerability (Sweden)</t>
  </si>
  <si>
    <r>
      <t xml:space="preserve">Real GDP Growth </t>
    </r>
    <r>
      <rPr>
        <b/>
        <sz val="10"/>
        <color theme="0"/>
        <rFont val="Segoe UI"/>
      </rPr>
      <t xml:space="preserve"> </t>
    </r>
    <r>
      <rPr>
        <i/>
        <sz val="14"/>
        <color theme="0"/>
        <rFont val="Segoe UI"/>
      </rPr>
      <t>g</t>
    </r>
  </si>
  <si>
    <r>
      <t xml:space="preserve">Other (non-debt) Asset Flows  </t>
    </r>
    <r>
      <rPr>
        <i/>
        <sz val="16"/>
        <color theme="0"/>
        <rFont val="Calibri"/>
        <family val="2"/>
      </rPr>
      <t>oaf</t>
    </r>
    <r>
      <rPr>
        <sz val="18"/>
        <color theme="0"/>
        <rFont val="Segoe UI"/>
      </rPr>
      <t xml:space="preserve"> </t>
    </r>
  </si>
  <si>
    <t>2017 vs. 2011</t>
  </si>
  <si>
    <t>2022-2031</t>
  </si>
  <si>
    <t>2017-2021</t>
  </si>
  <si>
    <t>Evolution of the External Position, Sweden 2017 - 2021
All Figures are percent of GDP unless otherwise noted.</t>
  </si>
  <si>
    <t>Exchange rate end of period (Swedish Krona/ US$)</t>
  </si>
  <si>
    <t>Broad money (FY, bil of Swedish Krona)</t>
  </si>
  <si>
    <t>Calculating Reserve Adequacy (Sweden)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</si>
</sst>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sz val="10"/>
      <color theme="1"/>
      <name val="Quattrocento Sans"/>
    </font>
    <font>
      <sz val="14"/>
      <color theme="1"/>
      <name val="Calibri"/>
      <family val="2"/>
    </font>
    <font>
      <sz val="10"/>
      <color theme="1"/>
      <name val="Times New Roman"/>
      <family val="1"/>
    </font>
    <font>
      <b/>
      <sz val="14"/>
      <color theme="0"/>
      <name val="Calibri"/>
      <family val="2"/>
    </font>
    <font>
      <sz val="11"/>
      <name val="Calibri"/>
      <family val="2"/>
    </font>
    <font>
      <b/>
      <sz val="14"/>
      <color theme="1"/>
      <name val="Quattrocento Sans"/>
    </font>
    <font>
      <sz val="12"/>
      <color theme="1"/>
      <name val="Quattrocento Sans"/>
    </font>
    <font>
      <sz val="12"/>
      <color theme="1"/>
      <name val="Calibri"/>
      <family val="2"/>
    </font>
    <font>
      <sz val="10"/>
      <color rgb="FFFF0000"/>
      <name val="Quattrocento Sans"/>
    </font>
    <font>
      <b/>
      <sz val="11"/>
      <color theme="0"/>
      <name val="Calibri"/>
      <family val="2"/>
    </font>
    <font>
      <b/>
      <sz val="10"/>
      <color theme="1"/>
      <name val="Quattrocento Sans"/>
    </font>
    <font>
      <sz val="10"/>
      <color theme="1"/>
      <name val="Calibri"/>
      <family val="2"/>
    </font>
    <font>
      <sz val="14"/>
      <color theme="1"/>
      <name val="Quattrocento Sans"/>
    </font>
    <font>
      <b/>
      <i/>
      <sz val="14"/>
      <color theme="1"/>
      <name val="Calibri"/>
      <family val="2"/>
    </font>
    <font>
      <b/>
      <sz val="16"/>
      <color theme="1"/>
      <name val="Quattrocento Sans"/>
    </font>
    <font>
      <i/>
      <sz val="10"/>
      <color theme="1"/>
      <name val="Quattrocento Sans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0"/>
      <color theme="0"/>
      <name val="Calibri"/>
      <family val="2"/>
    </font>
    <font>
      <sz val="10"/>
      <color rgb="FFC00000"/>
      <name val="Calibri"/>
      <family val="2"/>
    </font>
    <font>
      <b/>
      <sz val="10"/>
      <color theme="1"/>
      <name val="Calibri"/>
      <family val="2"/>
    </font>
    <font>
      <b/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0"/>
      <color theme="0"/>
      <name val="Times New Roman"/>
      <family val="1"/>
    </font>
    <font>
      <sz val="11"/>
      <color theme="1"/>
      <name val="Quattrocento Sans"/>
    </font>
    <font>
      <b/>
      <sz val="11"/>
      <color theme="1"/>
      <name val="Quattrocento Sans"/>
    </font>
    <font>
      <sz val="11"/>
      <color theme="0"/>
      <name val="Calibri"/>
      <family val="2"/>
    </font>
    <font>
      <i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rgb="FF002060"/>
      <name val="Calibri"/>
      <family val="2"/>
    </font>
    <font>
      <sz val="12"/>
      <color theme="0"/>
      <name val="Calibri"/>
      <family val="2"/>
    </font>
    <font>
      <i/>
      <sz val="11"/>
      <color theme="1"/>
      <name val="Calibri"/>
      <family val="2"/>
    </font>
    <font>
      <b/>
      <sz val="12"/>
      <color theme="1"/>
      <name val="Quattrocento Sans"/>
    </font>
    <font>
      <sz val="11"/>
      <color rgb="FF002060"/>
      <name val="Arial Narrow"/>
      <family val="2"/>
    </font>
    <font>
      <i/>
      <sz val="14"/>
      <color theme="0"/>
      <name val="Segoe UI"/>
    </font>
    <font>
      <i/>
      <vertAlign val="superscript"/>
      <sz val="14"/>
      <color theme="0"/>
      <name val="Segoe UI"/>
    </font>
    <font>
      <i/>
      <sz val="18"/>
      <color theme="0"/>
      <name val="Symbol"/>
      <charset val="2"/>
    </font>
    <font>
      <i/>
      <sz val="12"/>
      <color theme="0"/>
      <name val="Segoe UI"/>
    </font>
    <font>
      <i/>
      <sz val="14"/>
      <color theme="0"/>
      <name val="Symbol"/>
      <charset val="2"/>
    </font>
    <font>
      <sz val="16"/>
      <color theme="0"/>
      <name val="Cambria"/>
      <family val="1"/>
    </font>
    <font>
      <i/>
      <sz val="16"/>
      <color theme="0"/>
      <name val="Symbol"/>
      <charset val="2"/>
    </font>
    <font>
      <b/>
      <i/>
      <sz val="12"/>
      <color theme="0"/>
      <name val="Symbol"/>
      <charset val="2"/>
    </font>
    <font>
      <b/>
      <i/>
      <sz val="12"/>
      <color theme="0"/>
      <name val="Segoe UI"/>
    </font>
    <font>
      <sz val="14"/>
      <color theme="0"/>
      <name val="Segoe UI"/>
    </font>
    <font>
      <vertAlign val="superscript"/>
      <sz val="14"/>
      <color theme="0"/>
      <name val="Segoe UI"/>
    </font>
    <font>
      <sz val="14"/>
      <color theme="0"/>
      <name val="Symbol"/>
      <charset val="2"/>
    </font>
    <font>
      <sz val="16"/>
      <color theme="0"/>
      <name val="Segoe UI"/>
    </font>
    <font>
      <b/>
      <sz val="10"/>
      <color theme="0"/>
      <name val="Segoe UI"/>
    </font>
    <font>
      <i/>
      <sz val="14"/>
      <color theme="0"/>
      <name val="Candara"/>
      <family val="2"/>
    </font>
    <font>
      <i/>
      <sz val="14"/>
      <color theme="0"/>
      <name val="Calibri"/>
      <family val="2"/>
    </font>
    <font>
      <i/>
      <sz val="16"/>
      <color theme="0"/>
      <name val="Calibri"/>
      <family val="2"/>
    </font>
    <font>
      <sz val="18"/>
      <color theme="0"/>
      <name val="Segoe UI"/>
    </font>
    <font>
      <b/>
      <i/>
      <sz val="14"/>
      <color theme="0"/>
      <name val="Segoe UI"/>
    </font>
    <font>
      <i/>
      <vertAlign val="superscript"/>
      <sz val="16"/>
      <color theme="0"/>
      <name val="Calibri"/>
      <family val="2"/>
    </font>
    <font>
      <b/>
      <sz val="12"/>
      <color theme="0"/>
      <name val="Segoe UI"/>
    </font>
    <font>
      <b/>
      <i/>
      <vertAlign val="superscript"/>
      <sz val="14"/>
      <color theme="0"/>
      <name val="Segoe UI"/>
    </font>
    <font>
      <b/>
      <i/>
      <sz val="14"/>
      <color theme="0"/>
      <name val="Calibri"/>
      <family val="2"/>
    </font>
    <font>
      <b/>
      <i/>
      <vertAlign val="superscript"/>
      <sz val="14"/>
      <color theme="1"/>
      <name val="Segoe UI"/>
    </font>
    <font>
      <sz val="10"/>
      <color theme="1"/>
      <name val="Symbol"/>
      <charset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84A99"/>
        <bgColor rgb="FF084A99"/>
      </patternFill>
    </fill>
    <fill>
      <patternFill patternType="solid">
        <fgColor rgb="FF0074BE"/>
        <bgColor rgb="FF0074BE"/>
      </patternFill>
    </fill>
    <fill>
      <patternFill patternType="solid">
        <fgColor theme="0"/>
        <bgColor theme="0"/>
      </patternFill>
    </fill>
    <fill>
      <patternFill patternType="solid">
        <fgColor rgb="FF008FC3"/>
        <bgColor rgb="FF008FC3"/>
      </patternFill>
    </fill>
    <fill>
      <patternFill patternType="solid">
        <fgColor rgb="FF49A078"/>
        <bgColor rgb="FF49A078"/>
      </patternFill>
    </fill>
    <fill>
      <patternFill patternType="solid">
        <fgColor rgb="FFA6D8E9"/>
        <bgColor rgb="FFA6D8E9"/>
      </patternFill>
    </fill>
    <fill>
      <patternFill patternType="solid">
        <fgColor rgb="FFD3CCBD"/>
        <bgColor rgb="FFD3CCBD"/>
      </patternFill>
    </fill>
    <fill>
      <patternFill patternType="solid">
        <fgColor rgb="FFF2F2F2"/>
        <bgColor rgb="FFF2F2F2"/>
      </patternFill>
    </fill>
    <fill>
      <patternFill patternType="solid">
        <fgColor rgb="FF45A177"/>
        <bgColor rgb="FF45A177"/>
      </patternFill>
    </fill>
    <fill>
      <patternFill patternType="solid">
        <fgColor rgb="FFA3D8EB"/>
        <bgColor rgb="FFA3D8EB"/>
      </patternFill>
    </fill>
    <fill>
      <patternFill patternType="solid">
        <fgColor rgb="FFBFDED0"/>
        <bgColor rgb="FFBFDED0"/>
      </patternFill>
    </fill>
    <fill>
      <patternFill patternType="solid">
        <fgColor rgb="FFF6DEB4"/>
        <bgColor rgb="FFF6DEB4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90C1"/>
        <bgColor rgb="FF0090C1"/>
      </patternFill>
    </fill>
    <fill>
      <patternFill patternType="solid">
        <fgColor rgb="FFFBB729"/>
        <bgColor rgb="FFFBB729"/>
      </patternFill>
    </fill>
    <fill>
      <patternFill patternType="solid">
        <fgColor rgb="FFADB9CA"/>
        <bgColor rgb="FFADB9CA"/>
      </patternFill>
    </fill>
    <fill>
      <patternFill patternType="solid">
        <fgColor rgb="FFD8D8D8"/>
        <bgColor rgb="FFD8D8D8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164" fontId="4" fillId="0" borderId="0" xfId="0" applyNumberFormat="1" applyFont="1"/>
    <xf numFmtId="1" fontId="5" fillId="0" borderId="0" xfId="0" applyNumberFormat="1" applyFont="1"/>
    <xf numFmtId="2" fontId="5" fillId="0" borderId="0" xfId="0" applyNumberFormat="1" applyFont="1"/>
    <xf numFmtId="0" fontId="5" fillId="0" borderId="0" xfId="0" applyFont="1"/>
    <xf numFmtId="0" fontId="6" fillId="0" borderId="0" xfId="0" applyFont="1"/>
    <xf numFmtId="164" fontId="4" fillId="4" borderId="1" xfId="0" applyNumberFormat="1" applyFont="1" applyFill="1" applyBorder="1"/>
    <xf numFmtId="164" fontId="9" fillId="0" borderId="0" xfId="0" applyNumberFormat="1" applyFont="1"/>
    <xf numFmtId="1" fontId="10" fillId="0" borderId="0" xfId="0" applyNumberFormat="1" applyFont="1"/>
    <xf numFmtId="2" fontId="10" fillId="0" borderId="0" xfId="0" applyNumberFormat="1" applyFont="1"/>
    <xf numFmtId="164" fontId="10" fillId="0" borderId="0" xfId="0" applyNumberFormat="1" applyFont="1"/>
    <xf numFmtId="2" fontId="4" fillId="0" borderId="0" xfId="0" applyNumberFormat="1" applyFont="1"/>
    <xf numFmtId="164" fontId="11" fillId="4" borderId="14" xfId="0" applyNumberFormat="1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2" fontId="11" fillId="0" borderId="0" xfId="0" applyNumberFormat="1" applyFont="1"/>
    <xf numFmtId="164" fontId="11" fillId="7" borderId="14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top"/>
    </xf>
    <xf numFmtId="164" fontId="11" fillId="0" borderId="14" xfId="0" applyNumberFormat="1" applyFont="1" applyBorder="1" applyAlignment="1">
      <alignment horizontal="center"/>
    </xf>
    <xf numFmtId="164" fontId="4" fillId="0" borderId="0" xfId="0" applyNumberFormat="1" applyFont="1" applyAlignment="1">
      <alignment vertical="center" wrapText="1"/>
    </xf>
    <xf numFmtId="164" fontId="12" fillId="0" borderId="0" xfId="0" applyNumberFormat="1" applyFont="1"/>
    <xf numFmtId="2" fontId="11" fillId="7" borderId="14" xfId="0" applyNumberFormat="1" applyFont="1" applyFill="1" applyBorder="1" applyAlignment="1">
      <alignment horizontal="center"/>
    </xf>
    <xf numFmtId="164" fontId="1" fillId="7" borderId="14" xfId="0" applyNumberFormat="1" applyFont="1" applyFill="1" applyBorder="1"/>
    <xf numFmtId="0" fontId="13" fillId="6" borderId="16" xfId="0" applyFont="1" applyFill="1" applyBorder="1" applyAlignment="1">
      <alignment vertical="center" wrapText="1"/>
    </xf>
    <xf numFmtId="0" fontId="13" fillId="6" borderId="17" xfId="0" applyFont="1" applyFill="1" applyBorder="1" applyAlignment="1">
      <alignment vertical="center" wrapText="1"/>
    </xf>
    <xf numFmtId="164" fontId="11" fillId="7" borderId="18" xfId="0" applyNumberFormat="1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vertical="center" wrapText="1"/>
    </xf>
    <xf numFmtId="164" fontId="11" fillId="7" borderId="14" xfId="0" applyNumberFormat="1" applyFont="1" applyFill="1" applyBorder="1" applyAlignment="1">
      <alignment horizontal="center" vertical="center"/>
    </xf>
    <xf numFmtId="164" fontId="14" fillId="4" borderId="1" xfId="0" applyNumberFormat="1" applyFont="1" applyFill="1" applyBorder="1"/>
    <xf numFmtId="164" fontId="11" fillId="0" borderId="14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left" vertical="top" wrapText="1"/>
    </xf>
    <xf numFmtId="164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wrapText="1"/>
    </xf>
    <xf numFmtId="164" fontId="4" fillId="0" borderId="0" xfId="0" applyNumberFormat="1" applyFont="1" applyAlignment="1">
      <alignment vertical="top" wrapText="1"/>
    </xf>
    <xf numFmtId="164" fontId="6" fillId="0" borderId="0" xfId="0" applyNumberFormat="1" applyFont="1"/>
    <xf numFmtId="0" fontId="15" fillId="0" borderId="0" xfId="0" applyFont="1" applyAlignment="1">
      <alignment horizontal="left" vertical="center"/>
    </xf>
    <xf numFmtId="1" fontId="11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6" fillId="0" borderId="14" xfId="0" applyNumberFormat="1" applyFont="1" applyBorder="1"/>
    <xf numFmtId="1" fontId="16" fillId="0" borderId="4" xfId="0" applyNumberFormat="1" applyFont="1" applyBorder="1"/>
    <xf numFmtId="1" fontId="16" fillId="0" borderId="5" xfId="0" applyNumberFormat="1" applyFont="1" applyBorder="1"/>
    <xf numFmtId="164" fontId="17" fillId="8" borderId="21" xfId="0" applyNumberFormat="1" applyFont="1" applyFill="1" applyBorder="1" applyAlignment="1">
      <alignment horizontal="center"/>
    </xf>
    <xf numFmtId="164" fontId="11" fillId="8" borderId="21" xfId="0" applyNumberFormat="1" applyFont="1" applyFill="1" applyBorder="1"/>
    <xf numFmtId="164" fontId="11" fillId="8" borderId="22" xfId="0" applyNumberFormat="1" applyFont="1" applyFill="1" applyBorder="1"/>
    <xf numFmtId="164" fontId="11" fillId="8" borderId="19" xfId="0" applyNumberFormat="1" applyFont="1" applyFill="1" applyBorder="1"/>
    <xf numFmtId="164" fontId="17" fillId="8" borderId="24" xfId="0" applyNumberFormat="1" applyFont="1" applyFill="1" applyBorder="1" applyAlignment="1">
      <alignment horizontal="center"/>
    </xf>
    <xf numFmtId="164" fontId="11" fillId="8" borderId="24" xfId="0" applyNumberFormat="1" applyFont="1" applyFill="1" applyBorder="1"/>
    <xf numFmtId="164" fontId="11" fillId="8" borderId="26" xfId="0" applyNumberFormat="1" applyFont="1" applyFill="1" applyBorder="1"/>
    <xf numFmtId="164" fontId="11" fillId="8" borderId="27" xfId="0" applyNumberFormat="1" applyFont="1" applyFill="1" applyBorder="1"/>
    <xf numFmtId="164" fontId="18" fillId="0" borderId="0" xfId="0" applyNumberFormat="1" applyFont="1"/>
    <xf numFmtId="164" fontId="16" fillId="0" borderId="9" xfId="0" applyNumberFormat="1" applyFont="1" applyBorder="1" applyAlignment="1">
      <alignment horizontal="center"/>
    </xf>
    <xf numFmtId="1" fontId="16" fillId="0" borderId="14" xfId="0" applyNumberFormat="1" applyFont="1" applyBorder="1"/>
    <xf numFmtId="1" fontId="16" fillId="0" borderId="10" xfId="0" applyNumberFormat="1" applyFont="1" applyBorder="1"/>
    <xf numFmtId="1" fontId="16" fillId="0" borderId="11" xfId="0" applyNumberFormat="1" applyFont="1" applyBorder="1"/>
    <xf numFmtId="0" fontId="7" fillId="6" borderId="28" xfId="0" applyFont="1" applyFill="1" applyBorder="1" applyAlignment="1">
      <alignment horizontal="center" vertical="center" wrapText="1"/>
    </xf>
    <xf numFmtId="164" fontId="10" fillId="9" borderId="14" xfId="0" applyNumberFormat="1" applyFont="1" applyFill="1" applyBorder="1"/>
    <xf numFmtId="164" fontId="10" fillId="7" borderId="26" xfId="0" applyNumberFormat="1" applyFont="1" applyFill="1" applyBorder="1"/>
    <xf numFmtId="0" fontId="7" fillId="6" borderId="14" xfId="0" applyFont="1" applyFill="1" applyBorder="1" applyAlignment="1">
      <alignment horizontal="center" vertical="center" wrapText="1"/>
    </xf>
    <xf numFmtId="164" fontId="10" fillId="9" borderId="18" xfId="0" applyNumberFormat="1" applyFont="1" applyFill="1" applyBorder="1" applyAlignment="1">
      <alignment horizontal="center" vertical="center"/>
    </xf>
    <xf numFmtId="2" fontId="11" fillId="8" borderId="26" xfId="0" applyNumberFormat="1" applyFont="1" applyFill="1" applyBorder="1" applyAlignment="1">
      <alignment vertical="center"/>
    </xf>
    <xf numFmtId="2" fontId="11" fillId="8" borderId="27" xfId="0" applyNumberFormat="1" applyFont="1" applyFill="1" applyBorder="1" applyAlignment="1">
      <alignment vertical="center"/>
    </xf>
    <xf numFmtId="164" fontId="19" fillId="0" borderId="0" xfId="0" applyNumberFormat="1" applyFont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6" fillId="3" borderId="2" xfId="0" applyFont="1" applyFill="1" applyBorder="1"/>
    <xf numFmtId="0" fontId="6" fillId="3" borderId="2" xfId="0" applyFont="1" applyFill="1" applyBorder="1" applyAlignment="1">
      <alignment horizontal="center"/>
    </xf>
    <xf numFmtId="0" fontId="20" fillId="3" borderId="2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5" fillId="0" borderId="0" xfId="0" applyFont="1"/>
    <xf numFmtId="0" fontId="21" fillId="5" borderId="30" xfId="0" applyFont="1" applyFill="1" applyBorder="1" applyAlignment="1">
      <alignment horizontal="center" vertical="top" wrapText="1"/>
    </xf>
    <xf numFmtId="0" fontId="21" fillId="5" borderId="16" xfId="0" applyFont="1" applyFill="1" applyBorder="1" applyAlignment="1">
      <alignment horizontal="center" vertical="top" wrapText="1"/>
    </xf>
    <xf numFmtId="0" fontId="21" fillId="5" borderId="28" xfId="0" applyFont="1" applyFill="1" applyBorder="1" applyAlignment="1">
      <alignment horizontal="center" vertical="top" wrapText="1"/>
    </xf>
    <xf numFmtId="0" fontId="21" fillId="5" borderId="24" xfId="0" applyFont="1" applyFill="1" applyBorder="1" applyAlignment="1">
      <alignment horizontal="center" vertical="top" wrapText="1"/>
    </xf>
    <xf numFmtId="0" fontId="21" fillId="5" borderId="27" xfId="0" applyFont="1" applyFill="1" applyBorder="1" applyAlignment="1">
      <alignment horizontal="center" vertical="top" wrapText="1"/>
    </xf>
    <xf numFmtId="0" fontId="21" fillId="5" borderId="26" xfId="0" applyFont="1" applyFill="1" applyBorder="1" applyAlignment="1">
      <alignment horizontal="center"/>
    </xf>
    <xf numFmtId="0" fontId="21" fillId="5" borderId="26" xfId="0" applyFont="1" applyFill="1" applyBorder="1" applyAlignment="1">
      <alignment horizontal="right"/>
    </xf>
    <xf numFmtId="0" fontId="21" fillId="5" borderId="17" xfId="0" quotePrefix="1" applyFont="1" applyFill="1" applyBorder="1" applyAlignment="1">
      <alignment horizontal="center"/>
    </xf>
    <xf numFmtId="0" fontId="21" fillId="10" borderId="31" xfId="0" applyFont="1" applyFill="1" applyBorder="1"/>
    <xf numFmtId="0" fontId="21" fillId="10" borderId="17" xfId="0" applyFont="1" applyFill="1" applyBorder="1"/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9" xfId="0" applyFont="1" applyBorder="1"/>
    <xf numFmtId="0" fontId="15" fillId="0" borderId="3" xfId="0" applyFont="1" applyBorder="1"/>
    <xf numFmtId="0" fontId="15" fillId="0" borderId="5" xfId="0" applyFont="1" applyBorder="1"/>
    <xf numFmtId="0" fontId="22" fillId="10" borderId="17" xfId="0" applyFont="1" applyFill="1" applyBorder="1"/>
    <xf numFmtId="165" fontId="15" fillId="11" borderId="31" xfId="0" applyNumberFormat="1" applyFont="1" applyFill="1" applyBorder="1"/>
    <xf numFmtId="165" fontId="15" fillId="11" borderId="1" xfId="0" applyNumberFormat="1" applyFont="1" applyFill="1" applyBorder="1"/>
    <xf numFmtId="165" fontId="15" fillId="11" borderId="17" xfId="0" applyNumberFormat="1" applyFont="1" applyFill="1" applyBorder="1"/>
    <xf numFmtId="165" fontId="15" fillId="12" borderId="31" xfId="0" applyNumberFormat="1" applyFont="1" applyFill="1" applyBorder="1"/>
    <xf numFmtId="165" fontId="23" fillId="13" borderId="17" xfId="0" applyNumberFormat="1" applyFont="1" applyFill="1" applyBorder="1"/>
    <xf numFmtId="165" fontId="15" fillId="0" borderId="15" xfId="0" applyNumberFormat="1" applyFont="1" applyBorder="1"/>
    <xf numFmtId="165" fontId="15" fillId="0" borderId="0" xfId="0" applyNumberFormat="1" applyFont="1"/>
    <xf numFmtId="2" fontId="15" fillId="0" borderId="0" xfId="0" applyNumberFormat="1" applyFont="1"/>
    <xf numFmtId="0" fontId="6" fillId="0" borderId="29" xfId="0" applyFont="1" applyBorder="1"/>
    <xf numFmtId="0" fontId="15" fillId="0" borderId="15" xfId="0" applyFont="1" applyBorder="1"/>
    <xf numFmtId="0" fontId="23" fillId="0" borderId="29" xfId="0" applyFont="1" applyBorder="1"/>
    <xf numFmtId="165" fontId="15" fillId="0" borderId="6" xfId="0" applyNumberFormat="1" applyFont="1" applyBorder="1"/>
    <xf numFmtId="165" fontId="15" fillId="0" borderId="7" xfId="0" applyNumberFormat="1" applyFont="1" applyBorder="1"/>
    <xf numFmtId="0" fontId="15" fillId="0" borderId="8" xfId="0" applyFont="1" applyBorder="1"/>
    <xf numFmtId="0" fontId="15" fillId="0" borderId="6" xfId="0" applyFont="1" applyBorder="1"/>
    <xf numFmtId="0" fontId="23" fillId="0" borderId="8" xfId="0" applyFont="1" applyBorder="1"/>
    <xf numFmtId="0" fontId="22" fillId="4" borderId="30" xfId="0" applyFont="1" applyFill="1" applyBorder="1"/>
    <xf numFmtId="0" fontId="24" fillId="4" borderId="16" xfId="0" applyFont="1" applyFill="1" applyBorder="1"/>
    <xf numFmtId="165" fontId="15" fillId="0" borderId="4" xfId="0" applyNumberFormat="1" applyFont="1" applyBorder="1"/>
    <xf numFmtId="165" fontId="15" fillId="12" borderId="30" xfId="0" applyNumberFormat="1" applyFont="1" applyFill="1" applyBorder="1"/>
    <xf numFmtId="0" fontId="22" fillId="4" borderId="24" xfId="0" applyFont="1" applyFill="1" applyBorder="1"/>
    <xf numFmtId="0" fontId="24" fillId="4" borderId="27" xfId="0" applyFont="1" applyFill="1" applyBorder="1"/>
    <xf numFmtId="0" fontId="15" fillId="0" borderId="7" xfId="0" applyFont="1" applyBorder="1"/>
    <xf numFmtId="165" fontId="15" fillId="12" borderId="24" xfId="0" applyNumberFormat="1" applyFont="1" applyFill="1" applyBorder="1"/>
    <xf numFmtId="165" fontId="23" fillId="13" borderId="27" xfId="0" applyNumberFormat="1" applyFont="1" applyFill="1" applyBorder="1"/>
    <xf numFmtId="2" fontId="25" fillId="0" borderId="15" xfId="0" applyNumberFormat="1" applyFont="1" applyBorder="1"/>
    <xf numFmtId="2" fontId="25" fillId="0" borderId="0" xfId="0" applyNumberFormat="1" applyFont="1"/>
    <xf numFmtId="2" fontId="15" fillId="0" borderId="29" xfId="0" applyNumberFormat="1" applyFont="1" applyBorder="1"/>
    <xf numFmtId="0" fontId="23" fillId="0" borderId="0" xfId="0" applyFont="1"/>
    <xf numFmtId="165" fontId="15" fillId="14" borderId="1" xfId="0" applyNumberFormat="1" applyFont="1" applyFill="1" applyBorder="1"/>
    <xf numFmtId="165" fontId="23" fillId="14" borderId="1" xfId="0" applyNumberFormat="1" applyFont="1" applyFill="1" applyBorder="1"/>
    <xf numFmtId="0" fontId="21" fillId="10" borderId="24" xfId="0" applyFont="1" applyFill="1" applyBorder="1"/>
    <xf numFmtId="0" fontId="22" fillId="10" borderId="27" xfId="0" applyFont="1" applyFill="1" applyBorder="1"/>
    <xf numFmtId="165" fontId="15" fillId="11" borderId="27" xfId="0" applyNumberFormat="1" applyFont="1" applyFill="1" applyBorder="1"/>
    <xf numFmtId="0" fontId="21" fillId="10" borderId="30" xfId="0" applyFont="1" applyFill="1" applyBorder="1"/>
    <xf numFmtId="0" fontId="21" fillId="10" borderId="16" xfId="0" applyFont="1" applyFill="1" applyBorder="1"/>
    <xf numFmtId="0" fontId="25" fillId="0" borderId="3" xfId="0" applyFont="1" applyBorder="1"/>
    <xf numFmtId="0" fontId="25" fillId="0" borderId="4" xfId="0" applyFont="1" applyBorder="1"/>
    <xf numFmtId="165" fontId="15" fillId="0" borderId="5" xfId="0" applyNumberFormat="1" applyFont="1" applyBorder="1"/>
    <xf numFmtId="165" fontId="15" fillId="11" borderId="24" xfId="0" applyNumberFormat="1" applyFont="1" applyFill="1" applyBorder="1"/>
    <xf numFmtId="165" fontId="15" fillId="11" borderId="26" xfId="0" applyNumberFormat="1" applyFont="1" applyFill="1" applyBorder="1"/>
    <xf numFmtId="0" fontId="15" fillId="0" borderId="4" xfId="0" applyFont="1" applyBorder="1"/>
    <xf numFmtId="0" fontId="15" fillId="0" borderId="5" xfId="0" applyFont="1" applyBorder="1" applyAlignment="1">
      <alignment horizontal="center" vertical="center"/>
    </xf>
    <xf numFmtId="165" fontId="15" fillId="0" borderId="15" xfId="0" applyNumberFormat="1" applyFont="1" applyBorder="1" applyAlignment="1">
      <alignment horizontal="right"/>
    </xf>
    <xf numFmtId="165" fontId="15" fillId="0" borderId="0" xfId="0" applyNumberFormat="1" applyFont="1" applyAlignment="1">
      <alignment horizontal="right"/>
    </xf>
    <xf numFmtId="2" fontId="15" fillId="11" borderId="17" xfId="0" applyNumberFormat="1" applyFont="1" applyFill="1" applyBorder="1"/>
    <xf numFmtId="2" fontId="15" fillId="11" borderId="27" xfId="0" applyNumberFormat="1" applyFont="1" applyFill="1" applyBorder="1"/>
    <xf numFmtId="0" fontId="22" fillId="10" borderId="16" xfId="0" applyFont="1" applyFill="1" applyBorder="1"/>
    <xf numFmtId="165" fontId="15" fillId="0" borderId="3" xfId="0" applyNumberFormat="1" applyFont="1" applyBorder="1"/>
    <xf numFmtId="0" fontId="6" fillId="0" borderId="5" xfId="0" applyFont="1" applyBorder="1"/>
    <xf numFmtId="2" fontId="15" fillId="0" borderId="8" xfId="0" applyNumberFormat="1" applyFont="1" applyBorder="1"/>
    <xf numFmtId="0" fontId="25" fillId="0" borderId="0" xfId="0" applyFont="1"/>
    <xf numFmtId="165" fontId="15" fillId="11" borderId="30" xfId="0" applyNumberFormat="1" applyFont="1" applyFill="1" applyBorder="1"/>
    <xf numFmtId="165" fontId="15" fillId="11" borderId="28" xfId="0" applyNumberFormat="1" applyFont="1" applyFill="1" applyBorder="1"/>
    <xf numFmtId="2" fontId="15" fillId="0" borderId="15" xfId="0" applyNumberFormat="1" applyFont="1" applyBorder="1"/>
    <xf numFmtId="165" fontId="15" fillId="0" borderId="29" xfId="0" applyNumberFormat="1" applyFont="1" applyBorder="1"/>
    <xf numFmtId="2" fontId="26" fillId="15" borderId="31" xfId="0" applyNumberFormat="1" applyFont="1" applyFill="1" applyBorder="1"/>
    <xf numFmtId="165" fontId="15" fillId="0" borderId="8" xfId="0" applyNumberFormat="1" applyFont="1" applyBorder="1"/>
    <xf numFmtId="0" fontId="21" fillId="10" borderId="21" xfId="0" applyFont="1" applyFill="1" applyBorder="1"/>
    <xf numFmtId="0" fontId="22" fillId="10" borderId="19" xfId="0" applyFont="1" applyFill="1" applyBorder="1"/>
    <xf numFmtId="165" fontId="15" fillId="11" borderId="21" xfId="0" applyNumberFormat="1" applyFont="1" applyFill="1" applyBorder="1"/>
    <xf numFmtId="165" fontId="15" fillId="11" borderId="22" xfId="0" applyNumberFormat="1" applyFont="1" applyFill="1" applyBorder="1"/>
    <xf numFmtId="165" fontId="15" fillId="11" borderId="19" xfId="0" applyNumberFormat="1" applyFont="1" applyFill="1" applyBorder="1"/>
    <xf numFmtId="0" fontId="23" fillId="0" borderId="5" xfId="0" applyFont="1" applyBorder="1"/>
    <xf numFmtId="0" fontId="27" fillId="10" borderId="31" xfId="0" applyFont="1" applyFill="1" applyBorder="1"/>
    <xf numFmtId="0" fontId="27" fillId="10" borderId="24" xfId="0" applyFont="1" applyFill="1" applyBorder="1"/>
    <xf numFmtId="0" fontId="27" fillId="10" borderId="21" xfId="0" applyFont="1" applyFill="1" applyBorder="1"/>
    <xf numFmtId="165" fontId="15" fillId="12" borderId="21" xfId="0" applyNumberFormat="1" applyFont="1" applyFill="1" applyBorder="1"/>
    <xf numFmtId="165" fontId="23" fillId="13" borderId="19" xfId="0" applyNumberFormat="1" applyFont="1" applyFill="1" applyBorder="1"/>
    <xf numFmtId="0" fontId="15" fillId="0" borderId="0" xfId="0" quotePrefix="1" applyFont="1"/>
    <xf numFmtId="0" fontId="22" fillId="4" borderId="21" xfId="0" applyFont="1" applyFill="1" applyBorder="1"/>
    <xf numFmtId="0" fontId="24" fillId="4" borderId="19" xfId="0" applyFont="1" applyFill="1" applyBorder="1"/>
    <xf numFmtId="165" fontId="15" fillId="0" borderId="9" xfId="0" applyNumberFormat="1" applyFont="1" applyBorder="1"/>
    <xf numFmtId="165" fontId="15" fillId="0" borderId="10" xfId="0" applyNumberFormat="1" applyFont="1" applyBorder="1"/>
    <xf numFmtId="0" fontId="15" fillId="0" borderId="11" xfId="0" applyFont="1" applyBorder="1"/>
    <xf numFmtId="165" fontId="15" fillId="12" borderId="22" xfId="0" applyNumberFormat="1" applyFont="1" applyFill="1" applyBorder="1"/>
    <xf numFmtId="0" fontId="1" fillId="3" borderId="2" xfId="0" applyFont="1" applyFill="1" applyBorder="1" applyAlignment="1">
      <alignment horizontal="center" vertical="center"/>
    </xf>
    <xf numFmtId="0" fontId="28" fillId="4" borderId="1" xfId="0" applyFont="1" applyFill="1" applyBorder="1"/>
    <xf numFmtId="0" fontId="29" fillId="4" borderId="1" xfId="0" applyFont="1" applyFill="1" applyBorder="1" applyAlignment="1">
      <alignment horizontal="center" vertical="center"/>
    </xf>
    <xf numFmtId="0" fontId="30" fillId="16" borderId="30" xfId="0" applyFont="1" applyFill="1" applyBorder="1"/>
    <xf numFmtId="0" fontId="31" fillId="16" borderId="28" xfId="0" applyFont="1" applyFill="1" applyBorder="1" applyAlignment="1">
      <alignment horizontal="right" vertical="center"/>
    </xf>
    <xf numFmtId="0" fontId="13" fillId="16" borderId="28" xfId="0" applyFont="1" applyFill="1" applyBorder="1" applyAlignment="1">
      <alignment horizontal="center" vertical="center"/>
    </xf>
    <xf numFmtId="0" fontId="32" fillId="17" borderId="31" xfId="0" applyFont="1" applyFill="1" applyBorder="1" applyAlignment="1">
      <alignment vertical="center"/>
    </xf>
    <xf numFmtId="0" fontId="33" fillId="17" borderId="1" xfId="0" applyFont="1" applyFill="1" applyBorder="1"/>
    <xf numFmtId="0" fontId="1" fillId="8" borderId="30" xfId="0" applyFont="1" applyFill="1" applyBorder="1"/>
    <xf numFmtId="0" fontId="34" fillId="8" borderId="28" xfId="0" applyFont="1" applyFill="1" applyBorder="1" applyAlignment="1">
      <alignment horizontal="right"/>
    </xf>
    <xf numFmtId="165" fontId="1" fillId="8" borderId="28" xfId="0" applyNumberFormat="1" applyFont="1" applyFill="1" applyBorder="1"/>
    <xf numFmtId="165" fontId="1" fillId="8" borderId="16" xfId="0" applyNumberFormat="1" applyFont="1" applyFill="1" applyBorder="1"/>
    <xf numFmtId="0" fontId="35" fillId="6" borderId="31" xfId="0" applyFont="1" applyFill="1" applyBorder="1" applyAlignment="1">
      <alignment vertical="center" wrapText="1"/>
    </xf>
    <xf numFmtId="0" fontId="1" fillId="4" borderId="1" xfId="0" applyFont="1" applyFill="1" applyBorder="1"/>
    <xf numFmtId="165" fontId="1" fillId="4" borderId="1" xfId="0" applyNumberFormat="1" applyFont="1" applyFill="1" applyBorder="1"/>
    <xf numFmtId="165" fontId="1" fillId="4" borderId="17" xfId="0" applyNumberFormat="1" applyFont="1" applyFill="1" applyBorder="1"/>
    <xf numFmtId="165" fontId="28" fillId="4" borderId="1" xfId="0" applyNumberFormat="1" applyFont="1" applyFill="1" applyBorder="1"/>
    <xf numFmtId="0" fontId="1" fillId="4" borderId="17" xfId="0" applyFont="1" applyFill="1" applyBorder="1"/>
    <xf numFmtId="0" fontId="35" fillId="6" borderId="24" xfId="0" applyFont="1" applyFill="1" applyBorder="1" applyAlignment="1">
      <alignment vertical="center" wrapText="1"/>
    </xf>
    <xf numFmtId="0" fontId="1" fillId="4" borderId="26" xfId="0" applyFont="1" applyFill="1" applyBorder="1"/>
    <xf numFmtId="165" fontId="1" fillId="4" borderId="26" xfId="0" applyNumberFormat="1" applyFont="1" applyFill="1" applyBorder="1"/>
    <xf numFmtId="165" fontId="1" fillId="4" borderId="27" xfId="0" applyNumberFormat="1" applyFont="1" applyFill="1" applyBorder="1"/>
    <xf numFmtId="0" fontId="32" fillId="17" borderId="21" xfId="0" applyFont="1" applyFill="1" applyBorder="1" applyAlignment="1">
      <alignment vertical="center"/>
    </xf>
    <xf numFmtId="0" fontId="33" fillId="17" borderId="22" xfId="0" applyFont="1" applyFill="1" applyBorder="1"/>
    <xf numFmtId="0" fontId="35" fillId="6" borderId="30" xfId="0" applyFont="1" applyFill="1" applyBorder="1" applyAlignment="1">
      <alignment vertical="center" wrapText="1"/>
    </xf>
    <xf numFmtId="0" fontId="1" fillId="4" borderId="28" xfId="0" applyFont="1" applyFill="1" applyBorder="1"/>
    <xf numFmtId="165" fontId="1" fillId="4" borderId="28" xfId="0" applyNumberFormat="1" applyFont="1" applyFill="1" applyBorder="1"/>
    <xf numFmtId="0" fontId="1" fillId="8" borderId="31" xfId="0" applyFont="1" applyFill="1" applyBorder="1"/>
    <xf numFmtId="0" fontId="34" fillId="8" borderId="1" xfId="0" applyFont="1" applyFill="1" applyBorder="1" applyAlignment="1">
      <alignment horizontal="right"/>
    </xf>
    <xf numFmtId="165" fontId="1" fillId="8" borderId="1" xfId="0" applyNumberFormat="1" applyFont="1" applyFill="1" applyBorder="1"/>
    <xf numFmtId="165" fontId="1" fillId="8" borderId="31" xfId="0" applyNumberFormat="1" applyFont="1" applyFill="1" applyBorder="1"/>
    <xf numFmtId="0" fontId="36" fillId="4" borderId="1" xfId="0" applyFont="1" applyFill="1" applyBorder="1"/>
    <xf numFmtId="0" fontId="37" fillId="18" borderId="1" xfId="0" applyFont="1" applyFill="1" applyBorder="1"/>
    <xf numFmtId="0" fontId="29" fillId="18" borderId="1" xfId="0" applyFont="1" applyFill="1" applyBorder="1"/>
    <xf numFmtId="0" fontId="28" fillId="19" borderId="1" xfId="0" applyFont="1" applyFill="1" applyBorder="1"/>
    <xf numFmtId="0" fontId="38" fillId="19" borderId="1" xfId="0" applyFont="1" applyFill="1" applyBorder="1" applyAlignment="1">
      <alignment horizontal="right"/>
    </xf>
    <xf numFmtId="165" fontId="28" fillId="19" borderId="1" xfId="0" applyNumberFormat="1" applyFont="1" applyFill="1" applyBorder="1"/>
    <xf numFmtId="0" fontId="28" fillId="19" borderId="26" xfId="0" applyFont="1" applyFill="1" applyBorder="1"/>
    <xf numFmtId="0" fontId="38" fillId="19" borderId="26" xfId="0" applyFont="1" applyFill="1" applyBorder="1" applyAlignment="1">
      <alignment horizontal="right"/>
    </xf>
    <xf numFmtId="165" fontId="28" fillId="19" borderId="26" xfId="0" applyNumberFormat="1" applyFont="1" applyFill="1" applyBorder="1"/>
    <xf numFmtId="0" fontId="28" fillId="4" borderId="1" xfId="0" applyFont="1" applyFill="1" applyBorder="1" applyAlignment="1">
      <alignment vertical="top" wrapText="1"/>
    </xf>
    <xf numFmtId="0" fontId="32" fillId="17" borderId="21" xfId="0" applyFont="1" applyFill="1" applyBorder="1" applyAlignment="1">
      <alignment vertical="top" wrapText="1"/>
    </xf>
    <xf numFmtId="0" fontId="33" fillId="17" borderId="22" xfId="0" applyFont="1" applyFill="1" applyBorder="1" applyAlignment="1">
      <alignment vertical="top" wrapText="1"/>
    </xf>
    <xf numFmtId="165" fontId="1" fillId="7" borderId="28" xfId="0" applyNumberFormat="1" applyFont="1" applyFill="1" applyBorder="1"/>
    <xf numFmtId="165" fontId="1" fillId="7" borderId="1" xfId="0" applyNumberFormat="1" applyFont="1" applyFill="1" applyBorder="1"/>
    <xf numFmtId="165" fontId="1" fillId="7" borderId="17" xfId="0" applyNumberFormat="1" applyFont="1" applyFill="1" applyBorder="1"/>
    <xf numFmtId="0" fontId="1" fillId="4" borderId="31" xfId="0" applyFont="1" applyFill="1" applyBorder="1"/>
    <xf numFmtId="0" fontId="34" fillId="7" borderId="1" xfId="0" applyFont="1" applyFill="1" applyBorder="1" applyAlignment="1">
      <alignment horizontal="right"/>
    </xf>
    <xf numFmtId="0" fontId="7" fillId="5" borderId="3" xfId="0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7" fillId="5" borderId="9" xfId="0" applyFont="1" applyFill="1" applyBorder="1" applyAlignment="1">
      <alignment horizontal="left" vertical="center" wrapText="1"/>
    </xf>
    <xf numFmtId="0" fontId="8" fillId="0" borderId="10" xfId="0" applyFont="1" applyBorder="1"/>
    <xf numFmtId="0" fontId="8" fillId="0" borderId="11" xfId="0" applyFont="1" applyBorder="1"/>
    <xf numFmtId="164" fontId="9" fillId="4" borderId="12" xfId="0" applyNumberFormat="1" applyFont="1" applyFill="1" applyBorder="1" applyAlignment="1">
      <alignment horizontal="center"/>
    </xf>
    <xf numFmtId="0" fontId="8" fillId="0" borderId="13" xfId="0" applyFont="1" applyBorder="1"/>
    <xf numFmtId="0" fontId="7" fillId="6" borderId="9" xfId="0" applyFont="1" applyFill="1" applyBorder="1" applyAlignment="1">
      <alignment horizontal="left" vertical="center" wrapText="1"/>
    </xf>
    <xf numFmtId="164" fontId="4" fillId="0" borderId="15" xfId="0" applyNumberFormat="1" applyFont="1" applyBorder="1" applyAlignment="1">
      <alignment horizontal="left" vertical="top" wrapText="1"/>
    </xf>
    <xf numFmtId="0" fontId="0" fillId="0" borderId="0" xfId="0"/>
    <xf numFmtId="164" fontId="4" fillId="0" borderId="15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8" fillId="0" borderId="23" xfId="0" applyFont="1" applyBorder="1"/>
    <xf numFmtId="0" fontId="8" fillId="0" borderId="25" xfId="0" applyFont="1" applyBorder="1"/>
    <xf numFmtId="0" fontId="8" fillId="0" borderId="15" xfId="0" applyFont="1" applyBorder="1"/>
    <xf numFmtId="0" fontId="8" fillId="0" borderId="29" xfId="0" applyFont="1" applyBorder="1"/>
    <xf numFmtId="0" fontId="28" fillId="4" borderId="12" xfId="0" applyFont="1" applyFill="1" applyBorder="1" applyAlignment="1">
      <alignment horizontal="center"/>
    </xf>
    <xf numFmtId="0" fontId="8" fillId="0" borderId="32" xfId="0" applyFont="1" applyBorder="1"/>
    <xf numFmtId="0" fontId="33" fillId="17" borderId="12" xfId="0" applyFont="1" applyFill="1" applyBorder="1" applyAlignment="1">
      <alignment horizontal="center"/>
    </xf>
    <xf numFmtId="0" fontId="8" fillId="0" borderId="33" xfId="0" applyFont="1" applyBorder="1"/>
    <xf numFmtId="0" fontId="33" fillId="17" borderId="34" xfId="0" applyFont="1" applyFill="1" applyBorder="1" applyAlignment="1">
      <alignment horizontal="center"/>
    </xf>
    <xf numFmtId="0" fontId="29" fillId="18" borderId="12" xfId="0" applyFont="1" applyFill="1" applyBorder="1" applyAlignment="1">
      <alignment horizontal="center"/>
    </xf>
    <xf numFmtId="0" fontId="33" fillId="17" borderId="34" xfId="0" applyFont="1" applyFill="1" applyBorder="1" applyAlignment="1">
      <alignment horizontal="center" vertical="top" wrapText="1"/>
    </xf>
    <xf numFmtId="165" fontId="64" fillId="0" borderId="0" xfId="0" applyNumberFormat="1" applyFont="1" applyAlignment="1">
      <alignment horizontal="right"/>
    </xf>
    <xf numFmtId="0" fontId="64" fillId="0" borderId="0" xfId="0" applyFont="1" applyAlignment="1">
      <alignment horizontal="right"/>
    </xf>
    <xf numFmtId="165" fontId="15" fillId="0" borderId="3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 i="0">
                <a:solidFill>
                  <a:srgbClr val="002060"/>
                </a:solidFill>
                <a:latin typeface="Segoe UI"/>
              </a:defRPr>
            </a:pPr>
            <a:r>
              <a:rPr lang="en-US" sz="2400" b="1" i="0">
                <a:solidFill>
                  <a:srgbClr val="002060"/>
                </a:solidFill>
                <a:latin typeface="Segoe UI"/>
              </a:rPr>
              <a:t>Baseline External Debt Path </a:t>
            </a:r>
          </a:p>
        </c:rich>
      </c:tx>
      <c:layout>
        <c:manualLayout>
          <c:xMode val="edge"/>
          <c:yMode val="edge"/>
          <c:x val="0.22437764480364872"/>
          <c:y val="1.6638935108153077E-2"/>
        </c:manualLayout>
      </c:layout>
      <c:overlay val="0"/>
    </c:title>
    <c:autoTitleDeleted val="0"/>
    <c:plotArea>
      <c:layout>
        <c:manualLayout>
          <c:xMode val="edge"/>
          <c:yMode val="edge"/>
          <c:x val="5.8328275400591524E-2"/>
          <c:y val="0.13195996374618402"/>
          <c:w val="0.94209474932552117"/>
          <c:h val="0.72896103524319233"/>
        </c:manualLayout>
      </c:layout>
      <c:lineChart>
        <c:grouping val="standard"/>
        <c:varyColors val="0"/>
        <c:ser>
          <c:idx val="0"/>
          <c:order val="0"/>
          <c:tx>
            <c:v>Baseline</c:v>
          </c:tx>
          <c:spPr>
            <a:ln w="28575" cmpd="sng">
              <a:solidFill>
                <a:srgbClr val="0076BB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numRef>
              <c:f>'DEBT SUST MOD 11'!$C$47:$M$47</c:f>
              <c:numCache>
                <c:formatCode>0</c:formatCod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numCache>
            </c:numRef>
          </c:cat>
          <c:val>
            <c:numRef>
              <c:f>'DEBT SUST MOD 11'!$C$48:$M$48</c:f>
              <c:numCache>
                <c:formatCode>0.0%</c:formatCode>
                <c:ptCount val="11"/>
                <c:pt idx="0">
                  <c:v>2.0270000000000001</c:v>
                </c:pt>
                <c:pt idx="1">
                  <c:v>1.943430606819474</c:v>
                </c:pt>
                <c:pt idx="2">
                  <c:v>1.8614513570940232</c:v>
                </c:pt>
                <c:pt idx="3">
                  <c:v>1.7810319938586097</c:v>
                </c:pt>
                <c:pt idx="4">
                  <c:v>1.7021428358723101</c:v>
                </c:pt>
                <c:pt idx="5">
                  <c:v>1.6247547666635411</c:v>
                </c:pt>
                <c:pt idx="6">
                  <c:v>1.5488392237837285</c:v>
                </c:pt>
                <c:pt idx="7">
                  <c:v>1.4743681882654573</c:v>
                </c:pt>
                <c:pt idx="8">
                  <c:v>1.4013141742812094</c:v>
                </c:pt>
                <c:pt idx="9">
                  <c:v>1.3296502189988728</c:v>
                </c:pt>
                <c:pt idx="10">
                  <c:v>1.2593498726302788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B-BD40-B8AD-4C01E261A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8933520"/>
        <c:axId val="818754514"/>
      </c:lineChart>
      <c:catAx>
        <c:axId val="1238933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in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A"/>
          </a:p>
        </c:txPr>
        <c:crossAx val="818754514"/>
        <c:crosses val="autoZero"/>
        <c:auto val="1"/>
        <c:lblAlgn val="ctr"/>
        <c:lblOffset val="100"/>
        <c:noMultiLvlLbl val="1"/>
      </c:catAx>
      <c:valAx>
        <c:axId val="818754514"/>
        <c:scaling>
          <c:orientation val="minMax"/>
          <c:min val="0.33000000000000007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%" sourceLinked="0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A"/>
          </a:p>
        </c:txPr>
        <c:crossAx val="123893352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50</xdr:row>
      <xdr:rowOff>190500</xdr:rowOff>
    </xdr:from>
    <xdr:ext cx="7219950" cy="3676650"/>
    <xdr:graphicFrame macro="">
      <xdr:nvGraphicFramePr>
        <xdr:cNvPr id="1198603734" name="Chart 1">
          <a:extLst>
            <a:ext uri="{FF2B5EF4-FFF2-40B4-BE49-F238E27FC236}">
              <a16:creationId xmlns:a16="http://schemas.microsoft.com/office/drawing/2014/main" id="{00000000-0008-0000-0000-0000D63D7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133350</xdr:colOff>
      <xdr:row>47</xdr:row>
      <xdr:rowOff>0</xdr:rowOff>
    </xdr:from>
    <xdr:ext cx="9906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855463" y="3506156"/>
          <a:ext cx="981075" cy="547688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lt1"/>
            </a:solidFill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Current/ecubopLa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PERUMF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PA/CHL/SECTORS/BOP/Bop02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WIN/TEMP/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KUZMANOVIC/Desktop/Module%2011%20Beta%20Test/MDSx%20MOD%2011%20Diagnostica%20July%2011%20ALT%20R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3/users3/MKUZMANOVIC/My%20Documents/MDSx%20Extra%20Data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3/users3/&#304;zleme&amp;Ara&#351;t&#305;rma%20Dairesi/&#231;al&#305;&#351;malar/Net%20Debt/NET%20DEBT%20DAIRE%20CALISMASI/netdebt_22arali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ICE/ICE_mission%20SBA1%20may09/background%20notes/Tables%20background%20not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wrs/xl97/system/WRS97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SV/VULNERABILITIES/VULNERABILITIES%202005-09/working-files/Master%20Cross%20Country%20MS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/ipetrova/AppData/Local/Microsoft/Windows/Temporary%20Internet%20Files/Content.Outlook/0CUNTCM9/m&#225;na&#240;aryfirlit%20(17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1/ipetrova/My%20Documents/FAD/Iceland/ISL%20Data%20from%20Authorities/Fjarsysla/m&#225;na&#240;aryfirlitJune201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WINDOWS/TEMP/CRI-BOP-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CA/CRI/EXTERNAL/Output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CA/CRI/Dbase/Dinput/CRI-INPUT-ABO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DATA/CA/CRI/EXTERNAL/Output/Other-2002/CRI-INPUT-ABOP-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CPLAZO/IMAE/PR/INF1-ALE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ecuredta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2/Users/ipetrova/AppData/Local/Microsoft/Windows/Temporary%20Internet%20Files/Content.Outlook/0CUNTCM9/m&#225;na&#240;aryfirlit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ebtM"/>
      <sheetName val="finreq-m02"/>
      <sheetName val="BoP-m02"/>
      <sheetName val="Input"/>
      <sheetName val="Trade"/>
      <sheetName val="SER"/>
      <sheetName val="Input2"/>
      <sheetName val="DebtSer"/>
      <sheetName val="CAP"/>
      <sheetName val="RES"/>
      <sheetName val="Bo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OUTPUT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correlations with EM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-Me"/>
      <sheetName val=" 1. BOP Overview"/>
      <sheetName val=" 1a. BOP Graphs"/>
      <sheetName val="1b. IIP"/>
      <sheetName val="1c IIP-Graphs"/>
      <sheetName val="1d. EME Debt"/>
      <sheetName val="1e. EME Debt Graphs"/>
      <sheetName val="Questions  EDS"/>
      <sheetName val=" 2. MT Ext Debt Sustain"/>
      <sheetName val="3. Indicators"/>
      <sheetName val="3a. Ind-Debt-Graphs"/>
      <sheetName val=" 3b. Ind-ARA-Graphs"/>
      <sheetName val="4. Indicators-BSA"/>
      <sheetName val="4a. Ind-BSA-Graphs"/>
      <sheetName val="Output to SEI "/>
      <sheetName val="Data-IN BOP-IMF"/>
      <sheetName val="Data-IN Amort"/>
      <sheetName val="Data-IN TL&amp;USD GDP"/>
      <sheetName val="Data-IN IIP Ann"/>
      <sheetName val="Data-IN Ext Debt Annual"/>
      <sheetName val="Screenshot_Ext Debt"/>
      <sheetName val="WEO EME Debt"/>
      <sheetName val="Data-IN M2"/>
      <sheetName val="Data-IN Ex Rates-H W-10"/>
      <sheetName val="Data-IN BOP-Haver"/>
      <sheetName val="Sheet6"/>
      <sheetName val="Workbook_Flowchart"/>
      <sheetName val="Assessments DEBT SUST"/>
      <sheetName val="MEMO BOP detail"/>
      <sheetName val="DEBT SUST MOD 11"/>
      <sheetName val="Data Consistency - Modules"/>
      <sheetName val="ARA MOD 11"/>
      <sheetName val="Data-IN ARA Haver-WEO "/>
      <sheetName val="To_Add_to_DB"/>
      <sheetName val="Assessments 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le IV External Debt"/>
      <sheetName val="Haver_Debt"/>
      <sheetName val="Sheet3"/>
    </sheetNames>
    <sheetDataSet>
      <sheetData sheetId="0"/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MLI_OKUYUN"/>
      <sheetName val="PublicDebt"/>
      <sheetName val="Net_broc"/>
      <sheetName val="Grafikler1"/>
      <sheetName val="Grafikler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1"/>
      <sheetName val="exch rates"/>
      <sheetName val="VAT rates OECD Countries"/>
      <sheetName val="Corporate OECD countries"/>
      <sheetName val="PIT OECD countries"/>
      <sheetName val="Dom GS OECD countries"/>
      <sheetName val="Soc Sec OECD countries"/>
      <sheetName val="Chart1"/>
      <sheetName val="Chart1 (2)"/>
      <sheetName val="Chart1 (3)"/>
      <sheetName val="Chart1 (4)"/>
      <sheetName val="Panel1"/>
      <sheetName val="series for tax graphs"/>
      <sheetName val="Chart2"/>
      <sheetName val="Chart2 (2)"/>
      <sheetName val="EDSS3"/>
      <sheetName val="Chart3"/>
      <sheetName val="Chart4"/>
      <sheetName val="EDSS1"/>
      <sheetName val="Table2"/>
      <sheetName val="Table2b"/>
      <sheetName val="Table3"/>
      <sheetName val="Table4"/>
      <sheetName val="Table5"/>
      <sheetName val="Table5b"/>
      <sheetName val="Table6"/>
      <sheetName val="Table7"/>
      <sheetName val="Table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ControlSheet"/>
      <sheetName val="Inputs 1 (liq indicators)"/>
      <sheetName val="country name lookup"/>
      <sheetName val="Inputs 2 (ext sector)"/>
      <sheetName val="Inputs 3 (fiscal sector)"/>
      <sheetName val="Inputs 4 (fin. sector)"/>
      <sheetName val="Inputs 5 (corp. sector)"/>
      <sheetName val="Inputs Macro Variables"/>
      <sheetName val="Calc Liq Ind"/>
      <sheetName val="Calc Ext Sector"/>
      <sheetName val="Calc Fisc Sector"/>
      <sheetName val="Calc Fin Sector"/>
      <sheetName val="Calc Corp. Sector"/>
      <sheetName val="old Tab 8. FR &amp; IR"/>
      <sheetName val="Tab 8. FR &amp; IR "/>
      <sheetName val="Output 1. Comp AD-I rat"/>
      <sheetName val="Output 1. Comp Alt I,II,III"/>
      <sheetName val="Output1 Summary-AltI"/>
      <sheetName val="Output 1. Summary-AltII"/>
      <sheetName val="Output1 Summary -AltIII"/>
      <sheetName val="Tab 9. External sector "/>
      <sheetName val="Tab 10. Public sector"/>
      <sheetName val="Tab 11. Financial sector"/>
      <sheetName val="Tab 12. Corporate sector"/>
      <sheetName val="Output 1. FR &amp; IR "/>
      <sheetName val="Output 2. External sector "/>
      <sheetName val="Output 3. Public sector"/>
      <sheetName val="Output 4. Financial sector"/>
      <sheetName val="Output 5. Corporate sec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DEBT"/>
      <sheetName val="DIS"/>
      <sheetName val="AMO"/>
      <sheetName val="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TA"/>
      <sheetName val="IMAE TC Y ACELERACION"/>
      <sheetName val="ACELERACION"/>
      <sheetName val="DATOS"/>
      <sheetName val="LIB-N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síða"/>
      <sheetName val="Nýtt yfirlit 1"/>
      <sheetName val="Y2"/>
      <sheetName val="Y3"/>
      <sheetName val="Y4"/>
      <sheetName val="Y5"/>
      <sheetName val="Y6"/>
      <sheetName val="Y7"/>
      <sheetName val="Y8"/>
      <sheetName val="Y13"/>
      <sheetName val="MANUDUR"/>
      <sheetName val="Áætlun"/>
      <sheetName val="EFN_MMB_"/>
      <sheetName val="EFN_HMB_"/>
      <sheetName val="EFN_MAN_"/>
      <sheetName val="Efn_FA"/>
      <sheetName val="EFN_F2"/>
      <sheetName val="Efn_fa_h"/>
      <sheetName val="EFN_FAL"/>
      <sheetName val="efn_f2l"/>
      <sheetName val="mal"/>
      <sheetName val="mal_fa"/>
      <sheetName val="Fjárlög_sund"/>
      <sheetName val="tegsun"/>
      <sheetName val="Tegsun_fyrra"/>
      <sheetName val="Fjarh_man"/>
      <sheetName val="TEKJUR"/>
      <sheetName val="TEKJUR_M"/>
      <sheetName val="TEKJU_FA"/>
      <sheetName val="Fjárheimild mánaða tekjur"/>
      <sheetName val="FJARLTEK"/>
      <sheetName val="Efnahag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4D97"/>
  </sheetPr>
  <dimension ref="A1:AJ1000"/>
  <sheetViews>
    <sheetView showGridLines="0" tabSelected="1" topLeftCell="A24" workbookViewId="0">
      <selection activeCell="O28" sqref="O28"/>
    </sheetView>
  </sheetViews>
  <sheetFormatPr baseColWidth="10" defaultColWidth="14.5" defaultRowHeight="15" customHeight="1" x14ac:dyDescent="0.2"/>
  <cols>
    <col min="1" max="1" width="5" customWidth="1"/>
    <col min="2" max="2" width="26.6640625" customWidth="1"/>
    <col min="3" max="3" width="8" customWidth="1"/>
    <col min="4" max="4" width="7.33203125" customWidth="1"/>
    <col min="5" max="8" width="7.5" customWidth="1"/>
    <col min="9" max="9" width="8.1640625" customWidth="1"/>
    <col min="10" max="13" width="7.5" customWidth="1"/>
    <col min="14" max="14" width="7" customWidth="1"/>
    <col min="15" max="15" width="8.1640625" customWidth="1"/>
    <col min="16" max="22" width="13.5" customWidth="1"/>
    <col min="23" max="23" width="21.6640625" customWidth="1"/>
    <col min="24" max="32" width="13.5" customWidth="1"/>
    <col min="33" max="35" width="29" customWidth="1"/>
    <col min="36" max="36" width="8" customWidth="1"/>
  </cols>
  <sheetData>
    <row r="1" spans="1:36" ht="18" customHeight="1" x14ac:dyDescent="0.3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  <c r="AF1" s="3"/>
      <c r="AG1" s="1"/>
      <c r="AH1" s="1"/>
      <c r="AI1" s="1"/>
      <c r="AJ1" s="1"/>
    </row>
    <row r="2" spans="1:36" ht="18" customHeight="1" x14ac:dyDescent="0.3">
      <c r="A2" s="4"/>
      <c r="B2" s="5" t="s">
        <v>134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4"/>
      <c r="AF2" s="6"/>
      <c r="AG2" s="4"/>
      <c r="AH2" s="4"/>
      <c r="AI2" s="4"/>
      <c r="AJ2" s="4"/>
    </row>
    <row r="3" spans="1:36" ht="18" customHeight="1" x14ac:dyDescent="0.25">
      <c r="A3" s="7"/>
      <c r="B3" s="7"/>
      <c r="C3" s="7"/>
      <c r="D3" s="7"/>
      <c r="E3" s="7"/>
      <c r="F3" s="7"/>
      <c r="G3" s="7"/>
      <c r="H3" s="7"/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ht="18" customHeight="1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2"/>
      <c r="Q4" s="12"/>
      <c r="R4" s="12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0"/>
      <c r="AF4" s="10"/>
      <c r="AG4" s="10"/>
      <c r="AH4" s="10"/>
      <c r="AI4" s="10"/>
      <c r="AJ4" s="10"/>
    </row>
    <row r="5" spans="1:36" ht="18" customHeight="1" x14ac:dyDescent="0.25">
      <c r="A5" s="11"/>
      <c r="B5" s="218" t="s">
        <v>2</v>
      </c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20"/>
      <c r="P5" s="12"/>
      <c r="Q5" s="12"/>
      <c r="R5" s="12"/>
      <c r="S5" s="8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0"/>
      <c r="AF5" s="10"/>
      <c r="AG5" s="10"/>
      <c r="AH5" s="10"/>
      <c r="AI5" s="10"/>
      <c r="AJ5" s="10"/>
    </row>
    <row r="6" spans="1:36" ht="18" customHeight="1" x14ac:dyDescent="0.25">
      <c r="A6" s="12"/>
      <c r="B6" s="221"/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3"/>
      <c r="P6" s="7"/>
      <c r="Q6" s="7"/>
      <c r="R6" s="7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10"/>
      <c r="AF6" s="10"/>
      <c r="AG6" s="10"/>
      <c r="AH6" s="10"/>
      <c r="AI6" s="10"/>
      <c r="AJ6" s="10"/>
    </row>
    <row r="7" spans="1:36" ht="24.75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8" customHeight="1" x14ac:dyDescent="0.25">
      <c r="A8" s="12"/>
      <c r="B8" s="224" t="s">
        <v>3</v>
      </c>
      <c r="C8" s="225"/>
      <c r="D8" s="225"/>
      <c r="E8" s="225"/>
      <c r="F8" s="225"/>
      <c r="G8" s="225"/>
      <c r="H8" s="225"/>
      <c r="I8" s="225"/>
      <c r="J8" s="225"/>
      <c r="K8" s="225"/>
      <c r="L8" s="225"/>
      <c r="M8" s="225"/>
      <c r="N8" s="225"/>
      <c r="O8" s="226"/>
      <c r="Q8" s="13"/>
      <c r="R8" s="7"/>
      <c r="S8" s="14"/>
      <c r="T8" s="227"/>
      <c r="U8" s="228"/>
      <c r="V8" s="15"/>
      <c r="W8" s="16"/>
      <c r="X8" s="14"/>
      <c r="Y8" s="15"/>
      <c r="Z8" s="15"/>
      <c r="AA8" s="15"/>
      <c r="AB8" s="15"/>
      <c r="AC8" s="17"/>
      <c r="AD8" s="10"/>
      <c r="AE8" s="10"/>
      <c r="AF8" s="10"/>
      <c r="AG8" s="10"/>
      <c r="AH8" s="10"/>
      <c r="AI8" s="10"/>
      <c r="AJ8" s="10"/>
    </row>
    <row r="9" spans="1:36" ht="18.75" customHeight="1" x14ac:dyDescent="0.25">
      <c r="A9" s="12"/>
      <c r="B9" s="229" t="s">
        <v>4</v>
      </c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6"/>
      <c r="O9" s="18">
        <v>1.0410000000000001E-2</v>
      </c>
      <c r="P9" s="19" t="s">
        <v>5</v>
      </c>
      <c r="Q9" s="20"/>
      <c r="R9" s="20"/>
      <c r="S9" s="20"/>
      <c r="T9" s="20"/>
      <c r="U9" s="20"/>
      <c r="V9" s="20"/>
      <c r="W9" s="20"/>
      <c r="X9" s="14"/>
      <c r="Y9" s="21"/>
      <c r="Z9" s="21"/>
      <c r="AA9" s="21"/>
      <c r="AB9" s="21"/>
      <c r="AC9" s="9"/>
      <c r="AD9" s="10"/>
      <c r="AE9" s="10"/>
      <c r="AF9" s="10"/>
      <c r="AG9" s="10"/>
      <c r="AH9" s="10"/>
      <c r="AI9" s="10"/>
      <c r="AJ9" s="10"/>
    </row>
    <row r="10" spans="1:36" ht="18.75" customHeight="1" x14ac:dyDescent="0.25">
      <c r="A10" s="12"/>
      <c r="B10" s="229" t="s">
        <v>6</v>
      </c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6"/>
      <c r="O10" s="18">
        <v>2.1000000000000001E-2</v>
      </c>
      <c r="P10" s="230"/>
      <c r="Q10" s="231"/>
      <c r="R10" s="7"/>
      <c r="S10" s="14"/>
      <c r="T10" s="15"/>
      <c r="U10" s="15"/>
      <c r="V10" s="15"/>
      <c r="W10" s="16"/>
      <c r="X10" s="14"/>
      <c r="Y10" s="21"/>
      <c r="Z10" s="21"/>
      <c r="AA10" s="21"/>
      <c r="AB10" s="21"/>
      <c r="AC10" s="9"/>
      <c r="AD10" s="10"/>
      <c r="AE10" s="10"/>
      <c r="AF10" s="10"/>
      <c r="AG10" s="10"/>
      <c r="AH10" s="10"/>
      <c r="AI10" s="10"/>
      <c r="AJ10" s="10"/>
    </row>
    <row r="11" spans="1:36" ht="18.75" customHeight="1" x14ac:dyDescent="0.25">
      <c r="A11" s="12"/>
      <c r="B11" s="229" t="s">
        <v>7</v>
      </c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6"/>
      <c r="O11" s="18">
        <v>1E-3</v>
      </c>
      <c r="P11" s="232"/>
      <c r="Q11" s="231"/>
      <c r="R11" s="7"/>
      <c r="S11" s="14"/>
      <c r="T11" s="15"/>
      <c r="U11" s="15"/>
      <c r="V11" s="15"/>
      <c r="W11" s="16"/>
      <c r="X11" s="14"/>
      <c r="Y11" s="21"/>
      <c r="Z11" s="21"/>
      <c r="AA11" s="21"/>
      <c r="AB11" s="21"/>
      <c r="AC11" s="9"/>
      <c r="AD11" s="10"/>
      <c r="AE11" s="10"/>
      <c r="AF11" s="10"/>
      <c r="AG11" s="10"/>
      <c r="AH11" s="10"/>
      <c r="AI11" s="10"/>
      <c r="AJ11" s="10"/>
    </row>
    <row r="12" spans="1:36" ht="18.75" customHeight="1" x14ac:dyDescent="0.25">
      <c r="A12" s="12"/>
      <c r="B12" s="229" t="s">
        <v>8</v>
      </c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6"/>
      <c r="O12" s="22">
        <f>(O10-O11)</f>
        <v>0.02</v>
      </c>
      <c r="P12" s="23"/>
      <c r="Q12" s="23"/>
      <c r="R12" s="7"/>
      <c r="S12" s="14"/>
      <c r="T12" s="15"/>
      <c r="U12" s="15"/>
      <c r="V12" s="15"/>
      <c r="W12" s="16"/>
      <c r="X12" s="14"/>
      <c r="Y12" s="21"/>
      <c r="Z12" s="21"/>
      <c r="AA12" s="21"/>
      <c r="AB12" s="21"/>
      <c r="AC12" s="9"/>
      <c r="AD12" s="10"/>
      <c r="AE12" s="10"/>
      <c r="AF12" s="10"/>
      <c r="AG12" s="10"/>
      <c r="AH12" s="10"/>
      <c r="AI12" s="10"/>
      <c r="AJ12" s="10"/>
    </row>
    <row r="13" spans="1:36" ht="18.75" customHeight="1" x14ac:dyDescent="0.25">
      <c r="A13" s="12"/>
      <c r="B13" s="229" t="s">
        <v>9</v>
      </c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6"/>
      <c r="O13" s="22">
        <f>(1+O9)*(1+O12)-1</f>
        <v>3.0618200000000151E-2</v>
      </c>
      <c r="P13" s="19" t="s">
        <v>10</v>
      </c>
      <c r="Q13" s="24"/>
      <c r="R13" s="24"/>
      <c r="S13" s="24"/>
      <c r="T13" s="24"/>
      <c r="U13" s="24"/>
      <c r="V13" s="24"/>
      <c r="W13" s="24"/>
      <c r="X13" s="14"/>
      <c r="Y13" s="21"/>
      <c r="Z13" s="21"/>
      <c r="AA13" s="21"/>
      <c r="AB13" s="21"/>
      <c r="AC13" s="9"/>
      <c r="AD13" s="10"/>
      <c r="AE13" s="10"/>
      <c r="AF13" s="10"/>
      <c r="AG13" s="10"/>
      <c r="AH13" s="10"/>
      <c r="AI13" s="10"/>
      <c r="AJ13" s="10"/>
    </row>
    <row r="14" spans="1:36" ht="18.75" customHeight="1" x14ac:dyDescent="0.25">
      <c r="A14" s="12"/>
      <c r="B14" s="229" t="s">
        <v>11</v>
      </c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6"/>
      <c r="O14" s="22">
        <f>((1+O9)*(1+O12))/(1+O10)-1</f>
        <v>9.4203721841334964E-3</v>
      </c>
      <c r="Q14" s="7"/>
      <c r="R14" s="7"/>
      <c r="S14" s="14"/>
      <c r="T14" s="15"/>
      <c r="U14" s="15"/>
      <c r="V14" s="15"/>
      <c r="W14" s="16"/>
      <c r="X14" s="14"/>
      <c r="Y14" s="21"/>
      <c r="Z14" s="21"/>
      <c r="AA14" s="21"/>
      <c r="AB14" s="21"/>
      <c r="AC14" s="9"/>
      <c r="AD14" s="10"/>
      <c r="AE14" s="10"/>
      <c r="AF14" s="10"/>
      <c r="AG14" s="10"/>
      <c r="AH14" s="10"/>
      <c r="AI14" s="10"/>
      <c r="AJ14" s="10"/>
    </row>
    <row r="15" spans="1:36" ht="18.75" customHeight="1" x14ac:dyDescent="0.25">
      <c r="A15" s="12"/>
      <c r="B15" s="229" t="s">
        <v>135</v>
      </c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6"/>
      <c r="O15" s="25">
        <v>2.9000000000000001E-2</v>
      </c>
      <c r="Q15" s="26"/>
      <c r="R15" s="27"/>
      <c r="S15" s="14"/>
      <c r="T15" s="15"/>
      <c r="U15" s="15"/>
      <c r="V15" s="15"/>
      <c r="W15" s="16"/>
      <c r="X15" s="14"/>
      <c r="Y15" s="21"/>
      <c r="Z15" s="21"/>
      <c r="AA15" s="21"/>
      <c r="AB15" s="21"/>
      <c r="AC15" s="9"/>
      <c r="AD15" s="10"/>
      <c r="AE15" s="10"/>
      <c r="AF15" s="10"/>
      <c r="AG15" s="10"/>
      <c r="AH15" s="10"/>
      <c r="AI15" s="10"/>
      <c r="AJ15" s="10"/>
    </row>
    <row r="16" spans="1:36" ht="18.75" customHeight="1" x14ac:dyDescent="0.25">
      <c r="A16" s="7"/>
      <c r="B16" s="229" t="s">
        <v>12</v>
      </c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6"/>
      <c r="O16" s="28">
        <f>(1+O14)/(1+O15)</f>
        <v>0.98097217899332712</v>
      </c>
      <c r="Q16" s="7"/>
      <c r="R16" s="27"/>
      <c r="S16" s="14"/>
      <c r="T16" s="15"/>
      <c r="U16" s="15"/>
      <c r="V16" s="15"/>
      <c r="W16" s="16"/>
      <c r="X16" s="14"/>
      <c r="Y16" s="21"/>
      <c r="Z16" s="21"/>
      <c r="AA16" s="21"/>
      <c r="AB16" s="21"/>
      <c r="AC16" s="9"/>
      <c r="AD16" s="10"/>
      <c r="AE16" s="10"/>
      <c r="AF16" s="10"/>
      <c r="AG16" s="10"/>
      <c r="AH16" s="10"/>
      <c r="AI16" s="10"/>
      <c r="AJ16" s="10"/>
    </row>
    <row r="17" spans="1:36" ht="18" customHeight="1" x14ac:dyDescent="0.25">
      <c r="A17" s="12"/>
      <c r="B17" s="29"/>
      <c r="C17" s="29"/>
      <c r="D17" s="3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2"/>
      <c r="Q17" s="23"/>
      <c r="R17" s="7"/>
      <c r="S17" s="14"/>
      <c r="T17" s="15"/>
      <c r="U17" s="15"/>
      <c r="V17" s="15"/>
      <c r="W17" s="16"/>
      <c r="X17" s="14"/>
      <c r="Y17" s="21"/>
      <c r="Z17" s="21"/>
      <c r="AA17" s="21"/>
      <c r="AB17" s="21"/>
      <c r="AC17" s="9"/>
      <c r="AD17" s="10"/>
      <c r="AE17" s="10"/>
      <c r="AF17" s="10"/>
      <c r="AG17" s="10"/>
      <c r="AH17" s="10"/>
      <c r="AI17" s="10"/>
      <c r="AJ17" s="10"/>
    </row>
    <row r="18" spans="1:36" ht="18" customHeight="1" x14ac:dyDescent="0.25">
      <c r="A18" s="12"/>
      <c r="B18" s="29"/>
      <c r="C18" s="29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/>
      <c r="Q18" s="23"/>
      <c r="R18" s="7"/>
      <c r="S18" s="14"/>
      <c r="T18" s="15"/>
      <c r="U18" s="15"/>
      <c r="V18" s="15"/>
      <c r="W18" s="16"/>
      <c r="X18" s="14"/>
      <c r="Y18" s="21"/>
      <c r="Z18" s="21"/>
      <c r="AA18" s="21"/>
      <c r="AB18" s="21"/>
      <c r="AC18" s="9"/>
      <c r="AD18" s="10"/>
      <c r="AE18" s="10"/>
      <c r="AF18" s="10"/>
      <c r="AG18" s="10"/>
      <c r="AH18" s="10"/>
      <c r="AI18" s="10"/>
      <c r="AJ18" s="10"/>
    </row>
    <row r="19" spans="1:36" ht="30" customHeight="1" x14ac:dyDescent="0.25">
      <c r="A19" s="12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Q19" s="23"/>
      <c r="R19" s="7"/>
      <c r="S19" s="14"/>
      <c r="T19" s="15"/>
      <c r="U19" s="15"/>
      <c r="V19" s="15"/>
      <c r="W19" s="16"/>
      <c r="X19" s="14"/>
      <c r="Y19" s="21"/>
      <c r="Z19" s="21"/>
      <c r="AA19" s="21"/>
      <c r="AB19" s="21"/>
      <c r="AC19" s="9"/>
      <c r="AD19" s="10"/>
      <c r="AE19" s="10"/>
      <c r="AF19" s="10"/>
      <c r="AG19" s="10"/>
      <c r="AH19" s="10"/>
      <c r="AI19" s="10"/>
      <c r="AJ19" s="10"/>
    </row>
    <row r="20" spans="1:36" ht="18" customHeight="1" x14ac:dyDescent="0.25">
      <c r="A20" s="35"/>
      <c r="B20" s="224" t="s">
        <v>13</v>
      </c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6"/>
      <c r="P20" s="233"/>
      <c r="Q20" s="231"/>
      <c r="R20" s="231"/>
      <c r="S20" s="14"/>
      <c r="T20" s="15"/>
      <c r="U20" s="15"/>
      <c r="V20" s="15"/>
      <c r="W20" s="16"/>
      <c r="X20" s="14"/>
      <c r="Y20" s="21"/>
      <c r="Z20" s="21"/>
      <c r="AA20" s="21"/>
      <c r="AB20" s="21"/>
      <c r="AC20" s="9"/>
      <c r="AD20" s="10"/>
      <c r="AE20" s="10"/>
      <c r="AF20" s="10"/>
      <c r="AG20" s="10"/>
      <c r="AH20" s="10"/>
      <c r="AI20" s="10"/>
      <c r="AJ20" s="10"/>
    </row>
    <row r="21" spans="1:36" ht="18" customHeight="1" x14ac:dyDescent="0.25">
      <c r="A21" s="12"/>
      <c r="B21" s="229" t="s">
        <v>14</v>
      </c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5"/>
      <c r="N21" s="226"/>
      <c r="O21" s="36">
        <v>0.05</v>
      </c>
      <c r="P21" s="37"/>
      <c r="Q21" s="38"/>
      <c r="R21" s="39"/>
      <c r="S21" s="14"/>
      <c r="T21" s="15"/>
      <c r="U21" s="15"/>
      <c r="V21" s="15"/>
      <c r="W21" s="16"/>
      <c r="X21" s="14"/>
      <c r="Y21" s="21"/>
      <c r="Z21" s="21"/>
      <c r="AA21" s="21"/>
      <c r="AB21" s="21"/>
      <c r="AC21" s="9"/>
      <c r="AD21" s="10"/>
      <c r="AE21" s="10"/>
      <c r="AF21" s="10"/>
      <c r="AG21" s="10"/>
      <c r="AH21" s="10"/>
      <c r="AI21" s="10"/>
      <c r="AJ21" s="10"/>
    </row>
    <row r="22" spans="1:36" ht="18" customHeight="1" x14ac:dyDescent="0.25">
      <c r="A22" s="12"/>
      <c r="B22" s="229" t="s">
        <v>15</v>
      </c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6"/>
      <c r="O22" s="36">
        <v>0.02</v>
      </c>
      <c r="P22" s="40"/>
      <c r="Q22" s="7"/>
      <c r="R22" s="7"/>
      <c r="S22" s="16"/>
      <c r="T22" s="15"/>
      <c r="U22" s="15"/>
      <c r="V22" s="15"/>
      <c r="W22" s="16"/>
      <c r="X22" s="14"/>
      <c r="Y22" s="21"/>
      <c r="Z22" s="21"/>
      <c r="AA22" s="21"/>
      <c r="AB22" s="21"/>
      <c r="AC22" s="9"/>
      <c r="AD22" s="10"/>
      <c r="AE22" s="10"/>
      <c r="AF22" s="10"/>
      <c r="AG22" s="10"/>
      <c r="AH22" s="10"/>
      <c r="AI22" s="10"/>
      <c r="AJ22" s="10"/>
    </row>
    <row r="23" spans="1:36" ht="18" customHeight="1" x14ac:dyDescent="0.25">
      <c r="A23" s="12"/>
      <c r="B23" s="229" t="s">
        <v>16</v>
      </c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6"/>
      <c r="O23" s="36">
        <v>0</v>
      </c>
      <c r="R23" s="17"/>
      <c r="S23" s="14"/>
      <c r="T23" s="15"/>
      <c r="U23" s="15"/>
      <c r="V23" s="15"/>
      <c r="W23" s="16"/>
      <c r="X23" s="14"/>
      <c r="Y23" s="21"/>
      <c r="Z23" s="21"/>
      <c r="AA23" s="21"/>
      <c r="AB23" s="21"/>
      <c r="AC23" s="9"/>
      <c r="AD23" s="10"/>
      <c r="AE23" s="10"/>
      <c r="AF23" s="10"/>
      <c r="AG23" s="10"/>
      <c r="AH23" s="10"/>
      <c r="AI23" s="10"/>
      <c r="AJ23" s="10"/>
    </row>
    <row r="24" spans="1:36" ht="18" customHeight="1" x14ac:dyDescent="0.25">
      <c r="A24" s="12"/>
      <c r="B24" s="229" t="s">
        <v>17</v>
      </c>
      <c r="C24" s="225"/>
      <c r="D24" s="225"/>
      <c r="E24" s="225"/>
      <c r="F24" s="225"/>
      <c r="G24" s="225"/>
      <c r="H24" s="225"/>
      <c r="I24" s="225"/>
      <c r="J24" s="225"/>
      <c r="K24" s="225"/>
      <c r="L24" s="225"/>
      <c r="M24" s="225"/>
      <c r="N24" s="226"/>
      <c r="O24" s="34">
        <f>SUM(O21:O23)</f>
        <v>7.0000000000000007E-2</v>
      </c>
      <c r="R24" s="7"/>
      <c r="S24" s="14"/>
      <c r="T24" s="15"/>
      <c r="U24" s="15"/>
      <c r="V24" s="15"/>
      <c r="W24" s="16"/>
      <c r="X24" s="14"/>
      <c r="Y24" s="21"/>
      <c r="Z24" s="21"/>
      <c r="AA24" s="21"/>
      <c r="AB24" s="21"/>
      <c r="AC24" s="9"/>
      <c r="AD24" s="10"/>
      <c r="AE24" s="10"/>
      <c r="AF24" s="10"/>
      <c r="AG24" s="10"/>
      <c r="AH24" s="10"/>
      <c r="AI24" s="10"/>
      <c r="AJ24" s="10"/>
    </row>
    <row r="25" spans="1:36" ht="32.25" customHeight="1" x14ac:dyDescent="0.25">
      <c r="A25" s="1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4"/>
      <c r="T25" s="15"/>
      <c r="U25" s="15"/>
      <c r="V25" s="15"/>
      <c r="W25" s="16"/>
      <c r="X25" s="14"/>
      <c r="Y25" s="21"/>
      <c r="Z25" s="21"/>
      <c r="AA25" s="21"/>
      <c r="AB25" s="21"/>
      <c r="AC25" s="9"/>
      <c r="AD25" s="10"/>
      <c r="AE25" s="10"/>
      <c r="AF25" s="10"/>
      <c r="AG25" s="10"/>
      <c r="AH25" s="10"/>
      <c r="AI25" s="10"/>
      <c r="AJ25" s="10"/>
    </row>
    <row r="26" spans="1:36" ht="18" customHeight="1" x14ac:dyDescent="0.25">
      <c r="A26" s="12"/>
      <c r="B26" s="224" t="s">
        <v>18</v>
      </c>
      <c r="C26" s="225"/>
      <c r="D26" s="225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6"/>
      <c r="P26" s="7"/>
      <c r="Q26" s="7"/>
      <c r="R26" s="7"/>
      <c r="S26" s="14"/>
      <c r="T26" s="15"/>
      <c r="U26" s="15"/>
      <c r="V26" s="15"/>
      <c r="W26" s="16"/>
      <c r="X26" s="14"/>
      <c r="Y26" s="21"/>
      <c r="Z26" s="21"/>
      <c r="AA26" s="21"/>
      <c r="AB26" s="21"/>
      <c r="AC26" s="9"/>
      <c r="AD26" s="10"/>
      <c r="AE26" s="10"/>
      <c r="AF26" s="10"/>
      <c r="AG26" s="10"/>
      <c r="AH26" s="10"/>
      <c r="AI26" s="10"/>
      <c r="AJ26" s="10"/>
    </row>
    <row r="27" spans="1:36" ht="18" customHeight="1" x14ac:dyDescent="0.25">
      <c r="A27" s="12"/>
      <c r="B27" s="229" t="s">
        <v>136</v>
      </c>
      <c r="C27" s="225"/>
      <c r="D27" s="225"/>
      <c r="E27" s="225"/>
      <c r="F27" s="225"/>
      <c r="G27" s="225"/>
      <c r="H27" s="225"/>
      <c r="I27" s="225"/>
      <c r="J27" s="225"/>
      <c r="K27" s="225"/>
      <c r="L27" s="225"/>
      <c r="M27" s="225"/>
      <c r="N27" s="226"/>
      <c r="O27" s="36">
        <v>2.5000000000000001E-2</v>
      </c>
      <c r="P27" s="7"/>
      <c r="Q27" s="7"/>
      <c r="R27" s="27"/>
      <c r="S27" s="14"/>
      <c r="T27" s="15"/>
      <c r="U27" s="15"/>
      <c r="V27" s="15"/>
      <c r="W27" s="16"/>
      <c r="X27" s="14"/>
      <c r="Y27" s="21"/>
      <c r="Z27" s="21"/>
      <c r="AA27" s="21"/>
      <c r="AB27" s="21"/>
      <c r="AC27" s="9"/>
      <c r="AD27" s="10"/>
      <c r="AE27" s="10"/>
      <c r="AF27" s="10"/>
      <c r="AG27" s="10"/>
      <c r="AH27" s="10"/>
      <c r="AI27" s="10"/>
      <c r="AJ27" s="10"/>
    </row>
    <row r="28" spans="1:36" ht="18" customHeight="1" x14ac:dyDescent="0.25">
      <c r="A28" s="7"/>
      <c r="B28" s="229" t="s">
        <v>19</v>
      </c>
      <c r="C28" s="225"/>
      <c r="D28" s="225"/>
      <c r="E28" s="225"/>
      <c r="F28" s="225"/>
      <c r="G28" s="225"/>
      <c r="H28" s="225"/>
      <c r="I28" s="225"/>
      <c r="J28" s="225"/>
      <c r="K28" s="225"/>
      <c r="L28" s="225"/>
      <c r="M28" s="225"/>
      <c r="N28" s="226"/>
      <c r="O28" s="36">
        <v>2.0270000000000001</v>
      </c>
      <c r="P28" s="7"/>
      <c r="Q28" s="7"/>
      <c r="R28" s="7"/>
      <c r="S28" s="14"/>
      <c r="T28" s="15"/>
      <c r="U28" s="15"/>
      <c r="V28" s="15"/>
      <c r="W28" s="16"/>
      <c r="X28" s="14"/>
      <c r="Y28" s="21"/>
      <c r="Z28" s="21"/>
      <c r="AA28" s="21"/>
      <c r="AB28" s="21"/>
      <c r="AC28" s="9"/>
      <c r="AD28" s="10"/>
      <c r="AE28" s="10"/>
      <c r="AF28" s="10"/>
      <c r="AG28" s="10"/>
      <c r="AH28" s="10"/>
      <c r="AI28" s="10"/>
      <c r="AJ28" s="10"/>
    </row>
    <row r="29" spans="1:36" ht="18" customHeight="1" x14ac:dyDescent="0.25">
      <c r="A29" s="12"/>
      <c r="B29" s="7"/>
      <c r="C29" s="7"/>
      <c r="D29" s="7"/>
      <c r="E29" s="11"/>
      <c r="F29" s="7"/>
      <c r="G29" s="7"/>
      <c r="H29" s="27"/>
      <c r="I29" s="14"/>
      <c r="J29" s="15"/>
      <c r="K29" s="15"/>
      <c r="L29" s="15"/>
      <c r="M29" s="16"/>
      <c r="N29" s="14"/>
      <c r="O29" s="21"/>
      <c r="P29" s="21"/>
      <c r="Q29" s="21"/>
      <c r="R29" s="21"/>
      <c r="S29" s="9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spans="1:36" ht="18" customHeight="1" x14ac:dyDescent="0.25">
      <c r="A30" s="41"/>
      <c r="B30" s="41"/>
      <c r="C30" s="41"/>
      <c r="D30" s="41"/>
      <c r="E30" s="41"/>
      <c r="F30" s="41"/>
      <c r="G30" s="41"/>
      <c r="H30" s="41"/>
      <c r="I30" s="14"/>
      <c r="J30" s="15"/>
      <c r="K30" s="15"/>
      <c r="L30" s="15"/>
      <c r="M30" s="16"/>
      <c r="N30" s="14"/>
      <c r="O30" s="21"/>
      <c r="P30" s="21"/>
      <c r="Q30" s="21"/>
      <c r="R30" s="21"/>
      <c r="S30" s="9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</row>
    <row r="31" spans="1:36" ht="24" customHeight="1" x14ac:dyDescent="0.25">
      <c r="A31" s="41"/>
      <c r="B31" s="224" t="s">
        <v>20</v>
      </c>
      <c r="C31" s="225"/>
      <c r="D31" s="225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6"/>
      <c r="P31" s="21"/>
      <c r="Q31" s="21"/>
      <c r="R31" s="21"/>
      <c r="S31" s="9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spans="1:36" ht="18" customHeight="1" x14ac:dyDescent="0.25">
      <c r="A32" s="41"/>
      <c r="B32" s="41"/>
      <c r="C32" s="41"/>
      <c r="D32" s="41"/>
      <c r="E32" s="41"/>
      <c r="F32" s="41"/>
      <c r="G32" s="41"/>
      <c r="H32" s="41"/>
      <c r="I32" s="14"/>
      <c r="J32" s="15"/>
      <c r="K32" s="15"/>
      <c r="L32" s="15"/>
      <c r="M32" s="16"/>
      <c r="N32" s="14"/>
      <c r="O32" s="21"/>
      <c r="P32" s="21"/>
      <c r="Q32" s="21"/>
      <c r="R32" s="21"/>
      <c r="S32" s="9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</row>
    <row r="33" spans="1:36" ht="18.75" customHeight="1" x14ac:dyDescent="0.25">
      <c r="A33" s="41"/>
      <c r="B33" s="229" t="s">
        <v>21</v>
      </c>
      <c r="C33" s="225"/>
      <c r="D33" s="225"/>
      <c r="E33" s="225"/>
      <c r="F33" s="225"/>
      <c r="G33" s="225"/>
      <c r="H33" s="225"/>
      <c r="I33" s="225"/>
      <c r="J33" s="225"/>
      <c r="K33" s="225"/>
      <c r="L33" s="225"/>
      <c r="M33" s="225"/>
      <c r="N33" s="226"/>
      <c r="O33" s="34">
        <f>(O16-1)*O28+O27</f>
        <v>-1.356939318052594E-2</v>
      </c>
      <c r="P33" s="11"/>
      <c r="Q33" s="21"/>
      <c r="R33" s="21"/>
      <c r="S33" s="9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spans="1:36" ht="18.75" customHeight="1" x14ac:dyDescent="0.25">
      <c r="A34" s="41"/>
      <c r="B34" s="229" t="s">
        <v>22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6"/>
      <c r="O34" s="34">
        <f>O23+O22</f>
        <v>0.02</v>
      </c>
      <c r="P34" s="11"/>
      <c r="Q34" s="21"/>
      <c r="R34" s="21"/>
      <c r="S34" s="9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</row>
    <row r="35" spans="1:36" ht="18.75" customHeight="1" x14ac:dyDescent="0.25">
      <c r="A35" s="41"/>
      <c r="B35" s="229" t="s">
        <v>23</v>
      </c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6"/>
      <c r="O35" s="34">
        <f>O33-O34</f>
        <v>-3.3569393180525944E-2</v>
      </c>
      <c r="P35" s="11"/>
      <c r="Q35" s="21"/>
      <c r="R35" s="21"/>
      <c r="S35" s="9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</row>
    <row r="36" spans="1:36" ht="18.75" customHeight="1" x14ac:dyDescent="0.25">
      <c r="A36" s="41"/>
      <c r="B36" s="229" t="s">
        <v>24</v>
      </c>
      <c r="C36" s="225"/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6"/>
      <c r="O36" s="34">
        <f>O21-O35</f>
        <v>8.3569393180525947E-2</v>
      </c>
      <c r="P36" s="42" t="s">
        <v>25</v>
      </c>
      <c r="Q36" s="21"/>
      <c r="R36" s="21"/>
      <c r="S36" s="9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37.5" customHeight="1" x14ac:dyDescent="0.25">
      <c r="A37" s="7"/>
      <c r="B37" s="7"/>
      <c r="C37" s="7"/>
      <c r="D37" s="7"/>
      <c r="E37" s="7"/>
      <c r="F37" s="7"/>
      <c r="G37" s="7"/>
      <c r="H37" s="7"/>
      <c r="I37" s="8"/>
      <c r="J37" s="9"/>
      <c r="K37" s="9"/>
      <c r="L37" s="9"/>
      <c r="M37" s="9"/>
      <c r="N37" s="9"/>
      <c r="O37" s="9"/>
      <c r="P37" s="9"/>
      <c r="Q37" s="9"/>
      <c r="R37" s="9"/>
      <c r="S37" s="9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spans="1:36" ht="14.25" customHeight="1" x14ac:dyDescent="0.25">
      <c r="A38" s="41"/>
      <c r="B38" s="41"/>
      <c r="C38" s="41"/>
      <c r="D38" s="41"/>
      <c r="E38" s="41"/>
      <c r="F38" s="41"/>
      <c r="G38" s="41"/>
      <c r="H38" s="41"/>
      <c r="I38" s="43"/>
      <c r="J38" s="21"/>
      <c r="K38" s="21"/>
      <c r="L38" s="21"/>
      <c r="M38" s="21"/>
      <c r="N38" s="21"/>
      <c r="O38" s="2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0"/>
      <c r="AC38" s="10"/>
      <c r="AD38" s="10"/>
      <c r="AE38" s="10"/>
      <c r="AF38" s="10"/>
      <c r="AG38" s="10"/>
      <c r="AH38" s="10"/>
      <c r="AI38" s="10"/>
      <c r="AJ38" s="10"/>
    </row>
    <row r="39" spans="1:36" ht="24" customHeight="1" x14ac:dyDescent="0.25">
      <c r="A39" s="41"/>
      <c r="B39" s="224" t="s">
        <v>26</v>
      </c>
      <c r="C39" s="225"/>
      <c r="D39" s="225"/>
      <c r="E39" s="225"/>
      <c r="F39" s="225"/>
      <c r="G39" s="225"/>
      <c r="H39" s="225"/>
      <c r="I39" s="225"/>
      <c r="J39" s="225"/>
      <c r="K39" s="225"/>
      <c r="L39" s="225"/>
      <c r="M39" s="225"/>
      <c r="N39" s="225"/>
      <c r="O39" s="226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0"/>
      <c r="AC39" s="10"/>
      <c r="AD39" s="10"/>
      <c r="AE39" s="10"/>
      <c r="AF39" s="10"/>
      <c r="AG39" s="10"/>
      <c r="AH39" s="10"/>
      <c r="AI39" s="10"/>
      <c r="AJ39" s="10"/>
    </row>
    <row r="40" spans="1:36" ht="24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21" customHeight="1" x14ac:dyDescent="0.25">
      <c r="A41" s="41"/>
      <c r="B41" s="44" t="s">
        <v>27</v>
      </c>
      <c r="C41" s="45"/>
      <c r="D41" s="46">
        <v>2016</v>
      </c>
      <c r="E41" s="46">
        <v>2017</v>
      </c>
      <c r="F41" s="46">
        <v>2018</v>
      </c>
      <c r="G41" s="46">
        <f t="shared" ref="G41:M41" si="0">F41+1</f>
        <v>2019</v>
      </c>
      <c r="H41" s="46">
        <f t="shared" si="0"/>
        <v>2020</v>
      </c>
      <c r="I41" s="46">
        <f t="shared" si="0"/>
        <v>2021</v>
      </c>
      <c r="J41" s="46">
        <f t="shared" si="0"/>
        <v>2022</v>
      </c>
      <c r="K41" s="46">
        <f t="shared" si="0"/>
        <v>2023</v>
      </c>
      <c r="L41" s="46">
        <f t="shared" si="0"/>
        <v>2024</v>
      </c>
      <c r="M41" s="47">
        <f t="shared" si="0"/>
        <v>2025</v>
      </c>
      <c r="N41" s="41"/>
      <c r="O41" s="4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9.5" customHeight="1" x14ac:dyDescent="0.25">
      <c r="A42" s="41"/>
      <c r="B42" s="234" t="s">
        <v>28</v>
      </c>
      <c r="C42" s="48" t="s">
        <v>29</v>
      </c>
      <c r="D42" s="49">
        <f>O15</f>
        <v>2.9000000000000001E-2</v>
      </c>
      <c r="E42" s="50">
        <f t="shared" ref="E42:M42" si="1">D42</f>
        <v>2.9000000000000001E-2</v>
      </c>
      <c r="F42" s="50">
        <f t="shared" si="1"/>
        <v>2.9000000000000001E-2</v>
      </c>
      <c r="G42" s="50">
        <f t="shared" si="1"/>
        <v>2.9000000000000001E-2</v>
      </c>
      <c r="H42" s="50">
        <f t="shared" si="1"/>
        <v>2.9000000000000001E-2</v>
      </c>
      <c r="I42" s="50">
        <f t="shared" si="1"/>
        <v>2.9000000000000001E-2</v>
      </c>
      <c r="J42" s="50">
        <f t="shared" si="1"/>
        <v>2.9000000000000001E-2</v>
      </c>
      <c r="K42" s="50">
        <f t="shared" si="1"/>
        <v>2.9000000000000001E-2</v>
      </c>
      <c r="L42" s="50">
        <f t="shared" si="1"/>
        <v>2.9000000000000001E-2</v>
      </c>
      <c r="M42" s="51">
        <f t="shared" si="1"/>
        <v>2.9000000000000001E-2</v>
      </c>
      <c r="N42" s="41"/>
      <c r="O42" s="4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0"/>
      <c r="AC42" s="10"/>
      <c r="AD42" s="10"/>
      <c r="AE42" s="10"/>
      <c r="AF42" s="10"/>
      <c r="AG42" s="10"/>
      <c r="AH42" s="10"/>
      <c r="AI42" s="10"/>
      <c r="AJ42" s="10"/>
    </row>
    <row r="43" spans="1:36" ht="19.5" customHeight="1" x14ac:dyDescent="0.25">
      <c r="A43" s="41"/>
      <c r="B43" s="235"/>
      <c r="C43" s="52" t="s">
        <v>30</v>
      </c>
      <c r="D43" s="49">
        <f>O14</f>
        <v>9.4203721841334964E-3</v>
      </c>
      <c r="E43" s="50">
        <f t="shared" ref="E43:M43" si="2">D43</f>
        <v>9.4203721841334964E-3</v>
      </c>
      <c r="F43" s="50">
        <f t="shared" si="2"/>
        <v>9.4203721841334964E-3</v>
      </c>
      <c r="G43" s="50">
        <f t="shared" si="2"/>
        <v>9.4203721841334964E-3</v>
      </c>
      <c r="H43" s="50">
        <f t="shared" si="2"/>
        <v>9.4203721841334964E-3</v>
      </c>
      <c r="I43" s="50">
        <f t="shared" si="2"/>
        <v>9.4203721841334964E-3</v>
      </c>
      <c r="J43" s="50">
        <f t="shared" si="2"/>
        <v>9.4203721841334964E-3</v>
      </c>
      <c r="K43" s="50">
        <f t="shared" si="2"/>
        <v>9.4203721841334964E-3</v>
      </c>
      <c r="L43" s="50">
        <f t="shared" si="2"/>
        <v>9.4203721841334964E-3</v>
      </c>
      <c r="M43" s="51">
        <f t="shared" si="2"/>
        <v>9.4203721841334964E-3</v>
      </c>
      <c r="N43" s="41"/>
      <c r="O43" s="4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0"/>
      <c r="AC43" s="10"/>
      <c r="AD43" s="10"/>
      <c r="AE43" s="10"/>
      <c r="AF43" s="10"/>
      <c r="AG43" s="10"/>
      <c r="AH43" s="10"/>
      <c r="AI43" s="10"/>
      <c r="AJ43" s="10"/>
    </row>
    <row r="44" spans="1:36" ht="19.5" customHeight="1" x14ac:dyDescent="0.25">
      <c r="A44" s="41"/>
      <c r="B44" s="235"/>
      <c r="C44" s="52" t="s">
        <v>31</v>
      </c>
      <c r="D44" s="49">
        <f>O27</f>
        <v>2.5000000000000001E-2</v>
      </c>
      <c r="E44" s="50">
        <f t="shared" ref="E44:M44" si="3">D44</f>
        <v>2.5000000000000001E-2</v>
      </c>
      <c r="F44" s="50">
        <f t="shared" si="3"/>
        <v>2.5000000000000001E-2</v>
      </c>
      <c r="G44" s="50">
        <f t="shared" si="3"/>
        <v>2.5000000000000001E-2</v>
      </c>
      <c r="H44" s="50">
        <f t="shared" si="3"/>
        <v>2.5000000000000001E-2</v>
      </c>
      <c r="I44" s="50">
        <f t="shared" si="3"/>
        <v>2.5000000000000001E-2</v>
      </c>
      <c r="J44" s="50">
        <f t="shared" si="3"/>
        <v>2.5000000000000001E-2</v>
      </c>
      <c r="K44" s="50">
        <f t="shared" si="3"/>
        <v>2.5000000000000001E-2</v>
      </c>
      <c r="L44" s="50">
        <f t="shared" si="3"/>
        <v>2.5000000000000001E-2</v>
      </c>
      <c r="M44" s="51">
        <f t="shared" si="3"/>
        <v>2.5000000000000001E-2</v>
      </c>
      <c r="N44" s="41"/>
      <c r="O44" s="4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0"/>
      <c r="AC44" s="10"/>
      <c r="AD44" s="10"/>
      <c r="AE44" s="10"/>
      <c r="AF44" s="10"/>
      <c r="AG44" s="10"/>
      <c r="AH44" s="10"/>
      <c r="AI44" s="10"/>
      <c r="AJ44" s="10"/>
    </row>
    <row r="45" spans="1:36" ht="18" customHeight="1" x14ac:dyDescent="0.25">
      <c r="A45" s="41"/>
      <c r="B45" s="236"/>
      <c r="C45" s="48" t="s">
        <v>32</v>
      </c>
      <c r="D45" s="53">
        <f>O24</f>
        <v>7.0000000000000007E-2</v>
      </c>
      <c r="E45" s="54">
        <f t="shared" ref="E45:M45" si="4">D45</f>
        <v>7.0000000000000007E-2</v>
      </c>
      <c r="F45" s="54">
        <f t="shared" si="4"/>
        <v>7.0000000000000007E-2</v>
      </c>
      <c r="G45" s="54">
        <f t="shared" si="4"/>
        <v>7.0000000000000007E-2</v>
      </c>
      <c r="H45" s="54">
        <f t="shared" si="4"/>
        <v>7.0000000000000007E-2</v>
      </c>
      <c r="I45" s="54">
        <f t="shared" si="4"/>
        <v>7.0000000000000007E-2</v>
      </c>
      <c r="J45" s="54">
        <f t="shared" si="4"/>
        <v>7.0000000000000007E-2</v>
      </c>
      <c r="K45" s="54">
        <f t="shared" si="4"/>
        <v>7.0000000000000007E-2</v>
      </c>
      <c r="L45" s="54">
        <f t="shared" si="4"/>
        <v>7.0000000000000007E-2</v>
      </c>
      <c r="M45" s="55">
        <f t="shared" si="4"/>
        <v>7.0000000000000007E-2</v>
      </c>
      <c r="N45" s="41"/>
      <c r="O45" s="4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0"/>
      <c r="AC45" s="10"/>
      <c r="AD45" s="10"/>
      <c r="AE45" s="10"/>
      <c r="AF45" s="10"/>
      <c r="AG45" s="10"/>
      <c r="AH45" s="10"/>
      <c r="AI45" s="10"/>
      <c r="AJ45" s="10"/>
    </row>
    <row r="46" spans="1:36" ht="24.75" customHeight="1" x14ac:dyDescent="0.25">
      <c r="A46" s="7"/>
      <c r="B46" s="56"/>
      <c r="C46" s="7"/>
      <c r="D46" s="7"/>
      <c r="E46" s="7"/>
      <c r="F46" s="39"/>
      <c r="G46" s="27"/>
      <c r="H46" s="7"/>
      <c r="I46" s="43"/>
      <c r="J46" s="21"/>
      <c r="K46" s="21"/>
      <c r="L46" s="21"/>
      <c r="M46" s="21"/>
      <c r="N46" s="21"/>
      <c r="O46" s="2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0"/>
      <c r="AC46" s="10"/>
      <c r="AD46" s="10"/>
      <c r="AE46" s="10"/>
      <c r="AF46" s="10"/>
      <c r="AG46" s="10"/>
      <c r="AH46" s="10"/>
      <c r="AI46" s="10"/>
      <c r="AJ46" s="10"/>
    </row>
    <row r="47" spans="1:36" ht="26.25" customHeight="1" x14ac:dyDescent="0.25">
      <c r="A47" s="7"/>
      <c r="B47" s="57" t="s">
        <v>27</v>
      </c>
      <c r="C47" s="58">
        <v>2015</v>
      </c>
      <c r="D47" s="59">
        <f t="shared" ref="D47:M47" si="5">C47+1</f>
        <v>2016</v>
      </c>
      <c r="E47" s="59">
        <f t="shared" si="5"/>
        <v>2017</v>
      </c>
      <c r="F47" s="59">
        <f t="shared" si="5"/>
        <v>2018</v>
      </c>
      <c r="G47" s="59">
        <f t="shared" si="5"/>
        <v>2019</v>
      </c>
      <c r="H47" s="59">
        <f t="shared" si="5"/>
        <v>2020</v>
      </c>
      <c r="I47" s="59">
        <f t="shared" si="5"/>
        <v>2021</v>
      </c>
      <c r="J47" s="59">
        <f t="shared" si="5"/>
        <v>2022</v>
      </c>
      <c r="K47" s="59">
        <f t="shared" si="5"/>
        <v>2023</v>
      </c>
      <c r="L47" s="59">
        <f t="shared" si="5"/>
        <v>2024</v>
      </c>
      <c r="M47" s="60">
        <f t="shared" si="5"/>
        <v>2025</v>
      </c>
      <c r="N47" s="9"/>
      <c r="O47" s="9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0"/>
      <c r="AC47" s="10"/>
      <c r="AD47" s="10"/>
      <c r="AE47" s="10"/>
      <c r="AF47" s="10"/>
      <c r="AG47" s="10"/>
      <c r="AH47" s="10"/>
      <c r="AI47" s="10"/>
      <c r="AJ47" s="10"/>
    </row>
    <row r="48" spans="1:36" ht="26.25" customHeight="1" x14ac:dyDescent="0.25">
      <c r="A48" s="7"/>
      <c r="B48" s="61" t="s">
        <v>33</v>
      </c>
      <c r="C48" s="62">
        <f>O28</f>
        <v>2.0270000000000001</v>
      </c>
      <c r="D48" s="63">
        <f>C48*(1+D43)/(1+D42)-D45+D44</f>
        <v>1.943430606819474</v>
      </c>
      <c r="E48" s="63">
        <f t="shared" ref="E48:M48" si="6">D48*(1+E43)/(1+E42)-E45+E44</f>
        <v>1.8614513570940232</v>
      </c>
      <c r="F48" s="63">
        <f t="shared" si="6"/>
        <v>1.7810319938586097</v>
      </c>
      <c r="G48" s="63">
        <f t="shared" si="6"/>
        <v>1.7021428358723101</v>
      </c>
      <c r="H48" s="63">
        <f t="shared" si="6"/>
        <v>1.6247547666635411</v>
      </c>
      <c r="I48" s="63">
        <f t="shared" si="6"/>
        <v>1.5488392237837285</v>
      </c>
      <c r="J48" s="63">
        <f t="shared" si="6"/>
        <v>1.4743681882654573</v>
      </c>
      <c r="K48" s="63">
        <f t="shared" si="6"/>
        <v>1.4013141742812094</v>
      </c>
      <c r="L48" s="63">
        <f t="shared" si="6"/>
        <v>1.3296502189988728</v>
      </c>
      <c r="M48" s="63">
        <f t="shared" si="6"/>
        <v>1.2593498726302788</v>
      </c>
      <c r="N48" s="9"/>
      <c r="O48" s="9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0"/>
      <c r="AC48" s="10"/>
      <c r="AD48" s="10"/>
      <c r="AE48" s="10"/>
      <c r="AF48" s="10"/>
      <c r="AG48" s="10"/>
      <c r="AH48" s="10"/>
      <c r="AI48" s="10"/>
      <c r="AJ48" s="10"/>
    </row>
    <row r="49" spans="1:36" ht="18" customHeight="1" x14ac:dyDescent="0.25">
      <c r="A49" s="7"/>
      <c r="B49" s="64" t="s">
        <v>34</v>
      </c>
      <c r="C49" s="65" t="s">
        <v>35</v>
      </c>
      <c r="D49" s="66">
        <f>(1+D43)/(1+D42)</f>
        <v>0.98097217899332712</v>
      </c>
      <c r="E49" s="66">
        <f t="shared" ref="E49:M49" si="7">D49</f>
        <v>0.98097217899332712</v>
      </c>
      <c r="F49" s="66">
        <f t="shared" si="7"/>
        <v>0.98097217899332712</v>
      </c>
      <c r="G49" s="66">
        <f t="shared" si="7"/>
        <v>0.98097217899332712</v>
      </c>
      <c r="H49" s="66">
        <f t="shared" si="7"/>
        <v>0.98097217899332712</v>
      </c>
      <c r="I49" s="66">
        <f t="shared" si="7"/>
        <v>0.98097217899332712</v>
      </c>
      <c r="J49" s="66">
        <f t="shared" si="7"/>
        <v>0.98097217899332712</v>
      </c>
      <c r="K49" s="66">
        <f t="shared" si="7"/>
        <v>0.98097217899332712</v>
      </c>
      <c r="L49" s="66">
        <f t="shared" si="7"/>
        <v>0.98097217899332712</v>
      </c>
      <c r="M49" s="67">
        <f t="shared" si="7"/>
        <v>0.98097217899332712</v>
      </c>
      <c r="N49" s="9"/>
      <c r="O49" s="9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0"/>
      <c r="AC49" s="10"/>
      <c r="AD49" s="10"/>
      <c r="AE49" s="10"/>
      <c r="AF49" s="10"/>
      <c r="AG49" s="10"/>
      <c r="AH49" s="10"/>
      <c r="AI49" s="10"/>
      <c r="AJ49" s="10"/>
    </row>
    <row r="50" spans="1:36" ht="18" customHeight="1" x14ac:dyDescent="0.25">
      <c r="A50" s="7"/>
      <c r="B50" s="7"/>
      <c r="C50" s="7"/>
      <c r="D50" s="68"/>
      <c r="E50" s="41"/>
      <c r="F50" s="41"/>
      <c r="G50" s="41"/>
      <c r="H50" s="41"/>
      <c r="I50" s="43"/>
      <c r="J50" s="21"/>
      <c r="K50" s="21"/>
      <c r="L50" s="21"/>
      <c r="M50" s="21"/>
      <c r="N50" s="21"/>
      <c r="O50" s="2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0"/>
      <c r="AC50" s="10"/>
      <c r="AD50" s="10"/>
      <c r="AE50" s="10"/>
      <c r="AF50" s="10"/>
      <c r="AG50" s="10"/>
      <c r="AH50" s="10"/>
      <c r="AI50" s="10"/>
      <c r="AJ50" s="10"/>
    </row>
    <row r="51" spans="1:36" ht="18" customHeight="1" x14ac:dyDescent="0.25">
      <c r="A51" s="7"/>
      <c r="B51" s="7"/>
      <c r="C51" s="41"/>
      <c r="D51" s="41"/>
      <c r="E51" s="41"/>
      <c r="F51" s="41"/>
      <c r="G51" s="41"/>
      <c r="H51" s="41"/>
      <c r="I51" s="43"/>
      <c r="J51" s="21"/>
      <c r="K51" s="21"/>
      <c r="L51" s="21"/>
      <c r="M51" s="21"/>
      <c r="N51" s="21"/>
      <c r="O51" s="21"/>
      <c r="P51" s="21"/>
      <c r="Q51" s="21"/>
      <c r="R51" s="21"/>
      <c r="S51" s="9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24" customHeight="1" x14ac:dyDescent="0.25">
      <c r="A52" s="7"/>
      <c r="B52" s="7"/>
      <c r="C52" s="41"/>
      <c r="D52" s="41"/>
      <c r="E52" s="41"/>
      <c r="F52" s="41"/>
      <c r="G52" s="41"/>
      <c r="H52" s="41"/>
      <c r="I52" s="43"/>
      <c r="J52" s="21"/>
      <c r="K52" s="21"/>
      <c r="L52" s="21"/>
      <c r="M52" s="21"/>
      <c r="N52" s="21"/>
      <c r="O52" s="21"/>
      <c r="P52" s="21"/>
      <c r="Q52" s="21"/>
      <c r="R52" s="21"/>
      <c r="S52" s="9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</row>
    <row r="53" spans="1:36" ht="18" customHeight="1" x14ac:dyDescent="0.25">
      <c r="A53" s="7"/>
      <c r="B53" s="27"/>
      <c r="C53" s="41"/>
      <c r="D53" s="41"/>
      <c r="E53" s="41"/>
      <c r="F53" s="41"/>
      <c r="G53" s="41"/>
      <c r="H53" s="41"/>
      <c r="I53" s="43"/>
      <c r="J53" s="21"/>
      <c r="K53" s="21"/>
      <c r="L53" s="21"/>
      <c r="M53" s="21"/>
      <c r="N53" s="21"/>
      <c r="O53" s="21"/>
      <c r="P53" s="21"/>
      <c r="Q53" s="21"/>
      <c r="R53" s="21"/>
      <c r="S53" s="9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</row>
    <row r="54" spans="1:36" ht="18" customHeight="1" x14ac:dyDescent="0.25">
      <c r="A54" s="7"/>
      <c r="B54" s="27"/>
      <c r="C54" s="41"/>
      <c r="D54" s="41"/>
      <c r="E54" s="41"/>
      <c r="F54" s="41"/>
      <c r="G54" s="41"/>
      <c r="H54" s="41"/>
      <c r="I54" s="43"/>
      <c r="J54" s="21"/>
      <c r="K54" s="21"/>
      <c r="L54" s="21"/>
      <c r="M54" s="21"/>
      <c r="N54" s="21"/>
      <c r="O54" s="21"/>
      <c r="P54" s="21"/>
      <c r="Q54" s="21"/>
      <c r="R54" s="21"/>
      <c r="S54" s="9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</row>
    <row r="55" spans="1:36" ht="18" customHeight="1" x14ac:dyDescent="0.25">
      <c r="A55" s="41"/>
      <c r="B55" s="41"/>
      <c r="C55" s="41"/>
      <c r="D55" s="41"/>
      <c r="E55" s="41"/>
      <c r="F55" s="41"/>
      <c r="G55" s="41"/>
      <c r="H55" s="41"/>
      <c r="I55" s="43"/>
      <c r="J55" s="21"/>
      <c r="K55" s="21"/>
      <c r="L55" s="21"/>
      <c r="M55" s="21"/>
      <c r="N55" s="21"/>
      <c r="O55" s="21"/>
      <c r="P55" s="21"/>
      <c r="Q55" s="21"/>
      <c r="R55" s="21"/>
      <c r="S55" s="9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8" customHeight="1" x14ac:dyDescent="0.25">
      <c r="A56" s="41"/>
      <c r="B56" s="41"/>
      <c r="C56" s="41"/>
      <c r="D56" s="41"/>
      <c r="E56" s="41"/>
      <c r="F56" s="41"/>
      <c r="G56" s="41"/>
      <c r="H56" s="41"/>
      <c r="I56" s="43"/>
      <c r="J56" s="21"/>
      <c r="K56" s="21"/>
      <c r="L56" s="21"/>
      <c r="M56" s="21"/>
      <c r="N56" s="21"/>
      <c r="O56" s="21"/>
      <c r="P56" s="21"/>
      <c r="Q56" s="21"/>
      <c r="R56" s="21"/>
      <c r="S56" s="9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8" customHeight="1" x14ac:dyDescent="0.25">
      <c r="A57" s="41"/>
      <c r="B57" s="41"/>
      <c r="C57" s="41"/>
      <c r="D57" s="7"/>
      <c r="E57" s="7"/>
      <c r="F57" s="27"/>
      <c r="G57" s="27"/>
      <c r="H57" s="27"/>
      <c r="I57" s="43"/>
      <c r="J57" s="21"/>
      <c r="K57" s="21"/>
      <c r="L57" s="21"/>
      <c r="M57" s="21"/>
      <c r="N57" s="21"/>
      <c r="O57" s="21"/>
      <c r="P57" s="21"/>
      <c r="Q57" s="21"/>
      <c r="R57" s="21"/>
      <c r="S57" s="9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8" customHeight="1" x14ac:dyDescent="0.25">
      <c r="A58" s="41"/>
      <c r="B58" s="41"/>
      <c r="C58" s="41"/>
      <c r="D58" s="41"/>
      <c r="E58" s="41"/>
      <c r="F58" s="41"/>
      <c r="G58" s="41"/>
      <c r="H58" s="41"/>
      <c r="I58" s="43"/>
      <c r="J58" s="21"/>
      <c r="K58" s="21"/>
      <c r="L58" s="21"/>
      <c r="M58" s="21"/>
      <c r="N58" s="21"/>
      <c r="O58" s="21"/>
      <c r="P58" s="21"/>
      <c r="Q58" s="21"/>
      <c r="R58" s="21"/>
      <c r="S58" s="9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8" customHeight="1" x14ac:dyDescent="0.25">
      <c r="A59" s="41"/>
      <c r="B59" s="41"/>
      <c r="C59" s="41"/>
      <c r="D59" s="41"/>
      <c r="E59" s="41"/>
      <c r="F59" s="41"/>
      <c r="G59" s="41"/>
      <c r="H59" s="41"/>
      <c r="I59" s="43"/>
      <c r="J59" s="21"/>
      <c r="K59" s="21"/>
      <c r="L59" s="21"/>
      <c r="M59" s="21"/>
      <c r="N59" s="21"/>
      <c r="O59" s="21"/>
      <c r="P59" s="21"/>
      <c r="Q59" s="21"/>
      <c r="R59" s="21"/>
      <c r="S59" s="9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8" customHeight="1" x14ac:dyDescent="0.25">
      <c r="A60" s="41"/>
      <c r="B60" s="41"/>
      <c r="C60" s="41"/>
      <c r="D60" s="41"/>
      <c r="E60" s="41"/>
      <c r="F60" s="41"/>
      <c r="G60" s="41"/>
      <c r="H60" s="41"/>
      <c r="I60" s="43"/>
      <c r="J60" s="21"/>
      <c r="K60" s="21"/>
      <c r="L60" s="21"/>
      <c r="M60" s="21"/>
      <c r="N60" s="21"/>
      <c r="O60" s="21"/>
      <c r="P60" s="21"/>
      <c r="Q60" s="21"/>
      <c r="R60" s="21"/>
      <c r="S60" s="9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8" customHeight="1" x14ac:dyDescent="0.25">
      <c r="A61" s="41"/>
      <c r="B61" s="41"/>
      <c r="C61" s="41"/>
      <c r="D61" s="41"/>
      <c r="E61" s="41"/>
      <c r="F61" s="41"/>
      <c r="G61" s="41"/>
      <c r="H61" s="41"/>
      <c r="I61" s="43"/>
      <c r="J61" s="21"/>
      <c r="K61" s="21"/>
      <c r="L61" s="21"/>
      <c r="M61" s="21"/>
      <c r="N61" s="21"/>
      <c r="O61" s="21"/>
      <c r="P61" s="21"/>
      <c r="Q61" s="21"/>
      <c r="R61" s="21"/>
      <c r="S61" s="9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8" customHeight="1" x14ac:dyDescent="0.25">
      <c r="A62" s="41"/>
      <c r="B62" s="41"/>
      <c r="C62" s="41"/>
      <c r="D62" s="41"/>
      <c r="E62" s="41"/>
      <c r="F62" s="41"/>
      <c r="G62" s="41"/>
      <c r="H62" s="41"/>
      <c r="I62" s="43"/>
      <c r="J62" s="21"/>
      <c r="K62" s="21"/>
      <c r="L62" s="21"/>
      <c r="M62" s="21"/>
      <c r="N62" s="21"/>
      <c r="O62" s="21"/>
      <c r="P62" s="21"/>
      <c r="Q62" s="21"/>
      <c r="R62" s="21"/>
      <c r="S62" s="9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8" customHeight="1" x14ac:dyDescent="0.25">
      <c r="A63" s="41"/>
      <c r="B63" s="41"/>
      <c r="C63" s="41"/>
      <c r="D63" s="41"/>
      <c r="E63" s="41"/>
      <c r="F63" s="41"/>
      <c r="G63" s="41"/>
      <c r="H63" s="41"/>
      <c r="I63" s="43"/>
      <c r="J63" s="21"/>
      <c r="K63" s="21"/>
      <c r="L63" s="21"/>
      <c r="M63" s="21"/>
      <c r="N63" s="21"/>
      <c r="O63" s="21"/>
      <c r="P63" s="21"/>
      <c r="Q63" s="21"/>
      <c r="R63" s="21"/>
      <c r="S63" s="9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8" customHeight="1" x14ac:dyDescent="0.25">
      <c r="A64" s="41"/>
      <c r="B64" s="41"/>
      <c r="C64" s="41"/>
      <c r="D64" s="41"/>
      <c r="E64" s="41"/>
      <c r="F64" s="41"/>
      <c r="G64" s="41"/>
      <c r="H64" s="41"/>
      <c r="I64" s="43"/>
      <c r="J64" s="21"/>
      <c r="K64" s="21"/>
      <c r="L64" s="21"/>
      <c r="M64" s="21"/>
      <c r="N64" s="21"/>
      <c r="O64" s="21"/>
      <c r="P64" s="21"/>
      <c r="Q64" s="21"/>
      <c r="R64" s="21"/>
      <c r="S64" s="9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6" ht="18" customHeight="1" x14ac:dyDescent="0.25">
      <c r="A65" s="41"/>
      <c r="B65" s="41"/>
      <c r="C65" s="41"/>
      <c r="D65" s="41"/>
      <c r="E65" s="41"/>
      <c r="F65" s="41"/>
      <c r="G65" s="41"/>
      <c r="H65" s="41"/>
      <c r="I65" s="43"/>
      <c r="J65" s="21"/>
      <c r="K65" s="21"/>
      <c r="L65" s="21"/>
      <c r="M65" s="21"/>
      <c r="N65" s="21"/>
      <c r="O65" s="21"/>
      <c r="P65" s="21"/>
      <c r="Q65" s="21"/>
      <c r="R65" s="21"/>
      <c r="S65" s="9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6" ht="18" customHeight="1" x14ac:dyDescent="0.25">
      <c r="A66" s="41"/>
      <c r="B66" s="41"/>
      <c r="C66" s="41"/>
      <c r="D66" s="41"/>
      <c r="E66" s="41"/>
      <c r="F66" s="41"/>
      <c r="G66" s="41"/>
      <c r="H66" s="41"/>
      <c r="I66" s="43"/>
      <c r="J66" s="21"/>
      <c r="K66" s="21"/>
      <c r="L66" s="21"/>
      <c r="M66" s="21"/>
      <c r="N66" s="21"/>
      <c r="O66" s="21"/>
      <c r="P66" s="21"/>
      <c r="Q66" s="21"/>
      <c r="R66" s="21"/>
      <c r="S66" s="9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6" ht="18" customHeight="1" x14ac:dyDescent="0.25">
      <c r="A67" s="41"/>
      <c r="B67" s="41"/>
      <c r="C67" s="41"/>
      <c r="D67" s="41"/>
      <c r="E67" s="41"/>
      <c r="F67" s="41"/>
      <c r="G67" s="41"/>
      <c r="H67" s="41"/>
      <c r="I67" s="43"/>
      <c r="J67" s="21"/>
      <c r="K67" s="21"/>
      <c r="L67" s="21"/>
      <c r="M67" s="21"/>
      <c r="N67" s="21"/>
      <c r="O67" s="21"/>
      <c r="P67" s="21"/>
      <c r="Q67" s="21"/>
      <c r="R67" s="21"/>
      <c r="S67" s="9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6" ht="18" customHeight="1" x14ac:dyDescent="0.25">
      <c r="A68" s="41"/>
      <c r="B68" s="41"/>
      <c r="C68" s="41"/>
      <c r="D68" s="41"/>
      <c r="E68" s="41"/>
      <c r="F68" s="41"/>
      <c r="G68" s="41"/>
      <c r="H68" s="41"/>
      <c r="I68" s="43"/>
      <c r="J68" s="21"/>
      <c r="K68" s="21"/>
      <c r="L68" s="21"/>
      <c r="M68" s="21"/>
      <c r="N68" s="21"/>
      <c r="O68" s="21"/>
      <c r="P68" s="21"/>
      <c r="Q68" s="21"/>
      <c r="R68" s="21"/>
      <c r="S68" s="9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6" ht="18" customHeight="1" x14ac:dyDescent="0.25">
      <c r="A69" s="41"/>
      <c r="B69" s="41"/>
      <c r="C69" s="41"/>
      <c r="D69" s="41"/>
      <c r="E69" s="41"/>
      <c r="F69" s="41"/>
      <c r="G69" s="41"/>
      <c r="H69" s="41"/>
      <c r="I69" s="43"/>
      <c r="J69" s="21"/>
      <c r="K69" s="21"/>
      <c r="L69" s="21"/>
      <c r="M69" s="21"/>
      <c r="N69" s="21"/>
      <c r="O69" s="21"/>
      <c r="P69" s="21"/>
      <c r="Q69" s="21"/>
      <c r="R69" s="21"/>
      <c r="S69" s="9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6" ht="18" customHeight="1" x14ac:dyDescent="0.25">
      <c r="A70" s="41"/>
      <c r="B70" s="41"/>
      <c r="C70" s="41"/>
      <c r="D70" s="41"/>
      <c r="E70" s="41"/>
      <c r="F70" s="41"/>
      <c r="G70" s="41"/>
      <c r="H70" s="41"/>
      <c r="I70" s="43"/>
      <c r="J70" s="21"/>
      <c r="K70" s="21"/>
      <c r="L70" s="21"/>
      <c r="M70" s="21"/>
      <c r="N70" s="21"/>
      <c r="O70" s="21"/>
      <c r="P70" s="21"/>
      <c r="Q70" s="21"/>
      <c r="R70" s="21"/>
      <c r="S70" s="9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spans="1:36" ht="18" customHeight="1" x14ac:dyDescent="0.25">
      <c r="A71" s="41"/>
      <c r="B71" s="41"/>
      <c r="C71" s="41"/>
      <c r="D71" s="41"/>
      <c r="E71" s="41"/>
      <c r="F71" s="41"/>
      <c r="G71" s="41"/>
      <c r="H71" s="41"/>
      <c r="I71" s="43"/>
      <c r="J71" s="21"/>
      <c r="K71" s="21"/>
      <c r="L71" s="21"/>
      <c r="M71" s="21"/>
      <c r="N71" s="21"/>
      <c r="O71" s="21"/>
      <c r="P71" s="21"/>
      <c r="Q71" s="21"/>
      <c r="R71" s="21"/>
      <c r="S71" s="9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</row>
    <row r="72" spans="1:36" ht="18" customHeight="1" x14ac:dyDescent="0.25">
      <c r="A72" s="41"/>
      <c r="B72" s="41"/>
      <c r="C72" s="41"/>
      <c r="D72" s="41"/>
      <c r="E72" s="41"/>
      <c r="F72" s="41"/>
      <c r="G72" s="41"/>
      <c r="H72" s="41"/>
      <c r="I72" s="43"/>
      <c r="J72" s="21"/>
      <c r="K72" s="21"/>
      <c r="L72" s="21"/>
      <c r="M72" s="21"/>
      <c r="N72" s="21"/>
      <c r="O72" s="21"/>
      <c r="P72" s="21"/>
      <c r="Q72" s="21"/>
      <c r="R72" s="21"/>
      <c r="S72" s="9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</row>
    <row r="73" spans="1:36" ht="18" customHeight="1" x14ac:dyDescent="0.25">
      <c r="A73" s="41"/>
      <c r="B73" s="41"/>
      <c r="C73" s="41"/>
      <c r="D73" s="41"/>
      <c r="E73" s="41"/>
      <c r="F73" s="41"/>
      <c r="G73" s="41"/>
      <c r="H73" s="41"/>
      <c r="I73" s="43"/>
      <c r="J73" s="21"/>
      <c r="K73" s="21"/>
      <c r="L73" s="21"/>
      <c r="M73" s="21"/>
      <c r="N73" s="21"/>
      <c r="O73" s="21"/>
      <c r="P73" s="21"/>
      <c r="Q73" s="21"/>
      <c r="R73" s="21"/>
      <c r="S73" s="9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spans="1:36" ht="18" customHeight="1" x14ac:dyDescent="0.25">
      <c r="A74" s="41"/>
      <c r="B74" s="41"/>
      <c r="C74" s="41"/>
      <c r="D74" s="41"/>
      <c r="E74" s="41"/>
      <c r="F74" s="41"/>
      <c r="G74" s="41"/>
      <c r="H74" s="41"/>
      <c r="I74" s="43"/>
      <c r="J74" s="21"/>
      <c r="K74" s="21"/>
      <c r="L74" s="21"/>
      <c r="M74" s="21"/>
      <c r="N74" s="21"/>
      <c r="O74" s="21"/>
      <c r="P74" s="21"/>
      <c r="Q74" s="21"/>
      <c r="R74" s="21"/>
      <c r="S74" s="9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</row>
    <row r="75" spans="1:36" ht="18" customHeight="1" x14ac:dyDescent="0.25">
      <c r="A75" s="7"/>
      <c r="B75" s="7"/>
      <c r="C75" s="7"/>
      <c r="D75" s="41"/>
      <c r="E75" s="41"/>
      <c r="F75" s="41"/>
      <c r="G75" s="41"/>
      <c r="H75" s="41"/>
      <c r="I75" s="43"/>
      <c r="J75" s="21"/>
      <c r="K75" s="21"/>
      <c r="L75" s="21"/>
      <c r="M75" s="21"/>
      <c r="N75" s="21"/>
      <c r="O75" s="21"/>
      <c r="P75" s="21"/>
      <c r="Q75" s="21"/>
      <c r="R75" s="21"/>
      <c r="S75" s="9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spans="1:36" ht="18" customHeight="1" x14ac:dyDescent="0.25">
      <c r="A76" s="7"/>
      <c r="B76" s="7"/>
      <c r="C76" s="7"/>
      <c r="D76" s="7"/>
      <c r="E76" s="7"/>
      <c r="F76" s="7"/>
      <c r="G76" s="7"/>
      <c r="H76" s="7"/>
      <c r="I76" s="8"/>
      <c r="J76" s="9"/>
      <c r="K76" s="9"/>
      <c r="L76" s="9"/>
      <c r="M76" s="9"/>
      <c r="N76" s="9"/>
      <c r="O76" s="9"/>
      <c r="P76" s="9"/>
      <c r="Q76" s="9"/>
      <c r="R76" s="9"/>
      <c r="S76" s="9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spans="1:36" ht="18" customHeight="1" x14ac:dyDescent="0.25">
      <c r="A77" s="7"/>
      <c r="B77" s="7"/>
      <c r="C77" s="7"/>
      <c r="D77" s="7"/>
      <c r="E77" s="7"/>
      <c r="F77" s="7"/>
      <c r="G77" s="7"/>
      <c r="H77" s="7"/>
      <c r="I77" s="8"/>
      <c r="J77" s="9"/>
      <c r="K77" s="9"/>
      <c r="L77" s="9"/>
      <c r="M77" s="9"/>
      <c r="N77" s="9"/>
      <c r="O77" s="9"/>
      <c r="P77" s="9"/>
      <c r="Q77" s="9"/>
      <c r="R77" s="9"/>
      <c r="S77" s="9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</row>
    <row r="78" spans="1:36" ht="18" customHeight="1" x14ac:dyDescent="0.25">
      <c r="A78" s="7"/>
      <c r="B78" s="7"/>
      <c r="C78" s="7"/>
      <c r="D78" s="7"/>
      <c r="E78" s="7"/>
      <c r="F78" s="7"/>
      <c r="G78" s="7"/>
      <c r="H78" s="7"/>
      <c r="I78" s="8"/>
      <c r="J78" s="9"/>
      <c r="K78" s="9"/>
      <c r="L78" s="9"/>
      <c r="M78" s="9"/>
      <c r="N78" s="9"/>
      <c r="O78" s="9"/>
      <c r="P78" s="9"/>
      <c r="Q78" s="9"/>
      <c r="R78" s="9"/>
      <c r="S78" s="9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spans="1:36" ht="18" customHeight="1" x14ac:dyDescent="0.25">
      <c r="A79" s="7"/>
      <c r="B79" s="7"/>
      <c r="C79" s="7"/>
      <c r="D79" s="7"/>
      <c r="E79" s="7"/>
      <c r="F79" s="7"/>
      <c r="G79" s="7"/>
      <c r="H79" s="7"/>
      <c r="I79" s="8"/>
      <c r="J79" s="9"/>
      <c r="K79" s="9"/>
      <c r="L79" s="9"/>
      <c r="M79" s="9"/>
      <c r="N79" s="9"/>
      <c r="O79" s="9"/>
      <c r="P79" s="9"/>
      <c r="Q79" s="9"/>
      <c r="R79" s="9"/>
      <c r="S79" s="9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spans="1:36" ht="18" customHeight="1" x14ac:dyDescent="0.25">
      <c r="A80" s="7"/>
      <c r="B80" s="7"/>
      <c r="C80" s="7"/>
      <c r="D80" s="7"/>
      <c r="E80" s="7"/>
      <c r="F80" s="7"/>
      <c r="G80" s="7"/>
      <c r="H80" s="7"/>
      <c r="I80" s="8"/>
      <c r="J80" s="9"/>
      <c r="K80" s="9"/>
      <c r="L80" s="9"/>
      <c r="M80" s="9"/>
      <c r="N80" s="9"/>
      <c r="O80" s="9"/>
      <c r="P80" s="9"/>
      <c r="Q80" s="9"/>
      <c r="R80" s="9"/>
      <c r="S80" s="9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</row>
    <row r="81" spans="1:36" ht="18" customHeight="1" x14ac:dyDescent="0.25">
      <c r="A81" s="7"/>
      <c r="B81" s="7"/>
      <c r="C81" s="7"/>
      <c r="D81" s="7"/>
      <c r="E81" s="7"/>
      <c r="F81" s="7"/>
      <c r="G81" s="7"/>
      <c r="H81" s="7"/>
      <c r="I81" s="8"/>
      <c r="J81" s="9"/>
      <c r="K81" s="9"/>
      <c r="L81" s="9"/>
      <c r="M81" s="9"/>
      <c r="N81" s="9"/>
      <c r="O81" s="9"/>
      <c r="P81" s="9"/>
      <c r="Q81" s="9"/>
      <c r="R81" s="9"/>
      <c r="S81" s="9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</row>
    <row r="82" spans="1:36" ht="18" customHeight="1" x14ac:dyDescent="0.25">
      <c r="A82" s="7"/>
      <c r="B82" s="7"/>
      <c r="C82" s="7"/>
      <c r="D82" s="7"/>
      <c r="E82" s="7"/>
      <c r="F82" s="7"/>
      <c r="G82" s="7"/>
      <c r="H82" s="7"/>
      <c r="I82" s="8"/>
      <c r="J82" s="9"/>
      <c r="K82" s="9"/>
      <c r="L82" s="9"/>
      <c r="M82" s="9"/>
      <c r="N82" s="9"/>
      <c r="O82" s="9"/>
      <c r="P82" s="9"/>
      <c r="Q82" s="9"/>
      <c r="R82" s="9"/>
      <c r="S82" s="9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spans="1:36" ht="18" customHeight="1" x14ac:dyDescent="0.25">
      <c r="A83" s="7"/>
      <c r="B83" s="7"/>
      <c r="C83" s="7"/>
      <c r="D83" s="7"/>
      <c r="E83" s="7"/>
      <c r="F83" s="7"/>
      <c r="G83" s="7"/>
      <c r="H83" s="7"/>
      <c r="I83" s="8"/>
      <c r="J83" s="9"/>
      <c r="K83" s="9"/>
      <c r="L83" s="9"/>
      <c r="M83" s="9"/>
      <c r="N83" s="9"/>
      <c r="O83" s="9"/>
      <c r="P83" s="9"/>
      <c r="Q83" s="9"/>
      <c r="R83" s="9"/>
      <c r="S83" s="9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</row>
    <row r="84" spans="1:36" ht="18" customHeight="1" x14ac:dyDescent="0.25">
      <c r="A84" s="7"/>
      <c r="B84" s="7"/>
      <c r="C84" s="7"/>
      <c r="D84" s="7"/>
      <c r="E84" s="7"/>
      <c r="F84" s="7"/>
      <c r="G84" s="7"/>
      <c r="H84" s="7"/>
      <c r="I84" s="8"/>
      <c r="J84" s="9"/>
      <c r="K84" s="9"/>
      <c r="L84" s="9"/>
      <c r="M84" s="9"/>
      <c r="N84" s="9"/>
      <c r="O84" s="9"/>
      <c r="P84" s="9"/>
      <c r="Q84" s="9"/>
      <c r="R84" s="9"/>
      <c r="S84" s="9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spans="1:36" ht="18" customHeight="1" x14ac:dyDescent="0.25">
      <c r="A85" s="7"/>
      <c r="B85" s="7"/>
      <c r="C85" s="7"/>
      <c r="D85" s="7"/>
      <c r="E85" s="7"/>
      <c r="F85" s="7"/>
      <c r="G85" s="7"/>
      <c r="H85" s="7"/>
      <c r="I85" s="8"/>
      <c r="J85" s="9"/>
      <c r="K85" s="9"/>
      <c r="L85" s="9"/>
      <c r="M85" s="9"/>
      <c r="N85" s="9"/>
      <c r="O85" s="9"/>
      <c r="P85" s="9"/>
      <c r="Q85" s="9"/>
      <c r="R85" s="9"/>
      <c r="S85" s="9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spans="1:36" ht="18" customHeight="1" x14ac:dyDescent="0.25">
      <c r="A86" s="7"/>
      <c r="B86" s="7"/>
      <c r="C86" s="7"/>
      <c r="D86" s="7"/>
      <c r="E86" s="7"/>
      <c r="F86" s="7"/>
      <c r="G86" s="7"/>
      <c r="H86" s="7"/>
      <c r="I86" s="8"/>
      <c r="J86" s="9"/>
      <c r="K86" s="9"/>
      <c r="L86" s="9"/>
      <c r="M86" s="9"/>
      <c r="N86" s="9"/>
      <c r="O86" s="9"/>
      <c r="P86" s="9"/>
      <c r="Q86" s="9"/>
      <c r="R86" s="9"/>
      <c r="S86" s="9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spans="1:36" ht="18" customHeight="1" x14ac:dyDescent="0.25">
      <c r="A87" s="7"/>
      <c r="B87" s="7"/>
      <c r="C87" s="7"/>
      <c r="D87" s="7"/>
      <c r="E87" s="7"/>
      <c r="F87" s="7"/>
      <c r="G87" s="7"/>
      <c r="H87" s="7"/>
      <c r="I87" s="8"/>
      <c r="J87" s="9"/>
      <c r="K87" s="9"/>
      <c r="L87" s="9"/>
      <c r="M87" s="9"/>
      <c r="N87" s="9"/>
      <c r="O87" s="9"/>
      <c r="P87" s="9"/>
      <c r="Q87" s="9"/>
      <c r="R87" s="9"/>
      <c r="S87" s="9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spans="1:36" ht="18" customHeight="1" x14ac:dyDescent="0.25">
      <c r="A88" s="7"/>
      <c r="B88" s="7"/>
      <c r="C88" s="7"/>
      <c r="D88" s="7"/>
      <c r="E88" s="7"/>
      <c r="F88" s="7"/>
      <c r="G88" s="7"/>
      <c r="H88" s="7"/>
      <c r="I88" s="8"/>
      <c r="J88" s="9"/>
      <c r="K88" s="9"/>
      <c r="L88" s="9"/>
      <c r="M88" s="9"/>
      <c r="N88" s="9"/>
      <c r="O88" s="9"/>
      <c r="P88" s="9"/>
      <c r="Q88" s="9"/>
      <c r="R88" s="9"/>
      <c r="S88" s="9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</row>
    <row r="89" spans="1:36" ht="18" customHeight="1" x14ac:dyDescent="0.25">
      <c r="A89" s="7"/>
      <c r="B89" s="7"/>
      <c r="C89" s="7"/>
      <c r="D89" s="7"/>
      <c r="E89" s="7"/>
      <c r="F89" s="7"/>
      <c r="G89" s="7"/>
      <c r="H89" s="7"/>
      <c r="I89" s="8"/>
      <c r="J89" s="9"/>
      <c r="K89" s="9"/>
      <c r="L89" s="9"/>
      <c r="M89" s="9"/>
      <c r="N89" s="9"/>
      <c r="O89" s="9"/>
      <c r="P89" s="9"/>
      <c r="Q89" s="9"/>
      <c r="R89" s="9"/>
      <c r="S89" s="9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spans="1:36" ht="18" customHeight="1" x14ac:dyDescent="0.25">
      <c r="A90" s="7"/>
      <c r="B90" s="7"/>
      <c r="C90" s="7"/>
      <c r="D90" s="7"/>
      <c r="E90" s="7"/>
      <c r="F90" s="7"/>
      <c r="G90" s="7"/>
      <c r="H90" s="7"/>
      <c r="I90" s="8"/>
      <c r="J90" s="9"/>
      <c r="K90" s="9"/>
      <c r="L90" s="9"/>
      <c r="M90" s="9"/>
      <c r="N90" s="9"/>
      <c r="O90" s="9"/>
      <c r="P90" s="9"/>
      <c r="Q90" s="9"/>
      <c r="R90" s="9"/>
      <c r="S90" s="9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</row>
    <row r="91" spans="1:36" ht="18" customHeight="1" x14ac:dyDescent="0.25">
      <c r="A91" s="7"/>
      <c r="B91" s="7"/>
      <c r="C91" s="7"/>
      <c r="D91" s="7"/>
      <c r="E91" s="7"/>
      <c r="F91" s="7"/>
      <c r="G91" s="7"/>
      <c r="H91" s="7"/>
      <c r="I91" s="8"/>
      <c r="J91" s="9"/>
      <c r="K91" s="9"/>
      <c r="L91" s="9"/>
      <c r="M91" s="9"/>
      <c r="N91" s="9"/>
      <c r="O91" s="9"/>
      <c r="P91" s="9"/>
      <c r="Q91" s="9"/>
      <c r="R91" s="9"/>
      <c r="S91" s="9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</row>
    <row r="92" spans="1:36" ht="18" customHeight="1" x14ac:dyDescent="0.25">
      <c r="A92" s="7"/>
      <c r="B92" s="7"/>
      <c r="C92" s="7"/>
      <c r="D92" s="7"/>
      <c r="E92" s="7"/>
      <c r="F92" s="7"/>
      <c r="G92" s="7"/>
      <c r="H92" s="7"/>
      <c r="I92" s="8"/>
      <c r="J92" s="9"/>
      <c r="K92" s="9"/>
      <c r="L92" s="9"/>
      <c r="M92" s="9"/>
      <c r="N92" s="9"/>
      <c r="O92" s="9"/>
      <c r="P92" s="9"/>
      <c r="Q92" s="9"/>
      <c r="R92" s="9"/>
      <c r="S92" s="9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spans="1:36" ht="18" customHeight="1" x14ac:dyDescent="0.25">
      <c r="A93" s="7"/>
      <c r="B93" s="7"/>
      <c r="C93" s="7"/>
      <c r="D93" s="7"/>
      <c r="E93" s="7"/>
      <c r="F93" s="7"/>
      <c r="G93" s="7"/>
      <c r="H93" s="7"/>
      <c r="I93" s="8"/>
      <c r="J93" s="9"/>
      <c r="K93" s="9"/>
      <c r="L93" s="9"/>
      <c r="M93" s="9"/>
      <c r="N93" s="9"/>
      <c r="O93" s="9"/>
      <c r="P93" s="9"/>
      <c r="Q93" s="9"/>
      <c r="R93" s="9"/>
      <c r="S93" s="9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</row>
    <row r="94" spans="1:36" ht="18" customHeight="1" x14ac:dyDescent="0.25">
      <c r="A94" s="7"/>
      <c r="B94" s="7"/>
      <c r="C94" s="7"/>
      <c r="D94" s="7"/>
      <c r="E94" s="7"/>
      <c r="F94" s="7"/>
      <c r="G94" s="7"/>
      <c r="H94" s="7"/>
      <c r="I94" s="8"/>
      <c r="J94" s="9"/>
      <c r="K94" s="9"/>
      <c r="L94" s="9"/>
      <c r="M94" s="9"/>
      <c r="N94" s="9"/>
      <c r="O94" s="9"/>
      <c r="P94" s="9"/>
      <c r="Q94" s="9"/>
      <c r="R94" s="9"/>
      <c r="S94" s="9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</row>
    <row r="95" spans="1:36" ht="18" customHeight="1" x14ac:dyDescent="0.25">
      <c r="A95" s="7"/>
      <c r="B95" s="7"/>
      <c r="C95" s="7"/>
      <c r="D95" s="7"/>
      <c r="E95" s="7"/>
      <c r="F95" s="7"/>
      <c r="G95" s="7"/>
      <c r="H95" s="7"/>
      <c r="I95" s="8"/>
      <c r="J95" s="9"/>
      <c r="K95" s="9"/>
      <c r="L95" s="9"/>
      <c r="M95" s="9"/>
      <c r="N95" s="9"/>
      <c r="O95" s="9"/>
      <c r="P95" s="9"/>
      <c r="Q95" s="9"/>
      <c r="R95" s="9"/>
      <c r="S95" s="9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spans="1:36" ht="18" customHeight="1" x14ac:dyDescent="0.25">
      <c r="A96" s="7"/>
      <c r="B96" s="7"/>
      <c r="C96" s="7"/>
      <c r="D96" s="7"/>
      <c r="E96" s="7"/>
      <c r="F96" s="7"/>
      <c r="G96" s="7"/>
      <c r="H96" s="7"/>
      <c r="I96" s="8"/>
      <c r="J96" s="9"/>
      <c r="K96" s="9"/>
      <c r="L96" s="9"/>
      <c r="M96" s="9"/>
      <c r="N96" s="9"/>
      <c r="O96" s="9"/>
      <c r="P96" s="9"/>
      <c r="Q96" s="9"/>
      <c r="R96" s="9"/>
      <c r="S96" s="9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</row>
    <row r="97" spans="1:36" ht="18" customHeight="1" x14ac:dyDescent="0.25">
      <c r="A97" s="7"/>
      <c r="B97" s="7"/>
      <c r="C97" s="7"/>
      <c r="D97" s="7"/>
      <c r="E97" s="7"/>
      <c r="F97" s="7"/>
      <c r="G97" s="7"/>
      <c r="H97" s="7"/>
      <c r="I97" s="8"/>
      <c r="J97" s="9"/>
      <c r="K97" s="9"/>
      <c r="L97" s="9"/>
      <c r="M97" s="9"/>
      <c r="N97" s="9"/>
      <c r="O97" s="9"/>
      <c r="P97" s="9"/>
      <c r="Q97" s="9"/>
      <c r="R97" s="9"/>
      <c r="S97" s="9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spans="1:36" ht="18" customHeight="1" x14ac:dyDescent="0.25">
      <c r="A98" s="7"/>
      <c r="B98" s="7"/>
      <c r="C98" s="7"/>
      <c r="D98" s="7"/>
      <c r="E98" s="7"/>
      <c r="F98" s="7"/>
      <c r="G98" s="7"/>
      <c r="H98" s="7"/>
      <c r="I98" s="8"/>
      <c r="J98" s="9"/>
      <c r="K98" s="9"/>
      <c r="L98" s="9"/>
      <c r="M98" s="9"/>
      <c r="N98" s="9"/>
      <c r="O98" s="9"/>
      <c r="P98" s="9"/>
      <c r="Q98" s="9"/>
      <c r="R98" s="9"/>
      <c r="S98" s="9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spans="1:36" ht="18" customHeight="1" x14ac:dyDescent="0.25">
      <c r="A99" s="7"/>
      <c r="B99" s="7"/>
      <c r="C99" s="7"/>
      <c r="D99" s="7"/>
      <c r="E99" s="7"/>
      <c r="F99" s="7"/>
      <c r="G99" s="7"/>
      <c r="H99" s="7"/>
      <c r="I99" s="8"/>
      <c r="J99" s="9"/>
      <c r="K99" s="9"/>
      <c r="L99" s="9"/>
      <c r="M99" s="9"/>
      <c r="N99" s="9"/>
      <c r="O99" s="9"/>
      <c r="P99" s="9"/>
      <c r="Q99" s="9"/>
      <c r="R99" s="9"/>
      <c r="S99" s="9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spans="1:36" ht="18" customHeight="1" x14ac:dyDescent="0.25">
      <c r="A100" s="7"/>
      <c r="B100" s="7"/>
      <c r="C100" s="7"/>
      <c r="D100" s="7"/>
      <c r="E100" s="7"/>
      <c r="F100" s="7"/>
      <c r="G100" s="7"/>
      <c r="H100" s="7"/>
      <c r="I100" s="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spans="1:36" ht="18" customHeight="1" x14ac:dyDescent="0.25">
      <c r="A101" s="7"/>
      <c r="B101" s="7"/>
      <c r="C101" s="7"/>
      <c r="D101" s="7"/>
      <c r="E101" s="7"/>
      <c r="F101" s="7"/>
      <c r="G101" s="7"/>
      <c r="H101" s="7"/>
      <c r="I101" s="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spans="1:36" ht="18" customHeight="1" x14ac:dyDescent="0.25">
      <c r="A102" s="7"/>
      <c r="B102" s="7"/>
      <c r="C102" s="7"/>
      <c r="D102" s="7"/>
      <c r="E102" s="7"/>
      <c r="F102" s="7"/>
      <c r="G102" s="7"/>
      <c r="H102" s="7"/>
      <c r="I102" s="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</row>
    <row r="103" spans="1:36" ht="18" customHeight="1" x14ac:dyDescent="0.25">
      <c r="A103" s="7"/>
      <c r="B103" s="7"/>
      <c r="C103" s="7"/>
      <c r="D103" s="7"/>
      <c r="E103" s="7"/>
      <c r="F103" s="7"/>
      <c r="G103" s="7"/>
      <c r="H103" s="7"/>
      <c r="I103" s="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spans="1:36" ht="18" customHeight="1" x14ac:dyDescent="0.25">
      <c r="A104" s="7"/>
      <c r="B104" s="7"/>
      <c r="C104" s="7"/>
      <c r="D104" s="7"/>
      <c r="E104" s="7"/>
      <c r="F104" s="7"/>
      <c r="G104" s="7"/>
      <c r="H104" s="7"/>
      <c r="I104" s="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1:36" ht="18" customHeight="1" x14ac:dyDescent="0.25">
      <c r="A105" s="7"/>
      <c r="B105" s="7"/>
      <c r="C105" s="7"/>
      <c r="D105" s="7"/>
      <c r="E105" s="7"/>
      <c r="F105" s="7"/>
      <c r="G105" s="7"/>
      <c r="H105" s="7"/>
      <c r="I105" s="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</row>
    <row r="106" spans="1:36" ht="18" customHeight="1" x14ac:dyDescent="0.25">
      <c r="A106" s="7"/>
      <c r="B106" s="7"/>
      <c r="C106" s="7"/>
      <c r="D106" s="7"/>
      <c r="E106" s="7"/>
      <c r="F106" s="7"/>
      <c r="G106" s="7"/>
      <c r="H106" s="7"/>
      <c r="I106" s="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</row>
    <row r="107" spans="1:36" ht="18" customHeight="1" x14ac:dyDescent="0.25">
      <c r="A107" s="7"/>
      <c r="B107" s="7"/>
      <c r="C107" s="7"/>
      <c r="D107" s="7"/>
      <c r="E107" s="7"/>
      <c r="F107" s="7"/>
      <c r="G107" s="7"/>
      <c r="H107" s="7"/>
      <c r="I107" s="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spans="1:36" ht="18" customHeight="1" x14ac:dyDescent="0.25">
      <c r="A108" s="7"/>
      <c r="B108" s="7"/>
      <c r="C108" s="7"/>
      <c r="D108" s="7"/>
      <c r="E108" s="7"/>
      <c r="F108" s="7"/>
      <c r="G108" s="7"/>
      <c r="H108" s="7"/>
      <c r="I108" s="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</row>
    <row r="109" spans="1:36" ht="18" customHeight="1" x14ac:dyDescent="0.25">
      <c r="A109" s="7"/>
      <c r="B109" s="7"/>
      <c r="C109" s="7"/>
      <c r="D109" s="7"/>
      <c r="E109" s="7"/>
      <c r="F109" s="7"/>
      <c r="G109" s="7"/>
      <c r="H109" s="7"/>
      <c r="I109" s="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spans="1:36" ht="18" customHeight="1" x14ac:dyDescent="0.25">
      <c r="A110" s="7"/>
      <c r="B110" s="7"/>
      <c r="C110" s="7"/>
      <c r="D110" s="7"/>
      <c r="E110" s="7"/>
      <c r="F110" s="7"/>
      <c r="G110" s="7"/>
      <c r="H110" s="7"/>
      <c r="I110" s="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spans="1:36" ht="18" customHeight="1" x14ac:dyDescent="0.25">
      <c r="A111" s="7"/>
      <c r="B111" s="7"/>
      <c r="C111" s="7"/>
      <c r="D111" s="7"/>
      <c r="E111" s="7"/>
      <c r="F111" s="7"/>
      <c r="G111" s="7"/>
      <c r="H111" s="7"/>
      <c r="I111" s="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</row>
    <row r="112" spans="1:36" ht="18" customHeight="1" x14ac:dyDescent="0.25">
      <c r="A112" s="7"/>
      <c r="B112" s="7"/>
      <c r="C112" s="7"/>
      <c r="D112" s="7"/>
      <c r="E112" s="7"/>
      <c r="F112" s="7"/>
      <c r="G112" s="7"/>
      <c r="H112" s="7"/>
      <c r="I112" s="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spans="1:36" ht="18" customHeight="1" x14ac:dyDescent="0.25">
      <c r="A113" s="7"/>
      <c r="B113" s="7"/>
      <c r="C113" s="7"/>
      <c r="D113" s="7"/>
      <c r="E113" s="7"/>
      <c r="F113" s="7"/>
      <c r="G113" s="7"/>
      <c r="H113" s="7"/>
      <c r="I113" s="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</row>
    <row r="114" spans="1:36" ht="18" customHeight="1" x14ac:dyDescent="0.25">
      <c r="A114" s="7"/>
      <c r="B114" s="7"/>
      <c r="C114" s="7"/>
      <c r="D114" s="7"/>
      <c r="E114" s="7"/>
      <c r="F114" s="7"/>
      <c r="G114" s="7"/>
      <c r="H114" s="7"/>
      <c r="I114" s="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</row>
    <row r="115" spans="1:36" ht="18" customHeight="1" x14ac:dyDescent="0.25">
      <c r="A115" s="7"/>
      <c r="B115" s="7"/>
      <c r="C115" s="7"/>
      <c r="D115" s="7"/>
      <c r="E115" s="7"/>
      <c r="F115" s="7"/>
      <c r="G115" s="7"/>
      <c r="H115" s="7"/>
      <c r="I115" s="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</row>
    <row r="116" spans="1:36" ht="18" customHeight="1" x14ac:dyDescent="0.25">
      <c r="A116" s="7"/>
      <c r="B116" s="7"/>
      <c r="C116" s="7"/>
      <c r="D116" s="7"/>
      <c r="E116" s="7"/>
      <c r="F116" s="7"/>
      <c r="G116" s="7"/>
      <c r="H116" s="7"/>
      <c r="I116" s="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spans="1:36" ht="18" customHeight="1" x14ac:dyDescent="0.25">
      <c r="A117" s="7"/>
      <c r="B117" s="7"/>
      <c r="C117" s="7"/>
      <c r="D117" s="7"/>
      <c r="E117" s="7"/>
      <c r="F117" s="7"/>
      <c r="G117" s="7"/>
      <c r="H117" s="7"/>
      <c r="I117" s="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</row>
    <row r="118" spans="1:36" ht="18" customHeight="1" x14ac:dyDescent="0.25">
      <c r="A118" s="7"/>
      <c r="B118" s="7"/>
      <c r="C118" s="7"/>
      <c r="D118" s="7"/>
      <c r="E118" s="7"/>
      <c r="F118" s="7"/>
      <c r="G118" s="7"/>
      <c r="H118" s="7"/>
      <c r="I118" s="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</row>
    <row r="119" spans="1:36" ht="18" customHeight="1" x14ac:dyDescent="0.25">
      <c r="A119" s="7"/>
      <c r="B119" s="7"/>
      <c r="C119" s="7"/>
      <c r="D119" s="7"/>
      <c r="E119" s="7"/>
      <c r="F119" s="7"/>
      <c r="G119" s="7"/>
      <c r="H119" s="7"/>
      <c r="I119" s="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spans="1:36" ht="18" customHeight="1" x14ac:dyDescent="0.25">
      <c r="A120" s="7"/>
      <c r="B120" s="7"/>
      <c r="C120" s="7"/>
      <c r="D120" s="7"/>
      <c r="E120" s="7"/>
      <c r="F120" s="7"/>
      <c r="G120" s="7"/>
      <c r="H120" s="7"/>
      <c r="I120" s="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</row>
    <row r="121" spans="1:36" ht="18" customHeight="1" x14ac:dyDescent="0.25">
      <c r="A121" s="7"/>
      <c r="B121" s="7"/>
      <c r="C121" s="7"/>
      <c r="D121" s="7"/>
      <c r="E121" s="7"/>
      <c r="F121" s="7"/>
      <c r="G121" s="7"/>
      <c r="H121" s="7"/>
      <c r="I121" s="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</row>
    <row r="122" spans="1:36" ht="18" customHeight="1" x14ac:dyDescent="0.25">
      <c r="A122" s="7"/>
      <c r="B122" s="7"/>
      <c r="C122" s="7"/>
      <c r="D122" s="7"/>
      <c r="E122" s="7"/>
      <c r="F122" s="7"/>
      <c r="G122" s="7"/>
      <c r="H122" s="7"/>
      <c r="I122" s="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spans="1:36" ht="18" customHeight="1" x14ac:dyDescent="0.25">
      <c r="A123" s="7"/>
      <c r="B123" s="7"/>
      <c r="C123" s="7"/>
      <c r="D123" s="7"/>
      <c r="E123" s="7"/>
      <c r="F123" s="7"/>
      <c r="G123" s="7"/>
      <c r="H123" s="7"/>
      <c r="I123" s="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spans="1:36" ht="18" customHeight="1" x14ac:dyDescent="0.25">
      <c r="A124" s="7"/>
      <c r="B124" s="7"/>
      <c r="C124" s="7"/>
      <c r="D124" s="7"/>
      <c r="E124" s="7"/>
      <c r="F124" s="7"/>
      <c r="G124" s="7"/>
      <c r="H124" s="7"/>
      <c r="I124" s="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</row>
    <row r="125" spans="1:36" ht="18" customHeight="1" x14ac:dyDescent="0.25">
      <c r="A125" s="7"/>
      <c r="B125" s="7"/>
      <c r="C125" s="7"/>
      <c r="D125" s="7"/>
      <c r="E125" s="7"/>
      <c r="F125" s="7"/>
      <c r="G125" s="7"/>
      <c r="H125" s="7"/>
      <c r="I125" s="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spans="1:36" ht="18" customHeight="1" x14ac:dyDescent="0.25">
      <c r="A126" s="7"/>
      <c r="B126" s="7"/>
      <c r="C126" s="7"/>
      <c r="D126" s="7"/>
      <c r="E126" s="7"/>
      <c r="F126" s="7"/>
      <c r="G126" s="7"/>
      <c r="H126" s="7"/>
      <c r="I126" s="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spans="1:36" ht="18" customHeight="1" x14ac:dyDescent="0.25">
      <c r="A127" s="7"/>
      <c r="B127" s="7"/>
      <c r="C127" s="7"/>
      <c r="D127" s="7"/>
      <c r="E127" s="7"/>
      <c r="F127" s="7"/>
      <c r="G127" s="7"/>
      <c r="H127" s="7"/>
      <c r="I127" s="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spans="1:36" ht="18" customHeight="1" x14ac:dyDescent="0.25">
      <c r="A128" s="7"/>
      <c r="B128" s="7"/>
      <c r="C128" s="7"/>
      <c r="D128" s="7"/>
      <c r="E128" s="7"/>
      <c r="F128" s="7"/>
      <c r="G128" s="7"/>
      <c r="H128" s="7"/>
      <c r="I128" s="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spans="1:36" ht="18" customHeight="1" x14ac:dyDescent="0.25">
      <c r="A129" s="7"/>
      <c r="B129" s="7"/>
      <c r="C129" s="7"/>
      <c r="D129" s="7"/>
      <c r="E129" s="7"/>
      <c r="F129" s="7"/>
      <c r="G129" s="7"/>
      <c r="H129" s="7"/>
      <c r="I129" s="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spans="1:36" ht="18" customHeight="1" x14ac:dyDescent="0.25">
      <c r="A130" s="7"/>
      <c r="B130" s="7"/>
      <c r="C130" s="7"/>
      <c r="D130" s="7"/>
      <c r="E130" s="7"/>
      <c r="F130" s="7"/>
      <c r="G130" s="7"/>
      <c r="H130" s="7"/>
      <c r="I130" s="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spans="1:36" ht="18" customHeight="1" x14ac:dyDescent="0.25">
      <c r="A131" s="7"/>
      <c r="B131" s="7"/>
      <c r="C131" s="7"/>
      <c r="D131" s="7"/>
      <c r="E131" s="7"/>
      <c r="F131" s="7"/>
      <c r="G131" s="7"/>
      <c r="H131" s="7"/>
      <c r="I131" s="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spans="1:36" ht="18" customHeight="1" x14ac:dyDescent="0.25">
      <c r="A132" s="7"/>
      <c r="B132" s="7"/>
      <c r="C132" s="7"/>
      <c r="D132" s="7"/>
      <c r="E132" s="7"/>
      <c r="F132" s="7"/>
      <c r="G132" s="7"/>
      <c r="H132" s="7"/>
      <c r="I132" s="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spans="1:36" ht="18" customHeight="1" x14ac:dyDescent="0.25">
      <c r="A133" s="7"/>
      <c r="B133" s="7"/>
      <c r="C133" s="7"/>
      <c r="D133" s="7"/>
      <c r="E133" s="7"/>
      <c r="F133" s="7"/>
      <c r="G133" s="7"/>
      <c r="H133" s="7"/>
      <c r="I133" s="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spans="1:36" ht="18" customHeight="1" x14ac:dyDescent="0.25">
      <c r="A134" s="7"/>
      <c r="B134" s="7"/>
      <c r="C134" s="7"/>
      <c r="D134" s="7"/>
      <c r="E134" s="7"/>
      <c r="F134" s="7"/>
      <c r="G134" s="7"/>
      <c r="H134" s="7"/>
      <c r="I134" s="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spans="1:36" ht="18" customHeight="1" x14ac:dyDescent="0.25">
      <c r="A135" s="7"/>
      <c r="B135" s="7"/>
      <c r="C135" s="7"/>
      <c r="D135" s="7"/>
      <c r="E135" s="7"/>
      <c r="F135" s="7"/>
      <c r="G135" s="7"/>
      <c r="H135" s="7"/>
      <c r="I135" s="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spans="1:36" ht="18" customHeight="1" x14ac:dyDescent="0.25">
      <c r="A136" s="7"/>
      <c r="B136" s="7"/>
      <c r="C136" s="7"/>
      <c r="D136" s="7"/>
      <c r="E136" s="7"/>
      <c r="F136" s="7"/>
      <c r="G136" s="7"/>
      <c r="H136" s="7"/>
      <c r="I136" s="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spans="1:36" ht="18" customHeight="1" x14ac:dyDescent="0.25">
      <c r="A137" s="7"/>
      <c r="B137" s="7"/>
      <c r="C137" s="7"/>
      <c r="D137" s="7"/>
      <c r="E137" s="7"/>
      <c r="F137" s="7"/>
      <c r="G137" s="7"/>
      <c r="H137" s="7"/>
      <c r="I137" s="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spans="1:36" ht="18" customHeight="1" x14ac:dyDescent="0.25">
      <c r="A138" s="7"/>
      <c r="B138" s="7"/>
      <c r="C138" s="7"/>
      <c r="D138" s="7"/>
      <c r="E138" s="7"/>
      <c r="F138" s="7"/>
      <c r="G138" s="7"/>
      <c r="H138" s="7"/>
      <c r="I138" s="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  <row r="139" spans="1:36" ht="18" customHeight="1" x14ac:dyDescent="0.25">
      <c r="A139" s="7"/>
      <c r="B139" s="7"/>
      <c r="C139" s="7"/>
      <c r="D139" s="7"/>
      <c r="E139" s="7"/>
      <c r="F139" s="7"/>
      <c r="G139" s="7"/>
      <c r="H139" s="7"/>
      <c r="I139" s="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spans="1:36" ht="18" customHeight="1" x14ac:dyDescent="0.25">
      <c r="A140" s="7"/>
      <c r="B140" s="7"/>
      <c r="C140" s="7"/>
      <c r="D140" s="7"/>
      <c r="E140" s="7"/>
      <c r="F140" s="7"/>
      <c r="G140" s="7"/>
      <c r="H140" s="7"/>
      <c r="I140" s="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</row>
    <row r="141" spans="1:36" ht="18" customHeight="1" x14ac:dyDescent="0.25">
      <c r="A141" s="7"/>
      <c r="B141" s="7"/>
      <c r="C141" s="7"/>
      <c r="D141" s="7"/>
      <c r="E141" s="7"/>
      <c r="F141" s="7"/>
      <c r="G141" s="7"/>
      <c r="H141" s="7"/>
      <c r="I141" s="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</row>
    <row r="142" spans="1:36" ht="18" customHeight="1" x14ac:dyDescent="0.25">
      <c r="A142" s="7"/>
      <c r="B142" s="7"/>
      <c r="C142" s="7"/>
      <c r="D142" s="7"/>
      <c r="E142" s="7"/>
      <c r="F142" s="7"/>
      <c r="G142" s="7"/>
      <c r="H142" s="7"/>
      <c r="I142" s="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</row>
    <row r="143" spans="1:36" ht="18" customHeight="1" x14ac:dyDescent="0.25">
      <c r="A143" s="7"/>
      <c r="B143" s="7"/>
      <c r="C143" s="7"/>
      <c r="D143" s="7"/>
      <c r="E143" s="7"/>
      <c r="F143" s="7"/>
      <c r="G143" s="7"/>
      <c r="H143" s="7"/>
      <c r="I143" s="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</row>
    <row r="144" spans="1:36" ht="18" customHeight="1" x14ac:dyDescent="0.25">
      <c r="A144" s="7"/>
      <c r="B144" s="7"/>
      <c r="C144" s="7"/>
      <c r="D144" s="7"/>
      <c r="E144" s="7"/>
      <c r="F144" s="7"/>
      <c r="G144" s="7"/>
      <c r="H144" s="7"/>
      <c r="I144" s="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spans="1:36" ht="18" customHeight="1" x14ac:dyDescent="0.25">
      <c r="A145" s="7"/>
      <c r="B145" s="7"/>
      <c r="C145" s="7"/>
      <c r="D145" s="7"/>
      <c r="E145" s="7"/>
      <c r="F145" s="7"/>
      <c r="G145" s="7"/>
      <c r="H145" s="7"/>
      <c r="I145" s="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</row>
    <row r="146" spans="1:36" ht="18" customHeight="1" x14ac:dyDescent="0.25">
      <c r="A146" s="7"/>
      <c r="B146" s="7"/>
      <c r="C146" s="7"/>
      <c r="D146" s="7"/>
      <c r="E146" s="7"/>
      <c r="F146" s="7"/>
      <c r="G146" s="7"/>
      <c r="H146" s="7"/>
      <c r="I146" s="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</row>
    <row r="147" spans="1:36" ht="18" customHeight="1" x14ac:dyDescent="0.25">
      <c r="A147" s="7"/>
      <c r="B147" s="7"/>
      <c r="C147" s="7"/>
      <c r="D147" s="7"/>
      <c r="E147" s="7"/>
      <c r="F147" s="7"/>
      <c r="G147" s="7"/>
      <c r="H147" s="7"/>
      <c r="I147" s="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</row>
    <row r="148" spans="1:36" ht="18" customHeight="1" x14ac:dyDescent="0.25">
      <c r="A148" s="7"/>
      <c r="B148" s="7"/>
      <c r="C148" s="7"/>
      <c r="D148" s="7"/>
      <c r="E148" s="7"/>
      <c r="F148" s="7"/>
      <c r="G148" s="7"/>
      <c r="H148" s="7"/>
      <c r="I148" s="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</row>
    <row r="149" spans="1:36" ht="18" customHeight="1" x14ac:dyDescent="0.25">
      <c r="A149" s="7"/>
      <c r="B149" s="7"/>
      <c r="C149" s="7"/>
      <c r="D149" s="7"/>
      <c r="E149" s="7"/>
      <c r="F149" s="7"/>
      <c r="G149" s="7"/>
      <c r="H149" s="7"/>
      <c r="I149" s="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</row>
    <row r="150" spans="1:36" ht="18" customHeight="1" x14ac:dyDescent="0.25">
      <c r="A150" s="7"/>
      <c r="B150" s="7"/>
      <c r="C150" s="7"/>
      <c r="D150" s="7"/>
      <c r="E150" s="7"/>
      <c r="F150" s="7"/>
      <c r="G150" s="7"/>
      <c r="H150" s="7"/>
      <c r="I150" s="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</row>
    <row r="151" spans="1:36" ht="18" customHeight="1" x14ac:dyDescent="0.25">
      <c r="A151" s="7"/>
      <c r="B151" s="7"/>
      <c r="C151" s="7"/>
      <c r="D151" s="7"/>
      <c r="E151" s="7"/>
      <c r="F151" s="7"/>
      <c r="G151" s="7"/>
      <c r="H151" s="7"/>
      <c r="I151" s="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</row>
    <row r="152" spans="1:36" ht="18" customHeight="1" x14ac:dyDescent="0.25">
      <c r="A152" s="7"/>
      <c r="B152" s="7"/>
      <c r="C152" s="7"/>
      <c r="D152" s="7"/>
      <c r="E152" s="7"/>
      <c r="F152" s="7"/>
      <c r="G152" s="7"/>
      <c r="H152" s="7"/>
      <c r="I152" s="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</row>
    <row r="153" spans="1:36" ht="18" customHeight="1" x14ac:dyDescent="0.25">
      <c r="A153" s="7"/>
      <c r="B153" s="7"/>
      <c r="C153" s="7"/>
      <c r="D153" s="7"/>
      <c r="E153" s="7"/>
      <c r="F153" s="7"/>
      <c r="G153" s="7"/>
      <c r="H153" s="7"/>
      <c r="I153" s="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</row>
    <row r="154" spans="1:36" ht="18" customHeight="1" x14ac:dyDescent="0.25">
      <c r="A154" s="7"/>
      <c r="B154" s="7"/>
      <c r="C154" s="7"/>
      <c r="D154" s="7"/>
      <c r="E154" s="7"/>
      <c r="F154" s="7"/>
      <c r="G154" s="7"/>
      <c r="H154" s="7"/>
      <c r="I154" s="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</row>
    <row r="155" spans="1:36" ht="18" customHeight="1" x14ac:dyDescent="0.25">
      <c r="A155" s="7"/>
      <c r="B155" s="7"/>
      <c r="C155" s="7"/>
      <c r="D155" s="7"/>
      <c r="E155" s="7"/>
      <c r="F155" s="7"/>
      <c r="G155" s="7"/>
      <c r="H155" s="7"/>
      <c r="I155" s="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</row>
    <row r="156" spans="1:36" ht="18" customHeight="1" x14ac:dyDescent="0.25">
      <c r="A156" s="7"/>
      <c r="B156" s="7"/>
      <c r="C156" s="7"/>
      <c r="D156" s="7"/>
      <c r="E156" s="7"/>
      <c r="F156" s="7"/>
      <c r="G156" s="7"/>
      <c r="H156" s="7"/>
      <c r="I156" s="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spans="1:36" ht="18" customHeight="1" x14ac:dyDescent="0.25">
      <c r="A157" s="7"/>
      <c r="B157" s="7"/>
      <c r="C157" s="7"/>
      <c r="D157" s="7"/>
      <c r="E157" s="7"/>
      <c r="F157" s="7"/>
      <c r="G157" s="7"/>
      <c r="H157" s="7"/>
      <c r="I157" s="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</row>
    <row r="158" spans="1:36" ht="18" customHeight="1" x14ac:dyDescent="0.25">
      <c r="A158" s="7"/>
      <c r="B158" s="7"/>
      <c r="C158" s="7"/>
      <c r="D158" s="7"/>
      <c r="E158" s="7"/>
      <c r="F158" s="7"/>
      <c r="G158" s="7"/>
      <c r="H158" s="7"/>
      <c r="I158" s="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</row>
    <row r="159" spans="1:36" ht="18" customHeight="1" x14ac:dyDescent="0.25">
      <c r="A159" s="7"/>
      <c r="B159" s="7"/>
      <c r="C159" s="7"/>
      <c r="D159" s="7"/>
      <c r="E159" s="7"/>
      <c r="F159" s="7"/>
      <c r="G159" s="7"/>
      <c r="H159" s="7"/>
      <c r="I159" s="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</row>
    <row r="160" spans="1:36" ht="18" customHeight="1" x14ac:dyDescent="0.25">
      <c r="A160" s="7"/>
      <c r="B160" s="7"/>
      <c r="C160" s="7"/>
      <c r="D160" s="7"/>
      <c r="E160" s="7"/>
      <c r="F160" s="7"/>
      <c r="G160" s="7"/>
      <c r="H160" s="7"/>
      <c r="I160" s="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</row>
    <row r="161" spans="1:36" ht="18" customHeight="1" x14ac:dyDescent="0.25">
      <c r="A161" s="7"/>
      <c r="B161" s="7"/>
      <c r="C161" s="7"/>
      <c r="D161" s="7"/>
      <c r="E161" s="7"/>
      <c r="F161" s="7"/>
      <c r="G161" s="7"/>
      <c r="H161" s="7"/>
      <c r="I161" s="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spans="1:36" ht="18" customHeight="1" x14ac:dyDescent="0.25">
      <c r="A162" s="7"/>
      <c r="B162" s="7"/>
      <c r="C162" s="7"/>
      <c r="D162" s="7"/>
      <c r="E162" s="7"/>
      <c r="F162" s="7"/>
      <c r="G162" s="7"/>
      <c r="H162" s="7"/>
      <c r="I162" s="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spans="1:36" ht="18" customHeight="1" x14ac:dyDescent="0.25">
      <c r="A163" s="7"/>
      <c r="B163" s="7"/>
      <c r="C163" s="7"/>
      <c r="D163" s="7"/>
      <c r="E163" s="7"/>
      <c r="F163" s="7"/>
      <c r="G163" s="7"/>
      <c r="H163" s="7"/>
      <c r="I163" s="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</row>
    <row r="164" spans="1:36" ht="18" customHeight="1" x14ac:dyDescent="0.25">
      <c r="A164" s="7"/>
      <c r="B164" s="7"/>
      <c r="C164" s="7"/>
      <c r="D164" s="7"/>
      <c r="E164" s="7"/>
      <c r="F164" s="7"/>
      <c r="G164" s="7"/>
      <c r="H164" s="7"/>
      <c r="I164" s="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</row>
    <row r="165" spans="1:36" ht="18" customHeight="1" x14ac:dyDescent="0.25">
      <c r="A165" s="7"/>
      <c r="B165" s="7"/>
      <c r="C165" s="7"/>
      <c r="D165" s="7"/>
      <c r="E165" s="7"/>
      <c r="F165" s="7"/>
      <c r="G165" s="7"/>
      <c r="H165" s="7"/>
      <c r="I165" s="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</row>
    <row r="166" spans="1:36" ht="18" customHeight="1" x14ac:dyDescent="0.25">
      <c r="A166" s="7"/>
      <c r="B166" s="7"/>
      <c r="C166" s="7"/>
      <c r="D166" s="7"/>
      <c r="E166" s="7"/>
      <c r="F166" s="7"/>
      <c r="G166" s="7"/>
      <c r="H166" s="7"/>
      <c r="I166" s="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spans="1:36" ht="18" customHeight="1" x14ac:dyDescent="0.25">
      <c r="A167" s="7"/>
      <c r="B167" s="7"/>
      <c r="C167" s="7"/>
      <c r="D167" s="7"/>
      <c r="E167" s="7"/>
      <c r="F167" s="7"/>
      <c r="G167" s="7"/>
      <c r="H167" s="7"/>
      <c r="I167" s="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</row>
    <row r="168" spans="1:36" ht="18" customHeight="1" x14ac:dyDescent="0.25">
      <c r="A168" s="7"/>
      <c r="B168" s="7"/>
      <c r="C168" s="7"/>
      <c r="D168" s="7"/>
      <c r="E168" s="7"/>
      <c r="F168" s="7"/>
      <c r="G168" s="7"/>
      <c r="H168" s="7"/>
      <c r="I168" s="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</row>
    <row r="169" spans="1:36" ht="18" customHeight="1" x14ac:dyDescent="0.25">
      <c r="A169" s="7"/>
      <c r="B169" s="7"/>
      <c r="C169" s="7"/>
      <c r="D169" s="7"/>
      <c r="E169" s="7"/>
      <c r="F169" s="7"/>
      <c r="G169" s="7"/>
      <c r="H169" s="7"/>
      <c r="I169" s="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</row>
    <row r="170" spans="1:36" ht="18" customHeight="1" x14ac:dyDescent="0.25">
      <c r="A170" s="7"/>
      <c r="B170" s="7"/>
      <c r="C170" s="7"/>
      <c r="D170" s="7"/>
      <c r="E170" s="7"/>
      <c r="F170" s="7"/>
      <c r="G170" s="7"/>
      <c r="H170" s="7"/>
      <c r="I170" s="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spans="1:36" ht="18" customHeight="1" x14ac:dyDescent="0.25">
      <c r="A171" s="7"/>
      <c r="B171" s="7"/>
      <c r="C171" s="7"/>
      <c r="D171" s="7"/>
      <c r="E171" s="7"/>
      <c r="F171" s="7"/>
      <c r="G171" s="7"/>
      <c r="H171" s="7"/>
      <c r="I171" s="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</row>
    <row r="172" spans="1:36" ht="18" customHeight="1" x14ac:dyDescent="0.25">
      <c r="A172" s="7"/>
      <c r="B172" s="7"/>
      <c r="C172" s="7"/>
      <c r="D172" s="7"/>
      <c r="E172" s="7"/>
      <c r="F172" s="7"/>
      <c r="G172" s="7"/>
      <c r="H172" s="7"/>
      <c r="I172" s="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</row>
    <row r="173" spans="1:36" ht="18" customHeight="1" x14ac:dyDescent="0.25">
      <c r="A173" s="7"/>
      <c r="B173" s="7"/>
      <c r="C173" s="7"/>
      <c r="D173" s="7"/>
      <c r="E173" s="7"/>
      <c r="F173" s="7"/>
      <c r="G173" s="7"/>
      <c r="H173" s="7"/>
      <c r="I173" s="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</row>
    <row r="174" spans="1:36" ht="18" customHeight="1" x14ac:dyDescent="0.25">
      <c r="A174" s="7"/>
      <c r="B174" s="7"/>
      <c r="C174" s="7"/>
      <c r="D174" s="7"/>
      <c r="E174" s="7"/>
      <c r="F174" s="7"/>
      <c r="G174" s="7"/>
      <c r="H174" s="7"/>
      <c r="I174" s="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</row>
    <row r="175" spans="1:36" ht="18" customHeight="1" x14ac:dyDescent="0.25">
      <c r="A175" s="7"/>
      <c r="B175" s="7"/>
      <c r="C175" s="7"/>
      <c r="D175" s="7"/>
      <c r="E175" s="7"/>
      <c r="F175" s="7"/>
      <c r="G175" s="7"/>
      <c r="H175" s="7"/>
      <c r="I175" s="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</row>
    <row r="176" spans="1:36" ht="18" customHeight="1" x14ac:dyDescent="0.25">
      <c r="A176" s="7"/>
      <c r="B176" s="7"/>
      <c r="C176" s="7"/>
      <c r="D176" s="7"/>
      <c r="E176" s="7"/>
      <c r="F176" s="7"/>
      <c r="G176" s="7"/>
      <c r="H176" s="7"/>
      <c r="I176" s="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</row>
    <row r="177" spans="1:36" ht="18" customHeight="1" x14ac:dyDescent="0.25">
      <c r="A177" s="7"/>
      <c r="B177" s="7"/>
      <c r="C177" s="7"/>
      <c r="D177" s="7"/>
      <c r="E177" s="7"/>
      <c r="F177" s="7"/>
      <c r="G177" s="7"/>
      <c r="H177" s="7"/>
      <c r="I177" s="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</row>
    <row r="178" spans="1:36" ht="18" customHeight="1" x14ac:dyDescent="0.25">
      <c r="A178" s="7"/>
      <c r="B178" s="7"/>
      <c r="C178" s="7"/>
      <c r="D178" s="7"/>
      <c r="E178" s="7"/>
      <c r="F178" s="7"/>
      <c r="G178" s="7"/>
      <c r="H178" s="7"/>
      <c r="I178" s="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spans="1:36" ht="18" customHeight="1" x14ac:dyDescent="0.25">
      <c r="A179" s="7"/>
      <c r="B179" s="7"/>
      <c r="C179" s="7"/>
      <c r="D179" s="7"/>
      <c r="E179" s="7"/>
      <c r="F179" s="7"/>
      <c r="G179" s="7"/>
      <c r="H179" s="7"/>
      <c r="I179" s="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</row>
    <row r="180" spans="1:36" ht="18" customHeight="1" x14ac:dyDescent="0.25">
      <c r="A180" s="7"/>
      <c r="B180" s="7"/>
      <c r="C180" s="7"/>
      <c r="D180" s="7"/>
      <c r="E180" s="7"/>
      <c r="F180" s="7"/>
      <c r="G180" s="7"/>
      <c r="H180" s="7"/>
      <c r="I180" s="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</row>
    <row r="181" spans="1:36" ht="18" customHeight="1" x14ac:dyDescent="0.25">
      <c r="A181" s="7"/>
      <c r="B181" s="7"/>
      <c r="C181" s="7"/>
      <c r="D181" s="7"/>
      <c r="E181" s="7"/>
      <c r="F181" s="7"/>
      <c r="G181" s="7"/>
      <c r="H181" s="7"/>
      <c r="I181" s="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</row>
    <row r="182" spans="1:36" ht="18" customHeight="1" x14ac:dyDescent="0.25">
      <c r="A182" s="7"/>
      <c r="B182" s="7"/>
      <c r="C182" s="7"/>
      <c r="D182" s="7"/>
      <c r="E182" s="7"/>
      <c r="F182" s="7"/>
      <c r="G182" s="7"/>
      <c r="H182" s="7"/>
      <c r="I182" s="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spans="1:36" ht="18" customHeight="1" x14ac:dyDescent="0.25">
      <c r="A183" s="7"/>
      <c r="B183" s="7"/>
      <c r="C183" s="7"/>
      <c r="D183" s="7"/>
      <c r="E183" s="7"/>
      <c r="F183" s="7"/>
      <c r="G183" s="7"/>
      <c r="H183" s="7"/>
      <c r="I183" s="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spans="1:36" ht="18" customHeight="1" x14ac:dyDescent="0.25">
      <c r="A184" s="7"/>
      <c r="B184" s="7"/>
      <c r="C184" s="7"/>
      <c r="D184" s="7"/>
      <c r="E184" s="7"/>
      <c r="F184" s="7"/>
      <c r="G184" s="7"/>
      <c r="H184" s="7"/>
      <c r="I184" s="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</row>
    <row r="185" spans="1:36" ht="18" customHeight="1" x14ac:dyDescent="0.25">
      <c r="A185" s="7"/>
      <c r="B185" s="7"/>
      <c r="C185" s="7"/>
      <c r="D185" s="7"/>
      <c r="E185" s="7"/>
      <c r="F185" s="7"/>
      <c r="G185" s="7"/>
      <c r="H185" s="7"/>
      <c r="I185" s="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</row>
    <row r="186" spans="1:36" ht="18" customHeight="1" x14ac:dyDescent="0.25">
      <c r="A186" s="7"/>
      <c r="B186" s="7"/>
      <c r="C186" s="7"/>
      <c r="D186" s="7"/>
      <c r="E186" s="7"/>
      <c r="F186" s="7"/>
      <c r="G186" s="7"/>
      <c r="H186" s="7"/>
      <c r="I186" s="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spans="1:36" ht="18" customHeight="1" x14ac:dyDescent="0.25">
      <c r="A187" s="7"/>
      <c r="B187" s="7"/>
      <c r="C187" s="7"/>
      <c r="D187" s="7"/>
      <c r="E187" s="7"/>
      <c r="F187" s="7"/>
      <c r="G187" s="7"/>
      <c r="H187" s="7"/>
      <c r="I187" s="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</row>
    <row r="188" spans="1:36" ht="18" customHeight="1" x14ac:dyDescent="0.25">
      <c r="A188" s="7"/>
      <c r="B188" s="7"/>
      <c r="C188" s="7"/>
      <c r="D188" s="7"/>
      <c r="E188" s="7"/>
      <c r="F188" s="7"/>
      <c r="G188" s="7"/>
      <c r="H188" s="7"/>
      <c r="I188" s="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</row>
    <row r="189" spans="1:36" ht="18" customHeight="1" x14ac:dyDescent="0.25">
      <c r="A189" s="7"/>
      <c r="B189" s="7"/>
      <c r="C189" s="7"/>
      <c r="D189" s="7"/>
      <c r="E189" s="7"/>
      <c r="F189" s="7"/>
      <c r="G189" s="7"/>
      <c r="H189" s="7"/>
      <c r="I189" s="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</row>
    <row r="190" spans="1:36" ht="18" customHeight="1" x14ac:dyDescent="0.25">
      <c r="A190" s="7"/>
      <c r="B190" s="7"/>
      <c r="C190" s="7"/>
      <c r="D190" s="7"/>
      <c r="E190" s="7"/>
      <c r="F190" s="7"/>
      <c r="G190" s="7"/>
      <c r="H190" s="7"/>
      <c r="I190" s="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</row>
    <row r="191" spans="1:36" ht="18" customHeight="1" x14ac:dyDescent="0.25">
      <c r="A191" s="7"/>
      <c r="B191" s="7"/>
      <c r="C191" s="7"/>
      <c r="D191" s="7"/>
      <c r="E191" s="7"/>
      <c r="F191" s="7"/>
      <c r="G191" s="7"/>
      <c r="H191" s="7"/>
      <c r="I191" s="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spans="1:36" ht="18" customHeight="1" x14ac:dyDescent="0.25">
      <c r="A192" s="7"/>
      <c r="B192" s="7"/>
      <c r="C192" s="7"/>
      <c r="D192" s="7"/>
      <c r="E192" s="7"/>
      <c r="F192" s="7"/>
      <c r="G192" s="7"/>
      <c r="H192" s="7"/>
      <c r="I192" s="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</row>
    <row r="193" spans="1:36" ht="18" customHeight="1" x14ac:dyDescent="0.25">
      <c r="A193" s="7"/>
      <c r="B193" s="7"/>
      <c r="C193" s="7"/>
      <c r="D193" s="7"/>
      <c r="E193" s="7"/>
      <c r="F193" s="7"/>
      <c r="G193" s="7"/>
      <c r="H193" s="7"/>
      <c r="I193" s="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spans="1:36" ht="18" customHeight="1" x14ac:dyDescent="0.25">
      <c r="A194" s="7"/>
      <c r="B194" s="7"/>
      <c r="C194" s="7"/>
      <c r="D194" s="7"/>
      <c r="E194" s="7"/>
      <c r="F194" s="7"/>
      <c r="G194" s="7"/>
      <c r="H194" s="7"/>
      <c r="I194" s="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</row>
    <row r="195" spans="1:36" ht="18" customHeight="1" x14ac:dyDescent="0.25">
      <c r="A195" s="7"/>
      <c r="B195" s="7"/>
      <c r="C195" s="7"/>
      <c r="D195" s="7"/>
      <c r="E195" s="7"/>
      <c r="F195" s="7"/>
      <c r="G195" s="7"/>
      <c r="H195" s="7"/>
      <c r="I195" s="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spans="1:36" ht="18" customHeight="1" x14ac:dyDescent="0.25">
      <c r="A196" s="7"/>
      <c r="B196" s="7"/>
      <c r="C196" s="7"/>
      <c r="D196" s="7"/>
      <c r="E196" s="7"/>
      <c r="F196" s="7"/>
      <c r="G196" s="7"/>
      <c r="H196" s="7"/>
      <c r="I196" s="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</row>
    <row r="197" spans="1:36" ht="18" customHeight="1" x14ac:dyDescent="0.25">
      <c r="A197" s="7"/>
      <c r="B197" s="7"/>
      <c r="C197" s="7"/>
      <c r="D197" s="7"/>
      <c r="E197" s="7"/>
      <c r="F197" s="7"/>
      <c r="G197" s="7"/>
      <c r="H197" s="7"/>
      <c r="I197" s="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</row>
    <row r="198" spans="1:36" ht="18" customHeight="1" x14ac:dyDescent="0.25">
      <c r="A198" s="7"/>
      <c r="B198" s="7"/>
      <c r="C198" s="7"/>
      <c r="D198" s="7"/>
      <c r="E198" s="7"/>
      <c r="F198" s="7"/>
      <c r="G198" s="7"/>
      <c r="H198" s="7"/>
      <c r="I198" s="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</row>
    <row r="199" spans="1:36" ht="18" customHeight="1" x14ac:dyDescent="0.25">
      <c r="A199" s="7"/>
      <c r="B199" s="7"/>
      <c r="C199" s="7"/>
      <c r="D199" s="7"/>
      <c r="E199" s="7"/>
      <c r="F199" s="7"/>
      <c r="G199" s="7"/>
      <c r="H199" s="7"/>
      <c r="I199" s="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</row>
    <row r="200" spans="1:36" ht="18" customHeight="1" x14ac:dyDescent="0.25">
      <c r="A200" s="7"/>
      <c r="B200" s="7"/>
      <c r="C200" s="7"/>
      <c r="D200" s="7"/>
      <c r="E200" s="7"/>
      <c r="F200" s="7"/>
      <c r="G200" s="7"/>
      <c r="H200" s="7"/>
      <c r="I200" s="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spans="1:36" ht="18" customHeight="1" x14ac:dyDescent="0.25">
      <c r="A201" s="7"/>
      <c r="B201" s="7"/>
      <c r="C201" s="7"/>
      <c r="D201" s="7"/>
      <c r="E201" s="7"/>
      <c r="F201" s="7"/>
      <c r="G201" s="7"/>
      <c r="H201" s="7"/>
      <c r="I201" s="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</row>
    <row r="202" spans="1:36" ht="18" customHeight="1" x14ac:dyDescent="0.25">
      <c r="A202" s="7"/>
      <c r="B202" s="7"/>
      <c r="C202" s="7"/>
      <c r="D202" s="7"/>
      <c r="E202" s="7"/>
      <c r="F202" s="7"/>
      <c r="G202" s="7"/>
      <c r="H202" s="7"/>
      <c r="I202" s="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</row>
    <row r="203" spans="1:36" ht="18" customHeight="1" x14ac:dyDescent="0.25">
      <c r="A203" s="7"/>
      <c r="B203" s="7"/>
      <c r="C203" s="7"/>
      <c r="D203" s="7"/>
      <c r="E203" s="7"/>
      <c r="F203" s="7"/>
      <c r="G203" s="7"/>
      <c r="H203" s="7"/>
      <c r="I203" s="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spans="1:36" ht="18" customHeight="1" x14ac:dyDescent="0.25">
      <c r="A204" s="7"/>
      <c r="B204" s="7"/>
      <c r="C204" s="7"/>
      <c r="D204" s="7"/>
      <c r="E204" s="7"/>
      <c r="F204" s="7"/>
      <c r="G204" s="7"/>
      <c r="H204" s="7"/>
      <c r="I204" s="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</row>
    <row r="205" spans="1:36" ht="18" customHeight="1" x14ac:dyDescent="0.25">
      <c r="A205" s="7"/>
      <c r="B205" s="7"/>
      <c r="C205" s="7"/>
      <c r="D205" s="7"/>
      <c r="E205" s="7"/>
      <c r="F205" s="7"/>
      <c r="G205" s="7"/>
      <c r="H205" s="7"/>
      <c r="I205" s="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</row>
    <row r="206" spans="1:36" ht="18" customHeight="1" x14ac:dyDescent="0.25">
      <c r="A206" s="7"/>
      <c r="B206" s="7"/>
      <c r="C206" s="7"/>
      <c r="D206" s="7"/>
      <c r="E206" s="7"/>
      <c r="F206" s="7"/>
      <c r="G206" s="7"/>
      <c r="H206" s="7"/>
      <c r="I206" s="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spans="1:36" ht="18" customHeight="1" x14ac:dyDescent="0.25">
      <c r="A207" s="7"/>
      <c r="B207" s="7"/>
      <c r="C207" s="7"/>
      <c r="D207" s="7"/>
      <c r="E207" s="7"/>
      <c r="F207" s="7"/>
      <c r="G207" s="7"/>
      <c r="H207" s="7"/>
      <c r="I207" s="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</row>
    <row r="208" spans="1:36" ht="18" customHeight="1" x14ac:dyDescent="0.25">
      <c r="A208" s="7"/>
      <c r="B208" s="7"/>
      <c r="C208" s="7"/>
      <c r="D208" s="7"/>
      <c r="E208" s="7"/>
      <c r="F208" s="7"/>
      <c r="G208" s="7"/>
      <c r="H208" s="7"/>
      <c r="I208" s="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</row>
    <row r="209" spans="1:36" ht="18" customHeight="1" x14ac:dyDescent="0.25">
      <c r="A209" s="7"/>
      <c r="B209" s="7"/>
      <c r="C209" s="7"/>
      <c r="D209" s="7"/>
      <c r="E209" s="7"/>
      <c r="F209" s="7"/>
      <c r="G209" s="7"/>
      <c r="H209" s="7"/>
      <c r="I209" s="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spans="1:36" ht="18" customHeight="1" x14ac:dyDescent="0.25">
      <c r="A210" s="7"/>
      <c r="B210" s="7"/>
      <c r="C210" s="7"/>
      <c r="D210" s="7"/>
      <c r="E210" s="7"/>
      <c r="F210" s="7"/>
      <c r="G210" s="7"/>
      <c r="H210" s="7"/>
      <c r="I210" s="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</row>
    <row r="211" spans="1:36" ht="18" customHeight="1" x14ac:dyDescent="0.25">
      <c r="A211" s="7"/>
      <c r="B211" s="7"/>
      <c r="C211" s="7"/>
      <c r="D211" s="7"/>
      <c r="E211" s="7"/>
      <c r="F211" s="7"/>
      <c r="G211" s="7"/>
      <c r="H211" s="7"/>
      <c r="I211" s="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</row>
    <row r="212" spans="1:36" ht="18" customHeight="1" x14ac:dyDescent="0.25">
      <c r="A212" s="7"/>
      <c r="B212" s="7"/>
      <c r="C212" s="7"/>
      <c r="D212" s="7"/>
      <c r="E212" s="7"/>
      <c r="F212" s="7"/>
      <c r="G212" s="7"/>
      <c r="H212" s="7"/>
      <c r="I212" s="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</row>
    <row r="213" spans="1:36" ht="18" customHeight="1" x14ac:dyDescent="0.25">
      <c r="A213" s="7"/>
      <c r="B213" s="7"/>
      <c r="C213" s="7"/>
      <c r="D213" s="7"/>
      <c r="E213" s="7"/>
      <c r="F213" s="7"/>
      <c r="G213" s="7"/>
      <c r="H213" s="7"/>
      <c r="I213" s="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spans="1:36" ht="18" customHeight="1" x14ac:dyDescent="0.25">
      <c r="A214" s="7"/>
      <c r="B214" s="7"/>
      <c r="C214" s="7"/>
      <c r="D214" s="7"/>
      <c r="E214" s="7"/>
      <c r="F214" s="7"/>
      <c r="G214" s="7"/>
      <c r="H214" s="7"/>
      <c r="I214" s="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spans="1:36" ht="18" customHeight="1" x14ac:dyDescent="0.25">
      <c r="A215" s="7"/>
      <c r="B215" s="7"/>
      <c r="C215" s="7"/>
      <c r="D215" s="7"/>
      <c r="E215" s="7"/>
      <c r="F215" s="7"/>
      <c r="G215" s="7"/>
      <c r="H215" s="7"/>
      <c r="I215" s="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</row>
    <row r="216" spans="1:36" ht="18" customHeight="1" x14ac:dyDescent="0.25">
      <c r="A216" s="7"/>
      <c r="B216" s="7"/>
      <c r="C216" s="7"/>
      <c r="D216" s="7"/>
      <c r="E216" s="7"/>
      <c r="F216" s="7"/>
      <c r="G216" s="7"/>
      <c r="H216" s="7"/>
      <c r="I216" s="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</row>
    <row r="217" spans="1:36" ht="18" customHeight="1" x14ac:dyDescent="0.25">
      <c r="A217" s="7"/>
      <c r="B217" s="7"/>
      <c r="C217" s="7"/>
      <c r="D217" s="7"/>
      <c r="E217" s="7"/>
      <c r="F217" s="7"/>
      <c r="G217" s="7"/>
      <c r="H217" s="7"/>
      <c r="I217" s="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</row>
    <row r="218" spans="1:36" ht="18" customHeight="1" x14ac:dyDescent="0.25">
      <c r="A218" s="7"/>
      <c r="B218" s="7"/>
      <c r="C218" s="7"/>
      <c r="D218" s="7"/>
      <c r="E218" s="7"/>
      <c r="F218" s="7"/>
      <c r="G218" s="7"/>
      <c r="H218" s="7"/>
      <c r="I218" s="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</row>
    <row r="219" spans="1:36" ht="18" customHeight="1" x14ac:dyDescent="0.25">
      <c r="A219" s="7"/>
      <c r="B219" s="7"/>
      <c r="C219" s="7"/>
      <c r="D219" s="7"/>
      <c r="E219" s="7"/>
      <c r="F219" s="7"/>
      <c r="G219" s="7"/>
      <c r="H219" s="7"/>
      <c r="I219" s="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</row>
    <row r="220" spans="1:36" ht="18" customHeight="1" x14ac:dyDescent="0.25">
      <c r="A220" s="7"/>
      <c r="B220" s="7"/>
      <c r="C220" s="7"/>
      <c r="D220" s="7"/>
      <c r="E220" s="7"/>
      <c r="F220" s="7"/>
      <c r="G220" s="7"/>
      <c r="H220" s="7"/>
      <c r="I220" s="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</row>
    <row r="221" spans="1:36" ht="18" customHeight="1" x14ac:dyDescent="0.25">
      <c r="A221" s="7"/>
      <c r="B221" s="7"/>
      <c r="C221" s="7"/>
      <c r="D221" s="7"/>
      <c r="E221" s="7"/>
      <c r="F221" s="7"/>
      <c r="G221" s="7"/>
      <c r="H221" s="7"/>
      <c r="I221" s="8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</row>
    <row r="222" spans="1:36" ht="18" customHeight="1" x14ac:dyDescent="0.25">
      <c r="A222" s="7"/>
      <c r="B222" s="7"/>
      <c r="C222" s="7"/>
      <c r="D222" s="7"/>
      <c r="E222" s="7"/>
      <c r="F222" s="7"/>
      <c r="G222" s="7"/>
      <c r="H222" s="7"/>
      <c r="I222" s="8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</row>
    <row r="223" spans="1:36" ht="18" customHeight="1" x14ac:dyDescent="0.25">
      <c r="A223" s="7"/>
      <c r="B223" s="7"/>
      <c r="C223" s="7"/>
      <c r="D223" s="7"/>
      <c r="E223" s="7"/>
      <c r="F223" s="7"/>
      <c r="G223" s="7"/>
      <c r="H223" s="7"/>
      <c r="I223" s="8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</row>
    <row r="224" spans="1:36" ht="18" customHeight="1" x14ac:dyDescent="0.25">
      <c r="A224" s="7"/>
      <c r="B224" s="7"/>
      <c r="C224" s="7"/>
      <c r="D224" s="7"/>
      <c r="E224" s="7"/>
      <c r="F224" s="7"/>
      <c r="G224" s="7"/>
      <c r="H224" s="7"/>
      <c r="I224" s="8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</row>
    <row r="225" spans="1:36" ht="18" customHeight="1" x14ac:dyDescent="0.25">
      <c r="A225" s="7"/>
      <c r="B225" s="7"/>
      <c r="C225" s="7"/>
      <c r="D225" s="7"/>
      <c r="E225" s="7"/>
      <c r="F225" s="7"/>
      <c r="G225" s="7"/>
      <c r="H225" s="7"/>
      <c r="I225" s="8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</row>
    <row r="226" spans="1:36" ht="18" customHeight="1" x14ac:dyDescent="0.25">
      <c r="A226" s="7"/>
      <c r="B226" s="7"/>
      <c r="C226" s="7"/>
      <c r="D226" s="7"/>
      <c r="E226" s="7"/>
      <c r="F226" s="7"/>
      <c r="G226" s="7"/>
      <c r="H226" s="7"/>
      <c r="I226" s="8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</row>
    <row r="227" spans="1:36" ht="18" customHeight="1" x14ac:dyDescent="0.25">
      <c r="A227" s="7"/>
      <c r="B227" s="7"/>
      <c r="C227" s="7"/>
      <c r="D227" s="7"/>
      <c r="E227" s="7"/>
      <c r="F227" s="7"/>
      <c r="G227" s="7"/>
      <c r="H227" s="7"/>
      <c r="I227" s="8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</row>
    <row r="228" spans="1:36" ht="18" customHeight="1" x14ac:dyDescent="0.25">
      <c r="A228" s="7"/>
      <c r="B228" s="7"/>
      <c r="C228" s="7"/>
      <c r="D228" s="7"/>
      <c r="E228" s="7"/>
      <c r="F228" s="7"/>
      <c r="G228" s="7"/>
      <c r="H228" s="7"/>
      <c r="I228" s="8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</row>
    <row r="229" spans="1:36" ht="18" customHeight="1" x14ac:dyDescent="0.25">
      <c r="A229" s="7"/>
      <c r="B229" s="7"/>
      <c r="C229" s="7"/>
      <c r="D229" s="7"/>
      <c r="E229" s="7"/>
      <c r="F229" s="7"/>
      <c r="G229" s="7"/>
      <c r="H229" s="7"/>
      <c r="I229" s="8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</row>
    <row r="230" spans="1:36" ht="18" customHeight="1" x14ac:dyDescent="0.25">
      <c r="A230" s="7"/>
      <c r="B230" s="7"/>
      <c r="C230" s="7"/>
      <c r="D230" s="7"/>
      <c r="E230" s="7"/>
      <c r="F230" s="7"/>
      <c r="G230" s="7"/>
      <c r="H230" s="7"/>
      <c r="I230" s="8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</row>
    <row r="231" spans="1:36" ht="18" customHeight="1" x14ac:dyDescent="0.25">
      <c r="A231" s="7"/>
      <c r="B231" s="7"/>
      <c r="C231" s="7"/>
      <c r="D231" s="7"/>
      <c r="E231" s="7"/>
      <c r="F231" s="7"/>
      <c r="G231" s="7"/>
      <c r="H231" s="7"/>
      <c r="I231" s="8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spans="1:36" ht="18" customHeight="1" x14ac:dyDescent="0.25">
      <c r="A232" s="7"/>
      <c r="B232" s="7"/>
      <c r="C232" s="7"/>
      <c r="D232" s="7"/>
      <c r="E232" s="7"/>
      <c r="F232" s="7"/>
      <c r="G232" s="7"/>
      <c r="H232" s="7"/>
      <c r="I232" s="8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spans="1:36" ht="18" customHeight="1" x14ac:dyDescent="0.25">
      <c r="A233" s="7"/>
      <c r="B233" s="7"/>
      <c r="C233" s="7"/>
      <c r="D233" s="7"/>
      <c r="E233" s="7"/>
      <c r="F233" s="7"/>
      <c r="G233" s="7"/>
      <c r="H233" s="7"/>
      <c r="I233" s="8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</row>
    <row r="234" spans="1:36" ht="18" customHeight="1" x14ac:dyDescent="0.25">
      <c r="A234" s="7"/>
      <c r="B234" s="7"/>
      <c r="C234" s="7"/>
      <c r="D234" s="7"/>
      <c r="E234" s="7"/>
      <c r="F234" s="7"/>
      <c r="G234" s="7"/>
      <c r="H234" s="7"/>
      <c r="I234" s="8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</row>
    <row r="235" spans="1:36" ht="18" customHeight="1" x14ac:dyDescent="0.25">
      <c r="A235" s="7"/>
      <c r="B235" s="7"/>
      <c r="C235" s="7"/>
      <c r="D235" s="7"/>
      <c r="E235" s="7"/>
      <c r="F235" s="7"/>
      <c r="G235" s="7"/>
      <c r="H235" s="7"/>
      <c r="I235" s="8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</row>
    <row r="236" spans="1:36" ht="18" customHeight="1" x14ac:dyDescent="0.25">
      <c r="A236" s="7"/>
      <c r="B236" s="7"/>
      <c r="C236" s="7"/>
      <c r="D236" s="7"/>
      <c r="E236" s="7"/>
      <c r="F236" s="7"/>
      <c r="G236" s="7"/>
      <c r="H236" s="7"/>
      <c r="I236" s="8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spans="1:36" ht="18" customHeight="1" x14ac:dyDescent="0.25">
      <c r="A237" s="7"/>
      <c r="B237" s="7"/>
      <c r="C237" s="7"/>
      <c r="D237" s="7"/>
      <c r="E237" s="7"/>
      <c r="F237" s="7"/>
      <c r="G237" s="7"/>
      <c r="H237" s="7"/>
      <c r="I237" s="8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</row>
    <row r="238" spans="1:36" ht="18" customHeight="1" x14ac:dyDescent="0.25">
      <c r="A238" s="7"/>
      <c r="B238" s="7"/>
      <c r="C238" s="7"/>
      <c r="D238" s="7"/>
      <c r="E238" s="7"/>
      <c r="F238" s="7"/>
      <c r="G238" s="7"/>
      <c r="H238" s="7"/>
      <c r="I238" s="8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</row>
    <row r="239" spans="1:36" ht="18" customHeight="1" x14ac:dyDescent="0.25">
      <c r="A239" s="7"/>
      <c r="B239" s="7"/>
      <c r="C239" s="7"/>
      <c r="D239" s="7"/>
      <c r="E239" s="7"/>
      <c r="F239" s="7"/>
      <c r="G239" s="7"/>
      <c r="H239" s="7"/>
      <c r="I239" s="8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</row>
    <row r="240" spans="1:36" ht="18" customHeight="1" x14ac:dyDescent="0.25">
      <c r="A240" s="7"/>
      <c r="B240" s="7"/>
      <c r="C240" s="7"/>
      <c r="D240" s="7"/>
      <c r="E240" s="7"/>
      <c r="F240" s="7"/>
      <c r="G240" s="7"/>
      <c r="H240" s="7"/>
      <c r="I240" s="8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</row>
    <row r="241" spans="1:36" ht="18" customHeight="1" x14ac:dyDescent="0.25">
      <c r="A241" s="7"/>
      <c r="B241" s="7"/>
      <c r="C241" s="7"/>
      <c r="D241" s="7"/>
      <c r="E241" s="7"/>
      <c r="F241" s="7"/>
      <c r="G241" s="7"/>
      <c r="H241" s="7"/>
      <c r="I241" s="8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</row>
    <row r="242" spans="1:36" ht="18" customHeight="1" x14ac:dyDescent="0.25">
      <c r="A242" s="7"/>
      <c r="B242" s="7"/>
      <c r="C242" s="7"/>
      <c r="D242" s="7"/>
      <c r="E242" s="7"/>
      <c r="F242" s="7"/>
      <c r="G242" s="7"/>
      <c r="H242" s="7"/>
      <c r="I242" s="8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</row>
    <row r="243" spans="1:36" ht="18" customHeight="1" x14ac:dyDescent="0.25">
      <c r="A243" s="7"/>
      <c r="B243" s="7"/>
      <c r="C243" s="7"/>
      <c r="D243" s="7"/>
      <c r="E243" s="7"/>
      <c r="F243" s="7"/>
      <c r="G243" s="7"/>
      <c r="H243" s="7"/>
      <c r="I243" s="8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</row>
    <row r="244" spans="1:36" ht="18" customHeight="1" x14ac:dyDescent="0.25">
      <c r="A244" s="7"/>
      <c r="B244" s="7"/>
      <c r="C244" s="7"/>
      <c r="D244" s="7"/>
      <c r="E244" s="7"/>
      <c r="F244" s="7"/>
      <c r="G244" s="7"/>
      <c r="H244" s="7"/>
      <c r="I244" s="8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spans="1:36" ht="18" customHeight="1" x14ac:dyDescent="0.25">
      <c r="A245" s="7"/>
      <c r="B245" s="7"/>
      <c r="C245" s="7"/>
      <c r="D245" s="7"/>
      <c r="E245" s="7"/>
      <c r="F245" s="7"/>
      <c r="G245" s="7"/>
      <c r="H245" s="7"/>
      <c r="I245" s="8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spans="1:36" ht="18" customHeight="1" x14ac:dyDescent="0.25">
      <c r="A246" s="7"/>
      <c r="B246" s="7"/>
      <c r="C246" s="7"/>
      <c r="D246" s="7"/>
      <c r="E246" s="7"/>
      <c r="F246" s="7"/>
      <c r="G246" s="7"/>
      <c r="H246" s="7"/>
      <c r="I246" s="8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</row>
    <row r="247" spans="1:36" ht="18" customHeight="1" x14ac:dyDescent="0.25">
      <c r="A247" s="7"/>
      <c r="B247" s="7"/>
      <c r="C247" s="7"/>
      <c r="D247" s="7"/>
      <c r="E247" s="7"/>
      <c r="F247" s="7"/>
      <c r="G247" s="7"/>
      <c r="H247" s="7"/>
      <c r="I247" s="8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1:36" ht="18" customHeight="1" x14ac:dyDescent="0.25">
      <c r="A248" s="7"/>
      <c r="B248" s="7"/>
      <c r="C248" s="7"/>
      <c r="D248" s="7"/>
      <c r="E248" s="7"/>
      <c r="F248" s="7"/>
      <c r="G248" s="7"/>
      <c r="H248" s="7"/>
      <c r="I248" s="8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1:36" ht="18" customHeight="1" x14ac:dyDescent="0.25">
      <c r="A249" s="7"/>
      <c r="B249" s="7"/>
      <c r="C249" s="7"/>
      <c r="D249" s="7"/>
      <c r="E249" s="7"/>
      <c r="F249" s="7"/>
      <c r="G249" s="7"/>
      <c r="H249" s="7"/>
      <c r="I249" s="8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1:36" ht="18" customHeight="1" x14ac:dyDescent="0.25">
      <c r="A250" s="7"/>
      <c r="B250" s="7"/>
      <c r="C250" s="7"/>
      <c r="D250" s="7"/>
      <c r="E250" s="7"/>
      <c r="F250" s="7"/>
      <c r="G250" s="7"/>
      <c r="H250" s="7"/>
      <c r="I250" s="8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1:36" ht="18" customHeight="1" x14ac:dyDescent="0.25">
      <c r="A251" s="7"/>
      <c r="B251" s="7"/>
      <c r="C251" s="7"/>
      <c r="D251" s="7"/>
      <c r="E251" s="7"/>
      <c r="F251" s="7"/>
      <c r="G251" s="7"/>
      <c r="H251" s="7"/>
      <c r="I251" s="8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1:36" ht="18" customHeight="1" x14ac:dyDescent="0.25">
      <c r="A252" s="7"/>
      <c r="B252" s="7"/>
      <c r="C252" s="7"/>
      <c r="D252" s="7"/>
      <c r="E252" s="7"/>
      <c r="F252" s="7"/>
      <c r="G252" s="7"/>
      <c r="H252" s="7"/>
      <c r="I252" s="8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1:36" ht="18" customHeight="1" x14ac:dyDescent="0.25">
      <c r="A253" s="7"/>
      <c r="B253" s="7"/>
      <c r="C253" s="7"/>
      <c r="D253" s="7"/>
      <c r="E253" s="7"/>
      <c r="F253" s="7"/>
      <c r="G253" s="7"/>
      <c r="H253" s="7"/>
      <c r="I253" s="8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1:36" ht="18" customHeight="1" x14ac:dyDescent="0.25">
      <c r="A254" s="7"/>
      <c r="B254" s="7"/>
      <c r="C254" s="7"/>
      <c r="D254" s="7"/>
      <c r="E254" s="7"/>
      <c r="F254" s="7"/>
      <c r="G254" s="7"/>
      <c r="H254" s="7"/>
      <c r="I254" s="8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</row>
    <row r="255" spans="1:36" ht="18" customHeight="1" x14ac:dyDescent="0.25">
      <c r="A255" s="7"/>
      <c r="B255" s="7"/>
      <c r="C255" s="7"/>
      <c r="D255" s="7"/>
      <c r="E255" s="7"/>
      <c r="F255" s="7"/>
      <c r="G255" s="7"/>
      <c r="H255" s="7"/>
      <c r="I255" s="8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spans="1:36" ht="18" customHeight="1" x14ac:dyDescent="0.25">
      <c r="A256" s="7"/>
      <c r="B256" s="7"/>
      <c r="C256" s="7"/>
      <c r="D256" s="7"/>
      <c r="E256" s="7"/>
      <c r="F256" s="7"/>
      <c r="G256" s="7"/>
      <c r="H256" s="7"/>
      <c r="I256" s="8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</row>
    <row r="257" spans="1:36" ht="18" customHeight="1" x14ac:dyDescent="0.25">
      <c r="A257" s="7"/>
      <c r="B257" s="7"/>
      <c r="C257" s="7"/>
      <c r="D257" s="7"/>
      <c r="E257" s="7"/>
      <c r="F257" s="7"/>
      <c r="G257" s="7"/>
      <c r="H257" s="7"/>
      <c r="I257" s="8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</row>
    <row r="258" spans="1:36" ht="18" customHeight="1" x14ac:dyDescent="0.25">
      <c r="A258" s="7"/>
      <c r="B258" s="7"/>
      <c r="C258" s="7"/>
      <c r="D258" s="7"/>
      <c r="E258" s="7"/>
      <c r="F258" s="7"/>
      <c r="G258" s="7"/>
      <c r="H258" s="7"/>
      <c r="I258" s="8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</row>
    <row r="259" spans="1:36" ht="18" customHeight="1" x14ac:dyDescent="0.25">
      <c r="A259" s="7"/>
      <c r="B259" s="7"/>
      <c r="C259" s="7"/>
      <c r="D259" s="7"/>
      <c r="E259" s="7"/>
      <c r="F259" s="7"/>
      <c r="G259" s="7"/>
      <c r="H259" s="7"/>
      <c r="I259" s="8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</row>
    <row r="260" spans="1:36" ht="18" customHeight="1" x14ac:dyDescent="0.25">
      <c r="A260" s="7"/>
      <c r="B260" s="7"/>
      <c r="C260" s="7"/>
      <c r="D260" s="7"/>
      <c r="E260" s="7"/>
      <c r="F260" s="7"/>
      <c r="G260" s="7"/>
      <c r="H260" s="7"/>
      <c r="I260" s="8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</row>
    <row r="261" spans="1:36" ht="18" customHeight="1" x14ac:dyDescent="0.25">
      <c r="A261" s="7"/>
      <c r="B261" s="7"/>
      <c r="C261" s="7"/>
      <c r="D261" s="7"/>
      <c r="E261" s="7"/>
      <c r="F261" s="7"/>
      <c r="G261" s="7"/>
      <c r="H261" s="7"/>
      <c r="I261" s="8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</row>
    <row r="262" spans="1:36" ht="18" customHeight="1" x14ac:dyDescent="0.25">
      <c r="A262" s="7"/>
      <c r="B262" s="7"/>
      <c r="C262" s="7"/>
      <c r="D262" s="7"/>
      <c r="E262" s="7"/>
      <c r="F262" s="7"/>
      <c r="G262" s="7"/>
      <c r="H262" s="7"/>
      <c r="I262" s="8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</row>
    <row r="263" spans="1:36" ht="18" customHeight="1" x14ac:dyDescent="0.25">
      <c r="A263" s="7"/>
      <c r="B263" s="7"/>
      <c r="C263" s="7"/>
      <c r="D263" s="7"/>
      <c r="E263" s="7"/>
      <c r="F263" s="7"/>
      <c r="G263" s="7"/>
      <c r="H263" s="7"/>
      <c r="I263" s="8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</row>
    <row r="264" spans="1:36" ht="18" customHeight="1" x14ac:dyDescent="0.25">
      <c r="A264" s="7"/>
      <c r="B264" s="7"/>
      <c r="C264" s="7"/>
      <c r="D264" s="7"/>
      <c r="E264" s="7"/>
      <c r="F264" s="7"/>
      <c r="G264" s="7"/>
      <c r="H264" s="7"/>
      <c r="I264" s="8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</row>
    <row r="265" spans="1:36" ht="18" customHeight="1" x14ac:dyDescent="0.25">
      <c r="A265" s="7"/>
      <c r="B265" s="7"/>
      <c r="C265" s="7"/>
      <c r="D265" s="7"/>
      <c r="E265" s="7"/>
      <c r="F265" s="7"/>
      <c r="G265" s="7"/>
      <c r="H265" s="7"/>
      <c r="I265" s="8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</row>
    <row r="266" spans="1:36" ht="18" customHeight="1" x14ac:dyDescent="0.25">
      <c r="A266" s="7"/>
      <c r="B266" s="7"/>
      <c r="C266" s="7"/>
      <c r="D266" s="7"/>
      <c r="E266" s="7"/>
      <c r="F266" s="7"/>
      <c r="G266" s="7"/>
      <c r="H266" s="7"/>
      <c r="I266" s="8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</row>
    <row r="267" spans="1:36" ht="18" customHeight="1" x14ac:dyDescent="0.25">
      <c r="A267" s="7"/>
      <c r="B267" s="7"/>
      <c r="C267" s="7"/>
      <c r="D267" s="7"/>
      <c r="E267" s="7"/>
      <c r="F267" s="7"/>
      <c r="G267" s="7"/>
      <c r="H267" s="7"/>
      <c r="I267" s="8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</row>
    <row r="268" spans="1:36" ht="18" customHeight="1" x14ac:dyDescent="0.25">
      <c r="A268" s="7"/>
      <c r="B268" s="7"/>
      <c r="C268" s="7"/>
      <c r="D268" s="7"/>
      <c r="E268" s="7"/>
      <c r="F268" s="7"/>
      <c r="G268" s="7"/>
      <c r="H268" s="7"/>
      <c r="I268" s="8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</row>
    <row r="269" spans="1:36" ht="18" customHeight="1" x14ac:dyDescent="0.25">
      <c r="A269" s="7"/>
      <c r="B269" s="7"/>
      <c r="C269" s="7"/>
      <c r="D269" s="7"/>
      <c r="E269" s="7"/>
      <c r="F269" s="7"/>
      <c r="G269" s="7"/>
      <c r="H269" s="7"/>
      <c r="I269" s="8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</row>
    <row r="270" spans="1:36" ht="18" customHeight="1" x14ac:dyDescent="0.25">
      <c r="A270" s="7"/>
      <c r="B270" s="7"/>
      <c r="C270" s="7"/>
      <c r="D270" s="7"/>
      <c r="E270" s="7"/>
      <c r="F270" s="7"/>
      <c r="G270" s="7"/>
      <c r="H270" s="7"/>
      <c r="I270" s="8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</row>
    <row r="271" spans="1:36" ht="18" customHeight="1" x14ac:dyDescent="0.25">
      <c r="A271" s="7"/>
      <c r="B271" s="7"/>
      <c r="C271" s="7"/>
      <c r="D271" s="7"/>
      <c r="E271" s="7"/>
      <c r="F271" s="7"/>
      <c r="G271" s="7"/>
      <c r="H271" s="7"/>
      <c r="I271" s="8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</row>
    <row r="272" spans="1:36" ht="18" customHeight="1" x14ac:dyDescent="0.25">
      <c r="A272" s="7"/>
      <c r="B272" s="7"/>
      <c r="C272" s="7"/>
      <c r="D272" s="7"/>
      <c r="E272" s="7"/>
      <c r="F272" s="7"/>
      <c r="G272" s="7"/>
      <c r="H272" s="7"/>
      <c r="I272" s="8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</row>
    <row r="273" spans="1:36" ht="18" customHeight="1" x14ac:dyDescent="0.25">
      <c r="A273" s="7"/>
      <c r="B273" s="7"/>
      <c r="C273" s="7"/>
      <c r="D273" s="7"/>
      <c r="E273" s="7"/>
      <c r="F273" s="7"/>
      <c r="G273" s="7"/>
      <c r="H273" s="7"/>
      <c r="I273" s="8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</row>
    <row r="274" spans="1:36" ht="18" customHeight="1" x14ac:dyDescent="0.25">
      <c r="A274" s="7"/>
      <c r="B274" s="7"/>
      <c r="C274" s="7"/>
      <c r="D274" s="7"/>
      <c r="E274" s="7"/>
      <c r="F274" s="7"/>
      <c r="G274" s="7"/>
      <c r="H274" s="7"/>
      <c r="I274" s="8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</row>
    <row r="275" spans="1:36" ht="18" customHeight="1" x14ac:dyDescent="0.25">
      <c r="A275" s="7"/>
      <c r="B275" s="7"/>
      <c r="C275" s="7"/>
      <c r="D275" s="7"/>
      <c r="E275" s="7"/>
      <c r="F275" s="7"/>
      <c r="G275" s="7"/>
      <c r="H275" s="7"/>
      <c r="I275" s="8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</row>
    <row r="276" spans="1:36" ht="18" customHeight="1" x14ac:dyDescent="0.25">
      <c r="A276" s="7"/>
      <c r="B276" s="7"/>
      <c r="C276" s="7"/>
      <c r="D276" s="7"/>
      <c r="E276" s="7"/>
      <c r="F276" s="7"/>
      <c r="G276" s="7"/>
      <c r="H276" s="7"/>
      <c r="I276" s="8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</row>
    <row r="277" spans="1:36" ht="18" customHeight="1" x14ac:dyDescent="0.25">
      <c r="A277" s="7"/>
      <c r="B277" s="7"/>
      <c r="C277" s="7"/>
      <c r="D277" s="7"/>
      <c r="E277" s="7"/>
      <c r="F277" s="7"/>
      <c r="G277" s="7"/>
      <c r="H277" s="7"/>
      <c r="I277" s="8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</row>
    <row r="278" spans="1:36" ht="18" customHeight="1" x14ac:dyDescent="0.25">
      <c r="A278" s="7"/>
      <c r="B278" s="7"/>
      <c r="C278" s="7"/>
      <c r="D278" s="7"/>
      <c r="E278" s="7"/>
      <c r="F278" s="7"/>
      <c r="G278" s="7"/>
      <c r="H278" s="7"/>
      <c r="I278" s="8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</row>
    <row r="279" spans="1:36" ht="18" customHeight="1" x14ac:dyDescent="0.25">
      <c r="A279" s="7"/>
      <c r="B279" s="7"/>
      <c r="C279" s="7"/>
      <c r="D279" s="7"/>
      <c r="E279" s="7"/>
      <c r="F279" s="7"/>
      <c r="G279" s="7"/>
      <c r="H279" s="7"/>
      <c r="I279" s="8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</row>
    <row r="280" spans="1:36" ht="18" customHeight="1" x14ac:dyDescent="0.25">
      <c r="A280" s="7"/>
      <c r="B280" s="7"/>
      <c r="C280" s="7"/>
      <c r="D280" s="7"/>
      <c r="E280" s="7"/>
      <c r="F280" s="7"/>
      <c r="G280" s="7"/>
      <c r="H280" s="7"/>
      <c r="I280" s="8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</row>
    <row r="281" spans="1:36" ht="18" customHeight="1" x14ac:dyDescent="0.25">
      <c r="A281" s="7"/>
      <c r="B281" s="7"/>
      <c r="C281" s="7"/>
      <c r="D281" s="7"/>
      <c r="E281" s="7"/>
      <c r="F281" s="7"/>
      <c r="G281" s="7"/>
      <c r="H281" s="7"/>
      <c r="I281" s="8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</row>
    <row r="282" spans="1:36" ht="18" customHeight="1" x14ac:dyDescent="0.25">
      <c r="A282" s="7"/>
      <c r="B282" s="7"/>
      <c r="C282" s="7"/>
      <c r="D282" s="7"/>
      <c r="E282" s="7"/>
      <c r="F282" s="7"/>
      <c r="G282" s="7"/>
      <c r="H282" s="7"/>
      <c r="I282" s="8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</row>
    <row r="283" spans="1:36" ht="18" customHeight="1" x14ac:dyDescent="0.25">
      <c r="A283" s="7"/>
      <c r="B283" s="7"/>
      <c r="C283" s="7"/>
      <c r="D283" s="7"/>
      <c r="E283" s="7"/>
      <c r="F283" s="7"/>
      <c r="G283" s="7"/>
      <c r="H283" s="7"/>
      <c r="I283" s="8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</row>
    <row r="284" spans="1:36" ht="18" customHeight="1" x14ac:dyDescent="0.25">
      <c r="A284" s="7"/>
      <c r="B284" s="7"/>
      <c r="C284" s="7"/>
      <c r="D284" s="7"/>
      <c r="E284" s="7"/>
      <c r="F284" s="7"/>
      <c r="G284" s="7"/>
      <c r="H284" s="7"/>
      <c r="I284" s="8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</row>
    <row r="285" spans="1:36" ht="18" customHeight="1" x14ac:dyDescent="0.25">
      <c r="A285" s="7"/>
      <c r="B285" s="7"/>
      <c r="C285" s="7"/>
      <c r="D285" s="7"/>
      <c r="E285" s="7"/>
      <c r="F285" s="7"/>
      <c r="G285" s="7"/>
      <c r="H285" s="7"/>
      <c r="I285" s="8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</row>
    <row r="286" spans="1:36" ht="18" customHeight="1" x14ac:dyDescent="0.25">
      <c r="A286" s="7"/>
      <c r="B286" s="7"/>
      <c r="C286" s="7"/>
      <c r="D286" s="7"/>
      <c r="E286" s="7"/>
      <c r="F286" s="7"/>
      <c r="G286" s="7"/>
      <c r="H286" s="7"/>
      <c r="I286" s="8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</row>
    <row r="287" spans="1:36" ht="18" customHeight="1" x14ac:dyDescent="0.25">
      <c r="A287" s="7"/>
      <c r="B287" s="7"/>
      <c r="C287" s="7"/>
      <c r="D287" s="7"/>
      <c r="E287" s="7"/>
      <c r="F287" s="7"/>
      <c r="G287" s="7"/>
      <c r="H287" s="7"/>
      <c r="I287" s="8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</row>
    <row r="288" spans="1:36" ht="18" customHeight="1" x14ac:dyDescent="0.25">
      <c r="A288" s="7"/>
      <c r="B288" s="7"/>
      <c r="C288" s="7"/>
      <c r="D288" s="7"/>
      <c r="E288" s="7"/>
      <c r="F288" s="7"/>
      <c r="G288" s="7"/>
      <c r="H288" s="7"/>
      <c r="I288" s="8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</row>
    <row r="289" spans="1:36" ht="18" customHeight="1" x14ac:dyDescent="0.25">
      <c r="A289" s="7"/>
      <c r="B289" s="7"/>
      <c r="C289" s="7"/>
      <c r="D289" s="7"/>
      <c r="E289" s="7"/>
      <c r="F289" s="7"/>
      <c r="G289" s="7"/>
      <c r="H289" s="7"/>
      <c r="I289" s="8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</row>
    <row r="290" spans="1:36" ht="18" customHeight="1" x14ac:dyDescent="0.25">
      <c r="A290" s="7"/>
      <c r="B290" s="7"/>
      <c r="C290" s="7"/>
      <c r="D290" s="7"/>
      <c r="E290" s="7"/>
      <c r="F290" s="7"/>
      <c r="G290" s="7"/>
      <c r="H290" s="7"/>
      <c r="I290" s="8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</row>
    <row r="291" spans="1:36" ht="18" customHeight="1" x14ac:dyDescent="0.25">
      <c r="A291" s="7"/>
      <c r="B291" s="7"/>
      <c r="C291" s="7"/>
      <c r="D291" s="7"/>
      <c r="E291" s="7"/>
      <c r="F291" s="7"/>
      <c r="G291" s="7"/>
      <c r="H291" s="7"/>
      <c r="I291" s="8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</row>
    <row r="292" spans="1:36" ht="18" customHeight="1" x14ac:dyDescent="0.25">
      <c r="A292" s="7"/>
      <c r="B292" s="7"/>
      <c r="C292" s="7"/>
      <c r="D292" s="7"/>
      <c r="E292" s="7"/>
      <c r="F292" s="7"/>
      <c r="G292" s="7"/>
      <c r="H292" s="7"/>
      <c r="I292" s="8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</row>
    <row r="293" spans="1:36" ht="18" customHeight="1" x14ac:dyDescent="0.25">
      <c r="A293" s="7"/>
      <c r="B293" s="7"/>
      <c r="C293" s="7"/>
      <c r="D293" s="7"/>
      <c r="E293" s="7"/>
      <c r="F293" s="7"/>
      <c r="G293" s="7"/>
      <c r="H293" s="7"/>
      <c r="I293" s="8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</row>
    <row r="294" spans="1:36" ht="18" customHeight="1" x14ac:dyDescent="0.25">
      <c r="A294" s="7"/>
      <c r="B294" s="7"/>
      <c r="C294" s="7"/>
      <c r="D294" s="7"/>
      <c r="E294" s="7"/>
      <c r="F294" s="7"/>
      <c r="G294" s="7"/>
      <c r="H294" s="7"/>
      <c r="I294" s="8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</row>
    <row r="295" spans="1:36" ht="18" customHeight="1" x14ac:dyDescent="0.25">
      <c r="A295" s="7"/>
      <c r="B295" s="7"/>
      <c r="C295" s="7"/>
      <c r="D295" s="7"/>
      <c r="E295" s="7"/>
      <c r="F295" s="7"/>
      <c r="G295" s="7"/>
      <c r="H295" s="7"/>
      <c r="I295" s="8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</row>
    <row r="296" spans="1:36" ht="18" customHeight="1" x14ac:dyDescent="0.25">
      <c r="A296" s="7"/>
      <c r="B296" s="7"/>
      <c r="C296" s="7"/>
      <c r="D296" s="7"/>
      <c r="E296" s="7"/>
      <c r="F296" s="7"/>
      <c r="G296" s="7"/>
      <c r="H296" s="7"/>
      <c r="I296" s="8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</row>
    <row r="297" spans="1:36" ht="18" customHeight="1" x14ac:dyDescent="0.25">
      <c r="A297" s="7"/>
      <c r="B297" s="7"/>
      <c r="C297" s="7"/>
      <c r="D297" s="7"/>
      <c r="E297" s="7"/>
      <c r="F297" s="7"/>
      <c r="G297" s="7"/>
      <c r="H297" s="7"/>
      <c r="I297" s="8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</row>
    <row r="298" spans="1:36" ht="18" customHeight="1" x14ac:dyDescent="0.25">
      <c r="A298" s="7"/>
      <c r="B298" s="7"/>
      <c r="C298" s="7"/>
      <c r="D298" s="7"/>
      <c r="E298" s="7"/>
      <c r="F298" s="7"/>
      <c r="G298" s="7"/>
      <c r="H298" s="7"/>
      <c r="I298" s="8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</row>
    <row r="299" spans="1:36" ht="18" customHeight="1" x14ac:dyDescent="0.25">
      <c r="A299" s="7"/>
      <c r="B299" s="7"/>
      <c r="C299" s="7"/>
      <c r="D299" s="7"/>
      <c r="E299" s="7"/>
      <c r="F299" s="7"/>
      <c r="G299" s="7"/>
      <c r="H299" s="7"/>
      <c r="I299" s="8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</row>
    <row r="300" spans="1:36" ht="18" customHeight="1" x14ac:dyDescent="0.25">
      <c r="A300" s="7"/>
      <c r="B300" s="7"/>
      <c r="C300" s="7"/>
      <c r="D300" s="7"/>
      <c r="E300" s="7"/>
      <c r="F300" s="7"/>
      <c r="G300" s="7"/>
      <c r="H300" s="7"/>
      <c r="I300" s="8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</row>
    <row r="301" spans="1:36" ht="18" customHeight="1" x14ac:dyDescent="0.25">
      <c r="A301" s="7"/>
      <c r="B301" s="7"/>
      <c r="C301" s="7"/>
      <c r="D301" s="7"/>
      <c r="E301" s="7"/>
      <c r="F301" s="7"/>
      <c r="G301" s="7"/>
      <c r="H301" s="7"/>
      <c r="I301" s="8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</row>
    <row r="302" spans="1:36" ht="18" customHeight="1" x14ac:dyDescent="0.25">
      <c r="A302" s="7"/>
      <c r="B302" s="7"/>
      <c r="C302" s="7"/>
      <c r="D302" s="7"/>
      <c r="E302" s="7"/>
      <c r="F302" s="7"/>
      <c r="G302" s="7"/>
      <c r="H302" s="7"/>
      <c r="I302" s="8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</row>
    <row r="303" spans="1:36" ht="18" customHeight="1" x14ac:dyDescent="0.25">
      <c r="A303" s="7"/>
      <c r="B303" s="7"/>
      <c r="C303" s="7"/>
      <c r="D303" s="7"/>
      <c r="E303" s="7"/>
      <c r="F303" s="7"/>
      <c r="G303" s="7"/>
      <c r="H303" s="7"/>
      <c r="I303" s="8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</row>
    <row r="304" spans="1:36" ht="18" customHeight="1" x14ac:dyDescent="0.25">
      <c r="A304" s="7"/>
      <c r="B304" s="7"/>
      <c r="C304" s="7"/>
      <c r="D304" s="7"/>
      <c r="E304" s="7"/>
      <c r="F304" s="7"/>
      <c r="G304" s="7"/>
      <c r="H304" s="7"/>
      <c r="I304" s="8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</row>
    <row r="305" spans="1:36" ht="18" customHeight="1" x14ac:dyDescent="0.25">
      <c r="A305" s="7"/>
      <c r="B305" s="7"/>
      <c r="C305" s="7"/>
      <c r="D305" s="7"/>
      <c r="E305" s="7"/>
      <c r="F305" s="7"/>
      <c r="G305" s="7"/>
      <c r="H305" s="7"/>
      <c r="I305" s="8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</row>
    <row r="306" spans="1:36" ht="18" customHeight="1" x14ac:dyDescent="0.25">
      <c r="A306" s="7"/>
      <c r="B306" s="7"/>
      <c r="C306" s="7"/>
      <c r="D306" s="7"/>
      <c r="E306" s="7"/>
      <c r="F306" s="7"/>
      <c r="G306" s="7"/>
      <c r="H306" s="7"/>
      <c r="I306" s="8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</row>
    <row r="307" spans="1:36" ht="18" customHeight="1" x14ac:dyDescent="0.25">
      <c r="A307" s="7"/>
      <c r="B307" s="7"/>
      <c r="C307" s="7"/>
      <c r="D307" s="7"/>
      <c r="E307" s="7"/>
      <c r="F307" s="7"/>
      <c r="G307" s="7"/>
      <c r="H307" s="7"/>
      <c r="I307" s="8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</row>
    <row r="308" spans="1:36" ht="18" customHeight="1" x14ac:dyDescent="0.25">
      <c r="A308" s="7"/>
      <c r="B308" s="7"/>
      <c r="C308" s="7"/>
      <c r="D308" s="7"/>
      <c r="E308" s="7"/>
      <c r="F308" s="7"/>
      <c r="G308" s="7"/>
      <c r="H308" s="7"/>
      <c r="I308" s="8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</row>
    <row r="309" spans="1:36" ht="18" customHeight="1" x14ac:dyDescent="0.25">
      <c r="A309" s="7"/>
      <c r="B309" s="7"/>
      <c r="C309" s="7"/>
      <c r="D309" s="7"/>
      <c r="E309" s="7"/>
      <c r="F309" s="7"/>
      <c r="G309" s="7"/>
      <c r="H309" s="7"/>
      <c r="I309" s="8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</row>
    <row r="310" spans="1:36" ht="18" customHeight="1" x14ac:dyDescent="0.25">
      <c r="A310" s="7"/>
      <c r="B310" s="7"/>
      <c r="C310" s="7"/>
      <c r="D310" s="7"/>
      <c r="E310" s="7"/>
      <c r="F310" s="7"/>
      <c r="G310" s="7"/>
      <c r="H310" s="7"/>
      <c r="I310" s="8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</row>
    <row r="311" spans="1:36" ht="18" customHeight="1" x14ac:dyDescent="0.25">
      <c r="A311" s="7"/>
      <c r="B311" s="7"/>
      <c r="C311" s="7"/>
      <c r="D311" s="7"/>
      <c r="E311" s="7"/>
      <c r="F311" s="7"/>
      <c r="G311" s="7"/>
      <c r="H311" s="7"/>
      <c r="I311" s="8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</row>
    <row r="312" spans="1:36" ht="18" customHeight="1" x14ac:dyDescent="0.25">
      <c r="A312" s="7"/>
      <c r="B312" s="7"/>
      <c r="C312" s="7"/>
      <c r="D312" s="7"/>
      <c r="E312" s="7"/>
      <c r="F312" s="7"/>
      <c r="G312" s="7"/>
      <c r="H312" s="7"/>
      <c r="I312" s="8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</row>
    <row r="313" spans="1:36" ht="18" customHeight="1" x14ac:dyDescent="0.25">
      <c r="A313" s="7"/>
      <c r="B313" s="7"/>
      <c r="C313" s="7"/>
      <c r="D313" s="7"/>
      <c r="E313" s="7"/>
      <c r="F313" s="7"/>
      <c r="G313" s="7"/>
      <c r="H313" s="7"/>
      <c r="I313" s="8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</row>
    <row r="314" spans="1:36" ht="18" customHeight="1" x14ac:dyDescent="0.25">
      <c r="A314" s="7"/>
      <c r="B314" s="7"/>
      <c r="C314" s="7"/>
      <c r="D314" s="7"/>
      <c r="E314" s="7"/>
      <c r="F314" s="7"/>
      <c r="G314" s="7"/>
      <c r="H314" s="7"/>
      <c r="I314" s="8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</row>
    <row r="315" spans="1:36" ht="18" customHeight="1" x14ac:dyDescent="0.25">
      <c r="A315" s="7"/>
      <c r="B315" s="7"/>
      <c r="C315" s="7"/>
      <c r="D315" s="7"/>
      <c r="E315" s="7"/>
      <c r="F315" s="7"/>
      <c r="G315" s="7"/>
      <c r="H315" s="7"/>
      <c r="I315" s="8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</row>
    <row r="316" spans="1:36" ht="18" customHeight="1" x14ac:dyDescent="0.25">
      <c r="A316" s="7"/>
      <c r="B316" s="7"/>
      <c r="C316" s="7"/>
      <c r="D316" s="7"/>
      <c r="E316" s="7"/>
      <c r="F316" s="7"/>
      <c r="G316" s="7"/>
      <c r="H316" s="7"/>
      <c r="I316" s="8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</row>
    <row r="317" spans="1:36" ht="18" customHeight="1" x14ac:dyDescent="0.25">
      <c r="A317" s="7"/>
      <c r="B317" s="7"/>
      <c r="C317" s="7"/>
      <c r="D317" s="7"/>
      <c r="E317" s="7"/>
      <c r="F317" s="7"/>
      <c r="G317" s="7"/>
      <c r="H317" s="7"/>
      <c r="I317" s="8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</row>
    <row r="318" spans="1:36" ht="18" customHeight="1" x14ac:dyDescent="0.25">
      <c r="A318" s="7"/>
      <c r="B318" s="7"/>
      <c r="C318" s="7"/>
      <c r="D318" s="7"/>
      <c r="E318" s="7"/>
      <c r="F318" s="7"/>
      <c r="G318" s="7"/>
      <c r="H318" s="7"/>
      <c r="I318" s="8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</row>
    <row r="319" spans="1:36" ht="18" customHeight="1" x14ac:dyDescent="0.25">
      <c r="A319" s="7"/>
      <c r="B319" s="7"/>
      <c r="C319" s="7"/>
      <c r="D319" s="7"/>
      <c r="E319" s="7"/>
      <c r="F319" s="7"/>
      <c r="G319" s="7"/>
      <c r="H319" s="7"/>
      <c r="I319" s="8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</row>
    <row r="320" spans="1:36" ht="18" customHeight="1" x14ac:dyDescent="0.25">
      <c r="A320" s="7"/>
      <c r="B320" s="7"/>
      <c r="C320" s="7"/>
      <c r="D320" s="7"/>
      <c r="E320" s="7"/>
      <c r="F320" s="7"/>
      <c r="G320" s="7"/>
      <c r="H320" s="7"/>
      <c r="I320" s="8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</row>
    <row r="321" spans="1:36" ht="18" customHeight="1" x14ac:dyDescent="0.25">
      <c r="A321" s="7"/>
      <c r="B321" s="7"/>
      <c r="C321" s="7"/>
      <c r="D321" s="7"/>
      <c r="E321" s="7"/>
      <c r="F321" s="7"/>
      <c r="G321" s="7"/>
      <c r="H321" s="7"/>
      <c r="I321" s="8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</row>
    <row r="322" spans="1:36" ht="18" customHeight="1" x14ac:dyDescent="0.25">
      <c r="A322" s="7"/>
      <c r="B322" s="7"/>
      <c r="C322" s="7"/>
      <c r="D322" s="7"/>
      <c r="E322" s="7"/>
      <c r="F322" s="7"/>
      <c r="G322" s="7"/>
      <c r="H322" s="7"/>
      <c r="I322" s="8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</row>
    <row r="323" spans="1:36" ht="18" customHeight="1" x14ac:dyDescent="0.25">
      <c r="A323" s="7"/>
      <c r="B323" s="7"/>
      <c r="C323" s="7"/>
      <c r="D323" s="7"/>
      <c r="E323" s="7"/>
      <c r="F323" s="7"/>
      <c r="G323" s="7"/>
      <c r="H323" s="7"/>
      <c r="I323" s="8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</row>
    <row r="324" spans="1:36" ht="18" customHeight="1" x14ac:dyDescent="0.25">
      <c r="A324" s="7"/>
      <c r="B324" s="7"/>
      <c r="C324" s="7"/>
      <c r="D324" s="7"/>
      <c r="E324" s="7"/>
      <c r="F324" s="7"/>
      <c r="G324" s="7"/>
      <c r="H324" s="7"/>
      <c r="I324" s="8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</row>
    <row r="325" spans="1:36" ht="18" customHeight="1" x14ac:dyDescent="0.25">
      <c r="A325" s="7"/>
      <c r="B325" s="7"/>
      <c r="C325" s="7"/>
      <c r="D325" s="7"/>
      <c r="E325" s="7"/>
      <c r="F325" s="7"/>
      <c r="G325" s="7"/>
      <c r="H325" s="7"/>
      <c r="I325" s="8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</row>
    <row r="326" spans="1:36" ht="18" customHeight="1" x14ac:dyDescent="0.25">
      <c r="A326" s="7"/>
      <c r="B326" s="7"/>
      <c r="C326" s="7"/>
      <c r="D326" s="7"/>
      <c r="E326" s="7"/>
      <c r="F326" s="7"/>
      <c r="G326" s="7"/>
      <c r="H326" s="7"/>
      <c r="I326" s="8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</row>
    <row r="327" spans="1:36" ht="18" customHeight="1" x14ac:dyDescent="0.25">
      <c r="A327" s="7"/>
      <c r="B327" s="7"/>
      <c r="C327" s="7"/>
      <c r="D327" s="7"/>
      <c r="E327" s="7"/>
      <c r="F327" s="7"/>
      <c r="G327" s="7"/>
      <c r="H327" s="7"/>
      <c r="I327" s="8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</row>
    <row r="328" spans="1:36" ht="18" customHeight="1" x14ac:dyDescent="0.25">
      <c r="A328" s="7"/>
      <c r="B328" s="7"/>
      <c r="C328" s="7"/>
      <c r="D328" s="7"/>
      <c r="E328" s="7"/>
      <c r="F328" s="7"/>
      <c r="G328" s="7"/>
      <c r="H328" s="7"/>
      <c r="I328" s="8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</row>
    <row r="329" spans="1:36" ht="18" customHeight="1" x14ac:dyDescent="0.25">
      <c r="A329" s="7"/>
      <c r="B329" s="7"/>
      <c r="C329" s="7"/>
      <c r="D329" s="7"/>
      <c r="E329" s="7"/>
      <c r="F329" s="7"/>
      <c r="G329" s="7"/>
      <c r="H329" s="7"/>
      <c r="I329" s="8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</row>
    <row r="330" spans="1:36" ht="18" customHeight="1" x14ac:dyDescent="0.25">
      <c r="A330" s="7"/>
      <c r="B330" s="7"/>
      <c r="C330" s="7"/>
      <c r="D330" s="7"/>
      <c r="E330" s="7"/>
      <c r="F330" s="7"/>
      <c r="G330" s="7"/>
      <c r="H330" s="7"/>
      <c r="I330" s="8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</row>
    <row r="331" spans="1:36" ht="18" customHeight="1" x14ac:dyDescent="0.25">
      <c r="A331" s="7"/>
      <c r="B331" s="7"/>
      <c r="C331" s="7"/>
      <c r="D331" s="7"/>
      <c r="E331" s="7"/>
      <c r="F331" s="7"/>
      <c r="G331" s="7"/>
      <c r="H331" s="7"/>
      <c r="I331" s="8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</row>
    <row r="332" spans="1:36" ht="18" customHeight="1" x14ac:dyDescent="0.25">
      <c r="A332" s="7"/>
      <c r="B332" s="7"/>
      <c r="C332" s="7"/>
      <c r="D332" s="7"/>
      <c r="E332" s="7"/>
      <c r="F332" s="7"/>
      <c r="G332" s="7"/>
      <c r="H332" s="7"/>
      <c r="I332" s="8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</row>
    <row r="333" spans="1:36" ht="18" customHeight="1" x14ac:dyDescent="0.25">
      <c r="A333" s="7"/>
      <c r="B333" s="7"/>
      <c r="C333" s="7"/>
      <c r="D333" s="7"/>
      <c r="E333" s="7"/>
      <c r="F333" s="7"/>
      <c r="G333" s="7"/>
      <c r="H333" s="7"/>
      <c r="I333" s="8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</row>
    <row r="334" spans="1:36" ht="18" customHeight="1" x14ac:dyDescent="0.25">
      <c r="A334" s="7"/>
      <c r="B334" s="7"/>
      <c r="C334" s="7"/>
      <c r="D334" s="7"/>
      <c r="E334" s="7"/>
      <c r="F334" s="7"/>
      <c r="G334" s="7"/>
      <c r="H334" s="7"/>
      <c r="I334" s="8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</row>
    <row r="335" spans="1:36" ht="18" customHeight="1" x14ac:dyDescent="0.25">
      <c r="A335" s="7"/>
      <c r="B335" s="7"/>
      <c r="C335" s="7"/>
      <c r="D335" s="7"/>
      <c r="E335" s="7"/>
      <c r="F335" s="7"/>
      <c r="G335" s="7"/>
      <c r="H335" s="7"/>
      <c r="I335" s="8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</row>
    <row r="336" spans="1:36" ht="18" customHeight="1" x14ac:dyDescent="0.25">
      <c r="A336" s="7"/>
      <c r="B336" s="7"/>
      <c r="C336" s="7"/>
      <c r="D336" s="7"/>
      <c r="E336" s="7"/>
      <c r="F336" s="7"/>
      <c r="G336" s="7"/>
      <c r="H336" s="7"/>
      <c r="I336" s="8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</row>
    <row r="337" spans="1:36" ht="18" customHeight="1" x14ac:dyDescent="0.25">
      <c r="A337" s="7"/>
      <c r="B337" s="7"/>
      <c r="C337" s="7"/>
      <c r="D337" s="7"/>
      <c r="E337" s="7"/>
      <c r="F337" s="7"/>
      <c r="G337" s="7"/>
      <c r="H337" s="7"/>
      <c r="I337" s="8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</row>
    <row r="338" spans="1:36" ht="18" customHeight="1" x14ac:dyDescent="0.25">
      <c r="A338" s="7"/>
      <c r="B338" s="7"/>
      <c r="C338" s="7"/>
      <c r="D338" s="7"/>
      <c r="E338" s="7"/>
      <c r="F338" s="7"/>
      <c r="G338" s="7"/>
      <c r="H338" s="7"/>
      <c r="I338" s="8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</row>
    <row r="339" spans="1:36" ht="18" customHeight="1" x14ac:dyDescent="0.25">
      <c r="A339" s="7"/>
      <c r="B339" s="7"/>
      <c r="C339" s="7"/>
      <c r="D339" s="7"/>
      <c r="E339" s="7"/>
      <c r="F339" s="7"/>
      <c r="G339" s="7"/>
      <c r="H339" s="7"/>
      <c r="I339" s="8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</row>
    <row r="340" spans="1:36" ht="18" customHeight="1" x14ac:dyDescent="0.25">
      <c r="A340" s="7"/>
      <c r="B340" s="7"/>
      <c r="C340" s="7"/>
      <c r="D340" s="7"/>
      <c r="E340" s="7"/>
      <c r="F340" s="7"/>
      <c r="G340" s="7"/>
      <c r="H340" s="7"/>
      <c r="I340" s="8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</row>
    <row r="341" spans="1:36" ht="18" customHeight="1" x14ac:dyDescent="0.25">
      <c r="A341" s="7"/>
      <c r="B341" s="7"/>
      <c r="C341" s="7"/>
      <c r="D341" s="7"/>
      <c r="E341" s="7"/>
      <c r="F341" s="7"/>
      <c r="G341" s="7"/>
      <c r="H341" s="7"/>
      <c r="I341" s="8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</row>
    <row r="342" spans="1:36" ht="18" customHeight="1" x14ac:dyDescent="0.25">
      <c r="A342" s="7"/>
      <c r="B342" s="7"/>
      <c r="C342" s="7"/>
      <c r="D342" s="7"/>
      <c r="E342" s="7"/>
      <c r="F342" s="7"/>
      <c r="G342" s="7"/>
      <c r="H342" s="7"/>
      <c r="I342" s="8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</row>
    <row r="343" spans="1:36" ht="18" customHeight="1" x14ac:dyDescent="0.25">
      <c r="A343" s="7"/>
      <c r="B343" s="7"/>
      <c r="C343" s="7"/>
      <c r="D343" s="7"/>
      <c r="E343" s="7"/>
      <c r="F343" s="7"/>
      <c r="G343" s="7"/>
      <c r="H343" s="7"/>
      <c r="I343" s="8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</row>
    <row r="344" spans="1:36" ht="18" customHeight="1" x14ac:dyDescent="0.25">
      <c r="A344" s="7"/>
      <c r="B344" s="7"/>
      <c r="C344" s="7"/>
      <c r="D344" s="7"/>
      <c r="E344" s="7"/>
      <c r="F344" s="7"/>
      <c r="G344" s="7"/>
      <c r="H344" s="7"/>
      <c r="I344" s="8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</row>
    <row r="345" spans="1:36" ht="18" customHeight="1" x14ac:dyDescent="0.25">
      <c r="A345" s="7"/>
      <c r="B345" s="7"/>
      <c r="C345" s="7"/>
      <c r="D345" s="7"/>
      <c r="E345" s="7"/>
      <c r="F345" s="7"/>
      <c r="G345" s="7"/>
      <c r="H345" s="7"/>
      <c r="I345" s="8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</row>
    <row r="346" spans="1:36" ht="18" customHeight="1" x14ac:dyDescent="0.25">
      <c r="A346" s="7"/>
      <c r="B346" s="7"/>
      <c r="C346" s="7"/>
      <c r="D346" s="7"/>
      <c r="E346" s="7"/>
      <c r="F346" s="7"/>
      <c r="G346" s="7"/>
      <c r="H346" s="7"/>
      <c r="I346" s="8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</row>
    <row r="347" spans="1:36" ht="18" customHeight="1" x14ac:dyDescent="0.25">
      <c r="A347" s="7"/>
      <c r="B347" s="7"/>
      <c r="C347" s="7"/>
      <c r="D347" s="7"/>
      <c r="E347" s="7"/>
      <c r="F347" s="7"/>
      <c r="G347" s="7"/>
      <c r="H347" s="7"/>
      <c r="I347" s="8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</row>
    <row r="348" spans="1:36" ht="18" customHeight="1" x14ac:dyDescent="0.25">
      <c r="A348" s="7"/>
      <c r="B348" s="7"/>
      <c r="C348" s="7"/>
      <c r="D348" s="7"/>
      <c r="E348" s="7"/>
      <c r="F348" s="7"/>
      <c r="G348" s="7"/>
      <c r="H348" s="7"/>
      <c r="I348" s="8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</row>
    <row r="349" spans="1:36" ht="18" customHeight="1" x14ac:dyDescent="0.25">
      <c r="A349" s="7"/>
      <c r="B349" s="7"/>
      <c r="C349" s="7"/>
      <c r="D349" s="7"/>
      <c r="E349" s="7"/>
      <c r="F349" s="7"/>
      <c r="G349" s="7"/>
      <c r="H349" s="7"/>
      <c r="I349" s="8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</row>
    <row r="350" spans="1:36" ht="18" customHeight="1" x14ac:dyDescent="0.25">
      <c r="A350" s="7"/>
      <c r="B350" s="7"/>
      <c r="C350" s="7"/>
      <c r="D350" s="7"/>
      <c r="E350" s="7"/>
      <c r="F350" s="7"/>
      <c r="G350" s="7"/>
      <c r="H350" s="7"/>
      <c r="I350" s="8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</row>
    <row r="351" spans="1:36" ht="18" customHeight="1" x14ac:dyDescent="0.25">
      <c r="A351" s="7"/>
      <c r="B351" s="7"/>
      <c r="C351" s="7"/>
      <c r="D351" s="7"/>
      <c r="E351" s="7"/>
      <c r="F351" s="7"/>
      <c r="G351" s="7"/>
      <c r="H351" s="7"/>
      <c r="I351" s="8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</row>
    <row r="352" spans="1:36" ht="18" customHeight="1" x14ac:dyDescent="0.25">
      <c r="A352" s="7"/>
      <c r="B352" s="7"/>
      <c r="C352" s="7"/>
      <c r="D352" s="7"/>
      <c r="E352" s="7"/>
      <c r="F352" s="7"/>
      <c r="G352" s="7"/>
      <c r="H352" s="7"/>
      <c r="I352" s="8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</row>
    <row r="353" spans="1:36" ht="18" customHeight="1" x14ac:dyDescent="0.25">
      <c r="A353" s="7"/>
      <c r="B353" s="7"/>
      <c r="C353" s="7"/>
      <c r="D353" s="7"/>
      <c r="E353" s="7"/>
      <c r="F353" s="7"/>
      <c r="G353" s="7"/>
      <c r="H353" s="7"/>
      <c r="I353" s="8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</row>
    <row r="354" spans="1:36" ht="18" customHeight="1" x14ac:dyDescent="0.25">
      <c r="A354" s="7"/>
      <c r="B354" s="7"/>
      <c r="C354" s="7"/>
      <c r="D354" s="7"/>
      <c r="E354" s="7"/>
      <c r="F354" s="7"/>
      <c r="G354" s="7"/>
      <c r="H354" s="7"/>
      <c r="I354" s="8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</row>
    <row r="355" spans="1:36" ht="18" customHeight="1" x14ac:dyDescent="0.25">
      <c r="A355" s="7"/>
      <c r="B355" s="7"/>
      <c r="C355" s="7"/>
      <c r="D355" s="7"/>
      <c r="E355" s="7"/>
      <c r="F355" s="7"/>
      <c r="G355" s="7"/>
      <c r="H355" s="7"/>
      <c r="I355" s="8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</row>
    <row r="356" spans="1:36" ht="18" customHeight="1" x14ac:dyDescent="0.25">
      <c r="A356" s="7"/>
      <c r="B356" s="7"/>
      <c r="C356" s="7"/>
      <c r="D356" s="7"/>
      <c r="E356" s="7"/>
      <c r="F356" s="7"/>
      <c r="G356" s="7"/>
      <c r="H356" s="7"/>
      <c r="I356" s="8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</row>
    <row r="357" spans="1:36" ht="18" customHeight="1" x14ac:dyDescent="0.25">
      <c r="A357" s="7"/>
      <c r="B357" s="7"/>
      <c r="C357" s="7"/>
      <c r="D357" s="7"/>
      <c r="E357" s="7"/>
      <c r="F357" s="7"/>
      <c r="G357" s="7"/>
      <c r="H357" s="7"/>
      <c r="I357" s="8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</row>
    <row r="358" spans="1:36" ht="18" customHeight="1" x14ac:dyDescent="0.25">
      <c r="A358" s="7"/>
      <c r="B358" s="7"/>
      <c r="C358" s="7"/>
      <c r="D358" s="7"/>
      <c r="E358" s="7"/>
      <c r="F358" s="7"/>
      <c r="G358" s="7"/>
      <c r="H358" s="7"/>
      <c r="I358" s="8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</row>
    <row r="359" spans="1:36" ht="18" customHeight="1" x14ac:dyDescent="0.25">
      <c r="A359" s="7"/>
      <c r="B359" s="7"/>
      <c r="C359" s="7"/>
      <c r="D359" s="7"/>
      <c r="E359" s="7"/>
      <c r="F359" s="7"/>
      <c r="G359" s="7"/>
      <c r="H359" s="7"/>
      <c r="I359" s="8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</row>
    <row r="360" spans="1:36" ht="18" customHeight="1" x14ac:dyDescent="0.25">
      <c r="A360" s="7"/>
      <c r="B360" s="7"/>
      <c r="C360" s="7"/>
      <c r="D360" s="7"/>
      <c r="E360" s="7"/>
      <c r="F360" s="7"/>
      <c r="G360" s="7"/>
      <c r="H360" s="7"/>
      <c r="I360" s="8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</row>
    <row r="361" spans="1:36" ht="18" customHeight="1" x14ac:dyDescent="0.25">
      <c r="A361" s="7"/>
      <c r="B361" s="7"/>
      <c r="C361" s="7"/>
      <c r="D361" s="7"/>
      <c r="E361" s="7"/>
      <c r="F361" s="7"/>
      <c r="G361" s="7"/>
      <c r="H361" s="7"/>
      <c r="I361" s="8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</row>
    <row r="362" spans="1:36" ht="18" customHeight="1" x14ac:dyDescent="0.25">
      <c r="A362" s="7"/>
      <c r="B362" s="7"/>
      <c r="C362" s="7"/>
      <c r="D362" s="7"/>
      <c r="E362" s="7"/>
      <c r="F362" s="7"/>
      <c r="G362" s="7"/>
      <c r="H362" s="7"/>
      <c r="I362" s="8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</row>
    <row r="363" spans="1:36" ht="18" customHeight="1" x14ac:dyDescent="0.25">
      <c r="A363" s="7"/>
      <c r="B363" s="7"/>
      <c r="C363" s="7"/>
      <c r="D363" s="7"/>
      <c r="E363" s="7"/>
      <c r="F363" s="7"/>
      <c r="G363" s="7"/>
      <c r="H363" s="7"/>
      <c r="I363" s="8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</row>
    <row r="364" spans="1:36" ht="18" customHeight="1" x14ac:dyDescent="0.25">
      <c r="A364" s="7"/>
      <c r="B364" s="7"/>
      <c r="C364" s="7"/>
      <c r="D364" s="7"/>
      <c r="E364" s="7"/>
      <c r="F364" s="7"/>
      <c r="G364" s="7"/>
      <c r="H364" s="7"/>
      <c r="I364" s="8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</row>
    <row r="365" spans="1:36" ht="18" customHeight="1" x14ac:dyDescent="0.25">
      <c r="A365" s="7"/>
      <c r="B365" s="7"/>
      <c r="C365" s="7"/>
      <c r="D365" s="7"/>
      <c r="E365" s="7"/>
      <c r="F365" s="7"/>
      <c r="G365" s="7"/>
      <c r="H365" s="7"/>
      <c r="I365" s="8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</row>
    <row r="366" spans="1:36" ht="18" customHeight="1" x14ac:dyDescent="0.25">
      <c r="A366" s="7"/>
      <c r="B366" s="7"/>
      <c r="C366" s="7"/>
      <c r="D366" s="7"/>
      <c r="E366" s="7"/>
      <c r="F366" s="7"/>
      <c r="G366" s="7"/>
      <c r="H366" s="7"/>
      <c r="I366" s="8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</row>
    <row r="367" spans="1:36" ht="18" customHeight="1" x14ac:dyDescent="0.25">
      <c r="A367" s="7"/>
      <c r="B367" s="7"/>
      <c r="C367" s="7"/>
      <c r="D367" s="7"/>
      <c r="E367" s="7"/>
      <c r="F367" s="7"/>
      <c r="G367" s="7"/>
      <c r="H367" s="7"/>
      <c r="I367" s="8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</row>
    <row r="368" spans="1:36" ht="18" customHeight="1" x14ac:dyDescent="0.25">
      <c r="A368" s="7"/>
      <c r="B368" s="7"/>
      <c r="C368" s="7"/>
      <c r="D368" s="7"/>
      <c r="E368" s="7"/>
      <c r="F368" s="7"/>
      <c r="G368" s="7"/>
      <c r="H368" s="7"/>
      <c r="I368" s="8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</row>
    <row r="369" spans="1:36" ht="18" customHeight="1" x14ac:dyDescent="0.25">
      <c r="A369" s="7"/>
      <c r="B369" s="7"/>
      <c r="C369" s="7"/>
      <c r="D369" s="7"/>
      <c r="E369" s="7"/>
      <c r="F369" s="7"/>
      <c r="G369" s="7"/>
      <c r="H369" s="7"/>
      <c r="I369" s="8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</row>
    <row r="370" spans="1:36" ht="18" customHeight="1" x14ac:dyDescent="0.25">
      <c r="A370" s="7"/>
      <c r="B370" s="7"/>
      <c r="C370" s="7"/>
      <c r="D370" s="7"/>
      <c r="E370" s="7"/>
      <c r="F370" s="7"/>
      <c r="G370" s="7"/>
      <c r="H370" s="7"/>
      <c r="I370" s="8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</row>
    <row r="371" spans="1:36" ht="18" customHeight="1" x14ac:dyDescent="0.25">
      <c r="A371" s="7"/>
      <c r="B371" s="7"/>
      <c r="C371" s="7"/>
      <c r="D371" s="7"/>
      <c r="E371" s="7"/>
      <c r="F371" s="7"/>
      <c r="G371" s="7"/>
      <c r="H371" s="7"/>
      <c r="I371" s="8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</row>
    <row r="372" spans="1:36" ht="18" customHeight="1" x14ac:dyDescent="0.25">
      <c r="A372" s="7"/>
      <c r="B372" s="7"/>
      <c r="C372" s="7"/>
      <c r="D372" s="7"/>
      <c r="E372" s="7"/>
      <c r="F372" s="7"/>
      <c r="G372" s="7"/>
      <c r="H372" s="7"/>
      <c r="I372" s="8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</row>
    <row r="373" spans="1:36" ht="18" customHeight="1" x14ac:dyDescent="0.25">
      <c r="A373" s="7"/>
      <c r="B373" s="7"/>
      <c r="C373" s="7"/>
      <c r="D373" s="7"/>
      <c r="E373" s="7"/>
      <c r="F373" s="7"/>
      <c r="G373" s="7"/>
      <c r="H373" s="7"/>
      <c r="I373" s="8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</row>
    <row r="374" spans="1:36" ht="18" customHeight="1" x14ac:dyDescent="0.25">
      <c r="A374" s="7"/>
      <c r="B374" s="7"/>
      <c r="C374" s="7"/>
      <c r="D374" s="7"/>
      <c r="E374" s="7"/>
      <c r="F374" s="7"/>
      <c r="G374" s="7"/>
      <c r="H374" s="7"/>
      <c r="I374" s="8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</row>
    <row r="375" spans="1:36" ht="18" customHeight="1" x14ac:dyDescent="0.25">
      <c r="A375" s="7"/>
      <c r="B375" s="7"/>
      <c r="C375" s="7"/>
      <c r="D375" s="7"/>
      <c r="E375" s="7"/>
      <c r="F375" s="7"/>
      <c r="G375" s="7"/>
      <c r="H375" s="7"/>
      <c r="I375" s="8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</row>
    <row r="376" spans="1:36" ht="18" customHeight="1" x14ac:dyDescent="0.25">
      <c r="A376" s="7"/>
      <c r="B376" s="7"/>
      <c r="C376" s="7"/>
      <c r="D376" s="7"/>
      <c r="E376" s="7"/>
      <c r="F376" s="7"/>
      <c r="G376" s="7"/>
      <c r="H376" s="7"/>
      <c r="I376" s="8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</row>
    <row r="377" spans="1:36" ht="18" customHeight="1" x14ac:dyDescent="0.25">
      <c r="A377" s="7"/>
      <c r="B377" s="7"/>
      <c r="C377" s="7"/>
      <c r="D377" s="7"/>
      <c r="E377" s="7"/>
      <c r="F377" s="7"/>
      <c r="G377" s="7"/>
      <c r="H377" s="7"/>
      <c r="I377" s="8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</row>
    <row r="378" spans="1:36" ht="18" customHeight="1" x14ac:dyDescent="0.25">
      <c r="A378" s="7"/>
      <c r="B378" s="7"/>
      <c r="C378" s="7"/>
      <c r="D378" s="7"/>
      <c r="E378" s="7"/>
      <c r="F378" s="7"/>
      <c r="G378" s="7"/>
      <c r="H378" s="7"/>
      <c r="I378" s="8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</row>
    <row r="379" spans="1:36" ht="18" customHeight="1" x14ac:dyDescent="0.25">
      <c r="A379" s="7"/>
      <c r="B379" s="7"/>
      <c r="C379" s="7"/>
      <c r="D379" s="7"/>
      <c r="E379" s="7"/>
      <c r="F379" s="7"/>
      <c r="G379" s="7"/>
      <c r="H379" s="7"/>
      <c r="I379" s="8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</row>
    <row r="380" spans="1:36" ht="18" customHeight="1" x14ac:dyDescent="0.25">
      <c r="A380" s="7"/>
      <c r="B380" s="7"/>
      <c r="C380" s="7"/>
      <c r="D380" s="7"/>
      <c r="E380" s="7"/>
      <c r="F380" s="7"/>
      <c r="G380" s="7"/>
      <c r="H380" s="7"/>
      <c r="I380" s="8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</row>
    <row r="381" spans="1:36" ht="18" customHeight="1" x14ac:dyDescent="0.25">
      <c r="A381" s="7"/>
      <c r="B381" s="7"/>
      <c r="C381" s="7"/>
      <c r="D381" s="7"/>
      <c r="E381" s="7"/>
      <c r="F381" s="7"/>
      <c r="G381" s="7"/>
      <c r="H381" s="7"/>
      <c r="I381" s="8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</row>
    <row r="382" spans="1:36" ht="18" customHeight="1" x14ac:dyDescent="0.25">
      <c r="A382" s="7"/>
      <c r="B382" s="7"/>
      <c r="C382" s="7"/>
      <c r="D382" s="7"/>
      <c r="E382" s="7"/>
      <c r="F382" s="7"/>
      <c r="G382" s="7"/>
      <c r="H382" s="7"/>
      <c r="I382" s="8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</row>
    <row r="383" spans="1:36" ht="18" customHeight="1" x14ac:dyDescent="0.25">
      <c r="A383" s="7"/>
      <c r="B383" s="7"/>
      <c r="C383" s="7"/>
      <c r="D383" s="7"/>
      <c r="E383" s="7"/>
      <c r="F383" s="7"/>
      <c r="G383" s="7"/>
      <c r="H383" s="7"/>
      <c r="I383" s="8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</row>
    <row r="384" spans="1:36" ht="18" customHeight="1" x14ac:dyDescent="0.25">
      <c r="A384" s="7"/>
      <c r="B384" s="7"/>
      <c r="C384" s="7"/>
      <c r="D384" s="7"/>
      <c r="E384" s="7"/>
      <c r="F384" s="7"/>
      <c r="G384" s="7"/>
      <c r="H384" s="7"/>
      <c r="I384" s="8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</row>
    <row r="385" spans="1:36" ht="18" customHeight="1" x14ac:dyDescent="0.25">
      <c r="A385" s="7"/>
      <c r="B385" s="7"/>
      <c r="C385" s="7"/>
      <c r="D385" s="7"/>
      <c r="E385" s="7"/>
      <c r="F385" s="7"/>
      <c r="G385" s="7"/>
      <c r="H385" s="7"/>
      <c r="I385" s="8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</row>
    <row r="386" spans="1:36" ht="18" customHeight="1" x14ac:dyDescent="0.25">
      <c r="A386" s="7"/>
      <c r="B386" s="7"/>
      <c r="C386" s="7"/>
      <c r="D386" s="7"/>
      <c r="E386" s="7"/>
      <c r="F386" s="7"/>
      <c r="G386" s="7"/>
      <c r="H386" s="7"/>
      <c r="I386" s="8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</row>
    <row r="387" spans="1:36" ht="18" customHeight="1" x14ac:dyDescent="0.25">
      <c r="A387" s="7"/>
      <c r="B387" s="7"/>
      <c r="C387" s="7"/>
      <c r="D387" s="7"/>
      <c r="E387" s="7"/>
      <c r="F387" s="7"/>
      <c r="G387" s="7"/>
      <c r="H387" s="7"/>
      <c r="I387" s="8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</row>
    <row r="388" spans="1:36" ht="18" customHeight="1" x14ac:dyDescent="0.25">
      <c r="A388" s="7"/>
      <c r="B388" s="7"/>
      <c r="C388" s="7"/>
      <c r="D388" s="7"/>
      <c r="E388" s="7"/>
      <c r="F388" s="7"/>
      <c r="G388" s="7"/>
      <c r="H388" s="7"/>
      <c r="I388" s="8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</row>
    <row r="389" spans="1:36" ht="18" customHeight="1" x14ac:dyDescent="0.25">
      <c r="A389" s="7"/>
      <c r="B389" s="7"/>
      <c r="C389" s="7"/>
      <c r="D389" s="7"/>
      <c r="E389" s="7"/>
      <c r="F389" s="7"/>
      <c r="G389" s="7"/>
      <c r="H389" s="7"/>
      <c r="I389" s="8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</row>
    <row r="390" spans="1:36" ht="18" customHeight="1" x14ac:dyDescent="0.25">
      <c r="A390" s="7"/>
      <c r="B390" s="7"/>
      <c r="C390" s="7"/>
      <c r="D390" s="7"/>
      <c r="E390" s="7"/>
      <c r="F390" s="7"/>
      <c r="G390" s="7"/>
      <c r="H390" s="7"/>
      <c r="I390" s="8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</row>
    <row r="391" spans="1:36" ht="18" customHeight="1" x14ac:dyDescent="0.25">
      <c r="A391" s="7"/>
      <c r="B391" s="7"/>
      <c r="C391" s="7"/>
      <c r="D391" s="7"/>
      <c r="E391" s="7"/>
      <c r="F391" s="7"/>
      <c r="G391" s="7"/>
      <c r="H391" s="7"/>
      <c r="I391" s="8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</row>
    <row r="392" spans="1:36" ht="18" customHeight="1" x14ac:dyDescent="0.25">
      <c r="A392" s="7"/>
      <c r="B392" s="7"/>
      <c r="C392" s="7"/>
      <c r="D392" s="7"/>
      <c r="E392" s="7"/>
      <c r="F392" s="7"/>
      <c r="G392" s="7"/>
      <c r="H392" s="7"/>
      <c r="I392" s="8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</row>
    <row r="393" spans="1:36" ht="18" customHeight="1" x14ac:dyDescent="0.25">
      <c r="A393" s="7"/>
      <c r="B393" s="7"/>
      <c r="C393" s="7"/>
      <c r="D393" s="7"/>
      <c r="E393" s="7"/>
      <c r="F393" s="7"/>
      <c r="G393" s="7"/>
      <c r="H393" s="7"/>
      <c r="I393" s="8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</row>
    <row r="394" spans="1:36" ht="18" customHeight="1" x14ac:dyDescent="0.25">
      <c r="A394" s="7"/>
      <c r="B394" s="7"/>
      <c r="C394" s="7"/>
      <c r="D394" s="7"/>
      <c r="E394" s="7"/>
      <c r="F394" s="7"/>
      <c r="G394" s="7"/>
      <c r="H394" s="7"/>
      <c r="I394" s="8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</row>
    <row r="395" spans="1:36" ht="18" customHeight="1" x14ac:dyDescent="0.25">
      <c r="A395" s="7"/>
      <c r="B395" s="7"/>
      <c r="C395" s="7"/>
      <c r="D395" s="7"/>
      <c r="E395" s="7"/>
      <c r="F395" s="7"/>
      <c r="G395" s="7"/>
      <c r="H395" s="7"/>
      <c r="I395" s="8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</row>
    <row r="396" spans="1:36" ht="18" customHeight="1" x14ac:dyDescent="0.25">
      <c r="A396" s="7"/>
      <c r="B396" s="7"/>
      <c r="C396" s="7"/>
      <c r="D396" s="7"/>
      <c r="E396" s="7"/>
      <c r="F396" s="7"/>
      <c r="G396" s="7"/>
      <c r="H396" s="7"/>
      <c r="I396" s="8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</row>
    <row r="397" spans="1:36" ht="18" customHeight="1" x14ac:dyDescent="0.25">
      <c r="A397" s="7"/>
      <c r="B397" s="7"/>
      <c r="C397" s="7"/>
      <c r="D397" s="7"/>
      <c r="E397" s="7"/>
      <c r="F397" s="7"/>
      <c r="G397" s="7"/>
      <c r="H397" s="7"/>
      <c r="I397" s="8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</row>
    <row r="398" spans="1:36" ht="18" customHeight="1" x14ac:dyDescent="0.25">
      <c r="A398" s="7"/>
      <c r="B398" s="7"/>
      <c r="C398" s="7"/>
      <c r="D398" s="7"/>
      <c r="E398" s="7"/>
      <c r="F398" s="7"/>
      <c r="G398" s="7"/>
      <c r="H398" s="7"/>
      <c r="I398" s="8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</row>
    <row r="399" spans="1:36" ht="18" customHeight="1" x14ac:dyDescent="0.25">
      <c r="A399" s="7"/>
      <c r="B399" s="7"/>
      <c r="C399" s="7"/>
      <c r="D399" s="7"/>
      <c r="E399" s="7"/>
      <c r="F399" s="7"/>
      <c r="G399" s="7"/>
      <c r="H399" s="7"/>
      <c r="I399" s="8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</row>
    <row r="400" spans="1:36" ht="18" customHeight="1" x14ac:dyDescent="0.25">
      <c r="A400" s="7"/>
      <c r="B400" s="7"/>
      <c r="C400" s="7"/>
      <c r="D400" s="7"/>
      <c r="E400" s="7"/>
      <c r="F400" s="7"/>
      <c r="G400" s="7"/>
      <c r="H400" s="7"/>
      <c r="I400" s="8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</row>
    <row r="401" spans="1:36" ht="18" customHeight="1" x14ac:dyDescent="0.25">
      <c r="A401" s="7"/>
      <c r="B401" s="7"/>
      <c r="C401" s="7"/>
      <c r="D401" s="7"/>
      <c r="E401" s="7"/>
      <c r="F401" s="7"/>
      <c r="G401" s="7"/>
      <c r="H401" s="7"/>
      <c r="I401" s="8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</row>
    <row r="402" spans="1:36" ht="18" customHeight="1" x14ac:dyDescent="0.25">
      <c r="A402" s="7"/>
      <c r="B402" s="7"/>
      <c r="C402" s="7"/>
      <c r="D402" s="7"/>
      <c r="E402" s="7"/>
      <c r="F402" s="7"/>
      <c r="G402" s="7"/>
      <c r="H402" s="7"/>
      <c r="I402" s="8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</row>
    <row r="403" spans="1:36" ht="18" customHeight="1" x14ac:dyDescent="0.25">
      <c r="A403" s="7"/>
      <c r="B403" s="7"/>
      <c r="C403" s="7"/>
      <c r="D403" s="7"/>
      <c r="E403" s="7"/>
      <c r="F403" s="7"/>
      <c r="G403" s="7"/>
      <c r="H403" s="7"/>
      <c r="I403" s="8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</row>
    <row r="404" spans="1:36" ht="18" customHeight="1" x14ac:dyDescent="0.25">
      <c r="A404" s="7"/>
      <c r="B404" s="7"/>
      <c r="C404" s="7"/>
      <c r="D404" s="7"/>
      <c r="E404" s="7"/>
      <c r="F404" s="7"/>
      <c r="G404" s="7"/>
      <c r="H404" s="7"/>
      <c r="I404" s="8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</row>
    <row r="405" spans="1:36" ht="18" customHeight="1" x14ac:dyDescent="0.25">
      <c r="A405" s="7"/>
      <c r="B405" s="7"/>
      <c r="C405" s="7"/>
      <c r="D405" s="7"/>
      <c r="E405" s="7"/>
      <c r="F405" s="7"/>
      <c r="G405" s="7"/>
      <c r="H405" s="7"/>
      <c r="I405" s="8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</row>
    <row r="406" spans="1:36" ht="18" customHeight="1" x14ac:dyDescent="0.25">
      <c r="A406" s="7"/>
      <c r="B406" s="7"/>
      <c r="C406" s="7"/>
      <c r="D406" s="7"/>
      <c r="E406" s="7"/>
      <c r="F406" s="7"/>
      <c r="G406" s="7"/>
      <c r="H406" s="7"/>
      <c r="I406" s="8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</row>
    <row r="407" spans="1:36" ht="18" customHeight="1" x14ac:dyDescent="0.25">
      <c r="A407" s="7"/>
      <c r="B407" s="7"/>
      <c r="C407" s="7"/>
      <c r="D407" s="7"/>
      <c r="E407" s="7"/>
      <c r="F407" s="7"/>
      <c r="G407" s="7"/>
      <c r="H407" s="7"/>
      <c r="I407" s="8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</row>
    <row r="408" spans="1:36" ht="18" customHeight="1" x14ac:dyDescent="0.25">
      <c r="A408" s="7"/>
      <c r="B408" s="7"/>
      <c r="C408" s="7"/>
      <c r="D408" s="7"/>
      <c r="E408" s="7"/>
      <c r="F408" s="7"/>
      <c r="G408" s="7"/>
      <c r="H408" s="7"/>
      <c r="I408" s="8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</row>
    <row r="409" spans="1:36" ht="18" customHeight="1" x14ac:dyDescent="0.25">
      <c r="A409" s="7"/>
      <c r="B409" s="7"/>
      <c r="C409" s="7"/>
      <c r="D409" s="7"/>
      <c r="E409" s="7"/>
      <c r="F409" s="7"/>
      <c r="G409" s="7"/>
      <c r="H409" s="7"/>
      <c r="I409" s="8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</row>
    <row r="410" spans="1:36" ht="18" customHeight="1" x14ac:dyDescent="0.25">
      <c r="A410" s="7"/>
      <c r="B410" s="7"/>
      <c r="C410" s="7"/>
      <c r="D410" s="7"/>
      <c r="E410" s="7"/>
      <c r="F410" s="7"/>
      <c r="G410" s="7"/>
      <c r="H410" s="7"/>
      <c r="I410" s="8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</row>
    <row r="411" spans="1:36" ht="18" customHeight="1" x14ac:dyDescent="0.25">
      <c r="A411" s="7"/>
      <c r="B411" s="7"/>
      <c r="C411" s="7"/>
      <c r="D411" s="7"/>
      <c r="E411" s="7"/>
      <c r="F411" s="7"/>
      <c r="G411" s="7"/>
      <c r="H411" s="7"/>
      <c r="I411" s="8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</row>
    <row r="412" spans="1:36" ht="18" customHeight="1" x14ac:dyDescent="0.25">
      <c r="A412" s="7"/>
      <c r="B412" s="7"/>
      <c r="C412" s="7"/>
      <c r="D412" s="7"/>
      <c r="E412" s="7"/>
      <c r="F412" s="7"/>
      <c r="G412" s="7"/>
      <c r="H412" s="7"/>
      <c r="I412" s="8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</row>
    <row r="413" spans="1:36" ht="18" customHeight="1" x14ac:dyDescent="0.25">
      <c r="A413" s="7"/>
      <c r="B413" s="7"/>
      <c r="C413" s="7"/>
      <c r="D413" s="7"/>
      <c r="E413" s="7"/>
      <c r="F413" s="7"/>
      <c r="G413" s="7"/>
      <c r="H413" s="7"/>
      <c r="I413" s="8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</row>
    <row r="414" spans="1:36" ht="18" customHeight="1" x14ac:dyDescent="0.25">
      <c r="A414" s="7"/>
      <c r="B414" s="7"/>
      <c r="C414" s="7"/>
      <c r="D414" s="7"/>
      <c r="E414" s="7"/>
      <c r="F414" s="7"/>
      <c r="G414" s="7"/>
      <c r="H414" s="7"/>
      <c r="I414" s="8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</row>
    <row r="415" spans="1:36" ht="18" customHeight="1" x14ac:dyDescent="0.25">
      <c r="A415" s="7"/>
      <c r="B415" s="7"/>
      <c r="C415" s="7"/>
      <c r="D415" s="7"/>
      <c r="E415" s="7"/>
      <c r="F415" s="7"/>
      <c r="G415" s="7"/>
      <c r="H415" s="7"/>
      <c r="I415" s="8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</row>
    <row r="416" spans="1:36" ht="18" customHeight="1" x14ac:dyDescent="0.25">
      <c r="A416" s="7"/>
      <c r="B416" s="7"/>
      <c r="C416" s="7"/>
      <c r="D416" s="7"/>
      <c r="E416" s="7"/>
      <c r="F416" s="7"/>
      <c r="G416" s="7"/>
      <c r="H416" s="7"/>
      <c r="I416" s="8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</row>
    <row r="417" spans="1:36" ht="18" customHeight="1" x14ac:dyDescent="0.25">
      <c r="A417" s="7"/>
      <c r="B417" s="7"/>
      <c r="C417" s="7"/>
      <c r="D417" s="7"/>
      <c r="E417" s="7"/>
      <c r="F417" s="7"/>
      <c r="G417" s="7"/>
      <c r="H417" s="7"/>
      <c r="I417" s="8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</row>
    <row r="418" spans="1:36" ht="18" customHeight="1" x14ac:dyDescent="0.25">
      <c r="A418" s="7"/>
      <c r="B418" s="7"/>
      <c r="C418" s="7"/>
      <c r="D418" s="7"/>
      <c r="E418" s="7"/>
      <c r="F418" s="7"/>
      <c r="G418" s="7"/>
      <c r="H418" s="7"/>
      <c r="I418" s="8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</row>
    <row r="419" spans="1:36" ht="18" customHeight="1" x14ac:dyDescent="0.25">
      <c r="A419" s="7"/>
      <c r="B419" s="7"/>
      <c r="C419" s="7"/>
      <c r="D419" s="7"/>
      <c r="E419" s="7"/>
      <c r="F419" s="7"/>
      <c r="G419" s="7"/>
      <c r="H419" s="7"/>
      <c r="I419" s="8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</row>
    <row r="420" spans="1:36" ht="18" customHeight="1" x14ac:dyDescent="0.25">
      <c r="A420" s="7"/>
      <c r="B420" s="7"/>
      <c r="C420" s="7"/>
      <c r="D420" s="7"/>
      <c r="E420" s="7"/>
      <c r="F420" s="7"/>
      <c r="G420" s="7"/>
      <c r="H420" s="7"/>
      <c r="I420" s="8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</row>
    <row r="421" spans="1:36" ht="18" customHeight="1" x14ac:dyDescent="0.25">
      <c r="A421" s="7"/>
      <c r="B421" s="7"/>
      <c r="C421" s="7"/>
      <c r="D421" s="7"/>
      <c r="E421" s="7"/>
      <c r="F421" s="7"/>
      <c r="G421" s="7"/>
      <c r="H421" s="7"/>
      <c r="I421" s="8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</row>
    <row r="422" spans="1:36" ht="18" customHeight="1" x14ac:dyDescent="0.25">
      <c r="A422" s="7"/>
      <c r="B422" s="7"/>
      <c r="C422" s="7"/>
      <c r="D422" s="7"/>
      <c r="E422" s="7"/>
      <c r="F422" s="7"/>
      <c r="G422" s="7"/>
      <c r="H422" s="7"/>
      <c r="I422" s="8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</row>
    <row r="423" spans="1:36" ht="18" customHeight="1" x14ac:dyDescent="0.25">
      <c r="A423" s="7"/>
      <c r="B423" s="7"/>
      <c r="C423" s="7"/>
      <c r="D423" s="7"/>
      <c r="E423" s="7"/>
      <c r="F423" s="7"/>
      <c r="G423" s="7"/>
      <c r="H423" s="7"/>
      <c r="I423" s="8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</row>
    <row r="424" spans="1:36" ht="18" customHeight="1" x14ac:dyDescent="0.25">
      <c r="A424" s="7"/>
      <c r="B424" s="7"/>
      <c r="C424" s="7"/>
      <c r="D424" s="7"/>
      <c r="E424" s="7"/>
      <c r="F424" s="7"/>
      <c r="G424" s="7"/>
      <c r="H424" s="7"/>
      <c r="I424" s="8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</row>
    <row r="425" spans="1:36" ht="18" customHeight="1" x14ac:dyDescent="0.25">
      <c r="A425" s="7"/>
      <c r="B425" s="7"/>
      <c r="C425" s="7"/>
      <c r="D425" s="7"/>
      <c r="E425" s="7"/>
      <c r="F425" s="7"/>
      <c r="G425" s="7"/>
      <c r="H425" s="7"/>
      <c r="I425" s="8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</row>
    <row r="426" spans="1:36" ht="18" customHeight="1" x14ac:dyDescent="0.25">
      <c r="A426" s="7"/>
      <c r="B426" s="7"/>
      <c r="C426" s="7"/>
      <c r="D426" s="7"/>
      <c r="E426" s="7"/>
      <c r="F426" s="7"/>
      <c r="G426" s="7"/>
      <c r="H426" s="7"/>
      <c r="I426" s="8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</row>
    <row r="427" spans="1:36" ht="18" customHeight="1" x14ac:dyDescent="0.25">
      <c r="A427" s="7"/>
      <c r="B427" s="7"/>
      <c r="C427" s="7"/>
      <c r="D427" s="7"/>
      <c r="E427" s="7"/>
      <c r="F427" s="7"/>
      <c r="G427" s="7"/>
      <c r="H427" s="7"/>
      <c r="I427" s="8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</row>
    <row r="428" spans="1:36" ht="18" customHeight="1" x14ac:dyDescent="0.25">
      <c r="A428" s="7"/>
      <c r="B428" s="7"/>
      <c r="C428" s="7"/>
      <c r="D428" s="7"/>
      <c r="E428" s="7"/>
      <c r="F428" s="7"/>
      <c r="G428" s="7"/>
      <c r="H428" s="7"/>
      <c r="I428" s="8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</row>
    <row r="429" spans="1:36" ht="18" customHeight="1" x14ac:dyDescent="0.25">
      <c r="A429" s="7"/>
      <c r="B429" s="7"/>
      <c r="C429" s="7"/>
      <c r="D429" s="7"/>
      <c r="E429" s="7"/>
      <c r="F429" s="7"/>
      <c r="G429" s="7"/>
      <c r="H429" s="7"/>
      <c r="I429" s="8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</row>
    <row r="430" spans="1:36" ht="18" customHeight="1" x14ac:dyDescent="0.25">
      <c r="A430" s="7"/>
      <c r="B430" s="7"/>
      <c r="C430" s="7"/>
      <c r="D430" s="7"/>
      <c r="E430" s="7"/>
      <c r="F430" s="7"/>
      <c r="G430" s="7"/>
      <c r="H430" s="7"/>
      <c r="I430" s="8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</row>
    <row r="431" spans="1:36" ht="18" customHeight="1" x14ac:dyDescent="0.25">
      <c r="A431" s="7"/>
      <c r="B431" s="7"/>
      <c r="C431" s="7"/>
      <c r="D431" s="7"/>
      <c r="E431" s="7"/>
      <c r="F431" s="7"/>
      <c r="G431" s="7"/>
      <c r="H431" s="7"/>
      <c r="I431" s="8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</row>
    <row r="432" spans="1:36" ht="18" customHeight="1" x14ac:dyDescent="0.25">
      <c r="A432" s="7"/>
      <c r="B432" s="7"/>
      <c r="C432" s="7"/>
      <c r="D432" s="7"/>
      <c r="E432" s="7"/>
      <c r="F432" s="7"/>
      <c r="G432" s="7"/>
      <c r="H432" s="7"/>
      <c r="I432" s="8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</row>
    <row r="433" spans="1:36" ht="18" customHeight="1" x14ac:dyDescent="0.25">
      <c r="A433" s="7"/>
      <c r="B433" s="7"/>
      <c r="C433" s="7"/>
      <c r="D433" s="7"/>
      <c r="E433" s="7"/>
      <c r="F433" s="7"/>
      <c r="G433" s="7"/>
      <c r="H433" s="7"/>
      <c r="I433" s="8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</row>
    <row r="434" spans="1:36" ht="18" customHeight="1" x14ac:dyDescent="0.25">
      <c r="A434" s="7"/>
      <c r="B434" s="7"/>
      <c r="C434" s="7"/>
      <c r="D434" s="7"/>
      <c r="E434" s="7"/>
      <c r="F434" s="7"/>
      <c r="G434" s="7"/>
      <c r="H434" s="7"/>
      <c r="I434" s="8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</row>
    <row r="435" spans="1:36" ht="18" customHeight="1" x14ac:dyDescent="0.25">
      <c r="A435" s="7"/>
      <c r="B435" s="7"/>
      <c r="C435" s="7"/>
      <c r="D435" s="7"/>
      <c r="E435" s="7"/>
      <c r="F435" s="7"/>
      <c r="G435" s="7"/>
      <c r="H435" s="7"/>
      <c r="I435" s="8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</row>
    <row r="436" spans="1:36" ht="18" customHeight="1" x14ac:dyDescent="0.25">
      <c r="A436" s="7"/>
      <c r="B436" s="7"/>
      <c r="C436" s="7"/>
      <c r="D436" s="7"/>
      <c r="E436" s="7"/>
      <c r="F436" s="7"/>
      <c r="G436" s="7"/>
      <c r="H436" s="7"/>
      <c r="I436" s="8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</row>
    <row r="437" spans="1:36" ht="18" customHeight="1" x14ac:dyDescent="0.25">
      <c r="A437" s="7"/>
      <c r="B437" s="7"/>
      <c r="C437" s="7"/>
      <c r="D437" s="7"/>
      <c r="E437" s="7"/>
      <c r="F437" s="7"/>
      <c r="G437" s="7"/>
      <c r="H437" s="7"/>
      <c r="I437" s="8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</row>
    <row r="438" spans="1:36" ht="18" customHeight="1" x14ac:dyDescent="0.25">
      <c r="A438" s="7"/>
      <c r="B438" s="7"/>
      <c r="C438" s="7"/>
      <c r="D438" s="7"/>
      <c r="E438" s="7"/>
      <c r="F438" s="7"/>
      <c r="G438" s="7"/>
      <c r="H438" s="7"/>
      <c r="I438" s="8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</row>
    <row r="439" spans="1:36" ht="18" customHeight="1" x14ac:dyDescent="0.25">
      <c r="A439" s="7"/>
      <c r="B439" s="7"/>
      <c r="C439" s="7"/>
      <c r="D439" s="7"/>
      <c r="E439" s="7"/>
      <c r="F439" s="7"/>
      <c r="G439" s="7"/>
      <c r="H439" s="7"/>
      <c r="I439" s="8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</row>
    <row r="440" spans="1:36" ht="18" customHeight="1" x14ac:dyDescent="0.25">
      <c r="A440" s="7"/>
      <c r="B440" s="7"/>
      <c r="C440" s="7"/>
      <c r="D440" s="7"/>
      <c r="E440" s="7"/>
      <c r="F440" s="7"/>
      <c r="G440" s="7"/>
      <c r="H440" s="7"/>
      <c r="I440" s="8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</row>
    <row r="441" spans="1:36" ht="18" customHeight="1" x14ac:dyDescent="0.25">
      <c r="A441" s="7"/>
      <c r="B441" s="7"/>
      <c r="C441" s="7"/>
      <c r="D441" s="7"/>
      <c r="E441" s="7"/>
      <c r="F441" s="7"/>
      <c r="G441" s="7"/>
      <c r="H441" s="7"/>
      <c r="I441" s="8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</row>
    <row r="442" spans="1:36" ht="18" customHeight="1" x14ac:dyDescent="0.25">
      <c r="A442" s="7"/>
      <c r="B442" s="7"/>
      <c r="C442" s="7"/>
      <c r="D442" s="7"/>
      <c r="E442" s="7"/>
      <c r="F442" s="7"/>
      <c r="G442" s="7"/>
      <c r="H442" s="7"/>
      <c r="I442" s="8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</row>
    <row r="443" spans="1:36" ht="18" customHeight="1" x14ac:dyDescent="0.25">
      <c r="A443" s="7"/>
      <c r="B443" s="7"/>
      <c r="C443" s="7"/>
      <c r="D443" s="7"/>
      <c r="E443" s="7"/>
      <c r="F443" s="7"/>
      <c r="G443" s="7"/>
      <c r="H443" s="7"/>
      <c r="I443" s="8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</row>
    <row r="444" spans="1:36" ht="18" customHeight="1" x14ac:dyDescent="0.25">
      <c r="A444" s="7"/>
      <c r="B444" s="7"/>
      <c r="C444" s="7"/>
      <c r="D444" s="7"/>
      <c r="E444" s="7"/>
      <c r="F444" s="7"/>
      <c r="G444" s="7"/>
      <c r="H444" s="7"/>
      <c r="I444" s="8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</row>
    <row r="445" spans="1:36" ht="18" customHeight="1" x14ac:dyDescent="0.25">
      <c r="A445" s="7"/>
      <c r="B445" s="7"/>
      <c r="C445" s="7"/>
      <c r="D445" s="7"/>
      <c r="E445" s="7"/>
      <c r="F445" s="7"/>
      <c r="G445" s="7"/>
      <c r="H445" s="7"/>
      <c r="I445" s="8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</row>
    <row r="446" spans="1:36" ht="18" customHeight="1" x14ac:dyDescent="0.25">
      <c r="A446" s="7"/>
      <c r="B446" s="7"/>
      <c r="C446" s="7"/>
      <c r="D446" s="7"/>
      <c r="E446" s="7"/>
      <c r="F446" s="7"/>
      <c r="G446" s="7"/>
      <c r="H446" s="7"/>
      <c r="I446" s="8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</row>
    <row r="447" spans="1:36" ht="18" customHeight="1" x14ac:dyDescent="0.25">
      <c r="A447" s="7"/>
      <c r="B447" s="7"/>
      <c r="C447" s="7"/>
      <c r="D447" s="7"/>
      <c r="E447" s="7"/>
      <c r="F447" s="7"/>
      <c r="G447" s="7"/>
      <c r="H447" s="7"/>
      <c r="I447" s="8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</row>
    <row r="448" spans="1:36" ht="18" customHeight="1" x14ac:dyDescent="0.25">
      <c r="A448" s="7"/>
      <c r="B448" s="7"/>
      <c r="C448" s="7"/>
      <c r="D448" s="7"/>
      <c r="E448" s="7"/>
      <c r="F448" s="7"/>
      <c r="G448" s="7"/>
      <c r="H448" s="7"/>
      <c r="I448" s="8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</row>
    <row r="449" spans="1:36" ht="18" customHeight="1" x14ac:dyDescent="0.25">
      <c r="A449" s="7"/>
      <c r="B449" s="7"/>
      <c r="C449" s="7"/>
      <c r="D449" s="7"/>
      <c r="E449" s="7"/>
      <c r="F449" s="7"/>
      <c r="G449" s="7"/>
      <c r="H449" s="7"/>
      <c r="I449" s="8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</row>
    <row r="450" spans="1:36" ht="18" customHeight="1" x14ac:dyDescent="0.25">
      <c r="A450" s="7"/>
      <c r="B450" s="7"/>
      <c r="C450" s="7"/>
      <c r="D450" s="7"/>
      <c r="E450" s="7"/>
      <c r="F450" s="7"/>
      <c r="G450" s="7"/>
      <c r="H450" s="7"/>
      <c r="I450" s="8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</row>
    <row r="451" spans="1:36" ht="18" customHeight="1" x14ac:dyDescent="0.25">
      <c r="A451" s="7"/>
      <c r="B451" s="7"/>
      <c r="C451" s="7"/>
      <c r="D451" s="7"/>
      <c r="E451" s="7"/>
      <c r="F451" s="7"/>
      <c r="G451" s="7"/>
      <c r="H451" s="7"/>
      <c r="I451" s="8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</row>
    <row r="452" spans="1:36" ht="18" customHeight="1" x14ac:dyDescent="0.25">
      <c r="A452" s="7"/>
      <c r="B452" s="7"/>
      <c r="C452" s="7"/>
      <c r="D452" s="7"/>
      <c r="E452" s="7"/>
      <c r="F452" s="7"/>
      <c r="G452" s="7"/>
      <c r="H452" s="7"/>
      <c r="I452" s="8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</row>
    <row r="453" spans="1:36" ht="18" customHeight="1" x14ac:dyDescent="0.25">
      <c r="A453" s="7"/>
      <c r="B453" s="7"/>
      <c r="C453" s="7"/>
      <c r="D453" s="7"/>
      <c r="E453" s="7"/>
      <c r="F453" s="7"/>
      <c r="G453" s="7"/>
      <c r="H453" s="7"/>
      <c r="I453" s="8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</row>
    <row r="454" spans="1:36" ht="18" customHeight="1" x14ac:dyDescent="0.25">
      <c r="A454" s="7"/>
      <c r="B454" s="7"/>
      <c r="C454" s="7"/>
      <c r="D454" s="7"/>
      <c r="E454" s="7"/>
      <c r="F454" s="7"/>
      <c r="G454" s="7"/>
      <c r="H454" s="7"/>
      <c r="I454" s="8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</row>
    <row r="455" spans="1:36" ht="18" customHeight="1" x14ac:dyDescent="0.25">
      <c r="A455" s="7"/>
      <c r="B455" s="7"/>
      <c r="C455" s="7"/>
      <c r="D455" s="7"/>
      <c r="E455" s="7"/>
      <c r="F455" s="7"/>
      <c r="G455" s="7"/>
      <c r="H455" s="7"/>
      <c r="I455" s="8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</row>
    <row r="456" spans="1:36" ht="18" customHeight="1" x14ac:dyDescent="0.25">
      <c r="A456" s="7"/>
      <c r="B456" s="7"/>
      <c r="C456" s="7"/>
      <c r="D456" s="7"/>
      <c r="E456" s="7"/>
      <c r="F456" s="7"/>
      <c r="G456" s="7"/>
      <c r="H456" s="7"/>
      <c r="I456" s="8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</row>
    <row r="457" spans="1:36" ht="18" customHeight="1" x14ac:dyDescent="0.25">
      <c r="A457" s="7"/>
      <c r="B457" s="7"/>
      <c r="C457" s="7"/>
      <c r="D457" s="7"/>
      <c r="E457" s="7"/>
      <c r="F457" s="7"/>
      <c r="G457" s="7"/>
      <c r="H457" s="7"/>
      <c r="I457" s="8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</row>
    <row r="458" spans="1:36" ht="18" customHeight="1" x14ac:dyDescent="0.25">
      <c r="A458" s="7"/>
      <c r="B458" s="7"/>
      <c r="C458" s="7"/>
      <c r="D458" s="7"/>
      <c r="E458" s="7"/>
      <c r="F458" s="7"/>
      <c r="G458" s="7"/>
      <c r="H458" s="7"/>
      <c r="I458" s="8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</row>
    <row r="459" spans="1:36" ht="18" customHeight="1" x14ac:dyDescent="0.25">
      <c r="A459" s="7"/>
      <c r="B459" s="7"/>
      <c r="C459" s="7"/>
      <c r="D459" s="7"/>
      <c r="E459" s="7"/>
      <c r="F459" s="7"/>
      <c r="G459" s="7"/>
      <c r="H459" s="7"/>
      <c r="I459" s="8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</row>
    <row r="460" spans="1:36" ht="18" customHeight="1" x14ac:dyDescent="0.25">
      <c r="A460" s="7"/>
      <c r="B460" s="7"/>
      <c r="C460" s="7"/>
      <c r="D460" s="7"/>
      <c r="E460" s="7"/>
      <c r="F460" s="7"/>
      <c r="G460" s="7"/>
      <c r="H460" s="7"/>
      <c r="I460" s="8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</row>
    <row r="461" spans="1:36" ht="18" customHeight="1" x14ac:dyDescent="0.25">
      <c r="A461" s="7"/>
      <c r="B461" s="7"/>
      <c r="C461" s="7"/>
      <c r="D461" s="7"/>
      <c r="E461" s="7"/>
      <c r="F461" s="7"/>
      <c r="G461" s="7"/>
      <c r="H461" s="7"/>
      <c r="I461" s="8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</row>
    <row r="462" spans="1:36" ht="18" customHeight="1" x14ac:dyDescent="0.25">
      <c r="A462" s="7"/>
      <c r="B462" s="7"/>
      <c r="C462" s="7"/>
      <c r="D462" s="7"/>
      <c r="E462" s="7"/>
      <c r="F462" s="7"/>
      <c r="G462" s="7"/>
      <c r="H462" s="7"/>
      <c r="I462" s="8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</row>
    <row r="463" spans="1:36" ht="18" customHeight="1" x14ac:dyDescent="0.25">
      <c r="A463" s="7"/>
      <c r="B463" s="7"/>
      <c r="C463" s="7"/>
      <c r="D463" s="7"/>
      <c r="E463" s="7"/>
      <c r="F463" s="7"/>
      <c r="G463" s="7"/>
      <c r="H463" s="7"/>
      <c r="I463" s="8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</row>
    <row r="464" spans="1:36" ht="18" customHeight="1" x14ac:dyDescent="0.25">
      <c r="A464" s="7"/>
      <c r="B464" s="7"/>
      <c r="C464" s="7"/>
      <c r="D464" s="7"/>
      <c r="E464" s="7"/>
      <c r="F464" s="7"/>
      <c r="G464" s="7"/>
      <c r="H464" s="7"/>
      <c r="I464" s="8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</row>
    <row r="465" spans="1:36" ht="18" customHeight="1" x14ac:dyDescent="0.25">
      <c r="A465" s="7"/>
      <c r="B465" s="7"/>
      <c r="C465" s="7"/>
      <c r="D465" s="7"/>
      <c r="E465" s="7"/>
      <c r="F465" s="7"/>
      <c r="G465" s="7"/>
      <c r="H465" s="7"/>
      <c r="I465" s="8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</row>
    <row r="466" spans="1:36" ht="18" customHeight="1" x14ac:dyDescent="0.25">
      <c r="A466" s="7"/>
      <c r="B466" s="7"/>
      <c r="C466" s="7"/>
      <c r="D466" s="7"/>
      <c r="E466" s="7"/>
      <c r="F466" s="7"/>
      <c r="G466" s="7"/>
      <c r="H466" s="7"/>
      <c r="I466" s="8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</row>
    <row r="467" spans="1:36" ht="18" customHeight="1" x14ac:dyDescent="0.25">
      <c r="A467" s="7"/>
      <c r="B467" s="7"/>
      <c r="C467" s="7"/>
      <c r="D467" s="7"/>
      <c r="E467" s="7"/>
      <c r="F467" s="7"/>
      <c r="G467" s="7"/>
      <c r="H467" s="7"/>
      <c r="I467" s="8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</row>
    <row r="468" spans="1:36" ht="18" customHeight="1" x14ac:dyDescent="0.25">
      <c r="A468" s="7"/>
      <c r="B468" s="7"/>
      <c r="C468" s="7"/>
      <c r="D468" s="7"/>
      <c r="E468" s="7"/>
      <c r="F468" s="7"/>
      <c r="G468" s="7"/>
      <c r="H468" s="7"/>
      <c r="I468" s="8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</row>
    <row r="469" spans="1:36" ht="18" customHeight="1" x14ac:dyDescent="0.25">
      <c r="A469" s="7"/>
      <c r="B469" s="7"/>
      <c r="C469" s="7"/>
      <c r="D469" s="7"/>
      <c r="E469" s="7"/>
      <c r="F469" s="7"/>
      <c r="G469" s="7"/>
      <c r="H469" s="7"/>
      <c r="I469" s="8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</row>
    <row r="470" spans="1:36" ht="18" customHeight="1" x14ac:dyDescent="0.25">
      <c r="A470" s="7"/>
      <c r="B470" s="7"/>
      <c r="C470" s="7"/>
      <c r="D470" s="7"/>
      <c r="E470" s="7"/>
      <c r="F470" s="7"/>
      <c r="G470" s="7"/>
      <c r="H470" s="7"/>
      <c r="I470" s="8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</row>
    <row r="471" spans="1:36" ht="18" customHeight="1" x14ac:dyDescent="0.25">
      <c r="A471" s="7"/>
      <c r="B471" s="7"/>
      <c r="C471" s="7"/>
      <c r="D471" s="7"/>
      <c r="E471" s="7"/>
      <c r="F471" s="7"/>
      <c r="G471" s="7"/>
      <c r="H471" s="7"/>
      <c r="I471" s="8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</row>
    <row r="472" spans="1:36" ht="18" customHeight="1" x14ac:dyDescent="0.25">
      <c r="A472" s="7"/>
      <c r="B472" s="7"/>
      <c r="C472" s="7"/>
      <c r="D472" s="7"/>
      <c r="E472" s="7"/>
      <c r="F472" s="7"/>
      <c r="G472" s="7"/>
      <c r="H472" s="7"/>
      <c r="I472" s="8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</row>
    <row r="473" spans="1:36" ht="18" customHeight="1" x14ac:dyDescent="0.25">
      <c r="A473" s="7"/>
      <c r="B473" s="7"/>
      <c r="C473" s="7"/>
      <c r="D473" s="7"/>
      <c r="E473" s="7"/>
      <c r="F473" s="7"/>
      <c r="G473" s="7"/>
      <c r="H473" s="7"/>
      <c r="I473" s="8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</row>
    <row r="474" spans="1:36" ht="18" customHeight="1" x14ac:dyDescent="0.25">
      <c r="A474" s="7"/>
      <c r="B474" s="7"/>
      <c r="C474" s="7"/>
      <c r="D474" s="7"/>
      <c r="E474" s="7"/>
      <c r="F474" s="7"/>
      <c r="G474" s="7"/>
      <c r="H474" s="7"/>
      <c r="I474" s="8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</row>
    <row r="475" spans="1:36" ht="18" customHeight="1" x14ac:dyDescent="0.25">
      <c r="A475" s="7"/>
      <c r="B475" s="7"/>
      <c r="C475" s="7"/>
      <c r="D475" s="7"/>
      <c r="E475" s="7"/>
      <c r="F475" s="7"/>
      <c r="G475" s="7"/>
      <c r="H475" s="7"/>
      <c r="I475" s="8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</row>
    <row r="476" spans="1:36" ht="18" customHeight="1" x14ac:dyDescent="0.25">
      <c r="A476" s="7"/>
      <c r="B476" s="7"/>
      <c r="C476" s="7"/>
      <c r="D476" s="7"/>
      <c r="E476" s="7"/>
      <c r="F476" s="7"/>
      <c r="G476" s="7"/>
      <c r="H476" s="7"/>
      <c r="I476" s="8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</row>
    <row r="477" spans="1:36" ht="18" customHeight="1" x14ac:dyDescent="0.25">
      <c r="A477" s="7"/>
      <c r="B477" s="7"/>
      <c r="C477" s="7"/>
      <c r="D477" s="7"/>
      <c r="E477" s="7"/>
      <c r="F477" s="7"/>
      <c r="G477" s="7"/>
      <c r="H477" s="7"/>
      <c r="I477" s="8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</row>
    <row r="478" spans="1:36" ht="18" customHeight="1" x14ac:dyDescent="0.25">
      <c r="A478" s="7"/>
      <c r="B478" s="7"/>
      <c r="C478" s="7"/>
      <c r="D478" s="7"/>
      <c r="E478" s="7"/>
      <c r="F478" s="7"/>
      <c r="G478" s="7"/>
      <c r="H478" s="7"/>
      <c r="I478" s="8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</row>
    <row r="479" spans="1:36" ht="18" customHeight="1" x14ac:dyDescent="0.25">
      <c r="A479" s="7"/>
      <c r="B479" s="7"/>
      <c r="C479" s="7"/>
      <c r="D479" s="7"/>
      <c r="E479" s="7"/>
      <c r="F479" s="7"/>
      <c r="G479" s="7"/>
      <c r="H479" s="7"/>
      <c r="I479" s="8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</row>
    <row r="480" spans="1:36" ht="18" customHeight="1" x14ac:dyDescent="0.25">
      <c r="A480" s="7"/>
      <c r="B480" s="7"/>
      <c r="C480" s="7"/>
      <c r="D480" s="7"/>
      <c r="E480" s="7"/>
      <c r="F480" s="7"/>
      <c r="G480" s="7"/>
      <c r="H480" s="7"/>
      <c r="I480" s="8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</row>
    <row r="481" spans="1:36" ht="18" customHeight="1" x14ac:dyDescent="0.25">
      <c r="A481" s="7"/>
      <c r="B481" s="7"/>
      <c r="C481" s="7"/>
      <c r="D481" s="7"/>
      <c r="E481" s="7"/>
      <c r="F481" s="7"/>
      <c r="G481" s="7"/>
      <c r="H481" s="7"/>
      <c r="I481" s="8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</row>
    <row r="482" spans="1:36" ht="18" customHeight="1" x14ac:dyDescent="0.25">
      <c r="A482" s="7"/>
      <c r="B482" s="7"/>
      <c r="C482" s="7"/>
      <c r="D482" s="7"/>
      <c r="E482" s="7"/>
      <c r="F482" s="7"/>
      <c r="G482" s="7"/>
      <c r="H482" s="7"/>
      <c r="I482" s="8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</row>
    <row r="483" spans="1:36" ht="18" customHeight="1" x14ac:dyDescent="0.25">
      <c r="A483" s="7"/>
      <c r="B483" s="7"/>
      <c r="C483" s="7"/>
      <c r="D483" s="7"/>
      <c r="E483" s="7"/>
      <c r="F483" s="7"/>
      <c r="G483" s="7"/>
      <c r="H483" s="7"/>
      <c r="I483" s="8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</row>
    <row r="484" spans="1:36" ht="18" customHeight="1" x14ac:dyDescent="0.25">
      <c r="A484" s="7"/>
      <c r="B484" s="7"/>
      <c r="C484" s="7"/>
      <c r="D484" s="7"/>
      <c r="E484" s="7"/>
      <c r="F484" s="7"/>
      <c r="G484" s="7"/>
      <c r="H484" s="7"/>
      <c r="I484" s="8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</row>
    <row r="485" spans="1:36" ht="18" customHeight="1" x14ac:dyDescent="0.25">
      <c r="A485" s="7"/>
      <c r="B485" s="7"/>
      <c r="C485" s="7"/>
      <c r="D485" s="7"/>
      <c r="E485" s="7"/>
      <c r="F485" s="7"/>
      <c r="G485" s="7"/>
      <c r="H485" s="7"/>
      <c r="I485" s="8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</row>
    <row r="486" spans="1:36" ht="18" customHeight="1" x14ac:dyDescent="0.25">
      <c r="A486" s="7"/>
      <c r="B486" s="7"/>
      <c r="C486" s="7"/>
      <c r="D486" s="7"/>
      <c r="E486" s="7"/>
      <c r="F486" s="7"/>
      <c r="G486" s="7"/>
      <c r="H486" s="7"/>
      <c r="I486" s="8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</row>
    <row r="487" spans="1:36" ht="18" customHeight="1" x14ac:dyDescent="0.25">
      <c r="A487" s="7"/>
      <c r="B487" s="7"/>
      <c r="C487" s="7"/>
      <c r="D487" s="7"/>
      <c r="E487" s="7"/>
      <c r="F487" s="7"/>
      <c r="G487" s="7"/>
      <c r="H487" s="7"/>
      <c r="I487" s="8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</row>
    <row r="488" spans="1:36" ht="18" customHeight="1" x14ac:dyDescent="0.25">
      <c r="A488" s="7"/>
      <c r="B488" s="7"/>
      <c r="C488" s="7"/>
      <c r="D488" s="7"/>
      <c r="E488" s="7"/>
      <c r="F488" s="7"/>
      <c r="G488" s="7"/>
      <c r="H488" s="7"/>
      <c r="I488" s="8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</row>
    <row r="489" spans="1:36" ht="18" customHeight="1" x14ac:dyDescent="0.25">
      <c r="A489" s="7"/>
      <c r="B489" s="7"/>
      <c r="C489" s="7"/>
      <c r="D489" s="7"/>
      <c r="E489" s="7"/>
      <c r="F489" s="7"/>
      <c r="G489" s="7"/>
      <c r="H489" s="7"/>
      <c r="I489" s="8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</row>
    <row r="490" spans="1:36" ht="18" customHeight="1" x14ac:dyDescent="0.25">
      <c r="A490" s="7"/>
      <c r="B490" s="7"/>
      <c r="C490" s="7"/>
      <c r="D490" s="7"/>
      <c r="E490" s="7"/>
      <c r="F490" s="7"/>
      <c r="G490" s="7"/>
      <c r="H490" s="7"/>
      <c r="I490" s="8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</row>
    <row r="491" spans="1:36" ht="18" customHeight="1" x14ac:dyDescent="0.25">
      <c r="A491" s="7"/>
      <c r="B491" s="7"/>
      <c r="C491" s="7"/>
      <c r="D491" s="7"/>
      <c r="E491" s="7"/>
      <c r="F491" s="7"/>
      <c r="G491" s="7"/>
      <c r="H491" s="7"/>
      <c r="I491" s="8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</row>
    <row r="492" spans="1:36" ht="18" customHeight="1" x14ac:dyDescent="0.25">
      <c r="A492" s="7"/>
      <c r="B492" s="7"/>
      <c r="C492" s="7"/>
      <c r="D492" s="7"/>
      <c r="E492" s="7"/>
      <c r="F492" s="7"/>
      <c r="G492" s="7"/>
      <c r="H492" s="7"/>
      <c r="I492" s="8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</row>
    <row r="493" spans="1:36" ht="18" customHeight="1" x14ac:dyDescent="0.25">
      <c r="A493" s="7"/>
      <c r="B493" s="7"/>
      <c r="C493" s="7"/>
      <c r="D493" s="7"/>
      <c r="E493" s="7"/>
      <c r="F493" s="7"/>
      <c r="G493" s="7"/>
      <c r="H493" s="7"/>
      <c r="I493" s="8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</row>
    <row r="494" spans="1:36" ht="18" customHeight="1" x14ac:dyDescent="0.25">
      <c r="A494" s="7"/>
      <c r="B494" s="7"/>
      <c r="C494" s="7"/>
      <c r="D494" s="7"/>
      <c r="E494" s="7"/>
      <c r="F494" s="7"/>
      <c r="G494" s="7"/>
      <c r="H494" s="7"/>
      <c r="I494" s="8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</row>
    <row r="495" spans="1:36" ht="18" customHeight="1" x14ac:dyDescent="0.25">
      <c r="A495" s="7"/>
      <c r="B495" s="7"/>
      <c r="C495" s="7"/>
      <c r="D495" s="7"/>
      <c r="E495" s="7"/>
      <c r="F495" s="7"/>
      <c r="G495" s="7"/>
      <c r="H495" s="7"/>
      <c r="I495" s="8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</row>
    <row r="496" spans="1:36" ht="18" customHeight="1" x14ac:dyDescent="0.25">
      <c r="A496" s="7"/>
      <c r="B496" s="7"/>
      <c r="C496" s="7"/>
      <c r="D496" s="7"/>
      <c r="E496" s="7"/>
      <c r="F496" s="7"/>
      <c r="G496" s="7"/>
      <c r="H496" s="7"/>
      <c r="I496" s="8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</row>
    <row r="497" spans="1:36" ht="18" customHeight="1" x14ac:dyDescent="0.25">
      <c r="A497" s="7"/>
      <c r="B497" s="7"/>
      <c r="C497" s="7"/>
      <c r="D497" s="7"/>
      <c r="E497" s="7"/>
      <c r="F497" s="7"/>
      <c r="G497" s="7"/>
      <c r="H497" s="7"/>
      <c r="I497" s="8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</row>
    <row r="498" spans="1:36" ht="18" customHeight="1" x14ac:dyDescent="0.25">
      <c r="A498" s="7"/>
      <c r="B498" s="7"/>
      <c r="C498" s="7"/>
      <c r="D498" s="7"/>
      <c r="E498" s="7"/>
      <c r="F498" s="7"/>
      <c r="G498" s="7"/>
      <c r="H498" s="7"/>
      <c r="I498" s="8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</row>
    <row r="499" spans="1:36" ht="18" customHeight="1" x14ac:dyDescent="0.25">
      <c r="A499" s="7"/>
      <c r="B499" s="7"/>
      <c r="C499" s="7"/>
      <c r="D499" s="7"/>
      <c r="E499" s="7"/>
      <c r="F499" s="7"/>
      <c r="G499" s="7"/>
      <c r="H499" s="7"/>
      <c r="I499" s="8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</row>
    <row r="500" spans="1:36" ht="18" customHeight="1" x14ac:dyDescent="0.25">
      <c r="A500" s="7"/>
      <c r="B500" s="7"/>
      <c r="C500" s="7"/>
      <c r="D500" s="7"/>
      <c r="E500" s="7"/>
      <c r="F500" s="7"/>
      <c r="G500" s="7"/>
      <c r="H500" s="7"/>
      <c r="I500" s="8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</row>
    <row r="501" spans="1:36" ht="18" customHeight="1" x14ac:dyDescent="0.25">
      <c r="A501" s="7"/>
      <c r="B501" s="7"/>
      <c r="C501" s="7"/>
      <c r="D501" s="7"/>
      <c r="E501" s="7"/>
      <c r="F501" s="7"/>
      <c r="G501" s="7"/>
      <c r="H501" s="7"/>
      <c r="I501" s="8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</row>
    <row r="502" spans="1:36" ht="18" customHeight="1" x14ac:dyDescent="0.25">
      <c r="A502" s="7"/>
      <c r="B502" s="7"/>
      <c r="C502" s="7"/>
      <c r="D502" s="7"/>
      <c r="E502" s="7"/>
      <c r="F502" s="7"/>
      <c r="G502" s="7"/>
      <c r="H502" s="7"/>
      <c r="I502" s="8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</row>
    <row r="503" spans="1:36" ht="18" customHeight="1" x14ac:dyDescent="0.25">
      <c r="A503" s="7"/>
      <c r="B503" s="7"/>
      <c r="C503" s="7"/>
      <c r="D503" s="7"/>
      <c r="E503" s="7"/>
      <c r="F503" s="7"/>
      <c r="G503" s="7"/>
      <c r="H503" s="7"/>
      <c r="I503" s="8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</row>
    <row r="504" spans="1:36" ht="18" customHeight="1" x14ac:dyDescent="0.25">
      <c r="A504" s="7"/>
      <c r="B504" s="7"/>
      <c r="C504" s="7"/>
      <c r="D504" s="7"/>
      <c r="E504" s="7"/>
      <c r="F504" s="7"/>
      <c r="G504" s="7"/>
      <c r="H504" s="7"/>
      <c r="I504" s="8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</row>
    <row r="505" spans="1:36" ht="18" customHeight="1" x14ac:dyDescent="0.25">
      <c r="A505" s="7"/>
      <c r="B505" s="7"/>
      <c r="C505" s="7"/>
      <c r="D505" s="7"/>
      <c r="E505" s="7"/>
      <c r="F505" s="7"/>
      <c r="G505" s="7"/>
      <c r="H505" s="7"/>
      <c r="I505" s="8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</row>
    <row r="506" spans="1:36" ht="18" customHeight="1" x14ac:dyDescent="0.25">
      <c r="A506" s="7"/>
      <c r="B506" s="7"/>
      <c r="C506" s="7"/>
      <c r="D506" s="7"/>
      <c r="E506" s="7"/>
      <c r="F506" s="7"/>
      <c r="G506" s="7"/>
      <c r="H506" s="7"/>
      <c r="I506" s="8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</row>
    <row r="507" spans="1:36" ht="18" customHeight="1" x14ac:dyDescent="0.25">
      <c r="A507" s="7"/>
      <c r="B507" s="7"/>
      <c r="C507" s="7"/>
      <c r="D507" s="7"/>
      <c r="E507" s="7"/>
      <c r="F507" s="7"/>
      <c r="G507" s="7"/>
      <c r="H507" s="7"/>
      <c r="I507" s="8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</row>
    <row r="508" spans="1:36" ht="18" customHeight="1" x14ac:dyDescent="0.25">
      <c r="A508" s="7"/>
      <c r="B508" s="7"/>
      <c r="C508" s="7"/>
      <c r="D508" s="7"/>
      <c r="E508" s="7"/>
      <c r="F508" s="7"/>
      <c r="G508" s="7"/>
      <c r="H508" s="7"/>
      <c r="I508" s="8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</row>
    <row r="509" spans="1:36" ht="18" customHeight="1" x14ac:dyDescent="0.25">
      <c r="A509" s="7"/>
      <c r="B509" s="7"/>
      <c r="C509" s="7"/>
      <c r="D509" s="7"/>
      <c r="E509" s="7"/>
      <c r="F509" s="7"/>
      <c r="G509" s="7"/>
      <c r="H509" s="7"/>
      <c r="I509" s="8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</row>
    <row r="510" spans="1:36" ht="18" customHeight="1" x14ac:dyDescent="0.25">
      <c r="A510" s="7"/>
      <c r="B510" s="7"/>
      <c r="C510" s="7"/>
      <c r="D510" s="7"/>
      <c r="E510" s="7"/>
      <c r="F510" s="7"/>
      <c r="G510" s="7"/>
      <c r="H510" s="7"/>
      <c r="I510" s="8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</row>
    <row r="511" spans="1:36" ht="18" customHeight="1" x14ac:dyDescent="0.25">
      <c r="A511" s="7"/>
      <c r="B511" s="7"/>
      <c r="C511" s="7"/>
      <c r="D511" s="7"/>
      <c r="E511" s="7"/>
      <c r="F511" s="7"/>
      <c r="G511" s="7"/>
      <c r="H511" s="7"/>
      <c r="I511" s="8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</row>
    <row r="512" spans="1:36" ht="18" customHeight="1" x14ac:dyDescent="0.25">
      <c r="A512" s="7"/>
      <c r="B512" s="7"/>
      <c r="C512" s="7"/>
      <c r="D512" s="7"/>
      <c r="E512" s="7"/>
      <c r="F512" s="7"/>
      <c r="G512" s="7"/>
      <c r="H512" s="7"/>
      <c r="I512" s="8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</row>
    <row r="513" spans="1:36" ht="18" customHeight="1" x14ac:dyDescent="0.25">
      <c r="A513" s="7"/>
      <c r="B513" s="7"/>
      <c r="C513" s="7"/>
      <c r="D513" s="7"/>
      <c r="E513" s="7"/>
      <c r="F513" s="7"/>
      <c r="G513" s="7"/>
      <c r="H513" s="7"/>
      <c r="I513" s="8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</row>
    <row r="514" spans="1:36" ht="18" customHeight="1" x14ac:dyDescent="0.25">
      <c r="A514" s="7"/>
      <c r="B514" s="7"/>
      <c r="C514" s="7"/>
      <c r="D514" s="7"/>
      <c r="E514" s="7"/>
      <c r="F514" s="7"/>
      <c r="G514" s="7"/>
      <c r="H514" s="7"/>
      <c r="I514" s="8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</row>
    <row r="515" spans="1:36" ht="18" customHeight="1" x14ac:dyDescent="0.25">
      <c r="A515" s="7"/>
      <c r="B515" s="7"/>
      <c r="C515" s="7"/>
      <c r="D515" s="7"/>
      <c r="E515" s="7"/>
      <c r="F515" s="7"/>
      <c r="G515" s="7"/>
      <c r="H515" s="7"/>
      <c r="I515" s="8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</row>
    <row r="516" spans="1:36" ht="18" customHeight="1" x14ac:dyDescent="0.25">
      <c r="A516" s="7"/>
      <c r="B516" s="7"/>
      <c r="C516" s="7"/>
      <c r="D516" s="7"/>
      <c r="E516" s="7"/>
      <c r="F516" s="7"/>
      <c r="G516" s="7"/>
      <c r="H516" s="7"/>
      <c r="I516" s="8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</row>
    <row r="517" spans="1:36" ht="18" customHeight="1" x14ac:dyDescent="0.25">
      <c r="A517" s="7"/>
      <c r="B517" s="7"/>
      <c r="C517" s="7"/>
      <c r="D517" s="7"/>
      <c r="E517" s="7"/>
      <c r="F517" s="7"/>
      <c r="G517" s="7"/>
      <c r="H517" s="7"/>
      <c r="I517" s="8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</row>
    <row r="518" spans="1:36" ht="18" customHeight="1" x14ac:dyDescent="0.25">
      <c r="A518" s="7"/>
      <c r="B518" s="7"/>
      <c r="C518" s="7"/>
      <c r="D518" s="7"/>
      <c r="E518" s="7"/>
      <c r="F518" s="7"/>
      <c r="G518" s="7"/>
      <c r="H518" s="7"/>
      <c r="I518" s="8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</row>
    <row r="519" spans="1:36" ht="18" customHeight="1" x14ac:dyDescent="0.25">
      <c r="A519" s="7"/>
      <c r="B519" s="7"/>
      <c r="C519" s="7"/>
      <c r="D519" s="7"/>
      <c r="E519" s="7"/>
      <c r="F519" s="7"/>
      <c r="G519" s="7"/>
      <c r="H519" s="7"/>
      <c r="I519" s="8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</row>
    <row r="520" spans="1:36" ht="18" customHeight="1" x14ac:dyDescent="0.25">
      <c r="A520" s="7"/>
      <c r="B520" s="7"/>
      <c r="C520" s="7"/>
      <c r="D520" s="7"/>
      <c r="E520" s="7"/>
      <c r="F520" s="7"/>
      <c r="G520" s="7"/>
      <c r="H520" s="7"/>
      <c r="I520" s="8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</row>
    <row r="521" spans="1:36" ht="18" customHeight="1" x14ac:dyDescent="0.25">
      <c r="A521" s="7"/>
      <c r="B521" s="7"/>
      <c r="C521" s="7"/>
      <c r="D521" s="7"/>
      <c r="E521" s="7"/>
      <c r="F521" s="7"/>
      <c r="G521" s="7"/>
      <c r="H521" s="7"/>
      <c r="I521" s="8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</row>
    <row r="522" spans="1:36" ht="18" customHeight="1" x14ac:dyDescent="0.25">
      <c r="A522" s="7"/>
      <c r="B522" s="7"/>
      <c r="C522" s="7"/>
      <c r="D522" s="7"/>
      <c r="E522" s="7"/>
      <c r="F522" s="7"/>
      <c r="G522" s="7"/>
      <c r="H522" s="7"/>
      <c r="I522" s="8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</row>
    <row r="523" spans="1:36" ht="18" customHeight="1" x14ac:dyDescent="0.25">
      <c r="A523" s="7"/>
      <c r="B523" s="7"/>
      <c r="C523" s="7"/>
      <c r="D523" s="7"/>
      <c r="E523" s="7"/>
      <c r="F523" s="7"/>
      <c r="G523" s="7"/>
      <c r="H523" s="7"/>
      <c r="I523" s="8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</row>
    <row r="524" spans="1:36" ht="18" customHeight="1" x14ac:dyDescent="0.25">
      <c r="A524" s="7"/>
      <c r="B524" s="7"/>
      <c r="C524" s="7"/>
      <c r="D524" s="7"/>
      <c r="E524" s="7"/>
      <c r="F524" s="7"/>
      <c r="G524" s="7"/>
      <c r="H524" s="7"/>
      <c r="I524" s="8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</row>
    <row r="525" spans="1:36" ht="18" customHeight="1" x14ac:dyDescent="0.25">
      <c r="A525" s="7"/>
      <c r="B525" s="7"/>
      <c r="C525" s="7"/>
      <c r="D525" s="7"/>
      <c r="E525" s="7"/>
      <c r="F525" s="7"/>
      <c r="G525" s="7"/>
      <c r="H525" s="7"/>
      <c r="I525" s="8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</row>
    <row r="526" spans="1:36" ht="18" customHeight="1" x14ac:dyDescent="0.25">
      <c r="A526" s="7"/>
      <c r="B526" s="7"/>
      <c r="C526" s="7"/>
      <c r="D526" s="7"/>
      <c r="E526" s="7"/>
      <c r="F526" s="7"/>
      <c r="G526" s="7"/>
      <c r="H526" s="7"/>
      <c r="I526" s="8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</row>
    <row r="527" spans="1:36" ht="18" customHeight="1" x14ac:dyDescent="0.25">
      <c r="A527" s="7"/>
      <c r="B527" s="7"/>
      <c r="C527" s="7"/>
      <c r="D527" s="7"/>
      <c r="E527" s="7"/>
      <c r="F527" s="7"/>
      <c r="G527" s="7"/>
      <c r="H527" s="7"/>
      <c r="I527" s="8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</row>
    <row r="528" spans="1:36" ht="18" customHeight="1" x14ac:dyDescent="0.25">
      <c r="A528" s="7"/>
      <c r="B528" s="7"/>
      <c r="C528" s="7"/>
      <c r="D528" s="7"/>
      <c r="E528" s="7"/>
      <c r="F528" s="7"/>
      <c r="G528" s="7"/>
      <c r="H528" s="7"/>
      <c r="I528" s="8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</row>
    <row r="529" spans="1:36" ht="18" customHeight="1" x14ac:dyDescent="0.25">
      <c r="A529" s="7"/>
      <c r="B529" s="7"/>
      <c r="C529" s="7"/>
      <c r="D529" s="7"/>
      <c r="E529" s="7"/>
      <c r="F529" s="7"/>
      <c r="G529" s="7"/>
      <c r="H529" s="7"/>
      <c r="I529" s="8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</row>
    <row r="530" spans="1:36" ht="18" customHeight="1" x14ac:dyDescent="0.25">
      <c r="A530" s="7"/>
      <c r="B530" s="7"/>
      <c r="C530" s="7"/>
      <c r="D530" s="7"/>
      <c r="E530" s="7"/>
      <c r="F530" s="7"/>
      <c r="G530" s="7"/>
      <c r="H530" s="7"/>
      <c r="I530" s="8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</row>
    <row r="531" spans="1:36" ht="18" customHeight="1" x14ac:dyDescent="0.25">
      <c r="A531" s="7"/>
      <c r="B531" s="7"/>
      <c r="C531" s="7"/>
      <c r="D531" s="7"/>
      <c r="E531" s="7"/>
      <c r="F531" s="7"/>
      <c r="G531" s="7"/>
      <c r="H531" s="7"/>
      <c r="I531" s="8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</row>
    <row r="532" spans="1:36" ht="18" customHeight="1" x14ac:dyDescent="0.25">
      <c r="A532" s="7"/>
      <c r="B532" s="7"/>
      <c r="C532" s="7"/>
      <c r="D532" s="7"/>
      <c r="E532" s="7"/>
      <c r="F532" s="7"/>
      <c r="G532" s="7"/>
      <c r="H532" s="7"/>
      <c r="I532" s="8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</row>
    <row r="533" spans="1:36" ht="18" customHeight="1" x14ac:dyDescent="0.25">
      <c r="A533" s="7"/>
      <c r="B533" s="7"/>
      <c r="C533" s="7"/>
      <c r="D533" s="7"/>
      <c r="E533" s="7"/>
      <c r="F533" s="7"/>
      <c r="G533" s="7"/>
      <c r="H533" s="7"/>
      <c r="I533" s="8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</row>
    <row r="534" spans="1:36" ht="18" customHeight="1" x14ac:dyDescent="0.25">
      <c r="A534" s="7"/>
      <c r="B534" s="7"/>
      <c r="C534" s="7"/>
      <c r="D534" s="7"/>
      <c r="E534" s="7"/>
      <c r="F534" s="7"/>
      <c r="G534" s="7"/>
      <c r="H534" s="7"/>
      <c r="I534" s="8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</row>
    <row r="535" spans="1:36" ht="18" customHeight="1" x14ac:dyDescent="0.25">
      <c r="A535" s="7"/>
      <c r="B535" s="7"/>
      <c r="C535" s="7"/>
      <c r="D535" s="7"/>
      <c r="E535" s="7"/>
      <c r="F535" s="7"/>
      <c r="G535" s="7"/>
      <c r="H535" s="7"/>
      <c r="I535" s="8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</row>
    <row r="536" spans="1:36" ht="18" customHeight="1" x14ac:dyDescent="0.25">
      <c r="A536" s="7"/>
      <c r="B536" s="7"/>
      <c r="C536" s="7"/>
      <c r="D536" s="7"/>
      <c r="E536" s="7"/>
      <c r="F536" s="7"/>
      <c r="G536" s="7"/>
      <c r="H536" s="7"/>
      <c r="I536" s="8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</row>
    <row r="537" spans="1:36" ht="18" customHeight="1" x14ac:dyDescent="0.25">
      <c r="A537" s="7"/>
      <c r="B537" s="7"/>
      <c r="C537" s="7"/>
      <c r="D537" s="7"/>
      <c r="E537" s="7"/>
      <c r="F537" s="7"/>
      <c r="G537" s="7"/>
      <c r="H537" s="7"/>
      <c r="I537" s="8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</row>
    <row r="538" spans="1:36" ht="18" customHeight="1" x14ac:dyDescent="0.25">
      <c r="A538" s="7"/>
      <c r="B538" s="7"/>
      <c r="C538" s="7"/>
      <c r="D538" s="7"/>
      <c r="E538" s="7"/>
      <c r="F538" s="7"/>
      <c r="G538" s="7"/>
      <c r="H538" s="7"/>
      <c r="I538" s="8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</row>
    <row r="539" spans="1:36" ht="18" customHeight="1" x14ac:dyDescent="0.25">
      <c r="A539" s="7"/>
      <c r="B539" s="7"/>
      <c r="C539" s="7"/>
      <c r="D539" s="7"/>
      <c r="E539" s="7"/>
      <c r="F539" s="7"/>
      <c r="G539" s="7"/>
      <c r="H539" s="7"/>
      <c r="I539" s="8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</row>
    <row r="540" spans="1:36" ht="18" customHeight="1" x14ac:dyDescent="0.25">
      <c r="A540" s="7"/>
      <c r="B540" s="7"/>
      <c r="C540" s="7"/>
      <c r="D540" s="7"/>
      <c r="E540" s="7"/>
      <c r="F540" s="7"/>
      <c r="G540" s="7"/>
      <c r="H540" s="7"/>
      <c r="I540" s="8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</row>
    <row r="541" spans="1:36" ht="18" customHeight="1" x14ac:dyDescent="0.25">
      <c r="A541" s="7"/>
      <c r="B541" s="7"/>
      <c r="C541" s="7"/>
      <c r="D541" s="7"/>
      <c r="E541" s="7"/>
      <c r="F541" s="7"/>
      <c r="G541" s="7"/>
      <c r="H541" s="7"/>
      <c r="I541" s="8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</row>
    <row r="542" spans="1:36" ht="18" customHeight="1" x14ac:dyDescent="0.25">
      <c r="A542" s="7"/>
      <c r="B542" s="7"/>
      <c r="C542" s="7"/>
      <c r="D542" s="7"/>
      <c r="E542" s="7"/>
      <c r="F542" s="7"/>
      <c r="G542" s="7"/>
      <c r="H542" s="7"/>
      <c r="I542" s="8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</row>
    <row r="543" spans="1:36" ht="18" customHeight="1" x14ac:dyDescent="0.25">
      <c r="A543" s="7"/>
      <c r="B543" s="7"/>
      <c r="C543" s="7"/>
      <c r="D543" s="7"/>
      <c r="E543" s="7"/>
      <c r="F543" s="7"/>
      <c r="G543" s="7"/>
      <c r="H543" s="7"/>
      <c r="I543" s="8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</row>
    <row r="544" spans="1:36" ht="18" customHeight="1" x14ac:dyDescent="0.25">
      <c r="A544" s="7"/>
      <c r="B544" s="7"/>
      <c r="C544" s="7"/>
      <c r="D544" s="7"/>
      <c r="E544" s="7"/>
      <c r="F544" s="7"/>
      <c r="G544" s="7"/>
      <c r="H544" s="7"/>
      <c r="I544" s="8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</row>
    <row r="545" spans="1:36" ht="18" customHeight="1" x14ac:dyDescent="0.25">
      <c r="A545" s="7"/>
      <c r="B545" s="7"/>
      <c r="C545" s="7"/>
      <c r="D545" s="7"/>
      <c r="E545" s="7"/>
      <c r="F545" s="7"/>
      <c r="G545" s="7"/>
      <c r="H545" s="7"/>
      <c r="I545" s="8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</row>
    <row r="546" spans="1:36" ht="18" customHeight="1" x14ac:dyDescent="0.25">
      <c r="A546" s="7"/>
      <c r="B546" s="7"/>
      <c r="C546" s="7"/>
      <c r="D546" s="7"/>
      <c r="E546" s="7"/>
      <c r="F546" s="7"/>
      <c r="G546" s="7"/>
      <c r="H546" s="7"/>
      <c r="I546" s="8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</row>
    <row r="547" spans="1:36" ht="18" customHeight="1" x14ac:dyDescent="0.25">
      <c r="A547" s="7"/>
      <c r="B547" s="7"/>
      <c r="C547" s="7"/>
      <c r="D547" s="7"/>
      <c r="E547" s="7"/>
      <c r="F547" s="7"/>
      <c r="G547" s="7"/>
      <c r="H547" s="7"/>
      <c r="I547" s="8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</row>
    <row r="548" spans="1:36" ht="18" customHeight="1" x14ac:dyDescent="0.25">
      <c r="A548" s="7"/>
      <c r="B548" s="7"/>
      <c r="C548" s="7"/>
      <c r="D548" s="7"/>
      <c r="E548" s="7"/>
      <c r="F548" s="7"/>
      <c r="G548" s="7"/>
      <c r="H548" s="7"/>
      <c r="I548" s="8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</row>
    <row r="549" spans="1:36" ht="18" customHeight="1" x14ac:dyDescent="0.25">
      <c r="A549" s="7"/>
      <c r="B549" s="7"/>
      <c r="C549" s="7"/>
      <c r="D549" s="7"/>
      <c r="E549" s="7"/>
      <c r="F549" s="7"/>
      <c r="G549" s="7"/>
      <c r="H549" s="7"/>
      <c r="I549" s="8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</row>
    <row r="550" spans="1:36" ht="18" customHeight="1" x14ac:dyDescent="0.25">
      <c r="A550" s="7"/>
      <c r="B550" s="7"/>
      <c r="C550" s="7"/>
      <c r="D550" s="7"/>
      <c r="E550" s="7"/>
      <c r="F550" s="7"/>
      <c r="G550" s="7"/>
      <c r="H550" s="7"/>
      <c r="I550" s="8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</row>
    <row r="551" spans="1:36" ht="18" customHeight="1" x14ac:dyDescent="0.25">
      <c r="A551" s="7"/>
      <c r="B551" s="7"/>
      <c r="C551" s="7"/>
      <c r="D551" s="7"/>
      <c r="E551" s="7"/>
      <c r="F551" s="7"/>
      <c r="G551" s="7"/>
      <c r="H551" s="7"/>
      <c r="I551" s="8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</row>
    <row r="552" spans="1:36" ht="18" customHeight="1" x14ac:dyDescent="0.25">
      <c r="A552" s="7"/>
      <c r="B552" s="7"/>
      <c r="C552" s="7"/>
      <c r="D552" s="7"/>
      <c r="E552" s="7"/>
      <c r="F552" s="7"/>
      <c r="G552" s="7"/>
      <c r="H552" s="7"/>
      <c r="I552" s="8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</row>
    <row r="553" spans="1:36" ht="18" customHeight="1" x14ac:dyDescent="0.25">
      <c r="A553" s="7"/>
      <c r="B553" s="7"/>
      <c r="C553" s="7"/>
      <c r="D553" s="7"/>
      <c r="E553" s="7"/>
      <c r="F553" s="7"/>
      <c r="G553" s="7"/>
      <c r="H553" s="7"/>
      <c r="I553" s="8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</row>
    <row r="554" spans="1:36" ht="18" customHeight="1" x14ac:dyDescent="0.25">
      <c r="A554" s="7"/>
      <c r="B554" s="7"/>
      <c r="C554" s="7"/>
      <c r="D554" s="7"/>
      <c r="E554" s="7"/>
      <c r="F554" s="7"/>
      <c r="G554" s="7"/>
      <c r="H554" s="7"/>
      <c r="I554" s="8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</row>
    <row r="555" spans="1:36" ht="18" customHeight="1" x14ac:dyDescent="0.25">
      <c r="A555" s="7"/>
      <c r="B555" s="7"/>
      <c r="C555" s="7"/>
      <c r="D555" s="7"/>
      <c r="E555" s="7"/>
      <c r="F555" s="7"/>
      <c r="G555" s="7"/>
      <c r="H555" s="7"/>
      <c r="I555" s="8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</row>
    <row r="556" spans="1:36" ht="18" customHeight="1" x14ac:dyDescent="0.25">
      <c r="A556" s="7"/>
      <c r="B556" s="7"/>
      <c r="C556" s="7"/>
      <c r="D556" s="7"/>
      <c r="E556" s="7"/>
      <c r="F556" s="7"/>
      <c r="G556" s="7"/>
      <c r="H556" s="7"/>
      <c r="I556" s="8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</row>
    <row r="557" spans="1:36" ht="18" customHeight="1" x14ac:dyDescent="0.25">
      <c r="A557" s="7"/>
      <c r="B557" s="7"/>
      <c r="C557" s="7"/>
      <c r="D557" s="7"/>
      <c r="E557" s="7"/>
      <c r="F557" s="7"/>
      <c r="G557" s="7"/>
      <c r="H557" s="7"/>
      <c r="I557" s="8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</row>
    <row r="558" spans="1:36" ht="18" customHeight="1" x14ac:dyDescent="0.25">
      <c r="A558" s="7"/>
      <c r="B558" s="7"/>
      <c r="C558" s="7"/>
      <c r="D558" s="7"/>
      <c r="E558" s="7"/>
      <c r="F558" s="7"/>
      <c r="G558" s="7"/>
      <c r="H558" s="7"/>
      <c r="I558" s="8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</row>
    <row r="559" spans="1:36" ht="18" customHeight="1" x14ac:dyDescent="0.25">
      <c r="A559" s="7"/>
      <c r="B559" s="7"/>
      <c r="C559" s="7"/>
      <c r="D559" s="7"/>
      <c r="E559" s="7"/>
      <c r="F559" s="7"/>
      <c r="G559" s="7"/>
      <c r="H559" s="7"/>
      <c r="I559" s="8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</row>
    <row r="560" spans="1:36" ht="18" customHeight="1" x14ac:dyDescent="0.25">
      <c r="A560" s="7"/>
      <c r="B560" s="7"/>
      <c r="C560" s="7"/>
      <c r="D560" s="7"/>
      <c r="E560" s="7"/>
      <c r="F560" s="7"/>
      <c r="G560" s="7"/>
      <c r="H560" s="7"/>
      <c r="I560" s="8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</row>
    <row r="561" spans="1:36" ht="18" customHeight="1" x14ac:dyDescent="0.25">
      <c r="A561" s="7"/>
      <c r="B561" s="7"/>
      <c r="C561" s="7"/>
      <c r="D561" s="7"/>
      <c r="E561" s="7"/>
      <c r="F561" s="7"/>
      <c r="G561" s="7"/>
      <c r="H561" s="7"/>
      <c r="I561" s="8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</row>
    <row r="562" spans="1:36" ht="18" customHeight="1" x14ac:dyDescent="0.25">
      <c r="A562" s="7"/>
      <c r="B562" s="7"/>
      <c r="C562" s="7"/>
      <c r="D562" s="7"/>
      <c r="E562" s="7"/>
      <c r="F562" s="7"/>
      <c r="G562" s="7"/>
      <c r="H562" s="7"/>
      <c r="I562" s="8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</row>
    <row r="563" spans="1:36" ht="18" customHeight="1" x14ac:dyDescent="0.25">
      <c r="A563" s="7"/>
      <c r="B563" s="7"/>
      <c r="C563" s="7"/>
      <c r="D563" s="7"/>
      <c r="E563" s="7"/>
      <c r="F563" s="7"/>
      <c r="G563" s="7"/>
      <c r="H563" s="7"/>
      <c r="I563" s="8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</row>
    <row r="564" spans="1:36" ht="18" customHeight="1" x14ac:dyDescent="0.25">
      <c r="A564" s="7"/>
      <c r="B564" s="7"/>
      <c r="C564" s="7"/>
      <c r="D564" s="7"/>
      <c r="E564" s="7"/>
      <c r="F564" s="7"/>
      <c r="G564" s="7"/>
      <c r="H564" s="7"/>
      <c r="I564" s="8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</row>
    <row r="565" spans="1:36" ht="18" customHeight="1" x14ac:dyDescent="0.25">
      <c r="A565" s="7"/>
      <c r="B565" s="7"/>
      <c r="C565" s="7"/>
      <c r="D565" s="7"/>
      <c r="E565" s="7"/>
      <c r="F565" s="7"/>
      <c r="G565" s="7"/>
      <c r="H565" s="7"/>
      <c r="I565" s="8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</row>
    <row r="566" spans="1:36" ht="18" customHeight="1" x14ac:dyDescent="0.25">
      <c r="A566" s="7"/>
      <c r="B566" s="7"/>
      <c r="C566" s="7"/>
      <c r="D566" s="7"/>
      <c r="E566" s="7"/>
      <c r="F566" s="7"/>
      <c r="G566" s="7"/>
      <c r="H566" s="7"/>
      <c r="I566" s="8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</row>
    <row r="567" spans="1:36" ht="18" customHeight="1" x14ac:dyDescent="0.25">
      <c r="A567" s="7"/>
      <c r="B567" s="7"/>
      <c r="C567" s="7"/>
      <c r="D567" s="7"/>
      <c r="E567" s="7"/>
      <c r="F567" s="7"/>
      <c r="G567" s="7"/>
      <c r="H567" s="7"/>
      <c r="I567" s="8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</row>
    <row r="568" spans="1:36" ht="18" customHeight="1" x14ac:dyDescent="0.25">
      <c r="A568" s="7"/>
      <c r="B568" s="7"/>
      <c r="C568" s="7"/>
      <c r="D568" s="7"/>
      <c r="E568" s="7"/>
      <c r="F568" s="7"/>
      <c r="G568" s="7"/>
      <c r="H568" s="7"/>
      <c r="I568" s="8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</row>
    <row r="569" spans="1:36" ht="18" customHeight="1" x14ac:dyDescent="0.25">
      <c r="A569" s="7"/>
      <c r="B569" s="7"/>
      <c r="C569" s="7"/>
      <c r="D569" s="7"/>
      <c r="E569" s="7"/>
      <c r="F569" s="7"/>
      <c r="G569" s="7"/>
      <c r="H569" s="7"/>
      <c r="I569" s="8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</row>
    <row r="570" spans="1:36" ht="18" customHeight="1" x14ac:dyDescent="0.25">
      <c r="A570" s="7"/>
      <c r="B570" s="7"/>
      <c r="C570" s="7"/>
      <c r="D570" s="7"/>
      <c r="E570" s="7"/>
      <c r="F570" s="7"/>
      <c r="G570" s="7"/>
      <c r="H570" s="7"/>
      <c r="I570" s="8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</row>
    <row r="571" spans="1:36" ht="18" customHeight="1" x14ac:dyDescent="0.25">
      <c r="A571" s="7"/>
      <c r="B571" s="7"/>
      <c r="C571" s="7"/>
      <c r="D571" s="7"/>
      <c r="E571" s="7"/>
      <c r="F571" s="7"/>
      <c r="G571" s="7"/>
      <c r="H571" s="7"/>
      <c r="I571" s="8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</row>
    <row r="572" spans="1:36" ht="18" customHeight="1" x14ac:dyDescent="0.25">
      <c r="A572" s="7"/>
      <c r="B572" s="7"/>
      <c r="C572" s="7"/>
      <c r="D572" s="7"/>
      <c r="E572" s="7"/>
      <c r="F572" s="7"/>
      <c r="G572" s="7"/>
      <c r="H572" s="7"/>
      <c r="I572" s="8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</row>
    <row r="573" spans="1:36" ht="18" customHeight="1" x14ac:dyDescent="0.25">
      <c r="A573" s="7"/>
      <c r="B573" s="7"/>
      <c r="C573" s="7"/>
      <c r="D573" s="7"/>
      <c r="E573" s="7"/>
      <c r="F573" s="7"/>
      <c r="G573" s="7"/>
      <c r="H573" s="7"/>
      <c r="I573" s="8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</row>
    <row r="574" spans="1:36" ht="18" customHeight="1" x14ac:dyDescent="0.25">
      <c r="A574" s="7"/>
      <c r="B574" s="7"/>
      <c r="C574" s="7"/>
      <c r="D574" s="7"/>
      <c r="E574" s="7"/>
      <c r="F574" s="7"/>
      <c r="G574" s="7"/>
      <c r="H574" s="7"/>
      <c r="I574" s="8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</row>
    <row r="575" spans="1:36" ht="18" customHeight="1" x14ac:dyDescent="0.25">
      <c r="A575" s="7"/>
      <c r="B575" s="7"/>
      <c r="C575" s="7"/>
      <c r="D575" s="7"/>
      <c r="E575" s="7"/>
      <c r="F575" s="7"/>
      <c r="G575" s="7"/>
      <c r="H575" s="7"/>
      <c r="I575" s="8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</row>
    <row r="576" spans="1:36" ht="18" customHeight="1" x14ac:dyDescent="0.25">
      <c r="A576" s="7"/>
      <c r="B576" s="7"/>
      <c r="C576" s="7"/>
      <c r="D576" s="7"/>
      <c r="E576" s="7"/>
      <c r="F576" s="7"/>
      <c r="G576" s="7"/>
      <c r="H576" s="7"/>
      <c r="I576" s="8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</row>
    <row r="577" spans="1:36" ht="18" customHeight="1" x14ac:dyDescent="0.25">
      <c r="A577" s="7"/>
      <c r="B577" s="7"/>
      <c r="C577" s="7"/>
      <c r="D577" s="7"/>
      <c r="E577" s="7"/>
      <c r="F577" s="7"/>
      <c r="G577" s="7"/>
      <c r="H577" s="7"/>
      <c r="I577" s="8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</row>
    <row r="578" spans="1:36" ht="18" customHeight="1" x14ac:dyDescent="0.25">
      <c r="A578" s="7"/>
      <c r="B578" s="7"/>
      <c r="C578" s="7"/>
      <c r="D578" s="7"/>
      <c r="E578" s="7"/>
      <c r="F578" s="7"/>
      <c r="G578" s="7"/>
      <c r="H578" s="7"/>
      <c r="I578" s="8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</row>
    <row r="579" spans="1:36" ht="18" customHeight="1" x14ac:dyDescent="0.25">
      <c r="A579" s="7"/>
      <c r="B579" s="7"/>
      <c r="C579" s="7"/>
      <c r="D579" s="7"/>
      <c r="E579" s="7"/>
      <c r="F579" s="7"/>
      <c r="G579" s="7"/>
      <c r="H579" s="7"/>
      <c r="I579" s="8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</row>
    <row r="580" spans="1:36" ht="18" customHeight="1" x14ac:dyDescent="0.25">
      <c r="A580" s="7"/>
      <c r="B580" s="7"/>
      <c r="C580" s="7"/>
      <c r="D580" s="7"/>
      <c r="E580" s="7"/>
      <c r="F580" s="7"/>
      <c r="G580" s="7"/>
      <c r="H580" s="7"/>
      <c r="I580" s="8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</row>
    <row r="581" spans="1:36" ht="18" customHeight="1" x14ac:dyDescent="0.25">
      <c r="A581" s="7"/>
      <c r="B581" s="7"/>
      <c r="C581" s="7"/>
      <c r="D581" s="7"/>
      <c r="E581" s="7"/>
      <c r="F581" s="7"/>
      <c r="G581" s="7"/>
      <c r="H581" s="7"/>
      <c r="I581" s="8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</row>
    <row r="582" spans="1:36" ht="18" customHeight="1" x14ac:dyDescent="0.25">
      <c r="A582" s="7"/>
      <c r="B582" s="7"/>
      <c r="C582" s="7"/>
      <c r="D582" s="7"/>
      <c r="E582" s="7"/>
      <c r="F582" s="7"/>
      <c r="G582" s="7"/>
      <c r="H582" s="7"/>
      <c r="I582" s="8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</row>
    <row r="583" spans="1:36" ht="18" customHeight="1" x14ac:dyDescent="0.25">
      <c r="A583" s="7"/>
      <c r="B583" s="7"/>
      <c r="C583" s="7"/>
      <c r="D583" s="7"/>
      <c r="E583" s="7"/>
      <c r="F583" s="7"/>
      <c r="G583" s="7"/>
      <c r="H583" s="7"/>
      <c r="I583" s="8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</row>
    <row r="584" spans="1:36" ht="18" customHeight="1" x14ac:dyDescent="0.25">
      <c r="A584" s="7"/>
      <c r="B584" s="7"/>
      <c r="C584" s="7"/>
      <c r="D584" s="7"/>
      <c r="E584" s="7"/>
      <c r="F584" s="7"/>
      <c r="G584" s="7"/>
      <c r="H584" s="7"/>
      <c r="I584" s="8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</row>
    <row r="585" spans="1:36" ht="18" customHeight="1" x14ac:dyDescent="0.25">
      <c r="A585" s="7"/>
      <c r="B585" s="7"/>
      <c r="C585" s="7"/>
      <c r="D585" s="7"/>
      <c r="E585" s="7"/>
      <c r="F585" s="7"/>
      <c r="G585" s="7"/>
      <c r="H585" s="7"/>
      <c r="I585" s="8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</row>
    <row r="586" spans="1:36" ht="18" customHeight="1" x14ac:dyDescent="0.25">
      <c r="A586" s="7"/>
      <c r="B586" s="7"/>
      <c r="C586" s="7"/>
      <c r="D586" s="7"/>
      <c r="E586" s="7"/>
      <c r="F586" s="7"/>
      <c r="G586" s="7"/>
      <c r="H586" s="7"/>
      <c r="I586" s="8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</row>
    <row r="587" spans="1:36" ht="18" customHeight="1" x14ac:dyDescent="0.25">
      <c r="A587" s="7"/>
      <c r="B587" s="7"/>
      <c r="C587" s="7"/>
      <c r="D587" s="7"/>
      <c r="E587" s="7"/>
      <c r="F587" s="7"/>
      <c r="G587" s="7"/>
      <c r="H587" s="7"/>
      <c r="I587" s="8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</row>
    <row r="588" spans="1:36" ht="18" customHeight="1" x14ac:dyDescent="0.25">
      <c r="A588" s="7"/>
      <c r="B588" s="7"/>
      <c r="C588" s="7"/>
      <c r="D588" s="7"/>
      <c r="E588" s="7"/>
      <c r="F588" s="7"/>
      <c r="G588" s="7"/>
      <c r="H588" s="7"/>
      <c r="I588" s="8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</row>
    <row r="589" spans="1:36" ht="18" customHeight="1" x14ac:dyDescent="0.25">
      <c r="A589" s="7"/>
      <c r="B589" s="7"/>
      <c r="C589" s="7"/>
      <c r="D589" s="7"/>
      <c r="E589" s="7"/>
      <c r="F589" s="7"/>
      <c r="G589" s="7"/>
      <c r="H589" s="7"/>
      <c r="I589" s="8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</row>
    <row r="590" spans="1:36" ht="18" customHeight="1" x14ac:dyDescent="0.25">
      <c r="A590" s="7"/>
      <c r="B590" s="7"/>
      <c r="C590" s="7"/>
      <c r="D590" s="7"/>
      <c r="E590" s="7"/>
      <c r="F590" s="7"/>
      <c r="G590" s="7"/>
      <c r="H590" s="7"/>
      <c r="I590" s="8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</row>
    <row r="591" spans="1:36" ht="18" customHeight="1" x14ac:dyDescent="0.25">
      <c r="A591" s="7"/>
      <c r="B591" s="7"/>
      <c r="C591" s="7"/>
      <c r="D591" s="7"/>
      <c r="E591" s="7"/>
      <c r="F591" s="7"/>
      <c r="G591" s="7"/>
      <c r="H591" s="7"/>
      <c r="I591" s="8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</row>
    <row r="592" spans="1:36" ht="18" customHeight="1" x14ac:dyDescent="0.25">
      <c r="A592" s="7"/>
      <c r="B592" s="7"/>
      <c r="C592" s="7"/>
      <c r="D592" s="7"/>
      <c r="E592" s="7"/>
      <c r="F592" s="7"/>
      <c r="G592" s="7"/>
      <c r="H592" s="7"/>
      <c r="I592" s="8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</row>
    <row r="593" spans="1:36" ht="18" customHeight="1" x14ac:dyDescent="0.25">
      <c r="A593" s="7"/>
      <c r="B593" s="7"/>
      <c r="C593" s="7"/>
      <c r="D593" s="7"/>
      <c r="E593" s="7"/>
      <c r="F593" s="7"/>
      <c r="G593" s="7"/>
      <c r="H593" s="7"/>
      <c r="I593" s="8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</row>
    <row r="594" spans="1:36" ht="18" customHeight="1" x14ac:dyDescent="0.25">
      <c r="A594" s="7"/>
      <c r="B594" s="7"/>
      <c r="C594" s="7"/>
      <c r="D594" s="7"/>
      <c r="E594" s="7"/>
      <c r="F594" s="7"/>
      <c r="G594" s="7"/>
      <c r="H594" s="7"/>
      <c r="I594" s="8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</row>
    <row r="595" spans="1:36" ht="18" customHeight="1" x14ac:dyDescent="0.25">
      <c r="A595" s="7"/>
      <c r="B595" s="7"/>
      <c r="C595" s="7"/>
      <c r="D595" s="7"/>
      <c r="E595" s="7"/>
      <c r="F595" s="7"/>
      <c r="G595" s="7"/>
      <c r="H595" s="7"/>
      <c r="I595" s="8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</row>
    <row r="596" spans="1:36" ht="18" customHeight="1" x14ac:dyDescent="0.25">
      <c r="A596" s="7"/>
      <c r="B596" s="7"/>
      <c r="C596" s="7"/>
      <c r="D596" s="7"/>
      <c r="E596" s="7"/>
      <c r="F596" s="7"/>
      <c r="G596" s="7"/>
      <c r="H596" s="7"/>
      <c r="I596" s="8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</row>
    <row r="597" spans="1:36" ht="18" customHeight="1" x14ac:dyDescent="0.25">
      <c r="A597" s="7"/>
      <c r="B597" s="7"/>
      <c r="C597" s="7"/>
      <c r="D597" s="7"/>
      <c r="E597" s="7"/>
      <c r="F597" s="7"/>
      <c r="G597" s="7"/>
      <c r="H597" s="7"/>
      <c r="I597" s="8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</row>
    <row r="598" spans="1:36" ht="18" customHeight="1" x14ac:dyDescent="0.25">
      <c r="A598" s="7"/>
      <c r="B598" s="7"/>
      <c r="C598" s="7"/>
      <c r="D598" s="7"/>
      <c r="E598" s="7"/>
      <c r="F598" s="7"/>
      <c r="G598" s="7"/>
      <c r="H598" s="7"/>
      <c r="I598" s="8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</row>
    <row r="599" spans="1:36" ht="18" customHeight="1" x14ac:dyDescent="0.25">
      <c r="A599" s="7"/>
      <c r="B599" s="7"/>
      <c r="C599" s="7"/>
      <c r="D599" s="7"/>
      <c r="E599" s="7"/>
      <c r="F599" s="7"/>
      <c r="G599" s="7"/>
      <c r="H599" s="7"/>
      <c r="I599" s="8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</row>
    <row r="600" spans="1:36" ht="18" customHeight="1" x14ac:dyDescent="0.25">
      <c r="A600" s="7"/>
      <c r="B600" s="7"/>
      <c r="C600" s="7"/>
      <c r="D600" s="7"/>
      <c r="E600" s="7"/>
      <c r="F600" s="7"/>
      <c r="G600" s="7"/>
      <c r="H600" s="7"/>
      <c r="I600" s="8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</row>
    <row r="601" spans="1:36" ht="18" customHeight="1" x14ac:dyDescent="0.25">
      <c r="A601" s="7"/>
      <c r="B601" s="7"/>
      <c r="C601" s="7"/>
      <c r="D601" s="7"/>
      <c r="E601" s="7"/>
      <c r="F601" s="7"/>
      <c r="G601" s="7"/>
      <c r="H601" s="7"/>
      <c r="I601" s="8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</row>
    <row r="602" spans="1:36" ht="18" customHeight="1" x14ac:dyDescent="0.25">
      <c r="A602" s="7"/>
      <c r="B602" s="7"/>
      <c r="C602" s="7"/>
      <c r="D602" s="7"/>
      <c r="E602" s="7"/>
      <c r="F602" s="7"/>
      <c r="G602" s="7"/>
      <c r="H602" s="7"/>
      <c r="I602" s="8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</row>
    <row r="603" spans="1:36" ht="18" customHeight="1" x14ac:dyDescent="0.25">
      <c r="A603" s="7"/>
      <c r="B603" s="7"/>
      <c r="C603" s="7"/>
      <c r="D603" s="7"/>
      <c r="E603" s="7"/>
      <c r="F603" s="7"/>
      <c r="G603" s="7"/>
      <c r="H603" s="7"/>
      <c r="I603" s="8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</row>
    <row r="604" spans="1:36" ht="18" customHeight="1" x14ac:dyDescent="0.25">
      <c r="A604" s="7"/>
      <c r="B604" s="7"/>
      <c r="C604" s="7"/>
      <c r="D604" s="7"/>
      <c r="E604" s="7"/>
      <c r="F604" s="7"/>
      <c r="G604" s="7"/>
      <c r="H604" s="7"/>
      <c r="I604" s="8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</row>
    <row r="605" spans="1:36" ht="18" customHeight="1" x14ac:dyDescent="0.25">
      <c r="A605" s="7"/>
      <c r="B605" s="7"/>
      <c r="C605" s="7"/>
      <c r="D605" s="7"/>
      <c r="E605" s="7"/>
      <c r="F605" s="7"/>
      <c r="G605" s="7"/>
      <c r="H605" s="7"/>
      <c r="I605" s="8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</row>
    <row r="606" spans="1:36" ht="18" customHeight="1" x14ac:dyDescent="0.25">
      <c r="A606" s="7"/>
      <c r="B606" s="7"/>
      <c r="C606" s="7"/>
      <c r="D606" s="7"/>
      <c r="E606" s="7"/>
      <c r="F606" s="7"/>
      <c r="G606" s="7"/>
      <c r="H606" s="7"/>
      <c r="I606" s="8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</row>
    <row r="607" spans="1:36" ht="18" customHeight="1" x14ac:dyDescent="0.25">
      <c r="A607" s="7"/>
      <c r="B607" s="7"/>
      <c r="C607" s="7"/>
      <c r="D607" s="7"/>
      <c r="E607" s="7"/>
      <c r="F607" s="7"/>
      <c r="G607" s="7"/>
      <c r="H607" s="7"/>
      <c r="I607" s="8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</row>
    <row r="608" spans="1:36" ht="18" customHeight="1" x14ac:dyDescent="0.25">
      <c r="A608" s="7"/>
      <c r="B608" s="7"/>
      <c r="C608" s="7"/>
      <c r="D608" s="7"/>
      <c r="E608" s="7"/>
      <c r="F608" s="7"/>
      <c r="G608" s="7"/>
      <c r="H608" s="7"/>
      <c r="I608" s="8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</row>
    <row r="609" spans="1:36" ht="18" customHeight="1" x14ac:dyDescent="0.25">
      <c r="A609" s="7"/>
      <c r="B609" s="7"/>
      <c r="C609" s="7"/>
      <c r="D609" s="7"/>
      <c r="E609" s="7"/>
      <c r="F609" s="7"/>
      <c r="G609" s="7"/>
      <c r="H609" s="7"/>
      <c r="I609" s="8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</row>
    <row r="610" spans="1:36" ht="18" customHeight="1" x14ac:dyDescent="0.25">
      <c r="A610" s="7"/>
      <c r="B610" s="7"/>
      <c r="C610" s="7"/>
      <c r="D610" s="7"/>
      <c r="E610" s="7"/>
      <c r="F610" s="7"/>
      <c r="G610" s="7"/>
      <c r="H610" s="7"/>
      <c r="I610" s="8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</row>
    <row r="611" spans="1:36" ht="18" customHeight="1" x14ac:dyDescent="0.25">
      <c r="A611" s="7"/>
      <c r="B611" s="7"/>
      <c r="C611" s="7"/>
      <c r="D611" s="7"/>
      <c r="E611" s="7"/>
      <c r="F611" s="7"/>
      <c r="G611" s="7"/>
      <c r="H611" s="7"/>
      <c r="I611" s="8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</row>
    <row r="612" spans="1:36" ht="18" customHeight="1" x14ac:dyDescent="0.25">
      <c r="A612" s="7"/>
      <c r="B612" s="7"/>
      <c r="C612" s="7"/>
      <c r="D612" s="7"/>
      <c r="E612" s="7"/>
      <c r="F612" s="7"/>
      <c r="G612" s="7"/>
      <c r="H612" s="7"/>
      <c r="I612" s="8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</row>
    <row r="613" spans="1:36" ht="18" customHeight="1" x14ac:dyDescent="0.25">
      <c r="A613" s="7"/>
      <c r="B613" s="7"/>
      <c r="C613" s="7"/>
      <c r="D613" s="7"/>
      <c r="E613" s="7"/>
      <c r="F613" s="7"/>
      <c r="G613" s="7"/>
      <c r="H613" s="7"/>
      <c r="I613" s="8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</row>
    <row r="614" spans="1:36" ht="18" customHeight="1" x14ac:dyDescent="0.25">
      <c r="A614" s="7"/>
      <c r="B614" s="7"/>
      <c r="C614" s="7"/>
      <c r="D614" s="7"/>
      <c r="E614" s="7"/>
      <c r="F614" s="7"/>
      <c r="G614" s="7"/>
      <c r="H614" s="7"/>
      <c r="I614" s="8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</row>
    <row r="615" spans="1:36" ht="18" customHeight="1" x14ac:dyDescent="0.25">
      <c r="A615" s="7"/>
      <c r="B615" s="7"/>
      <c r="C615" s="7"/>
      <c r="D615" s="7"/>
      <c r="E615" s="7"/>
      <c r="F615" s="7"/>
      <c r="G615" s="7"/>
      <c r="H615" s="7"/>
      <c r="I615" s="8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</row>
    <row r="616" spans="1:36" ht="18" customHeight="1" x14ac:dyDescent="0.25">
      <c r="A616" s="7"/>
      <c r="B616" s="7"/>
      <c r="C616" s="7"/>
      <c r="D616" s="7"/>
      <c r="E616" s="7"/>
      <c r="F616" s="7"/>
      <c r="G616" s="7"/>
      <c r="H616" s="7"/>
      <c r="I616" s="8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</row>
    <row r="617" spans="1:36" ht="18" customHeight="1" x14ac:dyDescent="0.25">
      <c r="A617" s="7"/>
      <c r="B617" s="7"/>
      <c r="C617" s="7"/>
      <c r="D617" s="7"/>
      <c r="E617" s="7"/>
      <c r="F617" s="7"/>
      <c r="G617" s="7"/>
      <c r="H617" s="7"/>
      <c r="I617" s="8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</row>
    <row r="618" spans="1:36" ht="18" customHeight="1" x14ac:dyDescent="0.25">
      <c r="A618" s="7"/>
      <c r="B618" s="7"/>
      <c r="C618" s="7"/>
      <c r="D618" s="7"/>
      <c r="E618" s="7"/>
      <c r="F618" s="7"/>
      <c r="G618" s="7"/>
      <c r="H618" s="7"/>
      <c r="I618" s="8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</row>
    <row r="619" spans="1:36" ht="18" customHeight="1" x14ac:dyDescent="0.25">
      <c r="A619" s="7"/>
      <c r="B619" s="7"/>
      <c r="C619" s="7"/>
      <c r="D619" s="7"/>
      <c r="E619" s="7"/>
      <c r="F619" s="7"/>
      <c r="G619" s="7"/>
      <c r="H619" s="7"/>
      <c r="I619" s="8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</row>
    <row r="620" spans="1:36" ht="18" customHeight="1" x14ac:dyDescent="0.25">
      <c r="A620" s="7"/>
      <c r="B620" s="7"/>
      <c r="C620" s="7"/>
      <c r="D620" s="7"/>
      <c r="E620" s="7"/>
      <c r="F620" s="7"/>
      <c r="G620" s="7"/>
      <c r="H620" s="7"/>
      <c r="I620" s="8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</row>
    <row r="621" spans="1:36" ht="18" customHeight="1" x14ac:dyDescent="0.25">
      <c r="A621" s="7"/>
      <c r="B621" s="7"/>
      <c r="C621" s="7"/>
      <c r="D621" s="7"/>
      <c r="E621" s="7"/>
      <c r="F621" s="7"/>
      <c r="G621" s="7"/>
      <c r="H621" s="7"/>
      <c r="I621" s="8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</row>
    <row r="622" spans="1:36" ht="18" customHeight="1" x14ac:dyDescent="0.25">
      <c r="A622" s="7"/>
      <c r="B622" s="7"/>
      <c r="C622" s="7"/>
      <c r="D622" s="7"/>
      <c r="E622" s="7"/>
      <c r="F622" s="7"/>
      <c r="G622" s="7"/>
      <c r="H622" s="7"/>
      <c r="I622" s="8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</row>
    <row r="623" spans="1:36" ht="18" customHeight="1" x14ac:dyDescent="0.25">
      <c r="A623" s="7"/>
      <c r="B623" s="7"/>
      <c r="C623" s="7"/>
      <c r="D623" s="7"/>
      <c r="E623" s="7"/>
      <c r="F623" s="7"/>
      <c r="G623" s="7"/>
      <c r="H623" s="7"/>
      <c r="I623" s="8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</row>
    <row r="624" spans="1:36" ht="18" customHeight="1" x14ac:dyDescent="0.25">
      <c r="A624" s="7"/>
      <c r="B624" s="7"/>
      <c r="C624" s="7"/>
      <c r="D624" s="7"/>
      <c r="E624" s="7"/>
      <c r="F624" s="7"/>
      <c r="G624" s="7"/>
      <c r="H624" s="7"/>
      <c r="I624" s="8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</row>
    <row r="625" spans="1:36" ht="18" customHeight="1" x14ac:dyDescent="0.25">
      <c r="A625" s="7"/>
      <c r="B625" s="7"/>
      <c r="C625" s="7"/>
      <c r="D625" s="7"/>
      <c r="E625" s="7"/>
      <c r="F625" s="7"/>
      <c r="G625" s="7"/>
      <c r="H625" s="7"/>
      <c r="I625" s="8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</row>
    <row r="626" spans="1:36" ht="18" customHeight="1" x14ac:dyDescent="0.25">
      <c r="A626" s="7"/>
      <c r="B626" s="7"/>
      <c r="C626" s="7"/>
      <c r="D626" s="7"/>
      <c r="E626" s="7"/>
      <c r="F626" s="7"/>
      <c r="G626" s="7"/>
      <c r="H626" s="7"/>
      <c r="I626" s="8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</row>
    <row r="627" spans="1:36" ht="18" customHeight="1" x14ac:dyDescent="0.25">
      <c r="A627" s="7"/>
      <c r="B627" s="7"/>
      <c r="C627" s="7"/>
      <c r="D627" s="7"/>
      <c r="E627" s="7"/>
      <c r="F627" s="7"/>
      <c r="G627" s="7"/>
      <c r="H627" s="7"/>
      <c r="I627" s="8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</row>
    <row r="628" spans="1:36" ht="18" customHeight="1" x14ac:dyDescent="0.25">
      <c r="A628" s="7"/>
      <c r="B628" s="7"/>
      <c r="C628" s="7"/>
      <c r="D628" s="7"/>
      <c r="E628" s="7"/>
      <c r="F628" s="7"/>
      <c r="G628" s="7"/>
      <c r="H628" s="7"/>
      <c r="I628" s="8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</row>
    <row r="629" spans="1:36" ht="18" customHeight="1" x14ac:dyDescent="0.25">
      <c r="A629" s="7"/>
      <c r="B629" s="7"/>
      <c r="C629" s="7"/>
      <c r="D629" s="7"/>
      <c r="E629" s="7"/>
      <c r="F629" s="7"/>
      <c r="G629" s="7"/>
      <c r="H629" s="7"/>
      <c r="I629" s="8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</row>
    <row r="630" spans="1:36" ht="18" customHeight="1" x14ac:dyDescent="0.25">
      <c r="A630" s="7"/>
      <c r="B630" s="7"/>
      <c r="C630" s="7"/>
      <c r="D630" s="7"/>
      <c r="E630" s="7"/>
      <c r="F630" s="7"/>
      <c r="G630" s="7"/>
      <c r="H630" s="7"/>
      <c r="I630" s="8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</row>
    <row r="631" spans="1:36" ht="18" customHeight="1" x14ac:dyDescent="0.25">
      <c r="A631" s="7"/>
      <c r="B631" s="7"/>
      <c r="C631" s="7"/>
      <c r="D631" s="7"/>
      <c r="E631" s="7"/>
      <c r="F631" s="7"/>
      <c r="G631" s="7"/>
      <c r="H631" s="7"/>
      <c r="I631" s="8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</row>
    <row r="632" spans="1:36" ht="18" customHeight="1" x14ac:dyDescent="0.25">
      <c r="A632" s="7"/>
      <c r="B632" s="7"/>
      <c r="C632" s="7"/>
      <c r="D632" s="7"/>
      <c r="E632" s="7"/>
      <c r="F632" s="7"/>
      <c r="G632" s="7"/>
      <c r="H632" s="7"/>
      <c r="I632" s="8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</row>
    <row r="633" spans="1:36" ht="18" customHeight="1" x14ac:dyDescent="0.25">
      <c r="A633" s="7"/>
      <c r="B633" s="7"/>
      <c r="C633" s="7"/>
      <c r="D633" s="7"/>
      <c r="E633" s="7"/>
      <c r="F633" s="7"/>
      <c r="G633" s="7"/>
      <c r="H633" s="7"/>
      <c r="I633" s="8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</row>
    <row r="634" spans="1:36" ht="18" customHeight="1" x14ac:dyDescent="0.25">
      <c r="A634" s="7"/>
      <c r="B634" s="7"/>
      <c r="C634" s="7"/>
      <c r="D634" s="7"/>
      <c r="E634" s="7"/>
      <c r="F634" s="7"/>
      <c r="G634" s="7"/>
      <c r="H634" s="7"/>
      <c r="I634" s="8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</row>
    <row r="635" spans="1:36" ht="18" customHeight="1" x14ac:dyDescent="0.25">
      <c r="A635" s="7"/>
      <c r="B635" s="7"/>
      <c r="C635" s="7"/>
      <c r="D635" s="7"/>
      <c r="E635" s="7"/>
      <c r="F635" s="7"/>
      <c r="G635" s="7"/>
      <c r="H635" s="7"/>
      <c r="I635" s="8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</row>
    <row r="636" spans="1:36" ht="18" customHeight="1" x14ac:dyDescent="0.25">
      <c r="A636" s="7"/>
      <c r="B636" s="7"/>
      <c r="C636" s="7"/>
      <c r="D636" s="7"/>
      <c r="E636" s="7"/>
      <c r="F636" s="7"/>
      <c r="G636" s="7"/>
      <c r="H636" s="7"/>
      <c r="I636" s="8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</row>
    <row r="637" spans="1:36" ht="18" customHeight="1" x14ac:dyDescent="0.25">
      <c r="A637" s="7"/>
      <c r="B637" s="7"/>
      <c r="C637" s="7"/>
      <c r="D637" s="7"/>
      <c r="E637" s="7"/>
      <c r="F637" s="7"/>
      <c r="G637" s="7"/>
      <c r="H637" s="7"/>
      <c r="I637" s="8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</row>
    <row r="638" spans="1:36" ht="18" customHeight="1" x14ac:dyDescent="0.25">
      <c r="A638" s="7"/>
      <c r="B638" s="7"/>
      <c r="C638" s="7"/>
      <c r="D638" s="7"/>
      <c r="E638" s="7"/>
      <c r="F638" s="7"/>
      <c r="G638" s="7"/>
      <c r="H638" s="7"/>
      <c r="I638" s="8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</row>
    <row r="639" spans="1:36" ht="18" customHeight="1" x14ac:dyDescent="0.25">
      <c r="A639" s="7"/>
      <c r="B639" s="7"/>
      <c r="C639" s="7"/>
      <c r="D639" s="7"/>
      <c r="E639" s="7"/>
      <c r="F639" s="7"/>
      <c r="G639" s="7"/>
      <c r="H639" s="7"/>
      <c r="I639" s="8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</row>
    <row r="640" spans="1:36" ht="18" customHeight="1" x14ac:dyDescent="0.25">
      <c r="A640" s="7"/>
      <c r="B640" s="7"/>
      <c r="C640" s="7"/>
      <c r="D640" s="7"/>
      <c r="E640" s="7"/>
      <c r="F640" s="7"/>
      <c r="G640" s="7"/>
      <c r="H640" s="7"/>
      <c r="I640" s="8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</row>
    <row r="641" spans="1:36" ht="18" customHeight="1" x14ac:dyDescent="0.25">
      <c r="A641" s="7"/>
      <c r="B641" s="7"/>
      <c r="C641" s="7"/>
      <c r="D641" s="7"/>
      <c r="E641" s="7"/>
      <c r="F641" s="7"/>
      <c r="G641" s="7"/>
      <c r="H641" s="7"/>
      <c r="I641" s="8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</row>
    <row r="642" spans="1:36" ht="18" customHeight="1" x14ac:dyDescent="0.25">
      <c r="A642" s="7"/>
      <c r="B642" s="7"/>
      <c r="C642" s="7"/>
      <c r="D642" s="7"/>
      <c r="E642" s="7"/>
      <c r="F642" s="7"/>
      <c r="G642" s="7"/>
      <c r="H642" s="7"/>
      <c r="I642" s="8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</row>
    <row r="643" spans="1:36" ht="18" customHeight="1" x14ac:dyDescent="0.25">
      <c r="A643" s="7"/>
      <c r="B643" s="7"/>
      <c r="C643" s="7"/>
      <c r="D643" s="7"/>
      <c r="E643" s="7"/>
      <c r="F643" s="7"/>
      <c r="G643" s="7"/>
      <c r="H643" s="7"/>
      <c r="I643" s="8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</row>
    <row r="644" spans="1:36" ht="18" customHeight="1" x14ac:dyDescent="0.25">
      <c r="A644" s="7"/>
      <c r="B644" s="7"/>
      <c r="C644" s="7"/>
      <c r="D644" s="7"/>
      <c r="E644" s="7"/>
      <c r="F644" s="7"/>
      <c r="G644" s="7"/>
      <c r="H644" s="7"/>
      <c r="I644" s="8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</row>
    <row r="645" spans="1:36" ht="18" customHeight="1" x14ac:dyDescent="0.25">
      <c r="A645" s="7"/>
      <c r="B645" s="7"/>
      <c r="C645" s="7"/>
      <c r="D645" s="7"/>
      <c r="E645" s="7"/>
      <c r="F645" s="7"/>
      <c r="G645" s="7"/>
      <c r="H645" s="7"/>
      <c r="I645" s="8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</row>
    <row r="646" spans="1:36" ht="18" customHeight="1" x14ac:dyDescent="0.25">
      <c r="A646" s="7"/>
      <c r="B646" s="7"/>
      <c r="C646" s="7"/>
      <c r="D646" s="7"/>
      <c r="E646" s="7"/>
      <c r="F646" s="7"/>
      <c r="G646" s="7"/>
      <c r="H646" s="7"/>
      <c r="I646" s="8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</row>
    <row r="647" spans="1:36" ht="18" customHeight="1" x14ac:dyDescent="0.25">
      <c r="A647" s="7"/>
      <c r="B647" s="7"/>
      <c r="C647" s="7"/>
      <c r="D647" s="7"/>
      <c r="E647" s="7"/>
      <c r="F647" s="7"/>
      <c r="G647" s="7"/>
      <c r="H647" s="7"/>
      <c r="I647" s="8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</row>
    <row r="648" spans="1:36" ht="18" customHeight="1" x14ac:dyDescent="0.25">
      <c r="A648" s="7"/>
      <c r="B648" s="7"/>
      <c r="C648" s="7"/>
      <c r="D648" s="7"/>
      <c r="E648" s="7"/>
      <c r="F648" s="7"/>
      <c r="G648" s="7"/>
      <c r="H648" s="7"/>
      <c r="I648" s="8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</row>
    <row r="649" spans="1:36" ht="18" customHeight="1" x14ac:dyDescent="0.25">
      <c r="A649" s="7"/>
      <c r="B649" s="7"/>
      <c r="C649" s="7"/>
      <c r="D649" s="7"/>
      <c r="E649" s="7"/>
      <c r="F649" s="7"/>
      <c r="G649" s="7"/>
      <c r="H649" s="7"/>
      <c r="I649" s="8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</row>
    <row r="650" spans="1:36" ht="18" customHeight="1" x14ac:dyDescent="0.25">
      <c r="A650" s="7"/>
      <c r="B650" s="7"/>
      <c r="C650" s="7"/>
      <c r="D650" s="7"/>
      <c r="E650" s="7"/>
      <c r="F650" s="7"/>
      <c r="G650" s="7"/>
      <c r="H650" s="7"/>
      <c r="I650" s="8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</row>
    <row r="651" spans="1:36" ht="18" customHeight="1" x14ac:dyDescent="0.25">
      <c r="A651" s="7"/>
      <c r="B651" s="7"/>
      <c r="C651" s="7"/>
      <c r="D651" s="7"/>
      <c r="E651" s="7"/>
      <c r="F651" s="7"/>
      <c r="G651" s="7"/>
      <c r="H651" s="7"/>
      <c r="I651" s="8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</row>
    <row r="652" spans="1:36" ht="18" customHeight="1" x14ac:dyDescent="0.25">
      <c r="A652" s="7"/>
      <c r="B652" s="7"/>
      <c r="C652" s="7"/>
      <c r="D652" s="7"/>
      <c r="E652" s="7"/>
      <c r="F652" s="7"/>
      <c r="G652" s="7"/>
      <c r="H652" s="7"/>
      <c r="I652" s="8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</row>
    <row r="653" spans="1:36" ht="18" customHeight="1" x14ac:dyDescent="0.25">
      <c r="A653" s="7"/>
      <c r="B653" s="7"/>
      <c r="C653" s="7"/>
      <c r="D653" s="7"/>
      <c r="E653" s="7"/>
      <c r="F653" s="7"/>
      <c r="G653" s="7"/>
      <c r="H653" s="7"/>
      <c r="I653" s="8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</row>
    <row r="654" spans="1:36" ht="18" customHeight="1" x14ac:dyDescent="0.25">
      <c r="A654" s="7"/>
      <c r="B654" s="7"/>
      <c r="C654" s="7"/>
      <c r="D654" s="7"/>
      <c r="E654" s="7"/>
      <c r="F654" s="7"/>
      <c r="G654" s="7"/>
      <c r="H654" s="7"/>
      <c r="I654" s="8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</row>
    <row r="655" spans="1:36" ht="18" customHeight="1" x14ac:dyDescent="0.25">
      <c r="A655" s="7"/>
      <c r="B655" s="7"/>
      <c r="C655" s="7"/>
      <c r="D655" s="7"/>
      <c r="E655" s="7"/>
      <c r="F655" s="7"/>
      <c r="G655" s="7"/>
      <c r="H655" s="7"/>
      <c r="I655" s="8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</row>
    <row r="656" spans="1:36" ht="18" customHeight="1" x14ac:dyDescent="0.25">
      <c r="A656" s="7"/>
      <c r="B656" s="7"/>
      <c r="C656" s="7"/>
      <c r="D656" s="7"/>
      <c r="E656" s="7"/>
      <c r="F656" s="7"/>
      <c r="G656" s="7"/>
      <c r="H656" s="7"/>
      <c r="I656" s="8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</row>
    <row r="657" spans="1:36" ht="18" customHeight="1" x14ac:dyDescent="0.25">
      <c r="A657" s="7"/>
      <c r="B657" s="7"/>
      <c r="C657" s="7"/>
      <c r="D657" s="7"/>
      <c r="E657" s="7"/>
      <c r="F657" s="7"/>
      <c r="G657" s="7"/>
      <c r="H657" s="7"/>
      <c r="I657" s="8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</row>
    <row r="658" spans="1:36" ht="18" customHeight="1" x14ac:dyDescent="0.25">
      <c r="A658" s="7"/>
      <c r="B658" s="7"/>
      <c r="C658" s="7"/>
      <c r="D658" s="7"/>
      <c r="E658" s="7"/>
      <c r="F658" s="7"/>
      <c r="G658" s="7"/>
      <c r="H658" s="7"/>
      <c r="I658" s="8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</row>
    <row r="659" spans="1:36" ht="18" customHeight="1" x14ac:dyDescent="0.25">
      <c r="A659" s="7"/>
      <c r="B659" s="7"/>
      <c r="C659" s="7"/>
      <c r="D659" s="7"/>
      <c r="E659" s="7"/>
      <c r="F659" s="7"/>
      <c r="G659" s="7"/>
      <c r="H659" s="7"/>
      <c r="I659" s="8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</row>
    <row r="660" spans="1:36" ht="18" customHeight="1" x14ac:dyDescent="0.25">
      <c r="A660" s="7"/>
      <c r="B660" s="7"/>
      <c r="C660" s="7"/>
      <c r="D660" s="7"/>
      <c r="E660" s="7"/>
      <c r="F660" s="7"/>
      <c r="G660" s="7"/>
      <c r="H660" s="7"/>
      <c r="I660" s="8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</row>
    <row r="661" spans="1:36" ht="18" customHeight="1" x14ac:dyDescent="0.25">
      <c r="A661" s="7"/>
      <c r="B661" s="7"/>
      <c r="C661" s="7"/>
      <c r="D661" s="7"/>
      <c r="E661" s="7"/>
      <c r="F661" s="7"/>
      <c r="G661" s="7"/>
      <c r="H661" s="7"/>
      <c r="I661" s="8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</row>
    <row r="662" spans="1:36" ht="18" customHeight="1" x14ac:dyDescent="0.25">
      <c r="A662" s="7"/>
      <c r="B662" s="7"/>
      <c r="C662" s="7"/>
      <c r="D662" s="7"/>
      <c r="E662" s="7"/>
      <c r="F662" s="7"/>
      <c r="G662" s="7"/>
      <c r="H662" s="7"/>
      <c r="I662" s="8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</row>
    <row r="663" spans="1:36" ht="18" customHeight="1" x14ac:dyDescent="0.25">
      <c r="A663" s="7"/>
      <c r="B663" s="7"/>
      <c r="C663" s="7"/>
      <c r="D663" s="7"/>
      <c r="E663" s="7"/>
      <c r="F663" s="7"/>
      <c r="G663" s="7"/>
      <c r="H663" s="7"/>
      <c r="I663" s="8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</row>
    <row r="664" spans="1:36" ht="18" customHeight="1" x14ac:dyDescent="0.25">
      <c r="A664" s="7"/>
      <c r="B664" s="7"/>
      <c r="C664" s="7"/>
      <c r="D664" s="7"/>
      <c r="E664" s="7"/>
      <c r="F664" s="7"/>
      <c r="G664" s="7"/>
      <c r="H664" s="7"/>
      <c r="I664" s="8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</row>
    <row r="665" spans="1:36" ht="18" customHeight="1" x14ac:dyDescent="0.25">
      <c r="A665" s="7"/>
      <c r="B665" s="7"/>
      <c r="C665" s="7"/>
      <c r="D665" s="7"/>
      <c r="E665" s="7"/>
      <c r="F665" s="7"/>
      <c r="G665" s="7"/>
      <c r="H665" s="7"/>
      <c r="I665" s="8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</row>
    <row r="666" spans="1:36" ht="18" customHeight="1" x14ac:dyDescent="0.25">
      <c r="A666" s="7"/>
      <c r="B666" s="7"/>
      <c r="C666" s="7"/>
      <c r="D666" s="7"/>
      <c r="E666" s="7"/>
      <c r="F666" s="7"/>
      <c r="G666" s="7"/>
      <c r="H666" s="7"/>
      <c r="I666" s="8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</row>
    <row r="667" spans="1:36" ht="18" customHeight="1" x14ac:dyDescent="0.25">
      <c r="A667" s="7"/>
      <c r="B667" s="7"/>
      <c r="C667" s="7"/>
      <c r="D667" s="7"/>
      <c r="E667" s="7"/>
      <c r="F667" s="7"/>
      <c r="G667" s="7"/>
      <c r="H667" s="7"/>
      <c r="I667" s="8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</row>
    <row r="668" spans="1:36" ht="18" customHeight="1" x14ac:dyDescent="0.25">
      <c r="A668" s="7"/>
      <c r="B668" s="7"/>
      <c r="C668" s="7"/>
      <c r="D668" s="7"/>
      <c r="E668" s="7"/>
      <c r="F668" s="7"/>
      <c r="G668" s="7"/>
      <c r="H668" s="7"/>
      <c r="I668" s="8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</row>
    <row r="669" spans="1:36" ht="18" customHeight="1" x14ac:dyDescent="0.25">
      <c r="A669" s="7"/>
      <c r="B669" s="7"/>
      <c r="C669" s="7"/>
      <c r="D669" s="7"/>
      <c r="E669" s="7"/>
      <c r="F669" s="7"/>
      <c r="G669" s="7"/>
      <c r="H669" s="7"/>
      <c r="I669" s="8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</row>
    <row r="670" spans="1:36" ht="18" customHeight="1" x14ac:dyDescent="0.25">
      <c r="A670" s="7"/>
      <c r="B670" s="7"/>
      <c r="C670" s="7"/>
      <c r="D670" s="7"/>
      <c r="E670" s="7"/>
      <c r="F670" s="7"/>
      <c r="G670" s="7"/>
      <c r="H670" s="7"/>
      <c r="I670" s="8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</row>
    <row r="671" spans="1:36" ht="18" customHeight="1" x14ac:dyDescent="0.25">
      <c r="A671" s="7"/>
      <c r="B671" s="7"/>
      <c r="C671" s="7"/>
      <c r="D671" s="7"/>
      <c r="E671" s="7"/>
      <c r="F671" s="7"/>
      <c r="G671" s="7"/>
      <c r="H671" s="7"/>
      <c r="I671" s="8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</row>
    <row r="672" spans="1:36" ht="18" customHeight="1" x14ac:dyDescent="0.25">
      <c r="A672" s="7"/>
      <c r="B672" s="7"/>
      <c r="C672" s="7"/>
      <c r="D672" s="7"/>
      <c r="E672" s="7"/>
      <c r="F672" s="7"/>
      <c r="G672" s="7"/>
      <c r="H672" s="7"/>
      <c r="I672" s="8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</row>
    <row r="673" spans="1:36" ht="18" customHeight="1" x14ac:dyDescent="0.25">
      <c r="A673" s="7"/>
      <c r="B673" s="7"/>
      <c r="C673" s="7"/>
      <c r="D673" s="7"/>
      <c r="E673" s="7"/>
      <c r="F673" s="7"/>
      <c r="G673" s="7"/>
      <c r="H673" s="7"/>
      <c r="I673" s="8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</row>
    <row r="674" spans="1:36" ht="18" customHeight="1" x14ac:dyDescent="0.25">
      <c r="A674" s="7"/>
      <c r="B674" s="7"/>
      <c r="C674" s="7"/>
      <c r="D674" s="7"/>
      <c r="E674" s="7"/>
      <c r="F674" s="7"/>
      <c r="G674" s="7"/>
      <c r="H674" s="7"/>
      <c r="I674" s="8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</row>
    <row r="675" spans="1:36" ht="18" customHeight="1" x14ac:dyDescent="0.25">
      <c r="A675" s="7"/>
      <c r="B675" s="7"/>
      <c r="C675" s="7"/>
      <c r="D675" s="7"/>
      <c r="E675" s="7"/>
      <c r="F675" s="7"/>
      <c r="G675" s="7"/>
      <c r="H675" s="7"/>
      <c r="I675" s="8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</row>
    <row r="676" spans="1:36" ht="18" customHeight="1" x14ac:dyDescent="0.25">
      <c r="A676" s="7"/>
      <c r="B676" s="7"/>
      <c r="C676" s="7"/>
      <c r="D676" s="7"/>
      <c r="E676" s="7"/>
      <c r="F676" s="7"/>
      <c r="G676" s="7"/>
      <c r="H676" s="7"/>
      <c r="I676" s="8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</row>
    <row r="677" spans="1:36" ht="18" customHeight="1" x14ac:dyDescent="0.25">
      <c r="A677" s="7"/>
      <c r="B677" s="7"/>
      <c r="C677" s="7"/>
      <c r="D677" s="7"/>
      <c r="E677" s="7"/>
      <c r="F677" s="7"/>
      <c r="G677" s="7"/>
      <c r="H677" s="7"/>
      <c r="I677" s="8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</row>
    <row r="678" spans="1:36" ht="18" customHeight="1" x14ac:dyDescent="0.25">
      <c r="A678" s="7"/>
      <c r="B678" s="7"/>
      <c r="C678" s="7"/>
      <c r="D678" s="7"/>
      <c r="E678" s="7"/>
      <c r="F678" s="7"/>
      <c r="G678" s="7"/>
      <c r="H678" s="7"/>
      <c r="I678" s="8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</row>
    <row r="679" spans="1:36" ht="18" customHeight="1" x14ac:dyDescent="0.25">
      <c r="A679" s="7"/>
      <c r="B679" s="7"/>
      <c r="C679" s="7"/>
      <c r="D679" s="7"/>
      <c r="E679" s="7"/>
      <c r="F679" s="7"/>
      <c r="G679" s="7"/>
      <c r="H679" s="7"/>
      <c r="I679" s="8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</row>
    <row r="680" spans="1:36" ht="18" customHeight="1" x14ac:dyDescent="0.25">
      <c r="A680" s="7"/>
      <c r="B680" s="7"/>
      <c r="C680" s="7"/>
      <c r="D680" s="7"/>
      <c r="E680" s="7"/>
      <c r="F680" s="7"/>
      <c r="G680" s="7"/>
      <c r="H680" s="7"/>
      <c r="I680" s="8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</row>
    <row r="681" spans="1:36" ht="18" customHeight="1" x14ac:dyDescent="0.25">
      <c r="A681" s="7"/>
      <c r="B681" s="7"/>
      <c r="C681" s="7"/>
      <c r="D681" s="7"/>
      <c r="E681" s="7"/>
      <c r="F681" s="7"/>
      <c r="G681" s="7"/>
      <c r="H681" s="7"/>
      <c r="I681" s="8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</row>
    <row r="682" spans="1:36" ht="18" customHeight="1" x14ac:dyDescent="0.25">
      <c r="A682" s="7"/>
      <c r="B682" s="7"/>
      <c r="C682" s="7"/>
      <c r="D682" s="7"/>
      <c r="E682" s="7"/>
      <c r="F682" s="7"/>
      <c r="G682" s="7"/>
      <c r="H682" s="7"/>
      <c r="I682" s="8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</row>
    <row r="683" spans="1:36" ht="18" customHeight="1" x14ac:dyDescent="0.25">
      <c r="A683" s="7"/>
      <c r="B683" s="7"/>
      <c r="C683" s="7"/>
      <c r="D683" s="7"/>
      <c r="E683" s="7"/>
      <c r="F683" s="7"/>
      <c r="G683" s="7"/>
      <c r="H683" s="7"/>
      <c r="I683" s="8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</row>
    <row r="684" spans="1:36" ht="18" customHeight="1" x14ac:dyDescent="0.25">
      <c r="A684" s="7"/>
      <c r="B684" s="7"/>
      <c r="C684" s="7"/>
      <c r="D684" s="7"/>
      <c r="E684" s="7"/>
      <c r="F684" s="7"/>
      <c r="G684" s="7"/>
      <c r="H684" s="7"/>
      <c r="I684" s="8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</row>
    <row r="685" spans="1:36" ht="18" customHeight="1" x14ac:dyDescent="0.25">
      <c r="A685" s="7"/>
      <c r="B685" s="7"/>
      <c r="C685" s="7"/>
      <c r="D685" s="7"/>
      <c r="E685" s="7"/>
      <c r="F685" s="7"/>
      <c r="G685" s="7"/>
      <c r="H685" s="7"/>
      <c r="I685" s="8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</row>
    <row r="686" spans="1:36" ht="18" customHeight="1" x14ac:dyDescent="0.25">
      <c r="A686" s="7"/>
      <c r="B686" s="7"/>
      <c r="C686" s="7"/>
      <c r="D686" s="7"/>
      <c r="E686" s="7"/>
      <c r="F686" s="7"/>
      <c r="G686" s="7"/>
      <c r="H686" s="7"/>
      <c r="I686" s="8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</row>
    <row r="687" spans="1:36" ht="18" customHeight="1" x14ac:dyDescent="0.25">
      <c r="A687" s="7"/>
      <c r="B687" s="7"/>
      <c r="C687" s="7"/>
      <c r="D687" s="7"/>
      <c r="E687" s="7"/>
      <c r="F687" s="7"/>
      <c r="G687" s="7"/>
      <c r="H687" s="7"/>
      <c r="I687" s="8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</row>
    <row r="688" spans="1:36" ht="18" customHeight="1" x14ac:dyDescent="0.25">
      <c r="A688" s="7"/>
      <c r="B688" s="7"/>
      <c r="C688" s="7"/>
      <c r="D688" s="7"/>
      <c r="E688" s="7"/>
      <c r="F688" s="7"/>
      <c r="G688" s="7"/>
      <c r="H688" s="7"/>
      <c r="I688" s="8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</row>
    <row r="689" spans="1:36" ht="18" customHeight="1" x14ac:dyDescent="0.25">
      <c r="A689" s="7"/>
      <c r="B689" s="7"/>
      <c r="C689" s="7"/>
      <c r="D689" s="7"/>
      <c r="E689" s="7"/>
      <c r="F689" s="7"/>
      <c r="G689" s="7"/>
      <c r="H689" s="7"/>
      <c r="I689" s="8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</row>
    <row r="690" spans="1:36" ht="18" customHeight="1" x14ac:dyDescent="0.25">
      <c r="A690" s="7"/>
      <c r="B690" s="7"/>
      <c r="C690" s="7"/>
      <c r="D690" s="7"/>
      <c r="E690" s="7"/>
      <c r="F690" s="7"/>
      <c r="G690" s="7"/>
      <c r="H690" s="7"/>
      <c r="I690" s="8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</row>
    <row r="691" spans="1:36" ht="18" customHeight="1" x14ac:dyDescent="0.25">
      <c r="A691" s="7"/>
      <c r="B691" s="7"/>
      <c r="C691" s="7"/>
      <c r="D691" s="7"/>
      <c r="E691" s="7"/>
      <c r="F691" s="7"/>
      <c r="G691" s="7"/>
      <c r="H691" s="7"/>
      <c r="I691" s="8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</row>
    <row r="692" spans="1:36" ht="18" customHeight="1" x14ac:dyDescent="0.25">
      <c r="A692" s="7"/>
      <c r="B692" s="7"/>
      <c r="C692" s="7"/>
      <c r="D692" s="7"/>
      <c r="E692" s="7"/>
      <c r="F692" s="7"/>
      <c r="G692" s="7"/>
      <c r="H692" s="7"/>
      <c r="I692" s="8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</row>
    <row r="693" spans="1:36" ht="18" customHeight="1" x14ac:dyDescent="0.25">
      <c r="A693" s="7"/>
      <c r="B693" s="7"/>
      <c r="C693" s="7"/>
      <c r="D693" s="7"/>
      <c r="E693" s="7"/>
      <c r="F693" s="7"/>
      <c r="G693" s="7"/>
      <c r="H693" s="7"/>
      <c r="I693" s="8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</row>
    <row r="694" spans="1:36" ht="18" customHeight="1" x14ac:dyDescent="0.25">
      <c r="A694" s="7"/>
      <c r="B694" s="7"/>
      <c r="C694" s="7"/>
      <c r="D694" s="7"/>
      <c r="E694" s="7"/>
      <c r="F694" s="7"/>
      <c r="G694" s="7"/>
      <c r="H694" s="7"/>
      <c r="I694" s="8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</row>
    <row r="695" spans="1:36" ht="18" customHeight="1" x14ac:dyDescent="0.25">
      <c r="A695" s="7"/>
      <c r="B695" s="7"/>
      <c r="C695" s="7"/>
      <c r="D695" s="7"/>
      <c r="E695" s="7"/>
      <c r="F695" s="7"/>
      <c r="G695" s="7"/>
      <c r="H695" s="7"/>
      <c r="I695" s="8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</row>
    <row r="696" spans="1:36" ht="18" customHeight="1" x14ac:dyDescent="0.25">
      <c r="A696" s="7"/>
      <c r="B696" s="7"/>
      <c r="C696" s="7"/>
      <c r="D696" s="7"/>
      <c r="E696" s="7"/>
      <c r="F696" s="7"/>
      <c r="G696" s="7"/>
      <c r="H696" s="7"/>
      <c r="I696" s="8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</row>
    <row r="697" spans="1:36" ht="18" customHeight="1" x14ac:dyDescent="0.25">
      <c r="A697" s="7"/>
      <c r="B697" s="7"/>
      <c r="C697" s="7"/>
      <c r="D697" s="7"/>
      <c r="E697" s="7"/>
      <c r="F697" s="7"/>
      <c r="G697" s="7"/>
      <c r="H697" s="7"/>
      <c r="I697" s="8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</row>
    <row r="698" spans="1:36" ht="18" customHeight="1" x14ac:dyDescent="0.25">
      <c r="A698" s="7"/>
      <c r="B698" s="7"/>
      <c r="C698" s="7"/>
      <c r="D698" s="7"/>
      <c r="E698" s="7"/>
      <c r="F698" s="7"/>
      <c r="G698" s="7"/>
      <c r="H698" s="7"/>
      <c r="I698" s="8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</row>
    <row r="699" spans="1:36" ht="18" customHeight="1" x14ac:dyDescent="0.25">
      <c r="A699" s="7"/>
      <c r="B699" s="7"/>
      <c r="C699" s="7"/>
      <c r="D699" s="7"/>
      <c r="E699" s="7"/>
      <c r="F699" s="7"/>
      <c r="G699" s="7"/>
      <c r="H699" s="7"/>
      <c r="I699" s="8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</row>
    <row r="700" spans="1:36" ht="18" customHeight="1" x14ac:dyDescent="0.25">
      <c r="A700" s="7"/>
      <c r="B700" s="7"/>
      <c r="C700" s="7"/>
      <c r="D700" s="7"/>
      <c r="E700" s="7"/>
      <c r="F700" s="7"/>
      <c r="G700" s="7"/>
      <c r="H700" s="7"/>
      <c r="I700" s="8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</row>
    <row r="701" spans="1:36" ht="18" customHeight="1" x14ac:dyDescent="0.25">
      <c r="A701" s="7"/>
      <c r="B701" s="7"/>
      <c r="C701" s="7"/>
      <c r="D701" s="7"/>
      <c r="E701" s="7"/>
      <c r="F701" s="7"/>
      <c r="G701" s="7"/>
      <c r="H701" s="7"/>
      <c r="I701" s="8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</row>
    <row r="702" spans="1:36" ht="18" customHeight="1" x14ac:dyDescent="0.25">
      <c r="A702" s="7"/>
      <c r="B702" s="7"/>
      <c r="C702" s="7"/>
      <c r="D702" s="7"/>
      <c r="E702" s="7"/>
      <c r="F702" s="7"/>
      <c r="G702" s="7"/>
      <c r="H702" s="7"/>
      <c r="I702" s="8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</row>
    <row r="703" spans="1:36" ht="18" customHeight="1" x14ac:dyDescent="0.25">
      <c r="A703" s="7"/>
      <c r="B703" s="7"/>
      <c r="C703" s="7"/>
      <c r="D703" s="7"/>
      <c r="E703" s="7"/>
      <c r="F703" s="7"/>
      <c r="G703" s="7"/>
      <c r="H703" s="7"/>
      <c r="I703" s="8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</row>
    <row r="704" spans="1:36" ht="18" customHeight="1" x14ac:dyDescent="0.25">
      <c r="A704" s="7"/>
      <c r="B704" s="7"/>
      <c r="C704" s="7"/>
      <c r="D704" s="7"/>
      <c r="E704" s="7"/>
      <c r="F704" s="7"/>
      <c r="G704" s="7"/>
      <c r="H704" s="7"/>
      <c r="I704" s="8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</row>
    <row r="705" spans="1:36" ht="18" customHeight="1" x14ac:dyDescent="0.25">
      <c r="A705" s="7"/>
      <c r="B705" s="7"/>
      <c r="C705" s="7"/>
      <c r="D705" s="7"/>
      <c r="E705" s="7"/>
      <c r="F705" s="7"/>
      <c r="G705" s="7"/>
      <c r="H705" s="7"/>
      <c r="I705" s="8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</row>
    <row r="706" spans="1:36" ht="18" customHeight="1" x14ac:dyDescent="0.25">
      <c r="A706" s="7"/>
      <c r="B706" s="7"/>
      <c r="C706" s="7"/>
      <c r="D706" s="7"/>
      <c r="E706" s="7"/>
      <c r="F706" s="7"/>
      <c r="G706" s="7"/>
      <c r="H706" s="7"/>
      <c r="I706" s="8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</row>
    <row r="707" spans="1:36" ht="18" customHeight="1" x14ac:dyDescent="0.25">
      <c r="A707" s="7"/>
      <c r="B707" s="7"/>
      <c r="C707" s="7"/>
      <c r="D707" s="7"/>
      <c r="E707" s="7"/>
      <c r="F707" s="7"/>
      <c r="G707" s="7"/>
      <c r="H707" s="7"/>
      <c r="I707" s="8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</row>
    <row r="708" spans="1:36" ht="18" customHeight="1" x14ac:dyDescent="0.25">
      <c r="A708" s="7"/>
      <c r="B708" s="7"/>
      <c r="C708" s="7"/>
      <c r="D708" s="7"/>
      <c r="E708" s="7"/>
      <c r="F708" s="7"/>
      <c r="G708" s="7"/>
      <c r="H708" s="7"/>
      <c r="I708" s="8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</row>
    <row r="709" spans="1:36" ht="18" customHeight="1" x14ac:dyDescent="0.25">
      <c r="A709" s="7"/>
      <c r="B709" s="7"/>
      <c r="C709" s="7"/>
      <c r="D709" s="7"/>
      <c r="E709" s="7"/>
      <c r="F709" s="7"/>
      <c r="G709" s="7"/>
      <c r="H709" s="7"/>
      <c r="I709" s="8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</row>
    <row r="710" spans="1:36" ht="18" customHeight="1" x14ac:dyDescent="0.25">
      <c r="A710" s="7"/>
      <c r="B710" s="7"/>
      <c r="C710" s="7"/>
      <c r="D710" s="7"/>
      <c r="E710" s="7"/>
      <c r="F710" s="7"/>
      <c r="G710" s="7"/>
      <c r="H710" s="7"/>
      <c r="I710" s="8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</row>
    <row r="711" spans="1:36" ht="18" customHeight="1" x14ac:dyDescent="0.25">
      <c r="A711" s="7"/>
      <c r="B711" s="7"/>
      <c r="C711" s="7"/>
      <c r="D711" s="7"/>
      <c r="E711" s="7"/>
      <c r="F711" s="7"/>
      <c r="G711" s="7"/>
      <c r="H711" s="7"/>
      <c r="I711" s="8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</row>
    <row r="712" spans="1:36" ht="18" customHeight="1" x14ac:dyDescent="0.25">
      <c r="A712" s="7"/>
      <c r="B712" s="7"/>
      <c r="C712" s="7"/>
      <c r="D712" s="7"/>
      <c r="E712" s="7"/>
      <c r="F712" s="7"/>
      <c r="G712" s="7"/>
      <c r="H712" s="7"/>
      <c r="I712" s="8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</row>
    <row r="713" spans="1:36" ht="18" customHeight="1" x14ac:dyDescent="0.25">
      <c r="A713" s="7"/>
      <c r="B713" s="7"/>
      <c r="C713" s="7"/>
      <c r="D713" s="7"/>
      <c r="E713" s="7"/>
      <c r="F713" s="7"/>
      <c r="G713" s="7"/>
      <c r="H713" s="7"/>
      <c r="I713" s="8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</row>
    <row r="714" spans="1:36" ht="18" customHeight="1" x14ac:dyDescent="0.25">
      <c r="A714" s="7"/>
      <c r="B714" s="7"/>
      <c r="C714" s="7"/>
      <c r="D714" s="7"/>
      <c r="E714" s="7"/>
      <c r="F714" s="7"/>
      <c r="G714" s="7"/>
      <c r="H714" s="7"/>
      <c r="I714" s="8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</row>
    <row r="715" spans="1:36" ht="18" customHeight="1" x14ac:dyDescent="0.25">
      <c r="A715" s="7"/>
      <c r="B715" s="7"/>
      <c r="C715" s="7"/>
      <c r="D715" s="7"/>
      <c r="E715" s="7"/>
      <c r="F715" s="7"/>
      <c r="G715" s="7"/>
      <c r="H715" s="7"/>
      <c r="I715" s="8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</row>
    <row r="716" spans="1:36" ht="18" customHeight="1" x14ac:dyDescent="0.25">
      <c r="A716" s="7"/>
      <c r="B716" s="7"/>
      <c r="C716" s="7"/>
      <c r="D716" s="7"/>
      <c r="E716" s="7"/>
      <c r="F716" s="7"/>
      <c r="G716" s="7"/>
      <c r="H716" s="7"/>
      <c r="I716" s="8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</row>
    <row r="717" spans="1:36" ht="18" customHeight="1" x14ac:dyDescent="0.25">
      <c r="A717" s="7"/>
      <c r="B717" s="7"/>
      <c r="C717" s="7"/>
      <c r="D717" s="7"/>
      <c r="E717" s="7"/>
      <c r="F717" s="7"/>
      <c r="G717" s="7"/>
      <c r="H717" s="7"/>
      <c r="I717" s="8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</row>
    <row r="718" spans="1:36" ht="18" customHeight="1" x14ac:dyDescent="0.25">
      <c r="A718" s="7"/>
      <c r="B718" s="7"/>
      <c r="C718" s="7"/>
      <c r="D718" s="7"/>
      <c r="E718" s="7"/>
      <c r="F718" s="7"/>
      <c r="G718" s="7"/>
      <c r="H718" s="7"/>
      <c r="I718" s="8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</row>
    <row r="719" spans="1:36" ht="18" customHeight="1" x14ac:dyDescent="0.25">
      <c r="A719" s="7"/>
      <c r="B719" s="7"/>
      <c r="C719" s="7"/>
      <c r="D719" s="7"/>
      <c r="E719" s="7"/>
      <c r="F719" s="7"/>
      <c r="G719" s="7"/>
      <c r="H719" s="7"/>
      <c r="I719" s="8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</row>
    <row r="720" spans="1:36" ht="18" customHeight="1" x14ac:dyDescent="0.25">
      <c r="A720" s="7"/>
      <c r="B720" s="7"/>
      <c r="C720" s="7"/>
      <c r="D720" s="7"/>
      <c r="E720" s="7"/>
      <c r="F720" s="7"/>
      <c r="G720" s="7"/>
      <c r="H720" s="7"/>
      <c r="I720" s="8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</row>
    <row r="721" spans="1:36" ht="18" customHeight="1" x14ac:dyDescent="0.25">
      <c r="A721" s="7"/>
      <c r="B721" s="7"/>
      <c r="C721" s="7"/>
      <c r="D721" s="7"/>
      <c r="E721" s="7"/>
      <c r="F721" s="7"/>
      <c r="G721" s="7"/>
      <c r="H721" s="7"/>
      <c r="I721" s="8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</row>
    <row r="722" spans="1:36" ht="18" customHeight="1" x14ac:dyDescent="0.25">
      <c r="A722" s="7"/>
      <c r="B722" s="7"/>
      <c r="C722" s="7"/>
      <c r="D722" s="7"/>
      <c r="E722" s="7"/>
      <c r="F722" s="7"/>
      <c r="G722" s="7"/>
      <c r="H722" s="7"/>
      <c r="I722" s="8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</row>
    <row r="723" spans="1:36" ht="18" customHeight="1" x14ac:dyDescent="0.25">
      <c r="A723" s="7"/>
      <c r="B723" s="7"/>
      <c r="C723" s="7"/>
      <c r="D723" s="7"/>
      <c r="E723" s="7"/>
      <c r="F723" s="7"/>
      <c r="G723" s="7"/>
      <c r="H723" s="7"/>
      <c r="I723" s="8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</row>
    <row r="724" spans="1:36" ht="18" customHeight="1" x14ac:dyDescent="0.25">
      <c r="A724" s="7"/>
      <c r="B724" s="7"/>
      <c r="C724" s="7"/>
      <c r="D724" s="7"/>
      <c r="E724" s="7"/>
      <c r="F724" s="7"/>
      <c r="G724" s="7"/>
      <c r="H724" s="7"/>
      <c r="I724" s="8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</row>
    <row r="725" spans="1:36" ht="18" customHeight="1" x14ac:dyDescent="0.25">
      <c r="A725" s="7"/>
      <c r="B725" s="7"/>
      <c r="C725" s="7"/>
      <c r="D725" s="7"/>
      <c r="E725" s="7"/>
      <c r="F725" s="7"/>
      <c r="G725" s="7"/>
      <c r="H725" s="7"/>
      <c r="I725" s="8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</row>
    <row r="726" spans="1:36" ht="18" customHeight="1" x14ac:dyDescent="0.25">
      <c r="A726" s="7"/>
      <c r="B726" s="7"/>
      <c r="C726" s="7"/>
      <c r="D726" s="7"/>
      <c r="E726" s="7"/>
      <c r="F726" s="7"/>
      <c r="G726" s="7"/>
      <c r="H726" s="7"/>
      <c r="I726" s="8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</row>
    <row r="727" spans="1:36" ht="18" customHeight="1" x14ac:dyDescent="0.25">
      <c r="A727" s="7"/>
      <c r="B727" s="7"/>
      <c r="C727" s="7"/>
      <c r="D727" s="7"/>
      <c r="E727" s="7"/>
      <c r="F727" s="7"/>
      <c r="G727" s="7"/>
      <c r="H727" s="7"/>
      <c r="I727" s="8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</row>
    <row r="728" spans="1:36" ht="18" customHeight="1" x14ac:dyDescent="0.25">
      <c r="A728" s="7"/>
      <c r="B728" s="7"/>
      <c r="C728" s="7"/>
      <c r="D728" s="7"/>
      <c r="E728" s="7"/>
      <c r="F728" s="7"/>
      <c r="G728" s="7"/>
      <c r="H728" s="7"/>
      <c r="I728" s="8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</row>
    <row r="729" spans="1:36" ht="18" customHeight="1" x14ac:dyDescent="0.25">
      <c r="A729" s="7"/>
      <c r="B729" s="7"/>
      <c r="C729" s="7"/>
      <c r="D729" s="7"/>
      <c r="E729" s="7"/>
      <c r="F729" s="7"/>
      <c r="G729" s="7"/>
      <c r="H729" s="7"/>
      <c r="I729" s="8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</row>
    <row r="730" spans="1:36" ht="18" customHeight="1" x14ac:dyDescent="0.25">
      <c r="A730" s="7"/>
      <c r="B730" s="7"/>
      <c r="C730" s="7"/>
      <c r="D730" s="7"/>
      <c r="E730" s="7"/>
      <c r="F730" s="7"/>
      <c r="G730" s="7"/>
      <c r="H730" s="7"/>
      <c r="I730" s="8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</row>
    <row r="731" spans="1:36" ht="18" customHeight="1" x14ac:dyDescent="0.25">
      <c r="A731" s="7"/>
      <c r="B731" s="7"/>
      <c r="C731" s="7"/>
      <c r="D731" s="7"/>
      <c r="E731" s="7"/>
      <c r="F731" s="7"/>
      <c r="G731" s="7"/>
      <c r="H731" s="7"/>
      <c r="I731" s="8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</row>
    <row r="732" spans="1:36" ht="18" customHeight="1" x14ac:dyDescent="0.25">
      <c r="A732" s="7"/>
      <c r="B732" s="7"/>
      <c r="C732" s="7"/>
      <c r="D732" s="7"/>
      <c r="E732" s="7"/>
      <c r="F732" s="7"/>
      <c r="G732" s="7"/>
      <c r="H732" s="7"/>
      <c r="I732" s="8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</row>
    <row r="733" spans="1:36" ht="18" customHeight="1" x14ac:dyDescent="0.25">
      <c r="A733" s="7"/>
      <c r="B733" s="7"/>
      <c r="C733" s="7"/>
      <c r="D733" s="7"/>
      <c r="E733" s="7"/>
      <c r="F733" s="7"/>
      <c r="G733" s="7"/>
      <c r="H733" s="7"/>
      <c r="I733" s="8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</row>
    <row r="734" spans="1:36" ht="18" customHeight="1" x14ac:dyDescent="0.25">
      <c r="A734" s="7"/>
      <c r="B734" s="7"/>
      <c r="C734" s="7"/>
      <c r="D734" s="7"/>
      <c r="E734" s="7"/>
      <c r="F734" s="7"/>
      <c r="G734" s="7"/>
      <c r="H734" s="7"/>
      <c r="I734" s="8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</row>
    <row r="735" spans="1:36" ht="18" customHeight="1" x14ac:dyDescent="0.25">
      <c r="A735" s="7"/>
      <c r="B735" s="7"/>
      <c r="C735" s="7"/>
      <c r="D735" s="7"/>
      <c r="E735" s="7"/>
      <c r="F735" s="7"/>
      <c r="G735" s="7"/>
      <c r="H735" s="7"/>
      <c r="I735" s="8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</row>
    <row r="736" spans="1:36" ht="18" customHeight="1" x14ac:dyDescent="0.25">
      <c r="A736" s="7"/>
      <c r="B736" s="7"/>
      <c r="C736" s="7"/>
      <c r="D736" s="7"/>
      <c r="E736" s="7"/>
      <c r="F736" s="7"/>
      <c r="G736" s="7"/>
      <c r="H736" s="7"/>
      <c r="I736" s="8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</row>
    <row r="737" spans="1:36" ht="18" customHeight="1" x14ac:dyDescent="0.25">
      <c r="A737" s="7"/>
      <c r="B737" s="7"/>
      <c r="C737" s="7"/>
      <c r="D737" s="7"/>
      <c r="E737" s="7"/>
      <c r="F737" s="7"/>
      <c r="G737" s="7"/>
      <c r="H737" s="7"/>
      <c r="I737" s="8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</row>
    <row r="738" spans="1:36" ht="18" customHeight="1" x14ac:dyDescent="0.25">
      <c r="A738" s="7"/>
      <c r="B738" s="7"/>
      <c r="C738" s="7"/>
      <c r="D738" s="7"/>
      <c r="E738" s="7"/>
      <c r="F738" s="7"/>
      <c r="G738" s="7"/>
      <c r="H738" s="7"/>
      <c r="I738" s="8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</row>
    <row r="739" spans="1:36" ht="18" customHeight="1" x14ac:dyDescent="0.25">
      <c r="A739" s="7"/>
      <c r="B739" s="7"/>
      <c r="C739" s="7"/>
      <c r="D739" s="7"/>
      <c r="E739" s="7"/>
      <c r="F739" s="7"/>
      <c r="G739" s="7"/>
      <c r="H739" s="7"/>
      <c r="I739" s="8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</row>
    <row r="740" spans="1:36" ht="18" customHeight="1" x14ac:dyDescent="0.25">
      <c r="A740" s="7"/>
      <c r="B740" s="7"/>
      <c r="C740" s="7"/>
      <c r="D740" s="7"/>
      <c r="E740" s="7"/>
      <c r="F740" s="7"/>
      <c r="G740" s="7"/>
      <c r="H740" s="7"/>
      <c r="I740" s="8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</row>
    <row r="741" spans="1:36" ht="18" customHeight="1" x14ac:dyDescent="0.25">
      <c r="A741" s="7"/>
      <c r="B741" s="7"/>
      <c r="C741" s="7"/>
      <c r="D741" s="7"/>
      <c r="E741" s="7"/>
      <c r="F741" s="7"/>
      <c r="G741" s="7"/>
      <c r="H741" s="7"/>
      <c r="I741" s="8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</row>
    <row r="742" spans="1:36" ht="18" customHeight="1" x14ac:dyDescent="0.25">
      <c r="A742" s="7"/>
      <c r="B742" s="7"/>
      <c r="C742" s="7"/>
      <c r="D742" s="7"/>
      <c r="E742" s="7"/>
      <c r="F742" s="7"/>
      <c r="G742" s="7"/>
      <c r="H742" s="7"/>
      <c r="I742" s="8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</row>
    <row r="743" spans="1:36" ht="18" customHeight="1" x14ac:dyDescent="0.25">
      <c r="A743" s="7"/>
      <c r="B743" s="7"/>
      <c r="C743" s="7"/>
      <c r="D743" s="7"/>
      <c r="E743" s="7"/>
      <c r="F743" s="7"/>
      <c r="G743" s="7"/>
      <c r="H743" s="7"/>
      <c r="I743" s="8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</row>
    <row r="744" spans="1:36" ht="18" customHeight="1" x14ac:dyDescent="0.25">
      <c r="A744" s="7"/>
      <c r="B744" s="7"/>
      <c r="C744" s="7"/>
      <c r="D744" s="7"/>
      <c r="E744" s="7"/>
      <c r="F744" s="7"/>
      <c r="G744" s="7"/>
      <c r="H744" s="7"/>
      <c r="I744" s="8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</row>
    <row r="745" spans="1:36" ht="18" customHeight="1" x14ac:dyDescent="0.25">
      <c r="A745" s="7"/>
      <c r="B745" s="7"/>
      <c r="C745" s="7"/>
      <c r="D745" s="7"/>
      <c r="E745" s="7"/>
      <c r="F745" s="7"/>
      <c r="G745" s="7"/>
      <c r="H745" s="7"/>
      <c r="I745" s="8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</row>
    <row r="746" spans="1:36" ht="18" customHeight="1" x14ac:dyDescent="0.25">
      <c r="A746" s="7"/>
      <c r="B746" s="7"/>
      <c r="C746" s="7"/>
      <c r="D746" s="7"/>
      <c r="E746" s="7"/>
      <c r="F746" s="7"/>
      <c r="G746" s="7"/>
      <c r="H746" s="7"/>
      <c r="I746" s="8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</row>
    <row r="747" spans="1:36" ht="18" customHeight="1" x14ac:dyDescent="0.25">
      <c r="A747" s="7"/>
      <c r="B747" s="7"/>
      <c r="C747" s="7"/>
      <c r="D747" s="7"/>
      <c r="E747" s="7"/>
      <c r="F747" s="7"/>
      <c r="G747" s="7"/>
      <c r="H747" s="7"/>
      <c r="I747" s="8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</row>
    <row r="748" spans="1:36" ht="18" customHeight="1" x14ac:dyDescent="0.25">
      <c r="A748" s="7"/>
      <c r="B748" s="7"/>
      <c r="C748" s="7"/>
      <c r="D748" s="7"/>
      <c r="E748" s="7"/>
      <c r="F748" s="7"/>
      <c r="G748" s="7"/>
      <c r="H748" s="7"/>
      <c r="I748" s="8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</row>
    <row r="749" spans="1:36" ht="18" customHeight="1" x14ac:dyDescent="0.25">
      <c r="A749" s="7"/>
      <c r="B749" s="7"/>
      <c r="C749" s="7"/>
      <c r="D749" s="7"/>
      <c r="E749" s="7"/>
      <c r="F749" s="7"/>
      <c r="G749" s="7"/>
      <c r="H749" s="7"/>
      <c r="I749" s="8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</row>
    <row r="750" spans="1:36" ht="18" customHeight="1" x14ac:dyDescent="0.25">
      <c r="A750" s="7"/>
      <c r="B750" s="7"/>
      <c r="C750" s="7"/>
      <c r="D750" s="7"/>
      <c r="E750" s="7"/>
      <c r="F750" s="7"/>
      <c r="G750" s="7"/>
      <c r="H750" s="7"/>
      <c r="I750" s="8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</row>
    <row r="751" spans="1:36" ht="18" customHeight="1" x14ac:dyDescent="0.25">
      <c r="A751" s="7"/>
      <c r="B751" s="7"/>
      <c r="C751" s="7"/>
      <c r="D751" s="7"/>
      <c r="E751" s="7"/>
      <c r="F751" s="7"/>
      <c r="G751" s="7"/>
      <c r="H751" s="7"/>
      <c r="I751" s="8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</row>
    <row r="752" spans="1:36" ht="18" customHeight="1" x14ac:dyDescent="0.25">
      <c r="A752" s="7"/>
      <c r="B752" s="7"/>
      <c r="C752" s="7"/>
      <c r="D752" s="7"/>
      <c r="E752" s="7"/>
      <c r="F752" s="7"/>
      <c r="G752" s="7"/>
      <c r="H752" s="7"/>
      <c r="I752" s="8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</row>
    <row r="753" spans="1:36" ht="18" customHeight="1" x14ac:dyDescent="0.25">
      <c r="A753" s="7"/>
      <c r="B753" s="7"/>
      <c r="C753" s="7"/>
      <c r="D753" s="7"/>
      <c r="E753" s="7"/>
      <c r="F753" s="7"/>
      <c r="G753" s="7"/>
      <c r="H753" s="7"/>
      <c r="I753" s="8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</row>
    <row r="754" spans="1:36" ht="18" customHeight="1" x14ac:dyDescent="0.25">
      <c r="A754" s="7"/>
      <c r="B754" s="7"/>
      <c r="C754" s="7"/>
      <c r="D754" s="7"/>
      <c r="E754" s="7"/>
      <c r="F754" s="7"/>
      <c r="G754" s="7"/>
      <c r="H754" s="7"/>
      <c r="I754" s="8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</row>
    <row r="755" spans="1:36" ht="18" customHeight="1" x14ac:dyDescent="0.25">
      <c r="A755" s="7"/>
      <c r="B755" s="7"/>
      <c r="C755" s="7"/>
      <c r="D755" s="7"/>
      <c r="E755" s="7"/>
      <c r="F755" s="7"/>
      <c r="G755" s="7"/>
      <c r="H755" s="7"/>
      <c r="I755" s="8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</row>
    <row r="756" spans="1:36" ht="18" customHeight="1" x14ac:dyDescent="0.25">
      <c r="A756" s="7"/>
      <c r="B756" s="7"/>
      <c r="C756" s="7"/>
      <c r="D756" s="7"/>
      <c r="E756" s="7"/>
      <c r="F756" s="7"/>
      <c r="G756" s="7"/>
      <c r="H756" s="7"/>
      <c r="I756" s="8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</row>
    <row r="757" spans="1:36" ht="18" customHeight="1" x14ac:dyDescent="0.25">
      <c r="A757" s="7"/>
      <c r="B757" s="7"/>
      <c r="C757" s="7"/>
      <c r="D757" s="7"/>
      <c r="E757" s="7"/>
      <c r="F757" s="7"/>
      <c r="G757" s="7"/>
      <c r="H757" s="7"/>
      <c r="I757" s="8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</row>
    <row r="758" spans="1:36" ht="18" customHeight="1" x14ac:dyDescent="0.25">
      <c r="A758" s="7"/>
      <c r="B758" s="7"/>
      <c r="C758" s="7"/>
      <c r="D758" s="7"/>
      <c r="E758" s="7"/>
      <c r="F758" s="7"/>
      <c r="G758" s="7"/>
      <c r="H758" s="7"/>
      <c r="I758" s="8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</row>
    <row r="759" spans="1:36" ht="18" customHeight="1" x14ac:dyDescent="0.25">
      <c r="A759" s="7"/>
      <c r="B759" s="7"/>
      <c r="C759" s="7"/>
      <c r="D759" s="7"/>
      <c r="E759" s="7"/>
      <c r="F759" s="7"/>
      <c r="G759" s="7"/>
      <c r="H759" s="7"/>
      <c r="I759" s="8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</row>
    <row r="760" spans="1:36" ht="18" customHeight="1" x14ac:dyDescent="0.25">
      <c r="A760" s="7"/>
      <c r="B760" s="7"/>
      <c r="C760" s="7"/>
      <c r="D760" s="7"/>
      <c r="E760" s="7"/>
      <c r="F760" s="7"/>
      <c r="G760" s="7"/>
      <c r="H760" s="7"/>
      <c r="I760" s="8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</row>
    <row r="761" spans="1:36" ht="18" customHeight="1" x14ac:dyDescent="0.25">
      <c r="A761" s="7"/>
      <c r="B761" s="7"/>
      <c r="C761" s="7"/>
      <c r="D761" s="7"/>
      <c r="E761" s="7"/>
      <c r="F761" s="7"/>
      <c r="G761" s="7"/>
      <c r="H761" s="7"/>
      <c r="I761" s="8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</row>
    <row r="762" spans="1:36" ht="18" customHeight="1" x14ac:dyDescent="0.25">
      <c r="A762" s="7"/>
      <c r="B762" s="7"/>
      <c r="C762" s="7"/>
      <c r="D762" s="7"/>
      <c r="E762" s="7"/>
      <c r="F762" s="7"/>
      <c r="G762" s="7"/>
      <c r="H762" s="7"/>
      <c r="I762" s="8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</row>
    <row r="763" spans="1:36" ht="18" customHeight="1" x14ac:dyDescent="0.25">
      <c r="A763" s="7"/>
      <c r="B763" s="7"/>
      <c r="C763" s="7"/>
      <c r="D763" s="7"/>
      <c r="E763" s="7"/>
      <c r="F763" s="7"/>
      <c r="G763" s="7"/>
      <c r="H763" s="7"/>
      <c r="I763" s="8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</row>
    <row r="764" spans="1:36" ht="18" customHeight="1" x14ac:dyDescent="0.25">
      <c r="A764" s="7"/>
      <c r="B764" s="7"/>
      <c r="C764" s="7"/>
      <c r="D764" s="7"/>
      <c r="E764" s="7"/>
      <c r="F764" s="7"/>
      <c r="G764" s="7"/>
      <c r="H764" s="7"/>
      <c r="I764" s="8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</row>
    <row r="765" spans="1:36" ht="18" customHeight="1" x14ac:dyDescent="0.25">
      <c r="A765" s="7"/>
      <c r="B765" s="7"/>
      <c r="C765" s="7"/>
      <c r="D765" s="7"/>
      <c r="E765" s="7"/>
      <c r="F765" s="7"/>
      <c r="G765" s="7"/>
      <c r="H765" s="7"/>
      <c r="I765" s="8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</row>
    <row r="766" spans="1:36" ht="18" customHeight="1" x14ac:dyDescent="0.25">
      <c r="A766" s="7"/>
      <c r="B766" s="7"/>
      <c r="C766" s="7"/>
      <c r="D766" s="7"/>
      <c r="E766" s="7"/>
      <c r="F766" s="7"/>
      <c r="G766" s="7"/>
      <c r="H766" s="7"/>
      <c r="I766" s="8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</row>
    <row r="767" spans="1:36" ht="18" customHeight="1" x14ac:dyDescent="0.25">
      <c r="A767" s="7"/>
      <c r="B767" s="7"/>
      <c r="C767" s="7"/>
      <c r="D767" s="7"/>
      <c r="E767" s="7"/>
      <c r="F767" s="7"/>
      <c r="G767" s="7"/>
      <c r="H767" s="7"/>
      <c r="I767" s="8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</row>
    <row r="768" spans="1:36" ht="18" customHeight="1" x14ac:dyDescent="0.25">
      <c r="A768" s="7"/>
      <c r="B768" s="7"/>
      <c r="C768" s="7"/>
      <c r="D768" s="7"/>
      <c r="E768" s="7"/>
      <c r="F768" s="7"/>
      <c r="G768" s="7"/>
      <c r="H768" s="7"/>
      <c r="I768" s="8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</row>
    <row r="769" spans="1:36" ht="18" customHeight="1" x14ac:dyDescent="0.25">
      <c r="A769" s="7"/>
      <c r="B769" s="7"/>
      <c r="C769" s="7"/>
      <c r="D769" s="7"/>
      <c r="E769" s="7"/>
      <c r="F769" s="7"/>
      <c r="G769" s="7"/>
      <c r="H769" s="7"/>
      <c r="I769" s="8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</row>
    <row r="770" spans="1:36" ht="18" customHeight="1" x14ac:dyDescent="0.25">
      <c r="A770" s="7"/>
      <c r="B770" s="7"/>
      <c r="C770" s="7"/>
      <c r="D770" s="7"/>
      <c r="E770" s="7"/>
      <c r="F770" s="7"/>
      <c r="G770" s="7"/>
      <c r="H770" s="7"/>
      <c r="I770" s="8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</row>
    <row r="771" spans="1:36" ht="18" customHeight="1" x14ac:dyDescent="0.25">
      <c r="A771" s="7"/>
      <c r="B771" s="7"/>
      <c r="C771" s="7"/>
      <c r="D771" s="7"/>
      <c r="E771" s="7"/>
      <c r="F771" s="7"/>
      <c r="G771" s="7"/>
      <c r="H771" s="7"/>
      <c r="I771" s="8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</row>
    <row r="772" spans="1:36" ht="18" customHeight="1" x14ac:dyDescent="0.25">
      <c r="A772" s="7"/>
      <c r="B772" s="7"/>
      <c r="C772" s="7"/>
      <c r="D772" s="7"/>
      <c r="E772" s="7"/>
      <c r="F772" s="7"/>
      <c r="G772" s="7"/>
      <c r="H772" s="7"/>
      <c r="I772" s="8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</row>
    <row r="773" spans="1:36" ht="18" customHeight="1" x14ac:dyDescent="0.25">
      <c r="A773" s="7"/>
      <c r="B773" s="7"/>
      <c r="C773" s="7"/>
      <c r="D773" s="7"/>
      <c r="E773" s="7"/>
      <c r="F773" s="7"/>
      <c r="G773" s="7"/>
      <c r="H773" s="7"/>
      <c r="I773" s="8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</row>
    <row r="774" spans="1:36" ht="18" customHeight="1" x14ac:dyDescent="0.25">
      <c r="A774" s="7"/>
      <c r="B774" s="7"/>
      <c r="C774" s="7"/>
      <c r="D774" s="7"/>
      <c r="E774" s="7"/>
      <c r="F774" s="7"/>
      <c r="G774" s="7"/>
      <c r="H774" s="7"/>
      <c r="I774" s="8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</row>
    <row r="775" spans="1:36" ht="18" customHeight="1" x14ac:dyDescent="0.25">
      <c r="A775" s="7"/>
      <c r="B775" s="7"/>
      <c r="C775" s="7"/>
      <c r="D775" s="7"/>
      <c r="E775" s="7"/>
      <c r="F775" s="7"/>
      <c r="G775" s="7"/>
      <c r="H775" s="7"/>
      <c r="I775" s="8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</row>
    <row r="776" spans="1:36" ht="18" customHeight="1" x14ac:dyDescent="0.25">
      <c r="A776" s="7"/>
      <c r="B776" s="7"/>
      <c r="C776" s="7"/>
      <c r="D776" s="7"/>
      <c r="E776" s="7"/>
      <c r="F776" s="7"/>
      <c r="G776" s="7"/>
      <c r="H776" s="7"/>
      <c r="I776" s="8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</row>
    <row r="777" spans="1:36" ht="18" customHeight="1" x14ac:dyDescent="0.25">
      <c r="A777" s="7"/>
      <c r="B777" s="7"/>
      <c r="C777" s="7"/>
      <c r="D777" s="7"/>
      <c r="E777" s="7"/>
      <c r="F777" s="7"/>
      <c r="G777" s="7"/>
      <c r="H777" s="7"/>
      <c r="I777" s="8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</row>
    <row r="778" spans="1:36" ht="18" customHeight="1" x14ac:dyDescent="0.25">
      <c r="A778" s="7"/>
      <c r="B778" s="7"/>
      <c r="C778" s="7"/>
      <c r="D778" s="7"/>
      <c r="E778" s="7"/>
      <c r="F778" s="7"/>
      <c r="G778" s="7"/>
      <c r="H778" s="7"/>
      <c r="I778" s="8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</row>
    <row r="779" spans="1:36" ht="18" customHeight="1" x14ac:dyDescent="0.25">
      <c r="A779" s="7"/>
      <c r="B779" s="7"/>
      <c r="C779" s="7"/>
      <c r="D779" s="7"/>
      <c r="E779" s="7"/>
      <c r="F779" s="7"/>
      <c r="G779" s="7"/>
      <c r="H779" s="7"/>
      <c r="I779" s="8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</row>
    <row r="780" spans="1:36" ht="18" customHeight="1" x14ac:dyDescent="0.25">
      <c r="A780" s="7"/>
      <c r="B780" s="7"/>
      <c r="C780" s="7"/>
      <c r="D780" s="7"/>
      <c r="E780" s="7"/>
      <c r="F780" s="7"/>
      <c r="G780" s="7"/>
      <c r="H780" s="7"/>
      <c r="I780" s="8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</row>
    <row r="781" spans="1:36" ht="18" customHeight="1" x14ac:dyDescent="0.25">
      <c r="A781" s="7"/>
      <c r="B781" s="7"/>
      <c r="C781" s="7"/>
      <c r="D781" s="7"/>
      <c r="E781" s="7"/>
      <c r="F781" s="7"/>
      <c r="G781" s="7"/>
      <c r="H781" s="7"/>
      <c r="I781" s="8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</row>
    <row r="782" spans="1:36" ht="18" customHeight="1" x14ac:dyDescent="0.25">
      <c r="A782" s="7"/>
      <c r="B782" s="7"/>
      <c r="C782" s="7"/>
      <c r="D782" s="7"/>
      <c r="E782" s="7"/>
      <c r="F782" s="7"/>
      <c r="G782" s="7"/>
      <c r="H782" s="7"/>
      <c r="I782" s="8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</row>
    <row r="783" spans="1:36" ht="18" customHeight="1" x14ac:dyDescent="0.25">
      <c r="A783" s="7"/>
      <c r="B783" s="7"/>
      <c r="C783" s="7"/>
      <c r="D783" s="7"/>
      <c r="E783" s="7"/>
      <c r="F783" s="7"/>
      <c r="G783" s="7"/>
      <c r="H783" s="7"/>
      <c r="I783" s="8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</row>
    <row r="784" spans="1:36" ht="18" customHeight="1" x14ac:dyDescent="0.25">
      <c r="A784" s="7"/>
      <c r="B784" s="7"/>
      <c r="C784" s="7"/>
      <c r="D784" s="7"/>
      <c r="E784" s="7"/>
      <c r="F784" s="7"/>
      <c r="G784" s="7"/>
      <c r="H784" s="7"/>
      <c r="I784" s="8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</row>
    <row r="785" spans="1:36" ht="18" customHeight="1" x14ac:dyDescent="0.25">
      <c r="A785" s="7"/>
      <c r="B785" s="7"/>
      <c r="C785" s="7"/>
      <c r="D785" s="7"/>
      <c r="E785" s="7"/>
      <c r="F785" s="7"/>
      <c r="G785" s="7"/>
      <c r="H785" s="7"/>
      <c r="I785" s="8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</row>
    <row r="786" spans="1:36" ht="18" customHeight="1" x14ac:dyDescent="0.25">
      <c r="A786" s="7"/>
      <c r="B786" s="7"/>
      <c r="C786" s="7"/>
      <c r="D786" s="7"/>
      <c r="E786" s="7"/>
      <c r="F786" s="7"/>
      <c r="G786" s="7"/>
      <c r="H786" s="7"/>
      <c r="I786" s="8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</row>
    <row r="787" spans="1:36" ht="18" customHeight="1" x14ac:dyDescent="0.25">
      <c r="A787" s="7"/>
      <c r="B787" s="7"/>
      <c r="C787" s="7"/>
      <c r="D787" s="7"/>
      <c r="E787" s="7"/>
      <c r="F787" s="7"/>
      <c r="G787" s="7"/>
      <c r="H787" s="7"/>
      <c r="I787" s="8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</row>
    <row r="788" spans="1:36" ht="18" customHeight="1" x14ac:dyDescent="0.25">
      <c r="A788" s="7"/>
      <c r="B788" s="7"/>
      <c r="C788" s="7"/>
      <c r="D788" s="7"/>
      <c r="E788" s="7"/>
      <c r="F788" s="7"/>
      <c r="G788" s="7"/>
      <c r="H788" s="7"/>
      <c r="I788" s="8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</row>
    <row r="789" spans="1:36" ht="18" customHeight="1" x14ac:dyDescent="0.25">
      <c r="A789" s="7"/>
      <c r="B789" s="7"/>
      <c r="C789" s="7"/>
      <c r="D789" s="7"/>
      <c r="E789" s="7"/>
      <c r="F789" s="7"/>
      <c r="G789" s="7"/>
      <c r="H789" s="7"/>
      <c r="I789" s="8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</row>
    <row r="790" spans="1:36" ht="18" customHeight="1" x14ac:dyDescent="0.25">
      <c r="A790" s="7"/>
      <c r="B790" s="7"/>
      <c r="C790" s="7"/>
      <c r="D790" s="7"/>
      <c r="E790" s="7"/>
      <c r="F790" s="7"/>
      <c r="G790" s="7"/>
      <c r="H790" s="7"/>
      <c r="I790" s="8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</row>
    <row r="791" spans="1:36" ht="18" customHeight="1" x14ac:dyDescent="0.25">
      <c r="A791" s="7"/>
      <c r="B791" s="7"/>
      <c r="C791" s="7"/>
      <c r="D791" s="7"/>
      <c r="E791" s="7"/>
      <c r="F791" s="7"/>
      <c r="G791" s="7"/>
      <c r="H791" s="7"/>
      <c r="I791" s="8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</row>
    <row r="792" spans="1:36" ht="18" customHeight="1" x14ac:dyDescent="0.25">
      <c r="A792" s="7"/>
      <c r="B792" s="7"/>
      <c r="C792" s="7"/>
      <c r="D792" s="7"/>
      <c r="E792" s="7"/>
      <c r="F792" s="7"/>
      <c r="G792" s="7"/>
      <c r="H792" s="7"/>
      <c r="I792" s="8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</row>
    <row r="793" spans="1:36" ht="18" customHeight="1" x14ac:dyDescent="0.25">
      <c r="A793" s="7"/>
      <c r="B793" s="7"/>
      <c r="C793" s="7"/>
      <c r="D793" s="7"/>
      <c r="E793" s="7"/>
      <c r="F793" s="7"/>
      <c r="G793" s="7"/>
      <c r="H793" s="7"/>
      <c r="I793" s="8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</row>
    <row r="794" spans="1:36" ht="18" customHeight="1" x14ac:dyDescent="0.25">
      <c r="A794" s="7"/>
      <c r="B794" s="7"/>
      <c r="C794" s="7"/>
      <c r="D794" s="7"/>
      <c r="E794" s="7"/>
      <c r="F794" s="7"/>
      <c r="G794" s="7"/>
      <c r="H794" s="7"/>
      <c r="I794" s="8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</row>
    <row r="795" spans="1:36" ht="18" customHeight="1" x14ac:dyDescent="0.25">
      <c r="A795" s="7"/>
      <c r="B795" s="7"/>
      <c r="C795" s="7"/>
      <c r="D795" s="7"/>
      <c r="E795" s="7"/>
      <c r="F795" s="7"/>
      <c r="G795" s="7"/>
      <c r="H795" s="7"/>
      <c r="I795" s="8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</row>
    <row r="796" spans="1:36" ht="18" customHeight="1" x14ac:dyDescent="0.25">
      <c r="A796" s="7"/>
      <c r="B796" s="7"/>
      <c r="C796" s="7"/>
      <c r="D796" s="7"/>
      <c r="E796" s="7"/>
      <c r="F796" s="7"/>
      <c r="G796" s="7"/>
      <c r="H796" s="7"/>
      <c r="I796" s="8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</row>
    <row r="797" spans="1:36" ht="18" customHeight="1" x14ac:dyDescent="0.25">
      <c r="A797" s="7"/>
      <c r="B797" s="7"/>
      <c r="C797" s="7"/>
      <c r="D797" s="7"/>
      <c r="E797" s="7"/>
      <c r="F797" s="7"/>
      <c r="G797" s="7"/>
      <c r="H797" s="7"/>
      <c r="I797" s="8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</row>
    <row r="798" spans="1:36" ht="18" customHeight="1" x14ac:dyDescent="0.25">
      <c r="A798" s="7"/>
      <c r="B798" s="7"/>
      <c r="C798" s="7"/>
      <c r="D798" s="7"/>
      <c r="E798" s="7"/>
      <c r="F798" s="7"/>
      <c r="G798" s="7"/>
      <c r="H798" s="7"/>
      <c r="I798" s="8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</row>
    <row r="799" spans="1:36" ht="18" customHeight="1" x14ac:dyDescent="0.25">
      <c r="A799" s="7"/>
      <c r="B799" s="7"/>
      <c r="C799" s="7"/>
      <c r="D799" s="7"/>
      <c r="E799" s="7"/>
      <c r="F799" s="7"/>
      <c r="G799" s="7"/>
      <c r="H799" s="7"/>
      <c r="I799" s="8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</row>
    <row r="800" spans="1:36" ht="18" customHeight="1" x14ac:dyDescent="0.25">
      <c r="A800" s="7"/>
      <c r="B800" s="7"/>
      <c r="C800" s="7"/>
      <c r="D800" s="7"/>
      <c r="E800" s="7"/>
      <c r="F800" s="7"/>
      <c r="G800" s="7"/>
      <c r="H800" s="7"/>
      <c r="I800" s="8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</row>
    <row r="801" spans="1:36" ht="18" customHeight="1" x14ac:dyDescent="0.25">
      <c r="A801" s="7"/>
      <c r="B801" s="7"/>
      <c r="C801" s="7"/>
      <c r="D801" s="7"/>
      <c r="E801" s="7"/>
      <c r="F801" s="7"/>
      <c r="G801" s="7"/>
      <c r="H801" s="7"/>
      <c r="I801" s="8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</row>
    <row r="802" spans="1:36" ht="18" customHeight="1" x14ac:dyDescent="0.25">
      <c r="A802" s="7"/>
      <c r="B802" s="7"/>
      <c r="C802" s="7"/>
      <c r="D802" s="7"/>
      <c r="E802" s="7"/>
      <c r="F802" s="7"/>
      <c r="G802" s="7"/>
      <c r="H802" s="7"/>
      <c r="I802" s="8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</row>
    <row r="803" spans="1:36" ht="18" customHeight="1" x14ac:dyDescent="0.25">
      <c r="A803" s="7"/>
      <c r="B803" s="7"/>
      <c r="C803" s="7"/>
      <c r="D803" s="7"/>
      <c r="E803" s="7"/>
      <c r="F803" s="7"/>
      <c r="G803" s="7"/>
      <c r="H803" s="7"/>
      <c r="I803" s="8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</row>
    <row r="804" spans="1:36" ht="18" customHeight="1" x14ac:dyDescent="0.25">
      <c r="A804" s="7"/>
      <c r="B804" s="7"/>
      <c r="C804" s="7"/>
      <c r="D804" s="7"/>
      <c r="E804" s="7"/>
      <c r="F804" s="7"/>
      <c r="G804" s="7"/>
      <c r="H804" s="7"/>
      <c r="I804" s="8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</row>
    <row r="805" spans="1:36" ht="18" customHeight="1" x14ac:dyDescent="0.25">
      <c r="A805" s="7"/>
      <c r="B805" s="7"/>
      <c r="C805" s="7"/>
      <c r="D805" s="7"/>
      <c r="E805" s="7"/>
      <c r="F805" s="7"/>
      <c r="G805" s="7"/>
      <c r="H805" s="7"/>
      <c r="I805" s="8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</row>
    <row r="806" spans="1:36" ht="18" customHeight="1" x14ac:dyDescent="0.25">
      <c r="A806" s="7"/>
      <c r="B806" s="7"/>
      <c r="C806" s="7"/>
      <c r="D806" s="7"/>
      <c r="E806" s="7"/>
      <c r="F806" s="7"/>
      <c r="G806" s="7"/>
      <c r="H806" s="7"/>
      <c r="I806" s="8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</row>
    <row r="807" spans="1:36" ht="18" customHeight="1" x14ac:dyDescent="0.25">
      <c r="A807" s="7"/>
      <c r="B807" s="7"/>
      <c r="C807" s="7"/>
      <c r="D807" s="7"/>
      <c r="E807" s="7"/>
      <c r="F807" s="7"/>
      <c r="G807" s="7"/>
      <c r="H807" s="7"/>
      <c r="I807" s="8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</row>
    <row r="808" spans="1:36" ht="18" customHeight="1" x14ac:dyDescent="0.25">
      <c r="A808" s="7"/>
      <c r="B808" s="7"/>
      <c r="C808" s="7"/>
      <c r="D808" s="7"/>
      <c r="E808" s="7"/>
      <c r="F808" s="7"/>
      <c r="G808" s="7"/>
      <c r="H808" s="7"/>
      <c r="I808" s="8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</row>
    <row r="809" spans="1:36" ht="18" customHeight="1" x14ac:dyDescent="0.25">
      <c r="A809" s="7"/>
      <c r="B809" s="7"/>
      <c r="C809" s="7"/>
      <c r="D809" s="7"/>
      <c r="E809" s="7"/>
      <c r="F809" s="7"/>
      <c r="G809" s="7"/>
      <c r="H809" s="7"/>
      <c r="I809" s="8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</row>
    <row r="810" spans="1:36" ht="18" customHeight="1" x14ac:dyDescent="0.25">
      <c r="A810" s="7"/>
      <c r="B810" s="7"/>
      <c r="C810" s="7"/>
      <c r="D810" s="7"/>
      <c r="E810" s="7"/>
      <c r="F810" s="7"/>
      <c r="G810" s="7"/>
      <c r="H810" s="7"/>
      <c r="I810" s="8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</row>
    <row r="811" spans="1:36" ht="18" customHeight="1" x14ac:dyDescent="0.25">
      <c r="A811" s="7"/>
      <c r="B811" s="7"/>
      <c r="C811" s="7"/>
      <c r="D811" s="7"/>
      <c r="E811" s="7"/>
      <c r="F811" s="7"/>
      <c r="G811" s="7"/>
      <c r="H811" s="7"/>
      <c r="I811" s="8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</row>
    <row r="812" spans="1:36" ht="18" customHeight="1" x14ac:dyDescent="0.25">
      <c r="A812" s="7"/>
      <c r="B812" s="7"/>
      <c r="C812" s="7"/>
      <c r="D812" s="7"/>
      <c r="E812" s="7"/>
      <c r="F812" s="7"/>
      <c r="G812" s="7"/>
      <c r="H812" s="7"/>
      <c r="I812" s="8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</row>
    <row r="813" spans="1:36" ht="18" customHeight="1" x14ac:dyDescent="0.25">
      <c r="A813" s="7"/>
      <c r="B813" s="7"/>
      <c r="C813" s="7"/>
      <c r="D813" s="7"/>
      <c r="E813" s="7"/>
      <c r="F813" s="7"/>
      <c r="G813" s="7"/>
      <c r="H813" s="7"/>
      <c r="I813" s="8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</row>
    <row r="814" spans="1:36" ht="18" customHeight="1" x14ac:dyDescent="0.25">
      <c r="A814" s="7"/>
      <c r="B814" s="7"/>
      <c r="C814" s="7"/>
      <c r="D814" s="7"/>
      <c r="E814" s="7"/>
      <c r="F814" s="7"/>
      <c r="G814" s="7"/>
      <c r="H814" s="7"/>
      <c r="I814" s="8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</row>
    <row r="815" spans="1:36" ht="18" customHeight="1" x14ac:dyDescent="0.25">
      <c r="A815" s="7"/>
      <c r="B815" s="7"/>
      <c r="C815" s="7"/>
      <c r="D815" s="7"/>
      <c r="E815" s="7"/>
      <c r="F815" s="7"/>
      <c r="G815" s="7"/>
      <c r="H815" s="7"/>
      <c r="I815" s="8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</row>
    <row r="816" spans="1:36" ht="18" customHeight="1" x14ac:dyDescent="0.25">
      <c r="A816" s="7"/>
      <c r="B816" s="7"/>
      <c r="C816" s="7"/>
      <c r="D816" s="7"/>
      <c r="E816" s="7"/>
      <c r="F816" s="7"/>
      <c r="G816" s="7"/>
      <c r="H816" s="7"/>
      <c r="I816" s="8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</row>
    <row r="817" spans="1:36" ht="18" customHeight="1" x14ac:dyDescent="0.25">
      <c r="A817" s="7"/>
      <c r="B817" s="7"/>
      <c r="C817" s="7"/>
      <c r="D817" s="7"/>
      <c r="E817" s="7"/>
      <c r="F817" s="7"/>
      <c r="G817" s="7"/>
      <c r="H817" s="7"/>
      <c r="I817" s="8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</row>
    <row r="818" spans="1:36" ht="18" customHeight="1" x14ac:dyDescent="0.25">
      <c r="A818" s="7"/>
      <c r="B818" s="7"/>
      <c r="C818" s="7"/>
      <c r="D818" s="7"/>
      <c r="E818" s="7"/>
      <c r="F818" s="7"/>
      <c r="G818" s="7"/>
      <c r="H818" s="7"/>
      <c r="I818" s="8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</row>
    <row r="819" spans="1:36" ht="18" customHeight="1" x14ac:dyDescent="0.25">
      <c r="A819" s="7"/>
      <c r="B819" s="7"/>
      <c r="C819" s="7"/>
      <c r="D819" s="7"/>
      <c r="E819" s="7"/>
      <c r="F819" s="7"/>
      <c r="G819" s="7"/>
      <c r="H819" s="7"/>
      <c r="I819" s="8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</row>
    <row r="820" spans="1:36" ht="18" customHeight="1" x14ac:dyDescent="0.25">
      <c r="A820" s="7"/>
      <c r="B820" s="7"/>
      <c r="C820" s="7"/>
      <c r="D820" s="7"/>
      <c r="E820" s="7"/>
      <c r="F820" s="7"/>
      <c r="G820" s="7"/>
      <c r="H820" s="7"/>
      <c r="I820" s="8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</row>
    <row r="821" spans="1:36" ht="18" customHeight="1" x14ac:dyDescent="0.25">
      <c r="A821" s="7"/>
      <c r="B821" s="7"/>
      <c r="C821" s="7"/>
      <c r="D821" s="7"/>
      <c r="E821" s="7"/>
      <c r="F821" s="7"/>
      <c r="G821" s="7"/>
      <c r="H821" s="7"/>
      <c r="I821" s="8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</row>
    <row r="822" spans="1:36" ht="18" customHeight="1" x14ac:dyDescent="0.25">
      <c r="A822" s="7"/>
      <c r="B822" s="7"/>
      <c r="C822" s="7"/>
      <c r="D822" s="7"/>
      <c r="E822" s="7"/>
      <c r="F822" s="7"/>
      <c r="G822" s="7"/>
      <c r="H822" s="7"/>
      <c r="I822" s="8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</row>
    <row r="823" spans="1:36" ht="18" customHeight="1" x14ac:dyDescent="0.25">
      <c r="A823" s="7"/>
      <c r="B823" s="7"/>
      <c r="C823" s="7"/>
      <c r="D823" s="7"/>
      <c r="E823" s="7"/>
      <c r="F823" s="7"/>
      <c r="G823" s="7"/>
      <c r="H823" s="7"/>
      <c r="I823" s="8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</row>
    <row r="824" spans="1:36" ht="18" customHeight="1" x14ac:dyDescent="0.25">
      <c r="A824" s="7"/>
      <c r="B824" s="7"/>
      <c r="C824" s="7"/>
      <c r="D824" s="7"/>
      <c r="E824" s="7"/>
      <c r="F824" s="7"/>
      <c r="G824" s="7"/>
      <c r="H824" s="7"/>
      <c r="I824" s="8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</row>
    <row r="825" spans="1:36" ht="18" customHeight="1" x14ac:dyDescent="0.25">
      <c r="A825" s="7"/>
      <c r="B825" s="7"/>
      <c r="C825" s="7"/>
      <c r="D825" s="7"/>
      <c r="E825" s="7"/>
      <c r="F825" s="7"/>
      <c r="G825" s="7"/>
      <c r="H825" s="7"/>
      <c r="I825" s="8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</row>
    <row r="826" spans="1:36" ht="18" customHeight="1" x14ac:dyDescent="0.25">
      <c r="A826" s="7"/>
      <c r="B826" s="7"/>
      <c r="C826" s="7"/>
      <c r="D826" s="7"/>
      <c r="E826" s="7"/>
      <c r="F826" s="7"/>
      <c r="G826" s="7"/>
      <c r="H826" s="7"/>
      <c r="I826" s="8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</row>
    <row r="827" spans="1:36" ht="18" customHeight="1" x14ac:dyDescent="0.25">
      <c r="A827" s="7"/>
      <c r="B827" s="7"/>
      <c r="C827" s="7"/>
      <c r="D827" s="7"/>
      <c r="E827" s="7"/>
      <c r="F827" s="7"/>
      <c r="G827" s="7"/>
      <c r="H827" s="7"/>
      <c r="I827" s="8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</row>
    <row r="828" spans="1:36" ht="18" customHeight="1" x14ac:dyDescent="0.25">
      <c r="A828" s="7"/>
      <c r="B828" s="7"/>
      <c r="C828" s="7"/>
      <c r="D828" s="7"/>
      <c r="E828" s="7"/>
      <c r="F828" s="7"/>
      <c r="G828" s="7"/>
      <c r="H828" s="7"/>
      <c r="I828" s="8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</row>
    <row r="829" spans="1:36" ht="18" customHeight="1" x14ac:dyDescent="0.25">
      <c r="A829" s="7"/>
      <c r="B829" s="7"/>
      <c r="C829" s="7"/>
      <c r="D829" s="7"/>
      <c r="E829" s="7"/>
      <c r="F829" s="7"/>
      <c r="G829" s="7"/>
      <c r="H829" s="7"/>
      <c r="I829" s="8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</row>
    <row r="830" spans="1:36" ht="18" customHeight="1" x14ac:dyDescent="0.25">
      <c r="A830" s="7"/>
      <c r="B830" s="7"/>
      <c r="C830" s="7"/>
      <c r="D830" s="7"/>
      <c r="E830" s="7"/>
      <c r="F830" s="7"/>
      <c r="G830" s="7"/>
      <c r="H830" s="7"/>
      <c r="I830" s="8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</row>
    <row r="831" spans="1:36" ht="18" customHeight="1" x14ac:dyDescent="0.25">
      <c r="A831" s="7"/>
      <c r="B831" s="7"/>
      <c r="C831" s="7"/>
      <c r="D831" s="7"/>
      <c r="E831" s="7"/>
      <c r="F831" s="7"/>
      <c r="G831" s="7"/>
      <c r="H831" s="7"/>
      <c r="I831" s="8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</row>
    <row r="832" spans="1:36" ht="18" customHeight="1" x14ac:dyDescent="0.25">
      <c r="A832" s="7"/>
      <c r="B832" s="7"/>
      <c r="C832" s="7"/>
      <c r="D832" s="7"/>
      <c r="E832" s="7"/>
      <c r="F832" s="7"/>
      <c r="G832" s="7"/>
      <c r="H832" s="7"/>
      <c r="I832" s="8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</row>
    <row r="833" spans="1:36" ht="18" customHeight="1" x14ac:dyDescent="0.25">
      <c r="A833" s="7"/>
      <c r="B833" s="7"/>
      <c r="C833" s="7"/>
      <c r="D833" s="7"/>
      <c r="E833" s="7"/>
      <c r="F833" s="7"/>
      <c r="G833" s="7"/>
      <c r="H833" s="7"/>
      <c r="I833" s="8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</row>
    <row r="834" spans="1:36" ht="18" customHeight="1" x14ac:dyDescent="0.25">
      <c r="A834" s="7"/>
      <c r="B834" s="7"/>
      <c r="C834" s="7"/>
      <c r="D834" s="7"/>
      <c r="E834" s="7"/>
      <c r="F834" s="7"/>
      <c r="G834" s="7"/>
      <c r="H834" s="7"/>
      <c r="I834" s="8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</row>
    <row r="835" spans="1:36" ht="18" customHeight="1" x14ac:dyDescent="0.25">
      <c r="A835" s="7"/>
      <c r="B835" s="7"/>
      <c r="C835" s="7"/>
      <c r="D835" s="7"/>
      <c r="E835" s="7"/>
      <c r="F835" s="7"/>
      <c r="G835" s="7"/>
      <c r="H835" s="7"/>
      <c r="I835" s="8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</row>
    <row r="836" spans="1:36" ht="18" customHeight="1" x14ac:dyDescent="0.25">
      <c r="A836" s="7"/>
      <c r="B836" s="7"/>
      <c r="C836" s="7"/>
      <c r="D836" s="7"/>
      <c r="E836" s="7"/>
      <c r="F836" s="7"/>
      <c r="G836" s="7"/>
      <c r="H836" s="7"/>
      <c r="I836" s="8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</row>
    <row r="837" spans="1:36" ht="18" customHeight="1" x14ac:dyDescent="0.25">
      <c r="A837" s="7"/>
      <c r="B837" s="7"/>
      <c r="C837" s="7"/>
      <c r="D837" s="7"/>
      <c r="E837" s="7"/>
      <c r="F837" s="7"/>
      <c r="G837" s="7"/>
      <c r="H837" s="7"/>
      <c r="I837" s="8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</row>
    <row r="838" spans="1:36" ht="18" customHeight="1" x14ac:dyDescent="0.25">
      <c r="A838" s="7"/>
      <c r="B838" s="7"/>
      <c r="C838" s="7"/>
      <c r="D838" s="7"/>
      <c r="E838" s="7"/>
      <c r="F838" s="7"/>
      <c r="G838" s="7"/>
      <c r="H838" s="7"/>
      <c r="I838" s="8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</row>
    <row r="839" spans="1:36" ht="18" customHeight="1" x14ac:dyDescent="0.25">
      <c r="A839" s="7"/>
      <c r="B839" s="7"/>
      <c r="C839" s="7"/>
      <c r="D839" s="7"/>
      <c r="E839" s="7"/>
      <c r="F839" s="7"/>
      <c r="G839" s="7"/>
      <c r="H839" s="7"/>
      <c r="I839" s="8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</row>
    <row r="840" spans="1:36" ht="18" customHeight="1" x14ac:dyDescent="0.25">
      <c r="A840" s="7"/>
      <c r="B840" s="7"/>
      <c r="C840" s="7"/>
      <c r="D840" s="7"/>
      <c r="E840" s="7"/>
      <c r="F840" s="7"/>
      <c r="G840" s="7"/>
      <c r="H840" s="7"/>
      <c r="I840" s="8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</row>
    <row r="841" spans="1:36" ht="18" customHeight="1" x14ac:dyDescent="0.25">
      <c r="A841" s="7"/>
      <c r="B841" s="7"/>
      <c r="C841" s="7"/>
      <c r="D841" s="7"/>
      <c r="E841" s="7"/>
      <c r="F841" s="7"/>
      <c r="G841" s="7"/>
      <c r="H841" s="7"/>
      <c r="I841" s="8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</row>
    <row r="842" spans="1:36" ht="18" customHeight="1" x14ac:dyDescent="0.25">
      <c r="A842" s="7"/>
      <c r="B842" s="7"/>
      <c r="C842" s="7"/>
      <c r="D842" s="7"/>
      <c r="E842" s="7"/>
      <c r="F842" s="7"/>
      <c r="G842" s="7"/>
      <c r="H842" s="7"/>
      <c r="I842" s="8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</row>
    <row r="843" spans="1:36" ht="18" customHeight="1" x14ac:dyDescent="0.25">
      <c r="A843" s="7"/>
      <c r="B843" s="7"/>
      <c r="C843" s="7"/>
      <c r="D843" s="7"/>
      <c r="E843" s="7"/>
      <c r="F843" s="7"/>
      <c r="G843" s="7"/>
      <c r="H843" s="7"/>
      <c r="I843" s="8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</row>
    <row r="844" spans="1:36" ht="18" customHeight="1" x14ac:dyDescent="0.25">
      <c r="A844" s="7"/>
      <c r="B844" s="7"/>
      <c r="C844" s="7"/>
      <c r="D844" s="7"/>
      <c r="E844" s="7"/>
      <c r="F844" s="7"/>
      <c r="G844" s="7"/>
      <c r="H844" s="7"/>
      <c r="I844" s="8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</row>
    <row r="845" spans="1:36" ht="18" customHeight="1" x14ac:dyDescent="0.25">
      <c r="A845" s="7"/>
      <c r="B845" s="7"/>
      <c r="C845" s="7"/>
      <c r="D845" s="7"/>
      <c r="E845" s="7"/>
      <c r="F845" s="7"/>
      <c r="G845" s="7"/>
      <c r="H845" s="7"/>
      <c r="I845" s="8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</row>
    <row r="846" spans="1:36" ht="18" customHeight="1" x14ac:dyDescent="0.25">
      <c r="A846" s="7"/>
      <c r="B846" s="7"/>
      <c r="C846" s="7"/>
      <c r="D846" s="7"/>
      <c r="E846" s="7"/>
      <c r="F846" s="7"/>
      <c r="G846" s="7"/>
      <c r="H846" s="7"/>
      <c r="I846" s="8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</row>
    <row r="847" spans="1:36" ht="18" customHeight="1" x14ac:dyDescent="0.25">
      <c r="A847" s="7"/>
      <c r="B847" s="7"/>
      <c r="C847" s="7"/>
      <c r="D847" s="7"/>
      <c r="E847" s="7"/>
      <c r="F847" s="7"/>
      <c r="G847" s="7"/>
      <c r="H847" s="7"/>
      <c r="I847" s="8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</row>
    <row r="848" spans="1:36" ht="18" customHeight="1" x14ac:dyDescent="0.25">
      <c r="A848" s="7"/>
      <c r="B848" s="7"/>
      <c r="C848" s="7"/>
      <c r="D848" s="7"/>
      <c r="E848" s="7"/>
      <c r="F848" s="7"/>
      <c r="G848" s="7"/>
      <c r="H848" s="7"/>
      <c r="I848" s="8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</row>
    <row r="849" spans="1:36" ht="18" customHeight="1" x14ac:dyDescent="0.25">
      <c r="A849" s="7"/>
      <c r="B849" s="7"/>
      <c r="C849" s="7"/>
      <c r="D849" s="7"/>
      <c r="E849" s="7"/>
      <c r="F849" s="7"/>
      <c r="G849" s="7"/>
      <c r="H849" s="7"/>
      <c r="I849" s="8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</row>
    <row r="850" spans="1:36" ht="18" customHeight="1" x14ac:dyDescent="0.25">
      <c r="A850" s="7"/>
      <c r="B850" s="7"/>
      <c r="C850" s="7"/>
      <c r="D850" s="7"/>
      <c r="E850" s="7"/>
      <c r="F850" s="7"/>
      <c r="G850" s="7"/>
      <c r="H850" s="7"/>
      <c r="I850" s="8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</row>
    <row r="851" spans="1:36" ht="18" customHeight="1" x14ac:dyDescent="0.25">
      <c r="A851" s="7"/>
      <c r="B851" s="7"/>
      <c r="C851" s="7"/>
      <c r="D851" s="7"/>
      <c r="E851" s="7"/>
      <c r="F851" s="7"/>
      <c r="G851" s="7"/>
      <c r="H851" s="7"/>
      <c r="I851" s="8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</row>
    <row r="852" spans="1:36" ht="18" customHeight="1" x14ac:dyDescent="0.25">
      <c r="A852" s="7"/>
      <c r="B852" s="7"/>
      <c r="C852" s="7"/>
      <c r="D852" s="7"/>
      <c r="E852" s="7"/>
      <c r="F852" s="7"/>
      <c r="G852" s="7"/>
      <c r="H852" s="7"/>
      <c r="I852" s="8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</row>
    <row r="853" spans="1:36" ht="18" customHeight="1" x14ac:dyDescent="0.25">
      <c r="A853" s="7"/>
      <c r="B853" s="7"/>
      <c r="C853" s="7"/>
      <c r="D853" s="7"/>
      <c r="E853" s="7"/>
      <c r="F853" s="7"/>
      <c r="G853" s="7"/>
      <c r="H853" s="7"/>
      <c r="I853" s="8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</row>
    <row r="854" spans="1:36" ht="18" customHeight="1" x14ac:dyDescent="0.25">
      <c r="A854" s="7"/>
      <c r="B854" s="7"/>
      <c r="C854" s="7"/>
      <c r="D854" s="7"/>
      <c r="E854" s="7"/>
      <c r="F854" s="7"/>
      <c r="G854" s="7"/>
      <c r="H854" s="7"/>
      <c r="I854" s="8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</row>
    <row r="855" spans="1:36" ht="18" customHeight="1" x14ac:dyDescent="0.25">
      <c r="A855" s="7"/>
      <c r="B855" s="7"/>
      <c r="C855" s="7"/>
      <c r="D855" s="7"/>
      <c r="E855" s="7"/>
      <c r="F855" s="7"/>
      <c r="G855" s="7"/>
      <c r="H855" s="7"/>
      <c r="I855" s="8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</row>
    <row r="856" spans="1:36" ht="18" customHeight="1" x14ac:dyDescent="0.25">
      <c r="A856" s="7"/>
      <c r="B856" s="7"/>
      <c r="C856" s="7"/>
      <c r="D856" s="7"/>
      <c r="E856" s="7"/>
      <c r="F856" s="7"/>
      <c r="G856" s="7"/>
      <c r="H856" s="7"/>
      <c r="I856" s="8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</row>
    <row r="857" spans="1:36" ht="18" customHeight="1" x14ac:dyDescent="0.25">
      <c r="A857" s="7"/>
      <c r="B857" s="7"/>
      <c r="C857" s="7"/>
      <c r="D857" s="7"/>
      <c r="E857" s="7"/>
      <c r="F857" s="7"/>
      <c r="G857" s="7"/>
      <c r="H857" s="7"/>
      <c r="I857" s="8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</row>
    <row r="858" spans="1:36" ht="18" customHeight="1" x14ac:dyDescent="0.25">
      <c r="A858" s="7"/>
      <c r="B858" s="7"/>
      <c r="C858" s="7"/>
      <c r="D858" s="7"/>
      <c r="E858" s="7"/>
      <c r="F858" s="7"/>
      <c r="G858" s="7"/>
      <c r="H858" s="7"/>
      <c r="I858" s="8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</row>
    <row r="859" spans="1:36" ht="18" customHeight="1" x14ac:dyDescent="0.25">
      <c r="A859" s="7"/>
      <c r="B859" s="7"/>
      <c r="C859" s="7"/>
      <c r="D859" s="7"/>
      <c r="E859" s="7"/>
      <c r="F859" s="7"/>
      <c r="G859" s="7"/>
      <c r="H859" s="7"/>
      <c r="I859" s="8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</row>
    <row r="860" spans="1:36" ht="18" customHeight="1" x14ac:dyDescent="0.25">
      <c r="A860" s="7"/>
      <c r="B860" s="7"/>
      <c r="C860" s="7"/>
      <c r="D860" s="7"/>
      <c r="E860" s="7"/>
      <c r="F860" s="7"/>
      <c r="G860" s="7"/>
      <c r="H860" s="7"/>
      <c r="I860" s="8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</row>
    <row r="861" spans="1:36" ht="18" customHeight="1" x14ac:dyDescent="0.25">
      <c r="A861" s="7"/>
      <c r="B861" s="7"/>
      <c r="C861" s="7"/>
      <c r="D861" s="7"/>
      <c r="E861" s="7"/>
      <c r="F861" s="7"/>
      <c r="G861" s="7"/>
      <c r="H861" s="7"/>
      <c r="I861" s="8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</row>
    <row r="862" spans="1:36" ht="18" customHeight="1" x14ac:dyDescent="0.25">
      <c r="A862" s="7"/>
      <c r="B862" s="7"/>
      <c r="C862" s="7"/>
      <c r="D862" s="7"/>
      <c r="E862" s="7"/>
      <c r="F862" s="7"/>
      <c r="G862" s="7"/>
      <c r="H862" s="7"/>
      <c r="I862" s="8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</row>
    <row r="863" spans="1:36" ht="18" customHeight="1" x14ac:dyDescent="0.25">
      <c r="A863" s="7"/>
      <c r="B863" s="7"/>
      <c r="C863" s="7"/>
      <c r="D863" s="7"/>
      <c r="E863" s="7"/>
      <c r="F863" s="7"/>
      <c r="G863" s="7"/>
      <c r="H863" s="7"/>
      <c r="I863" s="8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</row>
    <row r="864" spans="1:36" ht="18" customHeight="1" x14ac:dyDescent="0.25">
      <c r="A864" s="7"/>
      <c r="B864" s="7"/>
      <c r="C864" s="7"/>
      <c r="D864" s="7"/>
      <c r="E864" s="7"/>
      <c r="F864" s="7"/>
      <c r="G864" s="7"/>
      <c r="H864" s="7"/>
      <c r="I864" s="8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</row>
    <row r="865" spans="1:36" ht="18" customHeight="1" x14ac:dyDescent="0.25">
      <c r="A865" s="7"/>
      <c r="B865" s="7"/>
      <c r="C865" s="7"/>
      <c r="D865" s="7"/>
      <c r="E865" s="7"/>
      <c r="F865" s="7"/>
      <c r="G865" s="7"/>
      <c r="H865" s="7"/>
      <c r="I865" s="8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</row>
    <row r="866" spans="1:36" ht="18" customHeight="1" x14ac:dyDescent="0.25">
      <c r="A866" s="7"/>
      <c r="B866" s="7"/>
      <c r="C866" s="7"/>
      <c r="D866" s="7"/>
      <c r="E866" s="7"/>
      <c r="F866" s="7"/>
      <c r="G866" s="7"/>
      <c r="H866" s="7"/>
      <c r="I866" s="8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</row>
    <row r="867" spans="1:36" ht="18" customHeight="1" x14ac:dyDescent="0.25">
      <c r="A867" s="7"/>
      <c r="B867" s="7"/>
      <c r="C867" s="7"/>
      <c r="D867" s="7"/>
      <c r="E867" s="7"/>
      <c r="F867" s="7"/>
      <c r="G867" s="7"/>
      <c r="H867" s="7"/>
      <c r="I867" s="8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</row>
    <row r="868" spans="1:36" ht="18" customHeight="1" x14ac:dyDescent="0.25">
      <c r="A868" s="7"/>
      <c r="B868" s="7"/>
      <c r="C868" s="7"/>
      <c r="D868" s="7"/>
      <c r="E868" s="7"/>
      <c r="F868" s="7"/>
      <c r="G868" s="7"/>
      <c r="H868" s="7"/>
      <c r="I868" s="8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</row>
    <row r="869" spans="1:36" ht="18" customHeight="1" x14ac:dyDescent="0.25">
      <c r="A869" s="7"/>
      <c r="B869" s="7"/>
      <c r="C869" s="7"/>
      <c r="D869" s="7"/>
      <c r="E869" s="7"/>
      <c r="F869" s="7"/>
      <c r="G869" s="7"/>
      <c r="H869" s="7"/>
      <c r="I869" s="8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</row>
    <row r="870" spans="1:36" ht="18" customHeight="1" x14ac:dyDescent="0.25">
      <c r="A870" s="7"/>
      <c r="B870" s="7"/>
      <c r="C870" s="7"/>
      <c r="D870" s="7"/>
      <c r="E870" s="7"/>
      <c r="F870" s="7"/>
      <c r="G870" s="7"/>
      <c r="H870" s="7"/>
      <c r="I870" s="8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</row>
    <row r="871" spans="1:36" ht="18" customHeight="1" x14ac:dyDescent="0.25">
      <c r="A871" s="7"/>
      <c r="B871" s="7"/>
      <c r="C871" s="7"/>
      <c r="D871" s="7"/>
      <c r="E871" s="7"/>
      <c r="F871" s="7"/>
      <c r="G871" s="7"/>
      <c r="H871" s="7"/>
      <c r="I871" s="8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</row>
    <row r="872" spans="1:36" ht="18" customHeight="1" x14ac:dyDescent="0.25">
      <c r="A872" s="7"/>
      <c r="B872" s="7"/>
      <c r="C872" s="7"/>
      <c r="D872" s="7"/>
      <c r="E872" s="7"/>
      <c r="F872" s="7"/>
      <c r="G872" s="7"/>
      <c r="H872" s="7"/>
      <c r="I872" s="8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</row>
    <row r="873" spans="1:36" ht="18" customHeight="1" x14ac:dyDescent="0.25">
      <c r="A873" s="7"/>
      <c r="B873" s="7"/>
      <c r="C873" s="7"/>
      <c r="D873" s="7"/>
      <c r="E873" s="7"/>
      <c r="F873" s="7"/>
      <c r="G873" s="7"/>
      <c r="H873" s="7"/>
      <c r="I873" s="8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</row>
    <row r="874" spans="1:36" ht="18" customHeight="1" x14ac:dyDescent="0.25">
      <c r="A874" s="7"/>
      <c r="B874" s="7"/>
      <c r="C874" s="7"/>
      <c r="D874" s="7"/>
      <c r="E874" s="7"/>
      <c r="F874" s="7"/>
      <c r="G874" s="7"/>
      <c r="H874" s="7"/>
      <c r="I874" s="8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</row>
    <row r="875" spans="1:36" ht="18" customHeight="1" x14ac:dyDescent="0.25">
      <c r="A875" s="7"/>
      <c r="B875" s="7"/>
      <c r="C875" s="7"/>
      <c r="D875" s="7"/>
      <c r="E875" s="7"/>
      <c r="F875" s="7"/>
      <c r="G875" s="7"/>
      <c r="H875" s="7"/>
      <c r="I875" s="8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</row>
    <row r="876" spans="1:36" ht="18" customHeight="1" x14ac:dyDescent="0.25">
      <c r="A876" s="7"/>
      <c r="B876" s="7"/>
      <c r="C876" s="7"/>
      <c r="D876" s="7"/>
      <c r="E876" s="7"/>
      <c r="F876" s="7"/>
      <c r="G876" s="7"/>
      <c r="H876" s="7"/>
      <c r="I876" s="8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</row>
    <row r="877" spans="1:36" ht="18" customHeight="1" x14ac:dyDescent="0.25">
      <c r="A877" s="7"/>
      <c r="B877" s="7"/>
      <c r="C877" s="7"/>
      <c r="D877" s="7"/>
      <c r="E877" s="7"/>
      <c r="F877" s="7"/>
      <c r="G877" s="7"/>
      <c r="H877" s="7"/>
      <c r="I877" s="8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</row>
    <row r="878" spans="1:36" ht="18" customHeight="1" x14ac:dyDescent="0.25">
      <c r="A878" s="7"/>
      <c r="B878" s="7"/>
      <c r="C878" s="7"/>
      <c r="D878" s="7"/>
      <c r="E878" s="7"/>
      <c r="F878" s="7"/>
      <c r="G878" s="7"/>
      <c r="H878" s="7"/>
      <c r="I878" s="8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</row>
    <row r="879" spans="1:36" ht="18" customHeight="1" x14ac:dyDescent="0.25">
      <c r="A879" s="7"/>
      <c r="B879" s="7"/>
      <c r="C879" s="7"/>
      <c r="D879" s="7"/>
      <c r="E879" s="7"/>
      <c r="F879" s="7"/>
      <c r="G879" s="7"/>
      <c r="H879" s="7"/>
      <c r="I879" s="8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</row>
    <row r="880" spans="1:36" ht="18" customHeight="1" x14ac:dyDescent="0.25">
      <c r="A880" s="7"/>
      <c r="B880" s="7"/>
      <c r="C880" s="7"/>
      <c r="D880" s="7"/>
      <c r="E880" s="7"/>
      <c r="F880" s="7"/>
      <c r="G880" s="7"/>
      <c r="H880" s="7"/>
      <c r="I880" s="8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</row>
    <row r="881" spans="1:36" ht="18" customHeight="1" x14ac:dyDescent="0.25">
      <c r="A881" s="7"/>
      <c r="B881" s="7"/>
      <c r="C881" s="7"/>
      <c r="D881" s="7"/>
      <c r="E881" s="7"/>
      <c r="F881" s="7"/>
      <c r="G881" s="7"/>
      <c r="H881" s="7"/>
      <c r="I881" s="8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</row>
    <row r="882" spans="1:36" ht="18" customHeight="1" x14ac:dyDescent="0.25">
      <c r="A882" s="7"/>
      <c r="B882" s="7"/>
      <c r="C882" s="7"/>
      <c r="D882" s="7"/>
      <c r="E882" s="7"/>
      <c r="F882" s="7"/>
      <c r="G882" s="7"/>
      <c r="H882" s="7"/>
      <c r="I882" s="8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</row>
    <row r="883" spans="1:36" ht="18" customHeight="1" x14ac:dyDescent="0.25">
      <c r="A883" s="7"/>
      <c r="B883" s="7"/>
      <c r="C883" s="7"/>
      <c r="D883" s="7"/>
      <c r="E883" s="7"/>
      <c r="F883" s="7"/>
      <c r="G883" s="7"/>
      <c r="H883" s="7"/>
      <c r="I883" s="8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</row>
    <row r="884" spans="1:36" ht="18" customHeight="1" x14ac:dyDescent="0.25">
      <c r="A884" s="7"/>
      <c r="B884" s="7"/>
      <c r="C884" s="7"/>
      <c r="D884" s="7"/>
      <c r="E884" s="7"/>
      <c r="F884" s="7"/>
      <c r="G884" s="7"/>
      <c r="H884" s="7"/>
      <c r="I884" s="8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</row>
    <row r="885" spans="1:36" ht="18" customHeight="1" x14ac:dyDescent="0.25">
      <c r="A885" s="7"/>
      <c r="B885" s="7"/>
      <c r="C885" s="7"/>
      <c r="D885" s="7"/>
      <c r="E885" s="7"/>
      <c r="F885" s="7"/>
      <c r="G885" s="7"/>
      <c r="H885" s="7"/>
      <c r="I885" s="8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</row>
    <row r="886" spans="1:36" ht="18" customHeight="1" x14ac:dyDescent="0.25">
      <c r="A886" s="7"/>
      <c r="B886" s="7"/>
      <c r="C886" s="7"/>
      <c r="D886" s="7"/>
      <c r="E886" s="7"/>
      <c r="F886" s="7"/>
      <c r="G886" s="7"/>
      <c r="H886" s="7"/>
      <c r="I886" s="8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</row>
    <row r="887" spans="1:36" ht="18" customHeight="1" x14ac:dyDescent="0.25">
      <c r="A887" s="7"/>
      <c r="B887" s="7"/>
      <c r="C887" s="7"/>
      <c r="D887" s="7"/>
      <c r="E887" s="7"/>
      <c r="F887" s="7"/>
      <c r="G887" s="7"/>
      <c r="H887" s="7"/>
      <c r="I887" s="8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</row>
    <row r="888" spans="1:36" ht="18" customHeight="1" x14ac:dyDescent="0.25">
      <c r="A888" s="7"/>
      <c r="B888" s="7"/>
      <c r="C888" s="7"/>
      <c r="D888" s="7"/>
      <c r="E888" s="7"/>
      <c r="F888" s="7"/>
      <c r="G888" s="7"/>
      <c r="H888" s="7"/>
      <c r="I888" s="8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</row>
    <row r="889" spans="1:36" ht="18" customHeight="1" x14ac:dyDescent="0.25">
      <c r="A889" s="7"/>
      <c r="B889" s="7"/>
      <c r="C889" s="7"/>
      <c r="D889" s="7"/>
      <c r="E889" s="7"/>
      <c r="F889" s="7"/>
      <c r="G889" s="7"/>
      <c r="H889" s="7"/>
      <c r="I889" s="8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</row>
    <row r="890" spans="1:36" ht="18" customHeight="1" x14ac:dyDescent="0.25">
      <c r="A890" s="7"/>
      <c r="B890" s="7"/>
      <c r="C890" s="7"/>
      <c r="D890" s="7"/>
      <c r="E890" s="7"/>
      <c r="F890" s="7"/>
      <c r="G890" s="7"/>
      <c r="H890" s="7"/>
      <c r="I890" s="8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</row>
    <row r="891" spans="1:36" ht="18" customHeight="1" x14ac:dyDescent="0.25">
      <c r="A891" s="7"/>
      <c r="B891" s="7"/>
      <c r="C891" s="7"/>
      <c r="D891" s="7"/>
      <c r="E891" s="7"/>
      <c r="F891" s="7"/>
      <c r="G891" s="7"/>
      <c r="H891" s="7"/>
      <c r="I891" s="8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</row>
    <row r="892" spans="1:36" ht="18" customHeight="1" x14ac:dyDescent="0.25">
      <c r="A892" s="7"/>
      <c r="B892" s="7"/>
      <c r="C892" s="7"/>
      <c r="D892" s="7"/>
      <c r="E892" s="7"/>
      <c r="F892" s="7"/>
      <c r="G892" s="7"/>
      <c r="H892" s="7"/>
      <c r="I892" s="8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</row>
    <row r="893" spans="1:36" ht="18" customHeight="1" x14ac:dyDescent="0.25">
      <c r="A893" s="7"/>
      <c r="B893" s="7"/>
      <c r="C893" s="7"/>
      <c r="D893" s="7"/>
      <c r="E893" s="7"/>
      <c r="F893" s="7"/>
      <c r="G893" s="7"/>
      <c r="H893" s="7"/>
      <c r="I893" s="8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</row>
    <row r="894" spans="1:36" ht="18" customHeight="1" x14ac:dyDescent="0.25">
      <c r="A894" s="7"/>
      <c r="B894" s="7"/>
      <c r="C894" s="7"/>
      <c r="D894" s="7"/>
      <c r="E894" s="7"/>
      <c r="F894" s="7"/>
      <c r="G894" s="7"/>
      <c r="H894" s="7"/>
      <c r="I894" s="8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</row>
    <row r="895" spans="1:36" ht="18" customHeight="1" x14ac:dyDescent="0.25">
      <c r="A895" s="7"/>
      <c r="B895" s="7"/>
      <c r="C895" s="7"/>
      <c r="D895" s="7"/>
      <c r="E895" s="7"/>
      <c r="F895" s="7"/>
      <c r="G895" s="7"/>
      <c r="H895" s="7"/>
      <c r="I895" s="8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</row>
    <row r="896" spans="1:36" ht="18" customHeight="1" x14ac:dyDescent="0.25">
      <c r="A896" s="7"/>
      <c r="B896" s="7"/>
      <c r="C896" s="7"/>
      <c r="D896" s="7"/>
      <c r="E896" s="7"/>
      <c r="F896" s="7"/>
      <c r="G896" s="7"/>
      <c r="H896" s="7"/>
      <c r="I896" s="8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</row>
    <row r="897" spans="1:36" ht="18" customHeight="1" x14ac:dyDescent="0.25">
      <c r="A897" s="7"/>
      <c r="B897" s="7"/>
      <c r="C897" s="7"/>
      <c r="D897" s="7"/>
      <c r="E897" s="7"/>
      <c r="F897" s="7"/>
      <c r="G897" s="7"/>
      <c r="H897" s="7"/>
      <c r="I897" s="8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</row>
    <row r="898" spans="1:36" ht="18" customHeight="1" x14ac:dyDescent="0.25">
      <c r="A898" s="7"/>
      <c r="B898" s="7"/>
      <c r="C898" s="7"/>
      <c r="D898" s="7"/>
      <c r="E898" s="7"/>
      <c r="F898" s="7"/>
      <c r="G898" s="7"/>
      <c r="H898" s="7"/>
      <c r="I898" s="8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</row>
    <row r="899" spans="1:36" ht="18" customHeight="1" x14ac:dyDescent="0.25">
      <c r="A899" s="7"/>
      <c r="B899" s="7"/>
      <c r="C899" s="7"/>
      <c r="D899" s="7"/>
      <c r="E899" s="7"/>
      <c r="F899" s="7"/>
      <c r="G899" s="7"/>
      <c r="H899" s="7"/>
      <c r="I899" s="8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</row>
    <row r="900" spans="1:36" ht="18" customHeight="1" x14ac:dyDescent="0.25">
      <c r="A900" s="7"/>
      <c r="B900" s="7"/>
      <c r="C900" s="7"/>
      <c r="D900" s="7"/>
      <c r="E900" s="7"/>
      <c r="F900" s="7"/>
      <c r="G900" s="7"/>
      <c r="H900" s="7"/>
      <c r="I900" s="8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</row>
    <row r="901" spans="1:36" ht="18" customHeight="1" x14ac:dyDescent="0.25">
      <c r="A901" s="7"/>
      <c r="B901" s="7"/>
      <c r="C901" s="7"/>
      <c r="D901" s="7"/>
      <c r="E901" s="7"/>
      <c r="F901" s="7"/>
      <c r="G901" s="7"/>
      <c r="H901" s="7"/>
      <c r="I901" s="8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</row>
    <row r="902" spans="1:36" ht="18" customHeight="1" x14ac:dyDescent="0.25">
      <c r="A902" s="7"/>
      <c r="B902" s="7"/>
      <c r="C902" s="7"/>
      <c r="D902" s="7"/>
      <c r="E902" s="7"/>
      <c r="F902" s="7"/>
      <c r="G902" s="7"/>
      <c r="H902" s="7"/>
      <c r="I902" s="8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</row>
    <row r="903" spans="1:36" ht="18" customHeight="1" x14ac:dyDescent="0.25">
      <c r="A903" s="7"/>
      <c r="B903" s="7"/>
      <c r="C903" s="7"/>
      <c r="D903" s="7"/>
      <c r="E903" s="7"/>
      <c r="F903" s="7"/>
      <c r="G903" s="7"/>
      <c r="H903" s="7"/>
      <c r="I903" s="8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</row>
    <row r="904" spans="1:36" ht="18" customHeight="1" x14ac:dyDescent="0.25">
      <c r="A904" s="7"/>
      <c r="B904" s="7"/>
      <c r="C904" s="7"/>
      <c r="D904" s="7"/>
      <c r="E904" s="7"/>
      <c r="F904" s="7"/>
      <c r="G904" s="7"/>
      <c r="H904" s="7"/>
      <c r="I904" s="8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</row>
    <row r="905" spans="1:36" ht="18" customHeight="1" x14ac:dyDescent="0.25">
      <c r="A905" s="7"/>
      <c r="B905" s="7"/>
      <c r="C905" s="7"/>
      <c r="D905" s="7"/>
      <c r="E905" s="7"/>
      <c r="F905" s="7"/>
      <c r="G905" s="7"/>
      <c r="H905" s="7"/>
      <c r="I905" s="8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</row>
    <row r="906" spans="1:36" ht="18" customHeight="1" x14ac:dyDescent="0.25">
      <c r="A906" s="7"/>
      <c r="B906" s="7"/>
      <c r="C906" s="7"/>
      <c r="D906" s="7"/>
      <c r="E906" s="7"/>
      <c r="F906" s="7"/>
      <c r="G906" s="7"/>
      <c r="H906" s="7"/>
      <c r="I906" s="8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</row>
    <row r="907" spans="1:36" ht="18" customHeight="1" x14ac:dyDescent="0.25">
      <c r="A907" s="7"/>
      <c r="B907" s="7"/>
      <c r="C907" s="7"/>
      <c r="D907" s="7"/>
      <c r="E907" s="7"/>
      <c r="F907" s="7"/>
      <c r="G907" s="7"/>
      <c r="H907" s="7"/>
      <c r="I907" s="8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</row>
    <row r="908" spans="1:36" ht="18" customHeight="1" x14ac:dyDescent="0.25">
      <c r="A908" s="7"/>
      <c r="B908" s="7"/>
      <c r="C908" s="7"/>
      <c r="D908" s="7"/>
      <c r="E908" s="7"/>
      <c r="F908" s="7"/>
      <c r="G908" s="7"/>
      <c r="H908" s="7"/>
      <c r="I908" s="8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</row>
    <row r="909" spans="1:36" ht="18" customHeight="1" x14ac:dyDescent="0.25">
      <c r="A909" s="7"/>
      <c r="B909" s="7"/>
      <c r="C909" s="7"/>
      <c r="D909" s="7"/>
      <c r="E909" s="7"/>
      <c r="F909" s="7"/>
      <c r="G909" s="7"/>
      <c r="H909" s="7"/>
      <c r="I909" s="8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</row>
    <row r="910" spans="1:36" ht="18" customHeight="1" x14ac:dyDescent="0.25">
      <c r="A910" s="7"/>
      <c r="B910" s="7"/>
      <c r="C910" s="7"/>
      <c r="D910" s="7"/>
      <c r="E910" s="7"/>
      <c r="F910" s="7"/>
      <c r="G910" s="7"/>
      <c r="H910" s="7"/>
      <c r="I910" s="8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</row>
    <row r="911" spans="1:36" ht="18" customHeight="1" x14ac:dyDescent="0.25">
      <c r="A911" s="7"/>
      <c r="B911" s="7"/>
      <c r="C911" s="7"/>
      <c r="D911" s="7"/>
      <c r="E911" s="7"/>
      <c r="F911" s="7"/>
      <c r="G911" s="7"/>
      <c r="H911" s="7"/>
      <c r="I911" s="8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</row>
    <row r="912" spans="1:36" ht="18" customHeight="1" x14ac:dyDescent="0.25">
      <c r="A912" s="7"/>
      <c r="B912" s="7"/>
      <c r="C912" s="7"/>
      <c r="D912" s="7"/>
      <c r="E912" s="7"/>
      <c r="F912" s="7"/>
      <c r="G912" s="7"/>
      <c r="H912" s="7"/>
      <c r="I912" s="8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</row>
    <row r="913" spans="1:36" ht="18" customHeight="1" x14ac:dyDescent="0.25">
      <c r="A913" s="7"/>
      <c r="B913" s="7"/>
      <c r="C913" s="7"/>
      <c r="D913" s="7"/>
      <c r="E913" s="7"/>
      <c r="F913" s="7"/>
      <c r="G913" s="7"/>
      <c r="H913" s="7"/>
      <c r="I913" s="8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</row>
    <row r="914" spans="1:36" ht="18" customHeight="1" x14ac:dyDescent="0.25">
      <c r="A914" s="7"/>
      <c r="B914" s="7"/>
      <c r="C914" s="7"/>
      <c r="D914" s="7"/>
      <c r="E914" s="7"/>
      <c r="F914" s="7"/>
      <c r="G914" s="7"/>
      <c r="H914" s="7"/>
      <c r="I914" s="8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</row>
    <row r="915" spans="1:36" ht="18" customHeight="1" x14ac:dyDescent="0.25">
      <c r="A915" s="7"/>
      <c r="B915" s="7"/>
      <c r="C915" s="7"/>
      <c r="D915" s="7"/>
      <c r="E915" s="7"/>
      <c r="F915" s="7"/>
      <c r="G915" s="7"/>
      <c r="H915" s="7"/>
      <c r="I915" s="8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</row>
    <row r="916" spans="1:36" ht="18" customHeight="1" x14ac:dyDescent="0.25">
      <c r="A916" s="7"/>
      <c r="B916" s="7"/>
      <c r="C916" s="7"/>
      <c r="D916" s="7"/>
      <c r="E916" s="7"/>
      <c r="F916" s="7"/>
      <c r="G916" s="7"/>
      <c r="H916" s="7"/>
      <c r="I916" s="8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</row>
    <row r="917" spans="1:36" ht="18" customHeight="1" x14ac:dyDescent="0.25">
      <c r="A917" s="7"/>
      <c r="B917" s="7"/>
      <c r="C917" s="7"/>
      <c r="D917" s="7"/>
      <c r="E917" s="7"/>
      <c r="F917" s="7"/>
      <c r="G917" s="7"/>
      <c r="H917" s="7"/>
      <c r="I917" s="8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</row>
    <row r="918" spans="1:36" ht="18" customHeight="1" x14ac:dyDescent="0.25">
      <c r="A918" s="7"/>
      <c r="B918" s="7"/>
      <c r="C918" s="7"/>
      <c r="D918" s="7"/>
      <c r="E918" s="7"/>
      <c r="F918" s="7"/>
      <c r="G918" s="7"/>
      <c r="H918" s="7"/>
      <c r="I918" s="8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</row>
    <row r="919" spans="1:36" ht="18" customHeight="1" x14ac:dyDescent="0.25">
      <c r="A919" s="7"/>
      <c r="B919" s="7"/>
      <c r="C919" s="7"/>
      <c r="D919" s="7"/>
      <c r="E919" s="7"/>
      <c r="F919" s="7"/>
      <c r="G919" s="7"/>
      <c r="H919" s="7"/>
      <c r="I919" s="8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</row>
    <row r="920" spans="1:36" ht="18" customHeight="1" x14ac:dyDescent="0.25">
      <c r="A920" s="7"/>
      <c r="B920" s="7"/>
      <c r="C920" s="7"/>
      <c r="D920" s="7"/>
      <c r="E920" s="7"/>
      <c r="F920" s="7"/>
      <c r="G920" s="7"/>
      <c r="H920" s="7"/>
      <c r="I920" s="8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</row>
    <row r="921" spans="1:36" ht="18" customHeight="1" x14ac:dyDescent="0.25">
      <c r="A921" s="7"/>
      <c r="B921" s="7"/>
      <c r="C921" s="7"/>
      <c r="D921" s="7"/>
      <c r="E921" s="7"/>
      <c r="F921" s="7"/>
      <c r="G921" s="7"/>
      <c r="H921" s="7"/>
      <c r="I921" s="8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</row>
    <row r="922" spans="1:36" ht="18" customHeight="1" x14ac:dyDescent="0.25">
      <c r="A922" s="7"/>
      <c r="B922" s="7"/>
      <c r="C922" s="7"/>
      <c r="D922" s="7"/>
      <c r="E922" s="7"/>
      <c r="F922" s="7"/>
      <c r="G922" s="7"/>
      <c r="H922" s="7"/>
      <c r="I922" s="8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</row>
    <row r="923" spans="1:36" ht="18" customHeight="1" x14ac:dyDescent="0.25">
      <c r="A923" s="7"/>
      <c r="B923" s="7"/>
      <c r="C923" s="7"/>
      <c r="D923" s="7"/>
      <c r="E923" s="7"/>
      <c r="F923" s="7"/>
      <c r="G923" s="7"/>
      <c r="H923" s="7"/>
      <c r="I923" s="8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</row>
    <row r="924" spans="1:36" ht="18" customHeight="1" x14ac:dyDescent="0.25">
      <c r="A924" s="7"/>
      <c r="B924" s="7"/>
      <c r="C924" s="7"/>
      <c r="D924" s="7"/>
      <c r="E924" s="7"/>
      <c r="F924" s="7"/>
      <c r="G924" s="7"/>
      <c r="H924" s="7"/>
      <c r="I924" s="8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</row>
    <row r="925" spans="1:36" ht="18" customHeight="1" x14ac:dyDescent="0.25">
      <c r="A925" s="7"/>
      <c r="B925" s="7"/>
      <c r="C925" s="7"/>
      <c r="D925" s="7"/>
      <c r="E925" s="7"/>
      <c r="F925" s="7"/>
      <c r="G925" s="7"/>
      <c r="H925" s="7"/>
      <c r="I925" s="8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</row>
    <row r="926" spans="1:36" ht="18" customHeight="1" x14ac:dyDescent="0.25">
      <c r="A926" s="7"/>
      <c r="B926" s="7"/>
      <c r="C926" s="7"/>
      <c r="D926" s="7"/>
      <c r="E926" s="7"/>
      <c r="F926" s="7"/>
      <c r="G926" s="7"/>
      <c r="H926" s="7"/>
      <c r="I926" s="8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</row>
    <row r="927" spans="1:36" ht="18" customHeight="1" x14ac:dyDescent="0.25">
      <c r="A927" s="7"/>
      <c r="B927" s="7"/>
      <c r="C927" s="7"/>
      <c r="D927" s="7"/>
      <c r="E927" s="7"/>
      <c r="F927" s="7"/>
      <c r="G927" s="7"/>
      <c r="H927" s="7"/>
      <c r="I927" s="8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</row>
    <row r="928" spans="1:36" ht="18" customHeight="1" x14ac:dyDescent="0.25">
      <c r="A928" s="7"/>
      <c r="B928" s="7"/>
      <c r="C928" s="7"/>
      <c r="D928" s="7"/>
      <c r="E928" s="7"/>
      <c r="F928" s="7"/>
      <c r="G928" s="7"/>
      <c r="H928" s="7"/>
      <c r="I928" s="8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</row>
    <row r="929" spans="1:36" ht="18" customHeight="1" x14ac:dyDescent="0.25">
      <c r="A929" s="7"/>
      <c r="B929" s="7"/>
      <c r="C929" s="7"/>
      <c r="D929" s="7"/>
      <c r="E929" s="7"/>
      <c r="F929" s="7"/>
      <c r="G929" s="7"/>
      <c r="H929" s="7"/>
      <c r="I929" s="8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</row>
    <row r="930" spans="1:36" ht="18" customHeight="1" x14ac:dyDescent="0.25">
      <c r="A930" s="7"/>
      <c r="B930" s="7"/>
      <c r="C930" s="7"/>
      <c r="D930" s="7"/>
      <c r="E930" s="7"/>
      <c r="F930" s="7"/>
      <c r="G930" s="7"/>
      <c r="H930" s="7"/>
      <c r="I930" s="8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</row>
    <row r="931" spans="1:36" ht="18" customHeight="1" x14ac:dyDescent="0.25">
      <c r="A931" s="7"/>
      <c r="B931" s="7"/>
      <c r="C931" s="7"/>
      <c r="D931" s="7"/>
      <c r="E931" s="7"/>
      <c r="F931" s="7"/>
      <c r="G931" s="7"/>
      <c r="H931" s="7"/>
      <c r="I931" s="8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</row>
    <row r="932" spans="1:36" ht="18" customHeight="1" x14ac:dyDescent="0.25">
      <c r="A932" s="7"/>
      <c r="B932" s="7"/>
      <c r="C932" s="7"/>
      <c r="D932" s="7"/>
      <c r="E932" s="7"/>
      <c r="F932" s="7"/>
      <c r="G932" s="7"/>
      <c r="H932" s="7"/>
      <c r="I932" s="8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</row>
    <row r="933" spans="1:36" ht="18" customHeight="1" x14ac:dyDescent="0.25">
      <c r="A933" s="7"/>
      <c r="B933" s="7"/>
      <c r="C933" s="7"/>
      <c r="D933" s="7"/>
      <c r="E933" s="7"/>
      <c r="F933" s="7"/>
      <c r="G933" s="7"/>
      <c r="H933" s="7"/>
      <c r="I933" s="8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</row>
    <row r="934" spans="1:36" ht="18" customHeight="1" x14ac:dyDescent="0.25">
      <c r="A934" s="7"/>
      <c r="B934" s="7"/>
      <c r="C934" s="7"/>
      <c r="D934" s="7"/>
      <c r="E934" s="7"/>
      <c r="F934" s="7"/>
      <c r="G934" s="7"/>
      <c r="H934" s="7"/>
      <c r="I934" s="8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</row>
    <row r="935" spans="1:36" ht="18" customHeight="1" x14ac:dyDescent="0.25">
      <c r="A935" s="7"/>
      <c r="B935" s="7"/>
      <c r="C935" s="7"/>
      <c r="D935" s="7"/>
      <c r="E935" s="7"/>
      <c r="F935" s="7"/>
      <c r="G935" s="7"/>
      <c r="H935" s="7"/>
      <c r="I935" s="8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</row>
    <row r="936" spans="1:36" ht="18" customHeight="1" x14ac:dyDescent="0.25">
      <c r="A936" s="7"/>
      <c r="B936" s="7"/>
      <c r="C936" s="7"/>
      <c r="D936" s="7"/>
      <c r="E936" s="7"/>
      <c r="F936" s="7"/>
      <c r="G936" s="7"/>
      <c r="H936" s="7"/>
      <c r="I936" s="8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</row>
    <row r="937" spans="1:36" ht="18" customHeight="1" x14ac:dyDescent="0.25">
      <c r="A937" s="7"/>
      <c r="B937" s="7"/>
      <c r="C937" s="7"/>
      <c r="D937" s="7"/>
      <c r="E937" s="7"/>
      <c r="F937" s="7"/>
      <c r="G937" s="7"/>
      <c r="H937" s="7"/>
      <c r="I937" s="8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</row>
    <row r="938" spans="1:36" ht="18" customHeight="1" x14ac:dyDescent="0.25">
      <c r="A938" s="7"/>
      <c r="B938" s="7"/>
      <c r="C938" s="7"/>
      <c r="D938" s="7"/>
      <c r="E938" s="7"/>
      <c r="F938" s="7"/>
      <c r="G938" s="7"/>
      <c r="H938" s="7"/>
      <c r="I938" s="8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</row>
    <row r="939" spans="1:36" ht="18" customHeight="1" x14ac:dyDescent="0.25">
      <c r="A939" s="7"/>
      <c r="B939" s="7"/>
      <c r="C939" s="7"/>
      <c r="D939" s="7"/>
      <c r="E939" s="7"/>
      <c r="F939" s="7"/>
      <c r="G939" s="7"/>
      <c r="H939" s="7"/>
      <c r="I939" s="8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</row>
    <row r="940" spans="1:36" ht="18" customHeight="1" x14ac:dyDescent="0.25">
      <c r="A940" s="7"/>
      <c r="B940" s="7"/>
      <c r="C940" s="7"/>
      <c r="D940" s="7"/>
      <c r="E940" s="7"/>
      <c r="F940" s="7"/>
      <c r="G940" s="7"/>
      <c r="H940" s="7"/>
      <c r="I940" s="8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</row>
    <row r="941" spans="1:36" ht="18" customHeight="1" x14ac:dyDescent="0.25">
      <c r="A941" s="7"/>
      <c r="B941" s="7"/>
      <c r="C941" s="7"/>
      <c r="D941" s="7"/>
      <c r="E941" s="7"/>
      <c r="F941" s="7"/>
      <c r="G941" s="7"/>
      <c r="H941" s="7"/>
      <c r="I941" s="8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</row>
    <row r="942" spans="1:36" ht="18" customHeight="1" x14ac:dyDescent="0.25">
      <c r="A942" s="7"/>
      <c r="B942" s="7"/>
      <c r="C942" s="7"/>
      <c r="D942" s="7"/>
      <c r="E942" s="7"/>
      <c r="F942" s="7"/>
      <c r="G942" s="7"/>
      <c r="H942" s="7"/>
      <c r="I942" s="8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</row>
    <row r="943" spans="1:36" ht="18" customHeight="1" x14ac:dyDescent="0.25">
      <c r="A943" s="7"/>
      <c r="B943" s="7"/>
      <c r="C943" s="7"/>
      <c r="D943" s="7"/>
      <c r="E943" s="7"/>
      <c r="F943" s="7"/>
      <c r="G943" s="7"/>
      <c r="H943" s="7"/>
      <c r="I943" s="8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</row>
    <row r="944" spans="1:36" ht="18" customHeight="1" x14ac:dyDescent="0.25">
      <c r="A944" s="7"/>
      <c r="B944" s="7"/>
      <c r="C944" s="7"/>
      <c r="D944" s="7"/>
      <c r="E944" s="7"/>
      <c r="F944" s="7"/>
      <c r="G944" s="7"/>
      <c r="H944" s="7"/>
      <c r="I944" s="8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</row>
    <row r="945" spans="1:36" ht="18" customHeight="1" x14ac:dyDescent="0.25">
      <c r="A945" s="7"/>
      <c r="B945" s="7"/>
      <c r="C945" s="7"/>
      <c r="D945" s="7"/>
      <c r="E945" s="7"/>
      <c r="F945" s="7"/>
      <c r="G945" s="7"/>
      <c r="H945" s="7"/>
      <c r="I945" s="8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</row>
    <row r="946" spans="1:36" ht="18" customHeight="1" x14ac:dyDescent="0.25">
      <c r="A946" s="7"/>
      <c r="B946" s="7"/>
      <c r="C946" s="7"/>
      <c r="D946" s="7"/>
      <c r="E946" s="7"/>
      <c r="F946" s="7"/>
      <c r="G946" s="7"/>
      <c r="H946" s="7"/>
      <c r="I946" s="8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</row>
    <row r="947" spans="1:36" ht="18" customHeight="1" x14ac:dyDescent="0.25">
      <c r="A947" s="7"/>
      <c r="B947" s="7"/>
      <c r="C947" s="7"/>
      <c r="D947" s="7"/>
      <c r="E947" s="7"/>
      <c r="F947" s="7"/>
      <c r="G947" s="7"/>
      <c r="H947" s="7"/>
      <c r="I947" s="8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</row>
    <row r="948" spans="1:36" ht="18" customHeight="1" x14ac:dyDescent="0.25">
      <c r="A948" s="7"/>
      <c r="B948" s="7"/>
      <c r="C948" s="7"/>
      <c r="D948" s="7"/>
      <c r="E948" s="7"/>
      <c r="F948" s="7"/>
      <c r="G948" s="7"/>
      <c r="H948" s="7"/>
      <c r="I948" s="8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</row>
    <row r="949" spans="1:36" ht="18" customHeight="1" x14ac:dyDescent="0.25">
      <c r="A949" s="7"/>
      <c r="B949" s="7"/>
      <c r="C949" s="7"/>
      <c r="D949" s="7"/>
      <c r="E949" s="7"/>
      <c r="F949" s="7"/>
      <c r="G949" s="7"/>
      <c r="H949" s="7"/>
      <c r="I949" s="8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</row>
    <row r="950" spans="1:36" ht="18" customHeight="1" x14ac:dyDescent="0.25">
      <c r="A950" s="7"/>
      <c r="B950" s="7"/>
      <c r="C950" s="7"/>
      <c r="D950" s="7"/>
      <c r="E950" s="7"/>
      <c r="F950" s="7"/>
      <c r="G950" s="7"/>
      <c r="H950" s="7"/>
      <c r="I950" s="8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</row>
    <row r="951" spans="1:36" ht="18" customHeight="1" x14ac:dyDescent="0.25">
      <c r="A951" s="7"/>
      <c r="B951" s="7"/>
      <c r="C951" s="7"/>
      <c r="D951" s="7"/>
      <c r="E951" s="7"/>
      <c r="F951" s="7"/>
      <c r="G951" s="7"/>
      <c r="H951" s="7"/>
      <c r="I951" s="8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</row>
    <row r="952" spans="1:36" ht="18" customHeight="1" x14ac:dyDescent="0.25">
      <c r="A952" s="7"/>
      <c r="B952" s="7"/>
      <c r="C952" s="7"/>
      <c r="D952" s="7"/>
      <c r="E952" s="7"/>
      <c r="F952" s="7"/>
      <c r="G952" s="7"/>
      <c r="H952" s="7"/>
      <c r="I952" s="8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</row>
    <row r="953" spans="1:36" ht="18" customHeight="1" x14ac:dyDescent="0.25">
      <c r="A953" s="7"/>
      <c r="B953" s="7"/>
      <c r="C953" s="7"/>
      <c r="D953" s="7"/>
      <c r="E953" s="7"/>
      <c r="F953" s="7"/>
      <c r="G953" s="7"/>
      <c r="H953" s="7"/>
      <c r="I953" s="8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</row>
    <row r="954" spans="1:36" ht="18" customHeight="1" x14ac:dyDescent="0.25">
      <c r="A954" s="7"/>
      <c r="B954" s="7"/>
      <c r="C954" s="7"/>
      <c r="D954" s="7"/>
      <c r="E954" s="7"/>
      <c r="F954" s="7"/>
      <c r="G954" s="7"/>
      <c r="H954" s="7"/>
      <c r="I954" s="8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</row>
    <row r="955" spans="1:36" ht="18" customHeight="1" x14ac:dyDescent="0.25">
      <c r="A955" s="7"/>
      <c r="B955" s="7"/>
      <c r="C955" s="7"/>
      <c r="D955" s="7"/>
      <c r="E955" s="7"/>
      <c r="F955" s="7"/>
      <c r="G955" s="7"/>
      <c r="H955" s="7"/>
      <c r="I955" s="8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</row>
    <row r="956" spans="1:36" ht="18" customHeight="1" x14ac:dyDescent="0.25">
      <c r="A956" s="7"/>
      <c r="B956" s="7"/>
      <c r="C956" s="7"/>
      <c r="D956" s="7"/>
      <c r="E956" s="7"/>
      <c r="F956" s="7"/>
      <c r="G956" s="7"/>
      <c r="H956" s="7"/>
      <c r="I956" s="8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</row>
    <row r="957" spans="1:36" ht="18" customHeight="1" x14ac:dyDescent="0.25">
      <c r="A957" s="7"/>
      <c r="B957" s="7"/>
      <c r="C957" s="7"/>
      <c r="D957" s="7"/>
      <c r="E957" s="7"/>
      <c r="F957" s="7"/>
      <c r="G957" s="7"/>
      <c r="H957" s="7"/>
      <c r="I957" s="8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</row>
    <row r="958" spans="1:36" ht="18" customHeight="1" x14ac:dyDescent="0.25">
      <c r="A958" s="7"/>
      <c r="B958" s="7"/>
      <c r="C958" s="7"/>
      <c r="D958" s="7"/>
      <c r="E958" s="7"/>
      <c r="F958" s="7"/>
      <c r="G958" s="7"/>
      <c r="H958" s="7"/>
      <c r="I958" s="8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</row>
    <row r="959" spans="1:36" ht="18" customHeight="1" x14ac:dyDescent="0.25">
      <c r="A959" s="7"/>
      <c r="B959" s="7"/>
      <c r="C959" s="7"/>
      <c r="D959" s="7"/>
      <c r="E959" s="7"/>
      <c r="F959" s="7"/>
      <c r="G959" s="7"/>
      <c r="H959" s="7"/>
      <c r="I959" s="8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</row>
    <row r="960" spans="1:36" ht="18" customHeight="1" x14ac:dyDescent="0.25">
      <c r="A960" s="7"/>
      <c r="B960" s="7"/>
      <c r="C960" s="7"/>
      <c r="D960" s="7"/>
      <c r="E960" s="7"/>
      <c r="F960" s="7"/>
      <c r="G960" s="7"/>
      <c r="H960" s="7"/>
      <c r="I960" s="8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</row>
    <row r="961" spans="1:36" ht="18" customHeight="1" x14ac:dyDescent="0.25">
      <c r="A961" s="7"/>
      <c r="B961" s="7"/>
      <c r="C961" s="7"/>
      <c r="D961" s="7"/>
      <c r="E961" s="7"/>
      <c r="F961" s="7"/>
      <c r="G961" s="7"/>
      <c r="H961" s="7"/>
      <c r="I961" s="8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</row>
    <row r="962" spans="1:36" ht="18" customHeight="1" x14ac:dyDescent="0.25">
      <c r="A962" s="7"/>
      <c r="B962" s="7"/>
      <c r="C962" s="7"/>
      <c r="D962" s="7"/>
      <c r="E962" s="7"/>
      <c r="F962" s="7"/>
      <c r="G962" s="7"/>
      <c r="H962" s="7"/>
      <c r="I962" s="8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</row>
    <row r="963" spans="1:36" ht="18" customHeight="1" x14ac:dyDescent="0.25">
      <c r="A963" s="7"/>
      <c r="B963" s="7"/>
      <c r="C963" s="7"/>
      <c r="D963" s="7"/>
      <c r="E963" s="7"/>
      <c r="F963" s="7"/>
      <c r="G963" s="7"/>
      <c r="H963" s="7"/>
      <c r="I963" s="8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</row>
    <row r="964" spans="1:36" ht="18" customHeight="1" x14ac:dyDescent="0.25">
      <c r="A964" s="7"/>
      <c r="B964" s="7"/>
      <c r="C964" s="7"/>
      <c r="D964" s="7"/>
      <c r="E964" s="7"/>
      <c r="F964" s="7"/>
      <c r="G964" s="7"/>
      <c r="H964" s="7"/>
      <c r="I964" s="8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</row>
    <row r="965" spans="1:36" ht="18" customHeight="1" x14ac:dyDescent="0.25">
      <c r="A965" s="7"/>
      <c r="B965" s="7"/>
      <c r="C965" s="7"/>
      <c r="D965" s="7"/>
      <c r="E965" s="7"/>
      <c r="F965" s="7"/>
      <c r="G965" s="7"/>
      <c r="H965" s="7"/>
      <c r="I965" s="8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</row>
    <row r="966" spans="1:36" ht="18" customHeight="1" x14ac:dyDescent="0.25">
      <c r="A966" s="7"/>
      <c r="B966" s="7"/>
      <c r="C966" s="7"/>
      <c r="D966" s="7"/>
      <c r="E966" s="7"/>
      <c r="F966" s="7"/>
      <c r="G966" s="7"/>
      <c r="H966" s="7"/>
      <c r="I966" s="8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</row>
    <row r="967" spans="1:36" ht="18" customHeight="1" x14ac:dyDescent="0.25">
      <c r="A967" s="7"/>
      <c r="B967" s="7"/>
      <c r="C967" s="7"/>
      <c r="D967" s="7"/>
      <c r="E967" s="7"/>
      <c r="F967" s="7"/>
      <c r="G967" s="7"/>
      <c r="H967" s="7"/>
      <c r="I967" s="8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</row>
    <row r="968" spans="1:36" ht="18" customHeight="1" x14ac:dyDescent="0.25">
      <c r="A968" s="7"/>
      <c r="B968" s="7"/>
      <c r="C968" s="7"/>
      <c r="D968" s="7"/>
      <c r="E968" s="7"/>
      <c r="F968" s="7"/>
      <c r="G968" s="7"/>
      <c r="H968" s="7"/>
      <c r="I968" s="8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</row>
    <row r="969" spans="1:36" ht="18" customHeight="1" x14ac:dyDescent="0.25">
      <c r="A969" s="7"/>
      <c r="B969" s="7"/>
      <c r="C969" s="7"/>
      <c r="D969" s="7"/>
      <c r="E969" s="7"/>
      <c r="F969" s="7"/>
      <c r="G969" s="7"/>
      <c r="H969" s="7"/>
      <c r="I969" s="8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</row>
    <row r="970" spans="1:36" ht="18" customHeight="1" x14ac:dyDescent="0.25">
      <c r="A970" s="7"/>
      <c r="B970" s="7"/>
      <c r="C970" s="7"/>
      <c r="D970" s="7"/>
      <c r="E970" s="7"/>
      <c r="F970" s="7"/>
      <c r="G970" s="7"/>
      <c r="H970" s="7"/>
      <c r="I970" s="8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</row>
    <row r="971" spans="1:36" ht="18" customHeight="1" x14ac:dyDescent="0.25">
      <c r="A971" s="7"/>
      <c r="B971" s="7"/>
      <c r="C971" s="7"/>
      <c r="D971" s="7"/>
      <c r="E971" s="7"/>
      <c r="F971" s="7"/>
      <c r="G971" s="7"/>
      <c r="H971" s="7"/>
      <c r="I971" s="8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</row>
    <row r="972" spans="1:36" ht="18" customHeight="1" x14ac:dyDescent="0.25">
      <c r="A972" s="7"/>
      <c r="B972" s="7"/>
      <c r="C972" s="7"/>
      <c r="D972" s="7"/>
      <c r="E972" s="7"/>
      <c r="F972" s="7"/>
      <c r="G972" s="7"/>
      <c r="H972" s="7"/>
      <c r="I972" s="8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</row>
    <row r="973" spans="1:36" ht="18" customHeight="1" x14ac:dyDescent="0.25">
      <c r="A973" s="7"/>
      <c r="B973" s="7"/>
      <c r="C973" s="7"/>
      <c r="D973" s="7"/>
      <c r="E973" s="7"/>
      <c r="F973" s="7"/>
      <c r="G973" s="7"/>
      <c r="H973" s="7"/>
      <c r="I973" s="8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</row>
    <row r="974" spans="1:36" ht="18" customHeight="1" x14ac:dyDescent="0.25">
      <c r="A974" s="7"/>
      <c r="B974" s="7"/>
      <c r="C974" s="7"/>
      <c r="D974" s="7"/>
      <c r="E974" s="7"/>
      <c r="F974" s="7"/>
      <c r="G974" s="7"/>
      <c r="H974" s="7"/>
      <c r="I974" s="8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</row>
    <row r="975" spans="1:36" ht="18" customHeight="1" x14ac:dyDescent="0.25">
      <c r="A975" s="7"/>
      <c r="B975" s="7"/>
      <c r="C975" s="7"/>
      <c r="D975" s="7"/>
      <c r="E975" s="7"/>
      <c r="F975" s="7"/>
      <c r="G975" s="7"/>
      <c r="H975" s="7"/>
      <c r="I975" s="8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</row>
    <row r="976" spans="1:36" ht="18" customHeight="1" x14ac:dyDescent="0.25">
      <c r="A976" s="7"/>
      <c r="B976" s="7"/>
      <c r="C976" s="7"/>
      <c r="D976" s="7"/>
      <c r="E976" s="7"/>
      <c r="F976" s="7"/>
      <c r="G976" s="7"/>
      <c r="H976" s="7"/>
      <c r="I976" s="8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</row>
    <row r="977" spans="1:36" ht="18" customHeight="1" x14ac:dyDescent="0.25">
      <c r="A977" s="7"/>
      <c r="B977" s="7"/>
      <c r="C977" s="7"/>
      <c r="D977" s="7"/>
      <c r="E977" s="7"/>
      <c r="F977" s="7"/>
      <c r="G977" s="7"/>
      <c r="H977" s="7"/>
      <c r="I977" s="8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</row>
    <row r="978" spans="1:36" ht="18" customHeight="1" x14ac:dyDescent="0.25">
      <c r="A978" s="7"/>
      <c r="B978" s="7"/>
      <c r="C978" s="7"/>
      <c r="D978" s="7"/>
      <c r="E978" s="7"/>
      <c r="F978" s="7"/>
      <c r="G978" s="7"/>
      <c r="H978" s="7"/>
      <c r="I978" s="8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</row>
    <row r="979" spans="1:36" ht="18" customHeight="1" x14ac:dyDescent="0.25">
      <c r="A979" s="7"/>
      <c r="B979" s="7"/>
      <c r="C979" s="7"/>
      <c r="D979" s="7"/>
      <c r="E979" s="7"/>
      <c r="F979" s="7"/>
      <c r="G979" s="7"/>
      <c r="H979" s="7"/>
      <c r="I979" s="8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</row>
    <row r="980" spans="1:36" ht="18" customHeight="1" x14ac:dyDescent="0.25">
      <c r="A980" s="7"/>
      <c r="B980" s="7"/>
      <c r="C980" s="7"/>
      <c r="D980" s="7"/>
      <c r="E980" s="7"/>
      <c r="F980" s="7"/>
      <c r="G980" s="7"/>
      <c r="H980" s="7"/>
      <c r="I980" s="8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</row>
    <row r="981" spans="1:36" ht="18" customHeight="1" x14ac:dyDescent="0.25">
      <c r="A981" s="7"/>
      <c r="B981" s="7"/>
      <c r="C981" s="7"/>
      <c r="D981" s="7"/>
      <c r="E981" s="7"/>
      <c r="F981" s="7"/>
      <c r="G981" s="7"/>
      <c r="H981" s="7"/>
      <c r="I981" s="8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</row>
    <row r="982" spans="1:36" ht="18" customHeight="1" x14ac:dyDescent="0.25">
      <c r="A982" s="7"/>
      <c r="B982" s="7"/>
      <c r="C982" s="7"/>
      <c r="D982" s="7"/>
      <c r="E982" s="7"/>
      <c r="F982" s="7"/>
      <c r="G982" s="7"/>
      <c r="H982" s="7"/>
      <c r="I982" s="8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</row>
    <row r="983" spans="1:36" ht="18" customHeight="1" x14ac:dyDescent="0.25">
      <c r="A983" s="7"/>
      <c r="B983" s="7"/>
      <c r="C983" s="7"/>
      <c r="D983" s="7"/>
      <c r="E983" s="7"/>
      <c r="F983" s="7"/>
      <c r="G983" s="7"/>
      <c r="H983" s="7"/>
      <c r="I983" s="8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</row>
    <row r="984" spans="1:36" ht="18" customHeight="1" x14ac:dyDescent="0.25">
      <c r="A984" s="7"/>
      <c r="B984" s="7"/>
      <c r="C984" s="7"/>
      <c r="D984" s="7"/>
      <c r="E984" s="7"/>
      <c r="F984" s="7"/>
      <c r="G984" s="7"/>
      <c r="H984" s="7"/>
      <c r="I984" s="8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</row>
    <row r="985" spans="1:36" ht="18" customHeight="1" x14ac:dyDescent="0.25">
      <c r="A985" s="7"/>
      <c r="B985" s="7"/>
      <c r="C985" s="7"/>
      <c r="D985" s="7"/>
      <c r="E985" s="7"/>
      <c r="F985" s="7"/>
      <c r="G985" s="7"/>
      <c r="H985" s="7"/>
      <c r="I985" s="8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</row>
    <row r="986" spans="1:36" ht="18" customHeight="1" x14ac:dyDescent="0.25">
      <c r="A986" s="7"/>
      <c r="B986" s="7"/>
      <c r="C986" s="7"/>
      <c r="D986" s="7"/>
      <c r="E986" s="7"/>
      <c r="F986" s="7"/>
      <c r="G986" s="7"/>
      <c r="H986" s="7"/>
      <c r="I986" s="8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</row>
    <row r="987" spans="1:36" ht="18" customHeight="1" x14ac:dyDescent="0.25">
      <c r="A987" s="7"/>
      <c r="B987" s="7"/>
      <c r="C987" s="7"/>
      <c r="D987" s="7"/>
      <c r="E987" s="7"/>
      <c r="F987" s="7"/>
      <c r="G987" s="7"/>
      <c r="H987" s="7"/>
      <c r="I987" s="8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</row>
    <row r="988" spans="1:36" ht="18" customHeight="1" x14ac:dyDescent="0.25">
      <c r="A988" s="7"/>
      <c r="B988" s="7"/>
      <c r="C988" s="7"/>
      <c r="D988" s="7"/>
      <c r="E988" s="7"/>
      <c r="F988" s="7"/>
      <c r="G988" s="7"/>
      <c r="H988" s="7"/>
      <c r="I988" s="8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</row>
    <row r="989" spans="1:36" ht="18" customHeight="1" x14ac:dyDescent="0.25">
      <c r="A989" s="7"/>
      <c r="B989" s="7"/>
      <c r="C989" s="7"/>
      <c r="D989" s="7"/>
      <c r="E989" s="7"/>
      <c r="F989" s="7"/>
      <c r="G989" s="7"/>
      <c r="H989" s="7"/>
      <c r="I989" s="8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</row>
    <row r="990" spans="1:36" ht="18" customHeight="1" x14ac:dyDescent="0.25">
      <c r="A990" s="7"/>
      <c r="B990" s="7"/>
      <c r="C990" s="7"/>
      <c r="D990" s="7"/>
      <c r="E990" s="7"/>
      <c r="F990" s="7"/>
      <c r="G990" s="7"/>
      <c r="H990" s="7"/>
      <c r="I990" s="8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</row>
    <row r="991" spans="1:36" ht="18" customHeight="1" x14ac:dyDescent="0.25">
      <c r="A991" s="7"/>
      <c r="B991" s="7"/>
      <c r="C991" s="7"/>
      <c r="D991" s="7"/>
      <c r="E991" s="7"/>
      <c r="F991" s="7"/>
      <c r="G991" s="7"/>
      <c r="H991" s="7"/>
      <c r="I991" s="8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</row>
    <row r="992" spans="1:36" ht="18" customHeight="1" x14ac:dyDescent="0.25">
      <c r="A992" s="7"/>
      <c r="B992" s="7"/>
      <c r="C992" s="7"/>
      <c r="D992" s="7"/>
      <c r="E992" s="7"/>
      <c r="F992" s="7"/>
      <c r="G992" s="7"/>
      <c r="H992" s="7"/>
      <c r="I992" s="8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</row>
    <row r="993" spans="1:36" ht="18" customHeight="1" x14ac:dyDescent="0.25">
      <c r="A993" s="7"/>
      <c r="B993" s="7"/>
      <c r="C993" s="7"/>
      <c r="D993" s="7"/>
      <c r="E993" s="7"/>
      <c r="F993" s="7"/>
      <c r="G993" s="7"/>
      <c r="H993" s="7"/>
      <c r="I993" s="8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</row>
    <row r="994" spans="1:36" ht="18" customHeight="1" x14ac:dyDescent="0.25">
      <c r="A994" s="7"/>
      <c r="B994" s="7"/>
      <c r="C994" s="7"/>
      <c r="D994" s="7"/>
      <c r="E994" s="7"/>
      <c r="F994" s="7"/>
      <c r="G994" s="7"/>
      <c r="H994" s="7"/>
      <c r="I994" s="8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</row>
    <row r="995" spans="1:36" ht="18" customHeight="1" x14ac:dyDescent="0.25">
      <c r="A995" s="7"/>
      <c r="B995" s="7"/>
      <c r="C995" s="7"/>
      <c r="D995" s="7"/>
      <c r="E995" s="7"/>
      <c r="F995" s="7"/>
      <c r="G995" s="7"/>
      <c r="H995" s="7"/>
      <c r="I995" s="8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</row>
    <row r="996" spans="1:36" ht="18" customHeight="1" x14ac:dyDescent="0.25">
      <c r="A996" s="7"/>
      <c r="B996" s="7"/>
      <c r="C996" s="7"/>
      <c r="D996" s="7"/>
      <c r="E996" s="7"/>
      <c r="F996" s="7"/>
      <c r="G996" s="7"/>
      <c r="H996" s="7"/>
      <c r="I996" s="8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</row>
    <row r="997" spans="1:36" ht="18" customHeight="1" x14ac:dyDescent="0.25">
      <c r="A997" s="7"/>
      <c r="B997" s="7"/>
      <c r="C997" s="7"/>
      <c r="D997" s="7"/>
      <c r="E997" s="7"/>
      <c r="F997" s="7"/>
      <c r="G997" s="7"/>
      <c r="H997" s="7"/>
      <c r="I997" s="8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</row>
    <row r="998" spans="1:36" ht="18" customHeight="1" x14ac:dyDescent="0.25">
      <c r="A998" s="7"/>
      <c r="B998" s="7"/>
      <c r="C998" s="7"/>
      <c r="D998" s="7"/>
      <c r="E998" s="7"/>
      <c r="F998" s="7"/>
      <c r="G998" s="7"/>
      <c r="H998" s="7"/>
      <c r="I998" s="8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</row>
    <row r="999" spans="1:36" ht="18" customHeight="1" x14ac:dyDescent="0.25">
      <c r="A999" s="7"/>
      <c r="B999" s="7"/>
      <c r="C999" s="7"/>
      <c r="D999" s="7"/>
      <c r="E999" s="7"/>
      <c r="F999" s="7"/>
      <c r="G999" s="7"/>
      <c r="H999" s="7"/>
      <c r="I999" s="8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</row>
    <row r="1000" spans="1:36" ht="18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8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</row>
  </sheetData>
  <mergeCells count="29">
    <mergeCell ref="B42:B45"/>
    <mergeCell ref="B20:O20"/>
    <mergeCell ref="B21:N21"/>
    <mergeCell ref="B22:N22"/>
    <mergeCell ref="B23:N23"/>
    <mergeCell ref="B24:N24"/>
    <mergeCell ref="B26:O26"/>
    <mergeCell ref="B27:N27"/>
    <mergeCell ref="B33:N33"/>
    <mergeCell ref="B34:N34"/>
    <mergeCell ref="B35:N35"/>
    <mergeCell ref="B36:N36"/>
    <mergeCell ref="B39:O39"/>
    <mergeCell ref="B15:N15"/>
    <mergeCell ref="B16:N16"/>
    <mergeCell ref="P20:R20"/>
    <mergeCell ref="B28:N28"/>
    <mergeCell ref="B31:O31"/>
    <mergeCell ref="P11:Q11"/>
    <mergeCell ref="B11:N11"/>
    <mergeCell ref="B12:N12"/>
    <mergeCell ref="B13:N13"/>
    <mergeCell ref="B14:N14"/>
    <mergeCell ref="B5:O6"/>
    <mergeCell ref="B8:O8"/>
    <mergeCell ref="T8:U8"/>
    <mergeCell ref="B9:N9"/>
    <mergeCell ref="B10:N10"/>
    <mergeCell ref="P10:Q10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BB"/>
  </sheetPr>
  <dimension ref="A1:AF1000"/>
  <sheetViews>
    <sheetView showGridLines="0" topLeftCell="B1" workbookViewId="0">
      <selection activeCell="M59" sqref="M59"/>
    </sheetView>
  </sheetViews>
  <sheetFormatPr baseColWidth="10" defaultColWidth="14.5" defaultRowHeight="15" customHeight="1" x14ac:dyDescent="0.2"/>
  <cols>
    <col min="1" max="1" width="8" hidden="1" customWidth="1"/>
    <col min="2" max="2" width="7.1640625" customWidth="1"/>
    <col min="3" max="3" width="2.33203125" customWidth="1"/>
    <col min="4" max="4" width="47.1640625" customWidth="1"/>
    <col min="5" max="10" width="18.5" customWidth="1"/>
    <col min="11" max="12" width="20" customWidth="1"/>
    <col min="13" max="13" width="22.5" customWidth="1"/>
    <col min="14" max="32" width="9.1640625" customWidth="1"/>
  </cols>
  <sheetData>
    <row r="1" spans="1:32" ht="22.5" customHeight="1" x14ac:dyDescent="0.25">
      <c r="A1" s="69"/>
      <c r="B1" s="70"/>
      <c r="C1" s="71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69"/>
      <c r="Q1" s="70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</row>
    <row r="2" spans="1:32" ht="22.5" customHeight="1" x14ac:dyDescent="0.25">
      <c r="A2" s="72"/>
      <c r="B2" s="73"/>
      <c r="C2" s="74" t="s">
        <v>1</v>
      </c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2"/>
      <c r="Q2" s="73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</row>
    <row r="3" spans="1:32" ht="22.5" customHeight="1" x14ac:dyDescent="0.25">
      <c r="A3" s="11"/>
      <c r="B3" s="75"/>
      <c r="C3" s="76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11"/>
      <c r="Q3" s="75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4" spans="1:32" ht="12.75" customHeight="1" x14ac:dyDescent="0.2">
      <c r="A4" s="77"/>
      <c r="B4" s="77"/>
      <c r="C4" s="77"/>
      <c r="D4" s="77"/>
      <c r="E4" s="218" t="s">
        <v>140</v>
      </c>
      <c r="F4" s="219"/>
      <c r="G4" s="219"/>
      <c r="H4" s="219"/>
      <c r="I4" s="219"/>
      <c r="J4" s="220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</row>
    <row r="5" spans="1:32" ht="12.75" customHeight="1" x14ac:dyDescent="0.2">
      <c r="A5" s="77"/>
      <c r="B5" s="77"/>
      <c r="C5" s="77"/>
      <c r="D5" s="77"/>
      <c r="E5" s="237"/>
      <c r="F5" s="231"/>
      <c r="G5" s="231"/>
      <c r="H5" s="231"/>
      <c r="I5" s="231"/>
      <c r="J5" s="238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</row>
    <row r="6" spans="1:32" ht="12.75" customHeight="1" x14ac:dyDescent="0.2">
      <c r="A6" s="77"/>
      <c r="B6" s="77"/>
      <c r="C6" s="77"/>
      <c r="D6" s="77"/>
      <c r="E6" s="221"/>
      <c r="F6" s="222"/>
      <c r="G6" s="222"/>
      <c r="H6" s="222"/>
      <c r="I6" s="222"/>
      <c r="J6" s="223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7"/>
    </row>
    <row r="7" spans="1:32" ht="12.75" customHeight="1" x14ac:dyDescent="0.2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77"/>
      <c r="AF7" s="77"/>
    </row>
    <row r="8" spans="1:32" ht="12.75" customHeight="1" x14ac:dyDescent="0.2">
      <c r="A8" s="77"/>
      <c r="B8" s="77"/>
      <c r="C8" s="78"/>
      <c r="D8" s="79"/>
      <c r="E8" s="80" t="s">
        <v>36</v>
      </c>
      <c r="F8" s="80"/>
      <c r="G8" s="80"/>
      <c r="H8" s="80"/>
      <c r="I8" s="80" t="s">
        <v>37</v>
      </c>
      <c r="J8" s="79" t="s">
        <v>38</v>
      </c>
      <c r="K8" s="80" t="s">
        <v>39</v>
      </c>
      <c r="L8" s="80" t="s">
        <v>40</v>
      </c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7"/>
      <c r="AF8" s="77"/>
    </row>
    <row r="9" spans="1:32" ht="12.75" customHeight="1" x14ac:dyDescent="0.2">
      <c r="A9" s="77"/>
      <c r="B9" s="77"/>
      <c r="C9" s="81"/>
      <c r="D9" s="82"/>
      <c r="E9" s="83">
        <v>2017</v>
      </c>
      <c r="F9" s="84">
        <f t="shared" ref="F9:H9" si="0">E9+1</f>
        <v>2018</v>
      </c>
      <c r="G9" s="84">
        <f t="shared" si="0"/>
        <v>2019</v>
      </c>
      <c r="H9" s="84">
        <f t="shared" si="0"/>
        <v>2020</v>
      </c>
      <c r="I9" s="83">
        <v>2021</v>
      </c>
      <c r="J9" s="85" t="s">
        <v>137</v>
      </c>
      <c r="K9" s="83" t="s">
        <v>139</v>
      </c>
      <c r="L9" s="83" t="s">
        <v>138</v>
      </c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</row>
    <row r="10" spans="1:32" ht="12.75" customHeight="1" x14ac:dyDescent="0.2">
      <c r="A10" s="77"/>
      <c r="B10" s="77"/>
      <c r="C10" s="86" t="s">
        <v>41</v>
      </c>
      <c r="D10" s="87"/>
      <c r="E10" s="88"/>
      <c r="F10" s="89"/>
      <c r="G10" s="89"/>
      <c r="H10" s="89"/>
      <c r="I10" s="89"/>
      <c r="J10" s="90"/>
      <c r="K10" s="91"/>
      <c r="L10" s="92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</row>
    <row r="11" spans="1:32" ht="12.75" customHeight="1" x14ac:dyDescent="0.2">
      <c r="A11" s="77"/>
      <c r="B11" s="77"/>
      <c r="C11" s="86"/>
      <c r="D11" s="93" t="s">
        <v>42</v>
      </c>
      <c r="E11" s="94">
        <f t="shared" ref="E11:I11" si="1">E12+E15+E17</f>
        <v>15.95896787</v>
      </c>
      <c r="F11" s="95">
        <f t="shared" si="1"/>
        <v>18.6849995</v>
      </c>
      <c r="G11" s="95">
        <f t="shared" si="1"/>
        <v>18.59291919</v>
      </c>
      <c r="H11" s="95">
        <f t="shared" si="1"/>
        <v>20.993551999999998</v>
      </c>
      <c r="I11" s="95">
        <f t="shared" si="1"/>
        <v>25.311677360000001</v>
      </c>
      <c r="J11" s="96">
        <f t="shared" ref="J11:J17" si="2">I11-E11</f>
        <v>9.3527094900000005</v>
      </c>
      <c r="K11" s="97">
        <f t="shared" ref="K11:L11" si="3">K12+K15+K17</f>
        <v>19.908423183999997</v>
      </c>
      <c r="L11" s="98">
        <f t="shared" si="3"/>
        <v>19.118423183999997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</row>
    <row r="12" spans="1:32" ht="12.75" customHeight="1" x14ac:dyDescent="0.2">
      <c r="A12" s="77"/>
      <c r="B12" s="77"/>
      <c r="C12" s="86"/>
      <c r="D12" s="93" t="s">
        <v>43</v>
      </c>
      <c r="E12" s="94">
        <f t="shared" ref="E12:I12" si="4">E13-E14</f>
        <v>0.71896787000000018</v>
      </c>
      <c r="F12" s="95">
        <f t="shared" si="4"/>
        <v>0.43499949999999998</v>
      </c>
      <c r="G12" s="95">
        <f t="shared" si="4"/>
        <v>-0.67708081000000142</v>
      </c>
      <c r="H12" s="95">
        <f t="shared" si="4"/>
        <v>0.65355199999999769</v>
      </c>
      <c r="I12" s="95">
        <f t="shared" si="4"/>
        <v>0.96167735999999948</v>
      </c>
      <c r="J12" s="96">
        <f t="shared" si="2"/>
        <v>0.24270948999999931</v>
      </c>
      <c r="K12" s="97">
        <f t="shared" ref="K12:K17" si="5">AVERAGE(E12:I12)</f>
        <v>0.41842318399999917</v>
      </c>
      <c r="L12" s="98">
        <f>K12</f>
        <v>0.41842318399999917</v>
      </c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</row>
    <row r="13" spans="1:32" ht="12.75" customHeight="1" x14ac:dyDescent="0.2">
      <c r="A13" s="77"/>
      <c r="B13" s="77"/>
      <c r="C13" s="86"/>
      <c r="D13" s="93" t="s">
        <v>44</v>
      </c>
      <c r="E13" s="246">
        <v>12.518967870000001</v>
      </c>
      <c r="F13" s="246">
        <v>14.634999499999999</v>
      </c>
      <c r="G13" s="246">
        <v>14.122919189999999</v>
      </c>
      <c r="H13" s="246">
        <v>16.453551999999998</v>
      </c>
      <c r="I13" s="246">
        <v>19.561677360000001</v>
      </c>
      <c r="J13" s="96">
        <f t="shared" si="2"/>
        <v>7.04270949</v>
      </c>
      <c r="K13" s="97">
        <f t="shared" si="5"/>
        <v>15.458423184000001</v>
      </c>
      <c r="L13" s="98">
        <f t="shared" ref="L13:L14" si="6">K13</f>
        <v>15.458423184000001</v>
      </c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77"/>
      <c r="AF13" s="77"/>
    </row>
    <row r="14" spans="1:32" ht="12.75" customHeight="1" x14ac:dyDescent="0.2">
      <c r="A14" s="77"/>
      <c r="B14" s="77"/>
      <c r="C14" s="86"/>
      <c r="D14" s="93" t="s">
        <v>45</v>
      </c>
      <c r="E14" s="247">
        <v>11.8</v>
      </c>
      <c r="F14" s="247">
        <v>14.2</v>
      </c>
      <c r="G14" s="247">
        <v>14.8</v>
      </c>
      <c r="H14" s="247">
        <v>15.8</v>
      </c>
      <c r="I14" s="247">
        <v>18.600000000000001</v>
      </c>
      <c r="J14" s="96">
        <f t="shared" si="2"/>
        <v>6.8000000000000007</v>
      </c>
      <c r="K14" s="97">
        <f t="shared" si="5"/>
        <v>15.039999999999997</v>
      </c>
      <c r="L14" s="98">
        <f t="shared" si="6"/>
        <v>15.039999999999997</v>
      </c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</row>
    <row r="15" spans="1:32" ht="12.75" customHeight="1" x14ac:dyDescent="0.2">
      <c r="A15" s="77"/>
      <c r="B15" s="77"/>
      <c r="C15" s="86"/>
      <c r="D15" s="93" t="s">
        <v>46</v>
      </c>
      <c r="E15" s="247">
        <v>15</v>
      </c>
      <c r="F15" s="247">
        <v>18</v>
      </c>
      <c r="G15" s="247">
        <v>19</v>
      </c>
      <c r="H15" s="247">
        <v>20</v>
      </c>
      <c r="I15" s="247">
        <v>24</v>
      </c>
      <c r="J15" s="96">
        <f t="shared" si="2"/>
        <v>9</v>
      </c>
      <c r="K15" s="97">
        <f t="shared" si="5"/>
        <v>19.2</v>
      </c>
      <c r="L15" s="98">
        <f>K15-1</f>
        <v>18.2</v>
      </c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</row>
    <row r="16" spans="1:32" ht="12.75" customHeight="1" x14ac:dyDescent="0.2">
      <c r="A16" s="77"/>
      <c r="B16" s="77"/>
      <c r="C16" s="86"/>
      <c r="D16" s="93" t="s">
        <v>47</v>
      </c>
      <c r="E16" s="247">
        <v>3</v>
      </c>
      <c r="F16" s="247">
        <v>4</v>
      </c>
      <c r="G16" s="247">
        <v>4</v>
      </c>
      <c r="H16" s="247">
        <v>4</v>
      </c>
      <c r="I16" s="247">
        <v>5</v>
      </c>
      <c r="J16" s="96">
        <f t="shared" si="2"/>
        <v>2</v>
      </c>
      <c r="K16" s="97">
        <f t="shared" si="5"/>
        <v>4</v>
      </c>
      <c r="L16" s="98">
        <f>K16</f>
        <v>4</v>
      </c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</row>
    <row r="17" spans="1:32" ht="12.75" customHeight="1" x14ac:dyDescent="0.2">
      <c r="A17" s="77"/>
      <c r="B17" s="77"/>
      <c r="C17" s="86"/>
      <c r="D17" s="93" t="s">
        <v>48</v>
      </c>
      <c r="E17" s="247">
        <v>0.24</v>
      </c>
      <c r="F17" s="247">
        <v>0.25</v>
      </c>
      <c r="G17" s="247">
        <v>0.27</v>
      </c>
      <c r="H17" s="247">
        <v>0.34</v>
      </c>
      <c r="I17" s="247">
        <v>0.35</v>
      </c>
      <c r="J17" s="96">
        <f t="shared" si="2"/>
        <v>0.10999999999999999</v>
      </c>
      <c r="K17" s="97">
        <f t="shared" si="5"/>
        <v>0.29000000000000004</v>
      </c>
      <c r="L17" s="98">
        <v>0.5</v>
      </c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</row>
    <row r="18" spans="1:32" ht="12.75" customHeight="1" x14ac:dyDescent="0.2">
      <c r="A18" s="77"/>
      <c r="B18" s="77"/>
      <c r="C18" s="86"/>
      <c r="D18" s="93"/>
      <c r="E18" s="248"/>
      <c r="F18" s="101"/>
      <c r="G18" s="101"/>
      <c r="H18" s="101"/>
      <c r="I18" s="101"/>
      <c r="J18" s="102"/>
      <c r="K18" s="103"/>
      <c r="L18" s="104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</row>
    <row r="19" spans="1:32" ht="11.25" customHeight="1" x14ac:dyDescent="0.2">
      <c r="A19" s="77"/>
      <c r="B19" s="77"/>
      <c r="C19" s="86"/>
      <c r="D19" s="93" t="s">
        <v>49</v>
      </c>
      <c r="E19" s="247">
        <v>-1.2</v>
      </c>
      <c r="F19" s="247">
        <v>-2.9</v>
      </c>
      <c r="G19" s="247">
        <v>-3.6</v>
      </c>
      <c r="H19" s="247">
        <v>-1.9</v>
      </c>
      <c r="I19" s="247">
        <v>-2.8</v>
      </c>
      <c r="J19" s="107"/>
      <c r="K19" s="108"/>
      <c r="L19" s="109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</row>
    <row r="20" spans="1:32" ht="12.75" customHeight="1" x14ac:dyDescent="0.2">
      <c r="A20" s="77"/>
      <c r="B20" s="77"/>
      <c r="C20" s="110"/>
      <c r="D20" s="111" t="s">
        <v>50</v>
      </c>
      <c r="E20" s="112">
        <f t="shared" ref="E20:I20" si="7">E11-E16</f>
        <v>12.95896787</v>
      </c>
      <c r="F20" s="112">
        <f t="shared" si="7"/>
        <v>14.6849995</v>
      </c>
      <c r="G20" s="112">
        <f t="shared" si="7"/>
        <v>14.59291919</v>
      </c>
      <c r="H20" s="112">
        <f t="shared" si="7"/>
        <v>16.993551999999998</v>
      </c>
      <c r="I20" s="112">
        <f t="shared" si="7"/>
        <v>20.311677360000001</v>
      </c>
      <c r="J20" s="112"/>
      <c r="K20" s="113">
        <f t="shared" ref="K20:L20" si="8">K11-K16</f>
        <v>15.908423183999997</v>
      </c>
      <c r="L20" s="98">
        <f t="shared" si="8"/>
        <v>15.118423183999997</v>
      </c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</row>
    <row r="21" spans="1:32" ht="15" customHeight="1" x14ac:dyDescent="0.2">
      <c r="A21" s="77"/>
      <c r="B21" s="77"/>
      <c r="C21" s="114"/>
      <c r="D21" s="115" t="s">
        <v>51</v>
      </c>
      <c r="E21" s="106">
        <f t="shared" ref="E21:I21" si="9">E15-E16</f>
        <v>12</v>
      </c>
      <c r="F21" s="106">
        <f t="shared" si="9"/>
        <v>14</v>
      </c>
      <c r="G21" s="106">
        <f t="shared" si="9"/>
        <v>15</v>
      </c>
      <c r="H21" s="106">
        <f t="shared" si="9"/>
        <v>16</v>
      </c>
      <c r="I21" s="106">
        <f t="shared" si="9"/>
        <v>19</v>
      </c>
      <c r="J21" s="116"/>
      <c r="K21" s="117">
        <f>AVERAGE(E21:I21)</f>
        <v>15.2</v>
      </c>
      <c r="L21" s="118">
        <f>L15-L16</f>
        <v>14.2</v>
      </c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</row>
    <row r="22" spans="1:32" ht="12.75" customHeight="1" x14ac:dyDescent="0.2">
      <c r="A22" s="77"/>
      <c r="B22" s="77"/>
      <c r="C22" s="86" t="s">
        <v>52</v>
      </c>
      <c r="D22" s="87"/>
      <c r="E22" s="119"/>
      <c r="F22" s="120"/>
      <c r="G22" s="120"/>
      <c r="H22" s="120"/>
      <c r="I22" s="120"/>
      <c r="J22" s="121"/>
      <c r="K22" s="77"/>
      <c r="L22" s="122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</row>
    <row r="23" spans="1:32" ht="12.75" customHeight="1" x14ac:dyDescent="0.2">
      <c r="A23" s="77"/>
      <c r="B23" s="77"/>
      <c r="C23" s="86"/>
      <c r="D23" s="93" t="s">
        <v>53</v>
      </c>
      <c r="E23" s="94">
        <f t="shared" ref="E23:I23" si="10">E11+E24</f>
        <v>31.958967870000002</v>
      </c>
      <c r="F23" s="95">
        <f t="shared" si="10"/>
        <v>35.184999500000004</v>
      </c>
      <c r="G23" s="95">
        <f t="shared" si="10"/>
        <v>31.09291919</v>
      </c>
      <c r="H23" s="95">
        <f t="shared" si="10"/>
        <v>39.193551999999997</v>
      </c>
      <c r="I23" s="95">
        <f t="shared" si="10"/>
        <v>51.311677360000004</v>
      </c>
      <c r="J23" s="96">
        <f t="shared" ref="J23:J24" si="11">I23-E23</f>
        <v>19.352709490000002</v>
      </c>
      <c r="K23" s="123">
        <f t="shared" ref="K23:K24" si="12">AVERAGE(E23:I23)</f>
        <v>37.748423184000004</v>
      </c>
      <c r="L23" s="124">
        <f t="shared" ref="L23:L24" si="13">K23</f>
        <v>37.748423184000004</v>
      </c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</row>
    <row r="24" spans="1:32" ht="12.75" customHeight="1" x14ac:dyDescent="0.2">
      <c r="A24" s="77"/>
      <c r="B24" s="77"/>
      <c r="C24" s="125"/>
      <c r="D24" s="126" t="s">
        <v>54</v>
      </c>
      <c r="E24" s="105">
        <v>16</v>
      </c>
      <c r="F24" s="106">
        <v>16.5</v>
      </c>
      <c r="G24" s="106">
        <v>12.5</v>
      </c>
      <c r="H24" s="106">
        <v>18.2</v>
      </c>
      <c r="I24" s="106">
        <v>26</v>
      </c>
      <c r="J24" s="127">
        <f t="shared" si="11"/>
        <v>10</v>
      </c>
      <c r="K24" s="123">
        <f t="shared" si="12"/>
        <v>17.84</v>
      </c>
      <c r="L24" s="124">
        <f t="shared" si="13"/>
        <v>17.84</v>
      </c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</row>
    <row r="25" spans="1:32" ht="12.75" customHeight="1" x14ac:dyDescent="0.2">
      <c r="A25" s="77"/>
      <c r="B25" s="77"/>
      <c r="C25" s="77"/>
      <c r="D25" s="77"/>
      <c r="E25" s="100"/>
      <c r="F25" s="100"/>
      <c r="G25" s="100"/>
      <c r="H25" s="100"/>
      <c r="I25" s="100"/>
      <c r="J25" s="100"/>
      <c r="K25" s="77"/>
      <c r="L25" s="122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</row>
    <row r="26" spans="1:32" ht="12.75" customHeight="1" x14ac:dyDescent="0.2">
      <c r="A26" s="77"/>
      <c r="B26" s="77"/>
      <c r="C26" s="128" t="s">
        <v>55</v>
      </c>
      <c r="D26" s="129"/>
      <c r="E26" s="130"/>
      <c r="F26" s="131"/>
      <c r="G26" s="131"/>
      <c r="H26" s="131"/>
      <c r="I26" s="131"/>
      <c r="J26" s="132"/>
      <c r="K26" s="77"/>
      <c r="L26" s="122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</row>
    <row r="27" spans="1:32" ht="12.75" customHeight="1" x14ac:dyDescent="0.2">
      <c r="A27" s="77"/>
      <c r="B27" s="77"/>
      <c r="C27" s="86"/>
      <c r="D27" s="93" t="s">
        <v>56</v>
      </c>
      <c r="E27" s="99">
        <v>-1.5</v>
      </c>
      <c r="F27" s="100">
        <v>0.7</v>
      </c>
      <c r="G27" s="100">
        <v>0.5</v>
      </c>
      <c r="H27" s="100">
        <v>1</v>
      </c>
      <c r="I27" s="100">
        <v>0.3</v>
      </c>
      <c r="J27" s="96">
        <f t="shared" ref="J27:J28" si="14">I27-E27</f>
        <v>1.8</v>
      </c>
      <c r="K27" s="123">
        <f t="shared" ref="K27:K28" si="15">AVERAGE(E27:I27)</f>
        <v>0.2</v>
      </c>
      <c r="L27" s="124">
        <f t="shared" ref="L27:L28" si="16">K27</f>
        <v>0.2</v>
      </c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7"/>
    </row>
    <row r="28" spans="1:32" ht="12.75" customHeight="1" x14ac:dyDescent="0.2">
      <c r="A28" s="77"/>
      <c r="B28" s="77"/>
      <c r="C28" s="125"/>
      <c r="D28" s="126" t="s">
        <v>57</v>
      </c>
      <c r="E28" s="133">
        <f t="shared" ref="E28:I28" si="17">E11-E27</f>
        <v>17.458967870000002</v>
      </c>
      <c r="F28" s="134">
        <f t="shared" si="17"/>
        <v>17.984999500000001</v>
      </c>
      <c r="G28" s="134">
        <f t="shared" si="17"/>
        <v>18.09291919</v>
      </c>
      <c r="H28" s="134">
        <f t="shared" si="17"/>
        <v>19.993551999999998</v>
      </c>
      <c r="I28" s="134">
        <f t="shared" si="17"/>
        <v>25.01167736</v>
      </c>
      <c r="J28" s="127">
        <f t="shared" si="14"/>
        <v>7.552709489999998</v>
      </c>
      <c r="K28" s="123">
        <f t="shared" si="15"/>
        <v>19.708423183999997</v>
      </c>
      <c r="L28" s="124">
        <f t="shared" si="16"/>
        <v>19.708423183999997</v>
      </c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</row>
    <row r="29" spans="1:32" ht="12.75" customHeight="1" x14ac:dyDescent="0.2">
      <c r="A29" s="77"/>
      <c r="B29" s="77"/>
      <c r="C29" s="77"/>
      <c r="D29" s="77"/>
      <c r="E29" s="100"/>
      <c r="F29" s="100"/>
      <c r="G29" s="100"/>
      <c r="H29" s="100"/>
      <c r="I29" s="100"/>
      <c r="J29" s="101"/>
      <c r="K29" s="77"/>
      <c r="L29" s="122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</row>
    <row r="30" spans="1:32" ht="12.75" customHeight="1" x14ac:dyDescent="0.2">
      <c r="A30" s="77"/>
      <c r="B30" s="77"/>
      <c r="C30" s="128" t="s">
        <v>58</v>
      </c>
      <c r="D30" s="129"/>
      <c r="E30" s="91"/>
      <c r="F30" s="135"/>
      <c r="G30" s="135"/>
      <c r="H30" s="135"/>
      <c r="I30" s="135"/>
      <c r="J30" s="136" t="s">
        <v>59</v>
      </c>
      <c r="K30" s="77"/>
      <c r="L30" s="122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</row>
    <row r="31" spans="1:32" ht="12.75" customHeight="1" x14ac:dyDescent="0.2">
      <c r="A31" s="77"/>
      <c r="B31" s="77"/>
      <c r="C31" s="86"/>
      <c r="D31" s="93" t="s">
        <v>60</v>
      </c>
      <c r="E31" s="137">
        <v>115</v>
      </c>
      <c r="F31" s="138">
        <v>124</v>
      </c>
      <c r="G31" s="138">
        <v>118</v>
      </c>
      <c r="H31" s="138">
        <v>111</v>
      </c>
      <c r="I31" s="138">
        <v>150</v>
      </c>
      <c r="J31" s="96">
        <f t="shared" ref="J31:J33" si="18">100*(I31/E31-1)</f>
        <v>30.434782608695656</v>
      </c>
      <c r="K31" s="123">
        <f t="shared" ref="K31:K33" si="19">AVERAGE(E31:I31)</f>
        <v>123.6</v>
      </c>
      <c r="L31" s="124">
        <f t="shared" ref="L31:L33" si="20">K31</f>
        <v>123.6</v>
      </c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</row>
    <row r="32" spans="1:32" ht="12.75" customHeight="1" x14ac:dyDescent="0.2">
      <c r="A32" s="77"/>
      <c r="B32" s="77"/>
      <c r="C32" s="86"/>
      <c r="D32" s="93" t="s">
        <v>61</v>
      </c>
      <c r="E32" s="99">
        <v>91</v>
      </c>
      <c r="F32" s="100">
        <v>106</v>
      </c>
      <c r="G32" s="100">
        <v>107</v>
      </c>
      <c r="H32" s="100">
        <v>92</v>
      </c>
      <c r="I32" s="100">
        <v>130</v>
      </c>
      <c r="J32" s="96">
        <f t="shared" si="18"/>
        <v>42.857142857142861</v>
      </c>
      <c r="K32" s="123">
        <f t="shared" si="19"/>
        <v>105.2</v>
      </c>
      <c r="L32" s="124">
        <f t="shared" si="20"/>
        <v>105.2</v>
      </c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</row>
    <row r="33" spans="1:32" ht="12.75" customHeight="1" x14ac:dyDescent="0.2">
      <c r="A33" s="77"/>
      <c r="B33" s="77"/>
      <c r="C33" s="86"/>
      <c r="D33" s="93" t="s">
        <v>62</v>
      </c>
      <c r="E33" s="94">
        <f t="shared" ref="E33:I33" si="21">100*(E31/E32)</f>
        <v>126.37362637362637</v>
      </c>
      <c r="F33" s="95">
        <f t="shared" si="21"/>
        <v>116.98113207547169</v>
      </c>
      <c r="G33" s="95">
        <f t="shared" si="21"/>
        <v>110.28037383177569</v>
      </c>
      <c r="H33" s="95">
        <f t="shared" si="21"/>
        <v>120.65217391304348</v>
      </c>
      <c r="I33" s="95">
        <f t="shared" si="21"/>
        <v>115.38461538461537</v>
      </c>
      <c r="J33" s="96">
        <f t="shared" si="18"/>
        <v>-8.6956521739130483</v>
      </c>
      <c r="K33" s="123">
        <f t="shared" si="19"/>
        <v>117.93438431570652</v>
      </c>
      <c r="L33" s="124">
        <f t="shared" si="20"/>
        <v>117.93438431570652</v>
      </c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</row>
    <row r="34" spans="1:32" ht="12.75" customHeight="1" x14ac:dyDescent="0.2">
      <c r="A34" s="77"/>
      <c r="B34" s="77"/>
      <c r="C34" s="86"/>
      <c r="D34" s="93" t="s">
        <v>63</v>
      </c>
      <c r="E34" s="103"/>
      <c r="F34" s="77"/>
      <c r="G34" s="77"/>
      <c r="H34" s="77"/>
      <c r="I34" s="77"/>
      <c r="J34" s="90"/>
      <c r="K34" s="77"/>
      <c r="L34" s="122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</row>
    <row r="35" spans="1:32" ht="12.75" customHeight="1" x14ac:dyDescent="0.2">
      <c r="A35" s="77"/>
      <c r="B35" s="77"/>
      <c r="C35" s="86"/>
      <c r="D35" s="93" t="s">
        <v>64</v>
      </c>
      <c r="E35" s="99"/>
      <c r="F35" s="100"/>
      <c r="G35" s="100"/>
      <c r="H35" s="100"/>
      <c r="I35" s="100"/>
      <c r="J35" s="139">
        <f>J36-J37</f>
        <v>-0.38509316770186341</v>
      </c>
      <c r="K35" s="77"/>
      <c r="L35" s="122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</row>
    <row r="36" spans="1:32" ht="12.75" customHeight="1" x14ac:dyDescent="0.2">
      <c r="A36" s="77"/>
      <c r="B36" s="77"/>
      <c r="C36" s="86"/>
      <c r="D36" s="93" t="s">
        <v>65</v>
      </c>
      <c r="E36" s="99"/>
      <c r="F36" s="100"/>
      <c r="G36" s="100"/>
      <c r="H36" s="100"/>
      <c r="I36" s="100"/>
      <c r="J36" s="139">
        <f t="shared" ref="J36:J37" si="22">(I31/E31-1)*E39</f>
        <v>3.0434782608695654</v>
      </c>
      <c r="K36" s="77"/>
      <c r="L36" s="122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</row>
    <row r="37" spans="1:32" ht="12.75" customHeight="1" x14ac:dyDescent="0.2">
      <c r="A37" s="77"/>
      <c r="B37" s="77"/>
      <c r="C37" s="125"/>
      <c r="D37" s="126" t="s">
        <v>66</v>
      </c>
      <c r="E37" s="108"/>
      <c r="F37" s="116"/>
      <c r="G37" s="116"/>
      <c r="H37" s="116"/>
      <c r="I37" s="116"/>
      <c r="J37" s="140">
        <f t="shared" si="22"/>
        <v>3.4285714285714288</v>
      </c>
      <c r="K37" s="77"/>
      <c r="L37" s="122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</row>
    <row r="38" spans="1:32" ht="12.75" customHeight="1" x14ac:dyDescent="0.2">
      <c r="A38" s="77"/>
      <c r="B38" s="77"/>
      <c r="C38" s="77"/>
      <c r="D38" s="77"/>
      <c r="E38" s="77"/>
      <c r="F38" s="77"/>
      <c r="G38" s="11"/>
      <c r="H38" s="11"/>
      <c r="I38" s="11"/>
      <c r="J38" s="11"/>
      <c r="K38" s="77"/>
      <c r="L38" s="122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</row>
    <row r="39" spans="1:32" ht="12.75" customHeight="1" x14ac:dyDescent="0.2">
      <c r="A39" s="77"/>
      <c r="B39" s="77"/>
      <c r="C39" s="128"/>
      <c r="D39" s="141" t="s">
        <v>67</v>
      </c>
      <c r="E39" s="142">
        <v>10</v>
      </c>
      <c r="F39" s="112">
        <v>12</v>
      </c>
      <c r="G39" s="112">
        <v>12</v>
      </c>
      <c r="H39" s="112">
        <v>14</v>
      </c>
      <c r="I39" s="112">
        <v>17</v>
      </c>
      <c r="J39" s="143"/>
      <c r="K39" s="123">
        <f t="shared" ref="K39:K40" si="23">AVERAGE(E39:I39)</f>
        <v>13</v>
      </c>
      <c r="L39" s="124">
        <f t="shared" ref="L39:L40" si="24">K39</f>
        <v>13</v>
      </c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</row>
    <row r="40" spans="1:32" ht="12.75" customHeight="1" x14ac:dyDescent="0.2">
      <c r="A40" s="77"/>
      <c r="B40" s="77"/>
      <c r="C40" s="125"/>
      <c r="D40" s="126" t="s">
        <v>68</v>
      </c>
      <c r="E40" s="105">
        <v>8</v>
      </c>
      <c r="F40" s="106">
        <v>9</v>
      </c>
      <c r="G40" s="106">
        <v>10</v>
      </c>
      <c r="H40" s="106">
        <v>11</v>
      </c>
      <c r="I40" s="106">
        <v>14</v>
      </c>
      <c r="J40" s="144"/>
      <c r="K40" s="123">
        <f t="shared" si="23"/>
        <v>10.4</v>
      </c>
      <c r="L40" s="124">
        <f t="shared" si="24"/>
        <v>10.4</v>
      </c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</row>
    <row r="41" spans="1:32" ht="12.75" customHeight="1" x14ac:dyDescent="0.2">
      <c r="A41" s="145"/>
      <c r="B41" s="145"/>
      <c r="C41" s="77"/>
      <c r="D41" s="77"/>
      <c r="E41" s="77"/>
      <c r="F41" s="77"/>
      <c r="G41" s="77"/>
      <c r="H41" s="77"/>
      <c r="I41" s="77"/>
      <c r="J41" s="77"/>
      <c r="K41" s="77"/>
      <c r="L41" s="122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</row>
    <row r="42" spans="1:32" ht="12.75" customHeight="1" x14ac:dyDescent="0.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122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</row>
    <row r="43" spans="1:32" ht="12.75" customHeight="1" x14ac:dyDescent="0.2">
      <c r="A43" s="77"/>
      <c r="B43" s="77"/>
      <c r="C43" s="128" t="s">
        <v>69</v>
      </c>
      <c r="D43" s="129"/>
      <c r="E43" s="146">
        <f t="shared" ref="E43:I43" si="25">E45-E48</f>
        <v>0.78098944374503354</v>
      </c>
      <c r="F43" s="147">
        <f t="shared" si="25"/>
        <v>0.48595527517019299</v>
      </c>
      <c r="G43" s="147">
        <f t="shared" si="25"/>
        <v>-0.61484609945991942</v>
      </c>
      <c r="H43" s="147">
        <f t="shared" si="25"/>
        <v>-6.0874598077163E-2</v>
      </c>
      <c r="I43" s="147">
        <f t="shared" si="25"/>
        <v>1.597887230884993</v>
      </c>
      <c r="J43" s="132"/>
      <c r="K43" s="77"/>
      <c r="L43" s="122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</row>
    <row r="44" spans="1:32" ht="12.75" customHeight="1" x14ac:dyDescent="0.2">
      <c r="A44" s="145"/>
      <c r="B44" s="145"/>
      <c r="C44" s="86"/>
      <c r="D44" s="93" t="s">
        <v>70</v>
      </c>
      <c r="E44" s="148">
        <v>1.28</v>
      </c>
      <c r="F44" s="101">
        <v>1.66</v>
      </c>
      <c r="G44" s="101">
        <v>1.76</v>
      </c>
      <c r="H44" s="101">
        <v>-5.86</v>
      </c>
      <c r="I44" s="101">
        <v>-1.78</v>
      </c>
      <c r="J44" s="102"/>
      <c r="K44" s="77"/>
      <c r="L44" s="122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</row>
    <row r="45" spans="1:32" ht="12.75" customHeight="1" x14ac:dyDescent="0.2">
      <c r="A45" s="77"/>
      <c r="B45" s="77"/>
      <c r="C45" s="86"/>
      <c r="D45" s="93" t="s">
        <v>71</v>
      </c>
      <c r="E45" s="94">
        <f t="shared" ref="E45:I45" si="26">E13*(1+E44/100)^(-$E$46)</f>
        <v>12.360750266587679</v>
      </c>
      <c r="F45" s="95">
        <f t="shared" si="26"/>
        <v>14.396025477080464</v>
      </c>
      <c r="G45" s="95">
        <f t="shared" si="26"/>
        <v>13.878654864386791</v>
      </c>
      <c r="H45" s="95">
        <f t="shared" si="26"/>
        <v>17.477748034841724</v>
      </c>
      <c r="I45" s="95">
        <f t="shared" si="26"/>
        <v>19.916185461209533</v>
      </c>
      <c r="J45" s="149"/>
      <c r="K45" s="77"/>
      <c r="L45" s="122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</row>
    <row r="46" spans="1:32" ht="12.75" customHeight="1" x14ac:dyDescent="0.2">
      <c r="A46" s="77"/>
      <c r="B46" s="77"/>
      <c r="C46" s="86"/>
      <c r="D46" s="93" t="s">
        <v>72</v>
      </c>
      <c r="E46" s="150">
        <v>1</v>
      </c>
      <c r="F46" s="101"/>
      <c r="G46" s="101"/>
      <c r="H46" s="101"/>
      <c r="I46" s="11"/>
      <c r="J46" s="102"/>
      <c r="K46" s="77"/>
      <c r="L46" s="122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</row>
    <row r="47" spans="1:32" ht="12.75" customHeight="1" x14ac:dyDescent="0.2">
      <c r="A47" s="77"/>
      <c r="B47" s="77"/>
      <c r="C47" s="86"/>
      <c r="D47" s="93" t="s">
        <v>73</v>
      </c>
      <c r="E47" s="148">
        <v>0.63</v>
      </c>
      <c r="F47" s="101">
        <v>0.69</v>
      </c>
      <c r="G47" s="101">
        <v>0.7</v>
      </c>
      <c r="H47" s="101">
        <v>-3.42</v>
      </c>
      <c r="I47" s="101">
        <v>0.51</v>
      </c>
      <c r="J47" s="102"/>
      <c r="K47" s="77"/>
      <c r="L47" s="122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</row>
    <row r="48" spans="1:32" ht="12.75" customHeight="1" x14ac:dyDescent="0.2">
      <c r="A48" s="145"/>
      <c r="B48" s="77"/>
      <c r="C48" s="86"/>
      <c r="D48" s="93" t="s">
        <v>74</v>
      </c>
      <c r="E48" s="94">
        <f t="shared" ref="E48:I48" si="27">E14*(1+E47/100)^(-$E$49)</f>
        <v>11.579760822842646</v>
      </c>
      <c r="F48" s="95">
        <f>F14*(1+F47/100)^(-$E$49)</f>
        <v>13.910070201910271</v>
      </c>
      <c r="G48" s="95">
        <f t="shared" si="27"/>
        <v>14.49350096384671</v>
      </c>
      <c r="H48" s="95">
        <f t="shared" si="27"/>
        <v>17.538622632918887</v>
      </c>
      <c r="I48" s="95">
        <f t="shared" si="27"/>
        <v>18.31829823032454</v>
      </c>
      <c r="J48" s="149"/>
      <c r="K48" s="77"/>
      <c r="L48" s="122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</row>
    <row r="49" spans="1:32" ht="12.75" customHeight="1" x14ac:dyDescent="0.2">
      <c r="A49" s="145"/>
      <c r="B49" s="77"/>
      <c r="C49" s="86"/>
      <c r="D49" s="93" t="s">
        <v>75</v>
      </c>
      <c r="E49" s="150">
        <v>3</v>
      </c>
      <c r="F49" s="101"/>
      <c r="G49" s="101"/>
      <c r="H49" s="101"/>
      <c r="I49" s="11"/>
      <c r="J49" s="102"/>
      <c r="K49" s="77"/>
      <c r="L49" s="122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</row>
    <row r="50" spans="1:32" ht="12.75" customHeight="1" x14ac:dyDescent="0.2">
      <c r="A50" s="145"/>
      <c r="B50" s="77"/>
      <c r="C50" s="125"/>
      <c r="D50" s="126" t="s">
        <v>76</v>
      </c>
      <c r="E50" s="133">
        <f t="shared" ref="E50:H50" si="28">E12-E43</f>
        <v>-6.2021573745033365E-2</v>
      </c>
      <c r="F50" s="134">
        <f t="shared" si="28"/>
        <v>-5.0955775170193007E-2</v>
      </c>
      <c r="G50" s="134">
        <f t="shared" si="28"/>
        <v>-6.2234710540082006E-2</v>
      </c>
      <c r="H50" s="134">
        <f t="shared" si="28"/>
        <v>0.71442659807716069</v>
      </c>
      <c r="I50" s="134">
        <f>H50-E50</f>
        <v>0.77644817182219406</v>
      </c>
      <c r="J50" s="151"/>
      <c r="K50" s="77"/>
      <c r="L50" s="122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</row>
    <row r="51" spans="1:32" ht="12.75" customHeight="1" x14ac:dyDescent="0.2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122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</row>
    <row r="52" spans="1:32" ht="12.75" customHeight="1" x14ac:dyDescent="0.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122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</row>
    <row r="53" spans="1:32" ht="12.75" customHeight="1" x14ac:dyDescent="0.2">
      <c r="A53" s="77"/>
      <c r="B53" s="77"/>
      <c r="C53" s="152" t="s">
        <v>77</v>
      </c>
      <c r="D53" s="153"/>
      <c r="E53" s="154">
        <f t="shared" ref="E53:I53" si="29">E11+E19</f>
        <v>14.758967870000001</v>
      </c>
      <c r="F53" s="155">
        <f t="shared" si="29"/>
        <v>15.7849995</v>
      </c>
      <c r="G53" s="155">
        <f t="shared" si="29"/>
        <v>14.99291919</v>
      </c>
      <c r="H53" s="155">
        <f t="shared" si="29"/>
        <v>19.093551999999999</v>
      </c>
      <c r="I53" s="155">
        <f t="shared" si="29"/>
        <v>22.51167736</v>
      </c>
      <c r="J53" s="156">
        <f>I53-E53</f>
        <v>7.7527094899999991</v>
      </c>
      <c r="K53" s="123">
        <f>AVERAGE(E53:I53)</f>
        <v>17.428423184000003</v>
      </c>
      <c r="L53" s="124">
        <f>K53</f>
        <v>17.428423184000003</v>
      </c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</row>
    <row r="54" spans="1:32" ht="12.75" customHeight="1" x14ac:dyDescent="0.2">
      <c r="A54" s="77"/>
      <c r="B54" s="77"/>
      <c r="C54" s="77"/>
      <c r="D54" s="77"/>
      <c r="E54" s="77"/>
      <c r="F54" s="77"/>
      <c r="G54" s="77"/>
      <c r="H54" s="77"/>
      <c r="I54" s="77"/>
      <c r="J54" s="77"/>
      <c r="K54" s="100"/>
      <c r="L54" s="122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</row>
    <row r="55" spans="1:32" ht="12.75" customHeight="1" x14ac:dyDescent="0.2">
      <c r="A55" s="77"/>
      <c r="B55" s="77"/>
      <c r="C55" s="128" t="s">
        <v>78</v>
      </c>
      <c r="D55" s="129"/>
      <c r="E55" s="91"/>
      <c r="F55" s="135"/>
      <c r="G55" s="135"/>
      <c r="H55" s="135"/>
      <c r="I55" s="135"/>
      <c r="J55" s="92"/>
      <c r="K55" s="91"/>
      <c r="L55" s="15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</row>
    <row r="56" spans="1:32" ht="12.75" customHeight="1" x14ac:dyDescent="0.2">
      <c r="A56" s="145"/>
      <c r="B56" s="11"/>
      <c r="C56" s="86"/>
      <c r="D56" s="93" t="s">
        <v>79</v>
      </c>
      <c r="E56" s="94">
        <f t="shared" ref="E56:I56" si="30">E57+E58+E59</f>
        <v>327.61024667467802</v>
      </c>
      <c r="F56" s="95">
        <f t="shared" si="30"/>
        <v>299.33528498254753</v>
      </c>
      <c r="G56" s="95">
        <f t="shared" si="30"/>
        <v>310.66656880328924</v>
      </c>
      <c r="H56" s="95">
        <f t="shared" si="30"/>
        <v>314.47820723432062</v>
      </c>
      <c r="I56" s="95">
        <f>I57+I58+I59</f>
        <v>332.36654083597034</v>
      </c>
      <c r="J56" s="96">
        <f>I56-E56</f>
        <v>4.7562941612923169</v>
      </c>
      <c r="K56" s="97">
        <f t="shared" ref="K56:L56" si="31">K57+K58+K59</f>
        <v>316.89136970616113</v>
      </c>
      <c r="L56" s="98">
        <f>K56</f>
        <v>316.89136970616113</v>
      </c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</row>
    <row r="57" spans="1:32" ht="12.75" customHeight="1" x14ac:dyDescent="0.2">
      <c r="A57" s="77"/>
      <c r="B57" s="11"/>
      <c r="C57" s="86"/>
      <c r="D57" s="93" t="s">
        <v>80</v>
      </c>
      <c r="E57" s="99">
        <v>-47.99</v>
      </c>
      <c r="F57" s="100">
        <v>-76.03</v>
      </c>
      <c r="G57" s="100">
        <v>-46.47</v>
      </c>
      <c r="H57" s="100">
        <v>-41.01</v>
      </c>
      <c r="I57" s="100">
        <v>-30.43</v>
      </c>
      <c r="J57" s="96">
        <f t="shared" ref="J56:J62" si="32">I57-E57</f>
        <v>17.560000000000002</v>
      </c>
      <c r="K57" s="97">
        <f t="shared" ref="K57:K62" si="33">AVERAGE(E57:I57)</f>
        <v>-48.386000000000003</v>
      </c>
      <c r="L57" s="98">
        <f t="shared" ref="L57:L62" si="34">K57</f>
        <v>-48.386000000000003</v>
      </c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</row>
    <row r="58" spans="1:32" ht="12.75" customHeight="1" x14ac:dyDescent="0.2">
      <c r="A58" s="77"/>
      <c r="B58" s="11"/>
      <c r="C58" s="86"/>
      <c r="D58" s="93" t="s">
        <v>81</v>
      </c>
      <c r="E58" s="99">
        <v>375</v>
      </c>
      <c r="F58" s="100">
        <v>374</v>
      </c>
      <c r="G58" s="100">
        <v>356</v>
      </c>
      <c r="H58" s="100">
        <v>355</v>
      </c>
      <c r="I58" s="100">
        <v>362</v>
      </c>
      <c r="J58" s="96">
        <f t="shared" si="32"/>
        <v>-13</v>
      </c>
      <c r="K58" s="97">
        <f t="shared" si="33"/>
        <v>364.4</v>
      </c>
      <c r="L58" s="98">
        <f t="shared" si="34"/>
        <v>364.4</v>
      </c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</row>
    <row r="59" spans="1:32" ht="12.75" customHeight="1" x14ac:dyDescent="0.2">
      <c r="A59" s="77"/>
      <c r="B59" s="11"/>
      <c r="C59" s="86"/>
      <c r="D59" s="93" t="s">
        <v>82</v>
      </c>
      <c r="E59" s="99">
        <v>0.60024667467801207</v>
      </c>
      <c r="F59" s="100">
        <v>1.3652849825474991</v>
      </c>
      <c r="G59" s="100">
        <v>1.136568803289254</v>
      </c>
      <c r="H59" s="100">
        <v>0.48820723432062774</v>
      </c>
      <c r="I59" s="100">
        <v>0.79654083597035408</v>
      </c>
      <c r="J59" s="96">
        <f t="shared" si="32"/>
        <v>0.19629416129234201</v>
      </c>
      <c r="K59" s="97">
        <f t="shared" si="33"/>
        <v>0.87736970616114929</v>
      </c>
      <c r="L59" s="98">
        <f t="shared" si="34"/>
        <v>0.87736970616114929</v>
      </c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</row>
    <row r="60" spans="1:32" ht="12.75" customHeight="1" x14ac:dyDescent="0.2">
      <c r="A60" s="77"/>
      <c r="B60" s="77"/>
      <c r="C60" s="158"/>
      <c r="D60" s="93" t="s">
        <v>83</v>
      </c>
      <c r="E60" s="99">
        <v>-6.6001519136003175</v>
      </c>
      <c r="F60" s="100">
        <v>-7.540994703516704</v>
      </c>
      <c r="G60" s="100">
        <v>-5.5341097890527129</v>
      </c>
      <c r="H60" s="100">
        <v>-4.5415156616497043</v>
      </c>
      <c r="I60" s="100">
        <v>-0.11806718613554135</v>
      </c>
      <c r="J60" s="96">
        <f t="shared" si="32"/>
        <v>6.4820847274647759</v>
      </c>
      <c r="K60" s="97">
        <f t="shared" si="33"/>
        <v>-4.8669678507909957</v>
      </c>
      <c r="L60" s="98">
        <f t="shared" si="34"/>
        <v>-4.8669678507909957</v>
      </c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</row>
    <row r="61" spans="1:32" ht="12.75" customHeight="1" x14ac:dyDescent="0.2">
      <c r="A61" s="77"/>
      <c r="B61" s="77"/>
      <c r="C61" s="158"/>
      <c r="D61" s="93" t="s">
        <v>84</v>
      </c>
      <c r="E61" s="99">
        <v>2.4096702103499879</v>
      </c>
      <c r="F61" s="100">
        <v>1.4761814677506886</v>
      </c>
      <c r="G61" s="100">
        <v>1.4087357989358333</v>
      </c>
      <c r="H61" s="100">
        <v>1.2878815806506023</v>
      </c>
      <c r="I61" s="100">
        <v>-1.3393718826312</v>
      </c>
      <c r="J61" s="96">
        <f t="shared" si="32"/>
        <v>-3.7490420929811878</v>
      </c>
      <c r="K61" s="97">
        <f t="shared" si="33"/>
        <v>1.0486194350111824</v>
      </c>
      <c r="L61" s="98">
        <f t="shared" si="34"/>
        <v>1.0486194350111824</v>
      </c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</row>
    <row r="62" spans="1:32" ht="12.75" customHeight="1" x14ac:dyDescent="0.2">
      <c r="A62" s="77"/>
      <c r="B62" s="77"/>
      <c r="C62" s="159"/>
      <c r="D62" s="126" t="s">
        <v>85</v>
      </c>
      <c r="E62" s="105">
        <v>375</v>
      </c>
      <c r="F62" s="106">
        <v>374</v>
      </c>
      <c r="G62" s="106">
        <v>356</v>
      </c>
      <c r="H62" s="106">
        <v>355</v>
      </c>
      <c r="I62" s="106">
        <v>362</v>
      </c>
      <c r="J62" s="127">
        <f t="shared" si="32"/>
        <v>-13</v>
      </c>
      <c r="K62" s="117">
        <f t="shared" si="33"/>
        <v>364.4</v>
      </c>
      <c r="L62" s="98">
        <f t="shared" si="34"/>
        <v>364.4</v>
      </c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</row>
    <row r="63" spans="1:32" ht="12.75" customHeight="1" x14ac:dyDescent="0.2">
      <c r="A63" s="77"/>
      <c r="B63" s="77"/>
      <c r="C63" s="11"/>
      <c r="D63" s="77"/>
      <c r="E63" s="11"/>
      <c r="F63" s="11"/>
      <c r="G63" s="11"/>
      <c r="H63" s="11"/>
      <c r="I63" s="11"/>
      <c r="J63" s="101"/>
      <c r="K63" s="77"/>
      <c r="L63" s="122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</row>
    <row r="64" spans="1:32" ht="12.75" customHeight="1" x14ac:dyDescent="0.2">
      <c r="A64" s="77"/>
      <c r="B64" s="77"/>
      <c r="C64" s="160"/>
      <c r="D64" s="153" t="s">
        <v>86</v>
      </c>
      <c r="E64" s="154">
        <f t="shared" ref="E64:I64" si="35">-(E53-E56-E61)</f>
        <v>315.26094901502802</v>
      </c>
      <c r="F64" s="155">
        <f t="shared" si="35"/>
        <v>285.02646695029819</v>
      </c>
      <c r="G64" s="155">
        <f t="shared" si="35"/>
        <v>297.08238541222505</v>
      </c>
      <c r="H64" s="155">
        <f t="shared" si="35"/>
        <v>296.67253681497124</v>
      </c>
      <c r="I64" s="155">
        <f t="shared" si="35"/>
        <v>308.51549159333911</v>
      </c>
      <c r="J64" s="156">
        <f>I64-E64</f>
        <v>-6.7454574216889114</v>
      </c>
      <c r="K64" s="161">
        <f>AVERAGE(E64:I64)</f>
        <v>300.51156595717231</v>
      </c>
      <c r="L64" s="162">
        <f>K64</f>
        <v>300.51156595717231</v>
      </c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</row>
    <row r="65" spans="1:32" ht="12.75" customHeight="1" x14ac:dyDescent="0.2">
      <c r="A65" s="77"/>
      <c r="B65" s="77"/>
      <c r="C65" s="77"/>
      <c r="D65" s="77"/>
      <c r="E65" s="163" t="s">
        <v>87</v>
      </c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</row>
    <row r="66" spans="1:32" ht="12.75" customHeight="1" x14ac:dyDescent="0.2">
      <c r="A66" s="77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</row>
    <row r="67" spans="1:32" ht="12.75" customHeight="1" x14ac:dyDescent="0.2">
      <c r="A67" s="77"/>
      <c r="B67" s="11"/>
      <c r="C67" s="164"/>
      <c r="D67" s="165" t="s">
        <v>88</v>
      </c>
      <c r="E67" s="166">
        <f t="shared" ref="E67:I67" si="36">E56-E60</f>
        <v>334.21039858827834</v>
      </c>
      <c r="F67" s="167">
        <f t="shared" si="36"/>
        <v>306.87627968606427</v>
      </c>
      <c r="G67" s="167">
        <f t="shared" si="36"/>
        <v>316.20067859234194</v>
      </c>
      <c r="H67" s="167">
        <f t="shared" si="36"/>
        <v>319.01972289597035</v>
      </c>
      <c r="I67" s="167">
        <f t="shared" si="36"/>
        <v>332.48460802210587</v>
      </c>
      <c r="J67" s="168"/>
      <c r="K67" s="169">
        <f t="shared" ref="K67:L67" si="37">K56-K60</f>
        <v>321.75833755695214</v>
      </c>
      <c r="L67" s="162">
        <f t="shared" si="37"/>
        <v>321.75833755695214</v>
      </c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</row>
    <row r="68" spans="1:32" ht="12.75" customHeight="1" x14ac:dyDescent="0.2">
      <c r="A68" s="77"/>
      <c r="B68" s="11"/>
      <c r="C68" s="77"/>
      <c r="D68" s="77"/>
      <c r="E68" s="77"/>
      <c r="F68" s="77"/>
      <c r="G68" s="77"/>
      <c r="H68" s="77"/>
      <c r="I68" s="77"/>
      <c r="J68" s="77"/>
      <c r="K68" s="11"/>
      <c r="L68" s="11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</row>
    <row r="69" spans="1:32" ht="12.75" customHeight="1" x14ac:dyDescent="0.2">
      <c r="A69" s="77"/>
      <c r="B69" s="11"/>
      <c r="C69" s="77"/>
      <c r="D69" s="77"/>
      <c r="E69" s="77"/>
      <c r="F69" s="77"/>
      <c r="G69" s="77"/>
      <c r="H69" s="77"/>
      <c r="I69" s="77"/>
      <c r="J69" s="77"/>
      <c r="K69" s="11"/>
      <c r="L69" s="11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</row>
    <row r="70" spans="1:32" ht="12.75" customHeight="1" x14ac:dyDescent="0.2">
      <c r="A70" s="77"/>
      <c r="B70" s="11"/>
      <c r="C70" s="77"/>
      <c r="D70" s="77"/>
      <c r="E70" s="77"/>
      <c r="F70" s="77"/>
      <c r="G70" s="77"/>
      <c r="H70" s="77"/>
      <c r="I70" s="77"/>
      <c r="J70" s="77"/>
      <c r="K70" s="11"/>
      <c r="L70" s="11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</row>
    <row r="71" spans="1:32" ht="12.75" customHeight="1" x14ac:dyDescent="0.2">
      <c r="A71" s="77"/>
      <c r="B71" s="11"/>
      <c r="C71" s="77"/>
      <c r="D71" s="77"/>
      <c r="E71" s="77"/>
      <c r="F71" s="77"/>
      <c r="G71" s="77"/>
      <c r="H71" s="77"/>
      <c r="I71" s="77"/>
      <c r="J71" s="77"/>
      <c r="K71" s="11"/>
      <c r="L71" s="11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</row>
    <row r="72" spans="1:32" ht="12.75" customHeight="1" x14ac:dyDescent="0.2">
      <c r="A72" s="77"/>
      <c r="B72" s="11"/>
      <c r="C72" s="77"/>
      <c r="D72" s="77"/>
      <c r="E72" s="77"/>
      <c r="F72" s="77"/>
      <c r="G72" s="77"/>
      <c r="H72" s="77"/>
      <c r="I72" s="77"/>
      <c r="J72" s="77"/>
      <c r="K72" s="11"/>
      <c r="L72" s="11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</row>
    <row r="73" spans="1:32" ht="12.75" customHeight="1" x14ac:dyDescent="0.2">
      <c r="A73" s="77"/>
      <c r="B73" s="11"/>
      <c r="C73" s="77"/>
      <c r="D73" s="77"/>
      <c r="E73" s="77"/>
      <c r="F73" s="77"/>
      <c r="G73" s="77"/>
      <c r="H73" s="77"/>
      <c r="I73" s="77"/>
      <c r="J73" s="77"/>
      <c r="K73" s="11"/>
      <c r="L73" s="11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</row>
    <row r="74" spans="1:32" ht="12.75" customHeight="1" x14ac:dyDescent="0.2">
      <c r="A74" s="77"/>
      <c r="B74" s="11"/>
      <c r="C74" s="77"/>
      <c r="D74" s="77"/>
      <c r="E74" s="77"/>
      <c r="F74" s="77"/>
      <c r="G74" s="77"/>
      <c r="H74" s="77"/>
      <c r="I74" s="77"/>
      <c r="J74" s="77"/>
      <c r="K74" s="11"/>
      <c r="L74" s="11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</row>
    <row r="75" spans="1:32" ht="12.75" customHeight="1" x14ac:dyDescent="0.2">
      <c r="A75" s="77"/>
      <c r="B75" s="11"/>
      <c r="C75" s="77"/>
      <c r="D75" s="77"/>
      <c r="E75" s="77"/>
      <c r="F75" s="77"/>
      <c r="G75" s="77"/>
      <c r="H75" s="77"/>
      <c r="I75" s="77"/>
      <c r="J75" s="77"/>
      <c r="K75" s="11"/>
      <c r="L75" s="11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</row>
    <row r="76" spans="1:32" ht="12.75" customHeight="1" x14ac:dyDescent="0.2">
      <c r="A76" s="77"/>
      <c r="B76" s="11"/>
      <c r="C76" s="77"/>
      <c r="D76" s="77"/>
      <c r="E76" s="77"/>
      <c r="F76" s="77"/>
      <c r="G76" s="77"/>
      <c r="H76" s="77"/>
      <c r="I76" s="77"/>
      <c r="J76" s="77"/>
      <c r="K76" s="11"/>
      <c r="L76" s="11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</row>
    <row r="77" spans="1:32" ht="12.75" customHeight="1" x14ac:dyDescent="0.2">
      <c r="A77" s="77"/>
      <c r="B77" s="11"/>
      <c r="C77" s="77"/>
      <c r="D77" s="77"/>
      <c r="E77" s="77"/>
      <c r="F77" s="77"/>
      <c r="G77" s="77"/>
      <c r="H77" s="77"/>
      <c r="I77" s="77"/>
      <c r="J77" s="77"/>
      <c r="K77" s="11"/>
      <c r="L77" s="11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</row>
    <row r="78" spans="1:32" ht="12.75" customHeight="1" x14ac:dyDescent="0.2">
      <c r="A78" s="77"/>
      <c r="B78" s="11"/>
      <c r="C78" s="77"/>
      <c r="D78" s="77"/>
      <c r="E78" s="77"/>
      <c r="F78" s="77"/>
      <c r="G78" s="77"/>
      <c r="H78" s="77"/>
      <c r="I78" s="77"/>
      <c r="J78" s="77"/>
      <c r="K78" s="11"/>
      <c r="L78" s="11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</row>
    <row r="79" spans="1:32" ht="12.75" customHeight="1" x14ac:dyDescent="0.2">
      <c r="A79" s="77"/>
      <c r="B79" s="11"/>
      <c r="C79" s="77"/>
      <c r="D79" s="77"/>
      <c r="E79" s="77"/>
      <c r="F79" s="77"/>
      <c r="G79" s="77"/>
      <c r="H79" s="77"/>
      <c r="I79" s="77"/>
      <c r="J79" s="77"/>
      <c r="K79" s="11"/>
      <c r="L79" s="11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</row>
    <row r="80" spans="1:32" ht="12.75" customHeight="1" x14ac:dyDescent="0.2">
      <c r="A80" s="77"/>
      <c r="B80" s="11"/>
      <c r="C80" s="77"/>
      <c r="D80" s="77"/>
      <c r="E80" s="77"/>
      <c r="F80" s="77"/>
      <c r="G80" s="77"/>
      <c r="H80" s="77"/>
      <c r="I80" s="77"/>
      <c r="J80" s="77"/>
      <c r="K80" s="11"/>
      <c r="L80" s="11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</row>
    <row r="81" spans="1:32" ht="12.75" customHeight="1" x14ac:dyDescent="0.2">
      <c r="A81" s="77"/>
      <c r="B81" s="11"/>
      <c r="C81" s="77"/>
      <c r="D81" s="77"/>
      <c r="E81" s="77"/>
      <c r="F81" s="77"/>
      <c r="G81" s="77"/>
      <c r="H81" s="77"/>
      <c r="I81" s="77"/>
      <c r="J81" s="77"/>
      <c r="K81" s="11"/>
      <c r="L81" s="11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</row>
    <row r="82" spans="1:32" ht="12.75" customHeight="1" x14ac:dyDescent="0.2">
      <c r="A82" s="77"/>
      <c r="B82" s="11"/>
      <c r="C82" s="77"/>
      <c r="D82" s="77"/>
      <c r="E82" s="77"/>
      <c r="F82" s="77"/>
      <c r="G82" s="77"/>
      <c r="H82" s="77"/>
      <c r="I82" s="77"/>
      <c r="J82" s="77"/>
      <c r="K82" s="11"/>
      <c r="L82" s="11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</row>
    <row r="83" spans="1:32" ht="12.75" customHeight="1" x14ac:dyDescent="0.2">
      <c r="A83" s="77"/>
      <c r="B83" s="11"/>
      <c r="C83" s="77"/>
      <c r="D83" s="77"/>
      <c r="E83" s="77"/>
      <c r="F83" s="77"/>
      <c r="G83" s="77"/>
      <c r="H83" s="77"/>
      <c r="I83" s="77"/>
      <c r="J83" s="77"/>
      <c r="K83" s="11"/>
      <c r="L83" s="11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</row>
    <row r="84" spans="1:32" ht="12.75" customHeight="1" x14ac:dyDescent="0.2">
      <c r="A84" s="77"/>
      <c r="B84" s="11"/>
      <c r="C84" s="77"/>
      <c r="D84" s="77"/>
      <c r="E84" s="77"/>
      <c r="F84" s="77"/>
      <c r="G84" s="77"/>
      <c r="H84" s="77"/>
      <c r="I84" s="77"/>
      <c r="J84" s="77"/>
      <c r="K84" s="11"/>
      <c r="L84" s="11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</row>
    <row r="85" spans="1:32" ht="12.75" customHeight="1" x14ac:dyDescent="0.2">
      <c r="A85" s="77"/>
      <c r="B85" s="11"/>
      <c r="C85" s="77"/>
      <c r="D85" s="77"/>
      <c r="E85" s="77"/>
      <c r="F85" s="77"/>
      <c r="G85" s="77"/>
      <c r="H85" s="77"/>
      <c r="I85" s="77"/>
      <c r="J85" s="77"/>
      <c r="K85" s="11"/>
      <c r="L85" s="11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</row>
    <row r="86" spans="1:32" ht="12.75" customHeight="1" x14ac:dyDescent="0.2">
      <c r="A86" s="77"/>
      <c r="B86" s="11"/>
      <c r="C86" s="77"/>
      <c r="D86" s="77"/>
      <c r="E86" s="77"/>
      <c r="F86" s="77"/>
      <c r="G86" s="77"/>
      <c r="H86" s="77"/>
      <c r="I86" s="77"/>
      <c r="J86" s="77"/>
      <c r="K86" s="11"/>
      <c r="L86" s="11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</row>
    <row r="87" spans="1:32" ht="12.75" customHeight="1" x14ac:dyDescent="0.2">
      <c r="A87" s="77"/>
      <c r="B87" s="11"/>
      <c r="C87" s="77"/>
      <c r="D87" s="77"/>
      <c r="E87" s="77"/>
      <c r="F87" s="77"/>
      <c r="G87" s="77"/>
      <c r="H87" s="77"/>
      <c r="I87" s="77"/>
      <c r="J87" s="77"/>
      <c r="K87" s="11"/>
      <c r="L87" s="11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</row>
    <row r="88" spans="1:32" ht="12.75" customHeight="1" x14ac:dyDescent="0.2">
      <c r="A88" s="77"/>
      <c r="B88" s="11"/>
      <c r="C88" s="77"/>
      <c r="D88" s="77"/>
      <c r="E88" s="77"/>
      <c r="F88" s="77"/>
      <c r="G88" s="77"/>
      <c r="H88" s="77"/>
      <c r="I88" s="77"/>
      <c r="J88" s="77"/>
      <c r="K88" s="11"/>
      <c r="L88" s="11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</row>
    <row r="89" spans="1:32" ht="12.75" customHeight="1" x14ac:dyDescent="0.2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</row>
    <row r="90" spans="1:32" ht="12.75" customHeight="1" x14ac:dyDescent="0.2">
      <c r="A90" s="77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</row>
    <row r="91" spans="1:32" ht="12.75" customHeight="1" x14ac:dyDescent="0.2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</row>
    <row r="92" spans="1:32" ht="12.75" customHeight="1" x14ac:dyDescent="0.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</row>
    <row r="93" spans="1:32" ht="12.75" customHeight="1" x14ac:dyDescent="0.2">
      <c r="A93" s="77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</row>
    <row r="94" spans="1:32" ht="12.75" customHeight="1" x14ac:dyDescent="0.2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</row>
    <row r="95" spans="1:32" ht="12.75" customHeight="1" x14ac:dyDescent="0.2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</row>
    <row r="96" spans="1:32" ht="12.75" customHeight="1" x14ac:dyDescent="0.2">
      <c r="A96" s="77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</row>
    <row r="97" spans="1:32" ht="12.75" customHeight="1" x14ac:dyDescent="0.2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</row>
    <row r="98" spans="1:32" ht="12.75" customHeight="1" x14ac:dyDescent="0.2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</row>
    <row r="99" spans="1:32" ht="12.75" customHeight="1" x14ac:dyDescent="0.2">
      <c r="A99" s="77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</row>
    <row r="100" spans="1:32" ht="12.75" customHeight="1" x14ac:dyDescent="0.2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</row>
    <row r="101" spans="1:32" ht="12.75" customHeight="1" x14ac:dyDescent="0.2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</row>
    <row r="102" spans="1:32" ht="12.75" customHeight="1" x14ac:dyDescent="0.2">
      <c r="A102" s="77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</row>
    <row r="103" spans="1:32" ht="12.75" customHeight="1" x14ac:dyDescent="0.2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</row>
    <row r="104" spans="1:32" ht="12.75" customHeight="1" x14ac:dyDescent="0.2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</row>
    <row r="105" spans="1:32" ht="12.75" customHeight="1" x14ac:dyDescent="0.2">
      <c r="A105" s="77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</row>
    <row r="106" spans="1:32" ht="12.75" customHeight="1" x14ac:dyDescent="0.2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</row>
    <row r="107" spans="1:32" ht="12.75" customHeight="1" x14ac:dyDescent="0.2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</row>
    <row r="108" spans="1:32" ht="12.75" customHeight="1" x14ac:dyDescent="0.2">
      <c r="A108" s="77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</row>
    <row r="109" spans="1:32" ht="12.75" customHeight="1" x14ac:dyDescent="0.2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</row>
    <row r="110" spans="1:32" ht="12.75" customHeight="1" x14ac:dyDescent="0.2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</row>
    <row r="111" spans="1:32" ht="12.75" customHeight="1" x14ac:dyDescent="0.2">
      <c r="A111" s="77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</row>
    <row r="112" spans="1:32" ht="12.75" customHeight="1" x14ac:dyDescent="0.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</row>
    <row r="113" spans="1:32" ht="12.75" customHeight="1" x14ac:dyDescent="0.2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</row>
    <row r="114" spans="1:32" ht="12.75" customHeight="1" x14ac:dyDescent="0.2">
      <c r="A114" s="77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</row>
    <row r="115" spans="1:32" ht="12.75" customHeight="1" x14ac:dyDescent="0.2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</row>
    <row r="116" spans="1:32" ht="12.75" customHeight="1" x14ac:dyDescent="0.2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</row>
    <row r="117" spans="1:32" ht="12.75" customHeight="1" x14ac:dyDescent="0.2">
      <c r="A117" s="77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</row>
    <row r="118" spans="1:32" ht="12.75" customHeight="1" x14ac:dyDescent="0.2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</row>
    <row r="119" spans="1:32" ht="12.75" customHeight="1" x14ac:dyDescent="0.2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</row>
    <row r="120" spans="1:32" ht="12.75" customHeight="1" x14ac:dyDescent="0.2">
      <c r="A120" s="77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</row>
    <row r="121" spans="1:32" ht="12.75" customHeight="1" x14ac:dyDescent="0.2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</row>
    <row r="122" spans="1:32" ht="12.75" customHeight="1" x14ac:dyDescent="0.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</row>
    <row r="123" spans="1:32" ht="12.75" customHeight="1" x14ac:dyDescent="0.2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</row>
    <row r="124" spans="1:32" ht="12.75" customHeight="1" x14ac:dyDescent="0.2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</row>
    <row r="125" spans="1:32" ht="12.75" customHeight="1" x14ac:dyDescent="0.2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</row>
    <row r="126" spans="1:32" ht="12.75" customHeight="1" x14ac:dyDescent="0.2">
      <c r="A126" s="77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</row>
    <row r="127" spans="1:32" ht="12.75" customHeight="1" x14ac:dyDescent="0.2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</row>
    <row r="128" spans="1:32" ht="12.75" customHeight="1" x14ac:dyDescent="0.2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</row>
    <row r="129" spans="1:32" ht="12.75" customHeight="1" x14ac:dyDescent="0.2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</row>
    <row r="130" spans="1:32" ht="12.75" customHeight="1" x14ac:dyDescent="0.2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</row>
    <row r="131" spans="1:32" ht="12.75" customHeight="1" x14ac:dyDescent="0.2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</row>
    <row r="132" spans="1:32" ht="12.75" customHeight="1" x14ac:dyDescent="0.2">
      <c r="A132" s="77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</row>
    <row r="133" spans="1:32" ht="12.75" customHeight="1" x14ac:dyDescent="0.2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</row>
    <row r="134" spans="1:32" ht="12.75" customHeight="1" x14ac:dyDescent="0.2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</row>
    <row r="135" spans="1:32" ht="12.75" customHeight="1" x14ac:dyDescent="0.2">
      <c r="A135" s="77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</row>
    <row r="136" spans="1:32" ht="12.75" customHeight="1" x14ac:dyDescent="0.2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</row>
    <row r="137" spans="1:32" ht="12.75" customHeight="1" x14ac:dyDescent="0.2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</row>
    <row r="138" spans="1:32" ht="12.75" customHeight="1" x14ac:dyDescent="0.2">
      <c r="A138" s="77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</row>
    <row r="139" spans="1:32" ht="12.75" customHeight="1" x14ac:dyDescent="0.2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</row>
    <row r="140" spans="1:32" ht="12.75" customHeight="1" x14ac:dyDescent="0.2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</row>
    <row r="141" spans="1:32" ht="12.75" customHeight="1" x14ac:dyDescent="0.2">
      <c r="A141" s="77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</row>
    <row r="142" spans="1:32" ht="12.75" customHeight="1" x14ac:dyDescent="0.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</row>
    <row r="143" spans="1:32" ht="12.75" customHeight="1" x14ac:dyDescent="0.2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</row>
    <row r="144" spans="1:32" ht="12.75" customHeight="1" x14ac:dyDescent="0.2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</row>
    <row r="145" spans="1:32" ht="12.75" customHeight="1" x14ac:dyDescent="0.2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</row>
    <row r="146" spans="1:32" ht="12.75" customHeight="1" x14ac:dyDescent="0.2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</row>
    <row r="147" spans="1:32" ht="12.75" customHeight="1" x14ac:dyDescent="0.2">
      <c r="A147" s="77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</row>
    <row r="148" spans="1:32" ht="12.75" customHeight="1" x14ac:dyDescent="0.2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</row>
    <row r="149" spans="1:32" ht="12.75" customHeight="1" x14ac:dyDescent="0.2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</row>
    <row r="150" spans="1:32" ht="12.75" customHeight="1" x14ac:dyDescent="0.2">
      <c r="A150" s="77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</row>
    <row r="151" spans="1:32" ht="12.75" customHeight="1" x14ac:dyDescent="0.2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</row>
    <row r="152" spans="1:32" ht="12.75" customHeight="1" x14ac:dyDescent="0.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</row>
    <row r="153" spans="1:32" ht="12.75" customHeight="1" x14ac:dyDescent="0.2">
      <c r="A153" s="77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</row>
    <row r="154" spans="1:32" ht="12.75" customHeight="1" x14ac:dyDescent="0.2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</row>
    <row r="155" spans="1:32" ht="12.75" customHeight="1" x14ac:dyDescent="0.2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</row>
    <row r="156" spans="1:32" ht="12.75" customHeight="1" x14ac:dyDescent="0.2">
      <c r="A156" s="77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</row>
    <row r="157" spans="1:32" ht="12.75" customHeight="1" x14ac:dyDescent="0.2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</row>
    <row r="158" spans="1:32" ht="12.75" customHeight="1" x14ac:dyDescent="0.2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</row>
    <row r="159" spans="1:32" ht="12.75" customHeight="1" x14ac:dyDescent="0.2">
      <c r="A159" s="77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</row>
    <row r="160" spans="1:32" ht="12.75" customHeight="1" x14ac:dyDescent="0.2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</row>
    <row r="161" spans="1:32" ht="12.75" customHeight="1" x14ac:dyDescent="0.2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</row>
    <row r="162" spans="1:32" ht="12.75" customHeight="1" x14ac:dyDescent="0.2">
      <c r="A162" s="77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</row>
    <row r="163" spans="1:32" ht="12.75" customHeight="1" x14ac:dyDescent="0.2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</row>
    <row r="164" spans="1:32" ht="12.75" customHeight="1" x14ac:dyDescent="0.2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</row>
    <row r="165" spans="1:32" ht="12.75" customHeight="1" x14ac:dyDescent="0.2">
      <c r="A165" s="77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</row>
    <row r="166" spans="1:32" ht="12.75" customHeight="1" x14ac:dyDescent="0.2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</row>
    <row r="167" spans="1:32" ht="12.75" customHeight="1" x14ac:dyDescent="0.2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</row>
    <row r="168" spans="1:32" ht="12.75" customHeight="1" x14ac:dyDescent="0.2">
      <c r="A168" s="77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</row>
    <row r="169" spans="1:32" ht="12.75" customHeight="1" x14ac:dyDescent="0.2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</row>
    <row r="170" spans="1:32" ht="12.75" customHeight="1" x14ac:dyDescent="0.2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</row>
    <row r="171" spans="1:32" ht="12.75" customHeight="1" x14ac:dyDescent="0.2">
      <c r="A171" s="77"/>
      <c r="B171" s="77"/>
      <c r="C171" s="77"/>
      <c r="D171" s="77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</row>
    <row r="172" spans="1:32" ht="12.75" customHeight="1" x14ac:dyDescent="0.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</row>
    <row r="173" spans="1:32" ht="12.75" customHeight="1" x14ac:dyDescent="0.2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</row>
    <row r="174" spans="1:32" ht="12.75" customHeight="1" x14ac:dyDescent="0.2">
      <c r="A174" s="77"/>
      <c r="B174" s="77"/>
      <c r="C174" s="77"/>
      <c r="D174" s="77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</row>
    <row r="175" spans="1:32" ht="12.75" customHeight="1" x14ac:dyDescent="0.2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</row>
    <row r="176" spans="1:32" ht="12.75" customHeight="1" x14ac:dyDescent="0.2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</row>
    <row r="177" spans="1:32" ht="12.75" customHeight="1" x14ac:dyDescent="0.2">
      <c r="A177" s="77"/>
      <c r="B177" s="77"/>
      <c r="C177" s="77"/>
      <c r="D177" s="77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</row>
    <row r="178" spans="1:32" ht="12.75" customHeight="1" x14ac:dyDescent="0.2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</row>
    <row r="179" spans="1:32" ht="12.75" customHeight="1" x14ac:dyDescent="0.2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</row>
    <row r="180" spans="1:32" ht="12.75" customHeight="1" x14ac:dyDescent="0.2">
      <c r="A180" s="77"/>
      <c r="B180" s="77"/>
      <c r="C180" s="77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</row>
    <row r="181" spans="1:32" ht="12.75" customHeight="1" x14ac:dyDescent="0.2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</row>
    <row r="182" spans="1:32" ht="12.75" customHeight="1" x14ac:dyDescent="0.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</row>
    <row r="183" spans="1:32" ht="12.75" customHeight="1" x14ac:dyDescent="0.2">
      <c r="A183" s="77"/>
      <c r="B183" s="77"/>
      <c r="C183" s="77"/>
      <c r="D183" s="77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</row>
    <row r="184" spans="1:32" ht="12.75" customHeight="1" x14ac:dyDescent="0.2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</row>
    <row r="185" spans="1:32" ht="12.75" customHeight="1" x14ac:dyDescent="0.2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</row>
    <row r="186" spans="1:32" ht="12.75" customHeight="1" x14ac:dyDescent="0.2">
      <c r="A186" s="77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</row>
    <row r="187" spans="1:32" ht="12.75" customHeight="1" x14ac:dyDescent="0.2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</row>
    <row r="188" spans="1:32" ht="12.75" customHeight="1" x14ac:dyDescent="0.2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</row>
    <row r="189" spans="1:32" ht="12.75" customHeight="1" x14ac:dyDescent="0.2">
      <c r="A189" s="77"/>
      <c r="B189" s="77"/>
      <c r="C189" s="77"/>
      <c r="D189" s="77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</row>
    <row r="190" spans="1:32" ht="12.75" customHeight="1" x14ac:dyDescent="0.2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</row>
    <row r="191" spans="1:32" ht="12.75" customHeight="1" x14ac:dyDescent="0.2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</row>
    <row r="192" spans="1:32" ht="12.75" customHeight="1" x14ac:dyDescent="0.2">
      <c r="A192" s="77"/>
      <c r="B192" s="77"/>
      <c r="C192" s="77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</row>
    <row r="193" spans="1:32" ht="12.75" customHeight="1" x14ac:dyDescent="0.2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</row>
    <row r="194" spans="1:32" ht="12.75" customHeight="1" x14ac:dyDescent="0.2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</row>
    <row r="195" spans="1:32" ht="12.75" customHeight="1" x14ac:dyDescent="0.2">
      <c r="A195" s="77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</row>
    <row r="196" spans="1:32" ht="12.75" customHeight="1" x14ac:dyDescent="0.2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</row>
    <row r="197" spans="1:32" ht="12.75" customHeight="1" x14ac:dyDescent="0.2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</row>
    <row r="198" spans="1:32" ht="12.75" customHeight="1" x14ac:dyDescent="0.2">
      <c r="A198" s="77"/>
      <c r="B198" s="77"/>
      <c r="C198" s="77"/>
      <c r="D198" s="77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</row>
    <row r="199" spans="1:32" ht="12.75" customHeight="1" x14ac:dyDescent="0.2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</row>
    <row r="200" spans="1:32" ht="12.75" customHeight="1" x14ac:dyDescent="0.2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</row>
    <row r="201" spans="1:32" ht="12.75" customHeight="1" x14ac:dyDescent="0.2">
      <c r="A201" s="77"/>
      <c r="B201" s="77"/>
      <c r="C201" s="77"/>
      <c r="D201" s="77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</row>
    <row r="202" spans="1:32" ht="12.75" customHeight="1" x14ac:dyDescent="0.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</row>
    <row r="203" spans="1:32" ht="12.75" customHeight="1" x14ac:dyDescent="0.2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</row>
    <row r="204" spans="1:32" ht="12.75" customHeight="1" x14ac:dyDescent="0.2">
      <c r="A204" s="77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</row>
    <row r="205" spans="1:32" ht="12.75" customHeight="1" x14ac:dyDescent="0.2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</row>
    <row r="206" spans="1:32" ht="12.75" customHeight="1" x14ac:dyDescent="0.2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</row>
    <row r="207" spans="1:32" ht="12.75" customHeight="1" x14ac:dyDescent="0.2">
      <c r="A207" s="77"/>
      <c r="B207" s="77"/>
      <c r="C207" s="77"/>
      <c r="D207" s="77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</row>
    <row r="208" spans="1:32" ht="12.75" customHeight="1" x14ac:dyDescent="0.2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</row>
    <row r="209" spans="1:32" ht="12.75" customHeight="1" x14ac:dyDescent="0.2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</row>
    <row r="210" spans="1:32" ht="12.75" customHeight="1" x14ac:dyDescent="0.2">
      <c r="A210" s="77"/>
      <c r="B210" s="77"/>
      <c r="C210" s="77"/>
      <c r="D210" s="77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</row>
    <row r="211" spans="1:32" ht="12.75" customHeight="1" x14ac:dyDescent="0.2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</row>
    <row r="212" spans="1:32" ht="12.75" customHeight="1" x14ac:dyDescent="0.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</row>
    <row r="213" spans="1:32" ht="12.75" customHeight="1" x14ac:dyDescent="0.2">
      <c r="A213" s="77"/>
      <c r="B213" s="77"/>
      <c r="C213" s="77"/>
      <c r="D213" s="77"/>
      <c r="E213" s="77"/>
      <c r="F213" s="77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</row>
    <row r="214" spans="1:32" ht="12.75" customHeight="1" x14ac:dyDescent="0.2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</row>
    <row r="215" spans="1:32" ht="12.75" customHeight="1" x14ac:dyDescent="0.2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</row>
    <row r="216" spans="1:32" ht="12.75" customHeight="1" x14ac:dyDescent="0.2">
      <c r="A216" s="77"/>
      <c r="B216" s="77"/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</row>
    <row r="217" spans="1:32" ht="12.75" customHeight="1" x14ac:dyDescent="0.2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</row>
    <row r="218" spans="1:32" ht="12.75" customHeight="1" x14ac:dyDescent="0.2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</row>
    <row r="219" spans="1:32" ht="12.75" customHeight="1" x14ac:dyDescent="0.2">
      <c r="A219" s="77"/>
      <c r="B219" s="77"/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</row>
    <row r="220" spans="1:32" ht="12.75" customHeight="1" x14ac:dyDescent="0.2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</row>
    <row r="221" spans="1:32" ht="12.75" customHeight="1" x14ac:dyDescent="0.2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</row>
    <row r="222" spans="1:32" ht="12.75" customHeight="1" x14ac:dyDescent="0.2">
      <c r="A222" s="77"/>
      <c r="B222" s="77"/>
      <c r="C222" s="77"/>
      <c r="D222" s="77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</row>
    <row r="223" spans="1:32" ht="12.75" customHeight="1" x14ac:dyDescent="0.2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</row>
    <row r="224" spans="1:32" ht="12.75" customHeight="1" x14ac:dyDescent="0.2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</row>
    <row r="225" spans="1:32" ht="12.75" customHeight="1" x14ac:dyDescent="0.2">
      <c r="A225" s="77"/>
      <c r="B225" s="77"/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</row>
    <row r="226" spans="1:32" ht="12.75" customHeight="1" x14ac:dyDescent="0.2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</row>
    <row r="227" spans="1:32" ht="12.75" customHeight="1" x14ac:dyDescent="0.2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</row>
    <row r="228" spans="1:32" ht="12.75" customHeight="1" x14ac:dyDescent="0.2">
      <c r="A228" s="77"/>
      <c r="B228" s="77"/>
      <c r="C228" s="77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</row>
    <row r="229" spans="1:32" ht="12.75" customHeight="1" x14ac:dyDescent="0.2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</row>
    <row r="230" spans="1:32" ht="12.75" customHeight="1" x14ac:dyDescent="0.2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</row>
    <row r="231" spans="1:32" ht="12.75" customHeight="1" x14ac:dyDescent="0.2">
      <c r="A231" s="77"/>
      <c r="B231" s="77"/>
      <c r="C231" s="77"/>
      <c r="D231" s="77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</row>
    <row r="232" spans="1:32" ht="12.75" customHeight="1" x14ac:dyDescent="0.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</row>
    <row r="233" spans="1:32" ht="12.75" customHeight="1" x14ac:dyDescent="0.2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</row>
    <row r="234" spans="1:32" ht="12.75" customHeight="1" x14ac:dyDescent="0.2">
      <c r="A234" s="77"/>
      <c r="B234" s="77"/>
      <c r="C234" s="77"/>
      <c r="D234" s="77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</row>
    <row r="235" spans="1:32" ht="12.75" customHeight="1" x14ac:dyDescent="0.2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</row>
    <row r="236" spans="1:32" ht="12.75" customHeight="1" x14ac:dyDescent="0.2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</row>
    <row r="237" spans="1:32" ht="12.75" customHeight="1" x14ac:dyDescent="0.2">
      <c r="A237" s="77"/>
      <c r="B237" s="77"/>
      <c r="C237" s="77"/>
      <c r="D237" s="77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</row>
    <row r="238" spans="1:32" ht="12.75" customHeight="1" x14ac:dyDescent="0.2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</row>
    <row r="239" spans="1:32" ht="12.75" customHeight="1" x14ac:dyDescent="0.2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</row>
    <row r="240" spans="1:32" ht="12.75" customHeight="1" x14ac:dyDescent="0.2">
      <c r="A240" s="77"/>
      <c r="B240" s="77"/>
      <c r="C240" s="77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</row>
    <row r="241" spans="1:32" ht="12.75" customHeight="1" x14ac:dyDescent="0.2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</row>
    <row r="242" spans="1:32" ht="12.75" customHeight="1" x14ac:dyDescent="0.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</row>
    <row r="243" spans="1:32" ht="12.75" customHeight="1" x14ac:dyDescent="0.2">
      <c r="A243" s="77"/>
      <c r="B243" s="77"/>
      <c r="C243" s="77"/>
      <c r="D243" s="77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</row>
    <row r="244" spans="1:32" ht="12.75" customHeight="1" x14ac:dyDescent="0.2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</row>
    <row r="245" spans="1:32" ht="12.75" customHeight="1" x14ac:dyDescent="0.2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</row>
    <row r="246" spans="1:32" ht="12.75" customHeight="1" x14ac:dyDescent="0.2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</row>
    <row r="247" spans="1:32" ht="12.75" customHeight="1" x14ac:dyDescent="0.2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</row>
    <row r="248" spans="1:32" ht="12.75" customHeight="1" x14ac:dyDescent="0.2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</row>
    <row r="249" spans="1:32" ht="12.75" customHeight="1" x14ac:dyDescent="0.2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</row>
    <row r="250" spans="1:32" ht="12.75" customHeight="1" x14ac:dyDescent="0.2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</row>
    <row r="251" spans="1:32" ht="12.75" customHeight="1" x14ac:dyDescent="0.2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</row>
    <row r="252" spans="1:32" ht="12.75" customHeight="1" x14ac:dyDescent="0.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</row>
    <row r="253" spans="1:32" ht="12.75" customHeight="1" x14ac:dyDescent="0.2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</row>
    <row r="254" spans="1:32" ht="12.75" customHeight="1" x14ac:dyDescent="0.2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</row>
    <row r="255" spans="1:32" ht="12.75" customHeight="1" x14ac:dyDescent="0.2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</row>
    <row r="256" spans="1:32" ht="12.75" customHeight="1" x14ac:dyDescent="0.2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</row>
    <row r="257" spans="1:32" ht="12.75" customHeight="1" x14ac:dyDescent="0.2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</row>
    <row r="258" spans="1:32" ht="12.75" customHeight="1" x14ac:dyDescent="0.2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</row>
    <row r="259" spans="1:32" ht="12.75" customHeight="1" x14ac:dyDescent="0.2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</row>
    <row r="260" spans="1:32" ht="12.75" customHeight="1" x14ac:dyDescent="0.2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</row>
    <row r="261" spans="1:32" ht="12.75" customHeight="1" x14ac:dyDescent="0.2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</row>
    <row r="262" spans="1:32" ht="12.75" customHeight="1" x14ac:dyDescent="0.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</row>
    <row r="263" spans="1:32" ht="12.75" customHeight="1" x14ac:dyDescent="0.2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</row>
    <row r="264" spans="1:32" ht="12.75" customHeight="1" x14ac:dyDescent="0.2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</row>
    <row r="265" spans="1:32" ht="12.75" customHeight="1" x14ac:dyDescent="0.2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</row>
    <row r="266" spans="1:32" ht="12.75" customHeight="1" x14ac:dyDescent="0.2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</row>
    <row r="267" spans="1:32" ht="12.75" customHeight="1" x14ac:dyDescent="0.2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</row>
    <row r="268" spans="1:32" ht="12.75" customHeight="1" x14ac:dyDescent="0.2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</row>
    <row r="269" spans="1:32" ht="12.75" customHeight="1" x14ac:dyDescent="0.2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</row>
    <row r="270" spans="1:32" ht="12.75" customHeight="1" x14ac:dyDescent="0.2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</row>
    <row r="271" spans="1:32" ht="12.75" customHeight="1" x14ac:dyDescent="0.2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</row>
    <row r="272" spans="1:32" ht="12.75" customHeight="1" x14ac:dyDescent="0.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</row>
    <row r="273" spans="1:32" ht="12.75" customHeight="1" x14ac:dyDescent="0.2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</row>
    <row r="274" spans="1:32" ht="12.75" customHeight="1" x14ac:dyDescent="0.2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</row>
    <row r="275" spans="1:32" ht="12.75" customHeight="1" x14ac:dyDescent="0.2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</row>
    <row r="276" spans="1:32" ht="12.75" customHeight="1" x14ac:dyDescent="0.2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</row>
    <row r="277" spans="1:32" ht="12.75" customHeight="1" x14ac:dyDescent="0.2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</row>
    <row r="278" spans="1:32" ht="12.75" customHeight="1" x14ac:dyDescent="0.2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</row>
    <row r="279" spans="1:32" ht="12.75" customHeight="1" x14ac:dyDescent="0.2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</row>
    <row r="280" spans="1:32" ht="12.75" customHeight="1" x14ac:dyDescent="0.2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</row>
    <row r="281" spans="1:32" ht="12.75" customHeight="1" x14ac:dyDescent="0.2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</row>
    <row r="282" spans="1:32" ht="12.75" customHeight="1" x14ac:dyDescent="0.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</row>
    <row r="283" spans="1:32" ht="12.75" customHeight="1" x14ac:dyDescent="0.2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</row>
    <row r="284" spans="1:32" ht="12.75" customHeight="1" x14ac:dyDescent="0.2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</row>
    <row r="285" spans="1:32" ht="12.75" customHeight="1" x14ac:dyDescent="0.2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</row>
    <row r="286" spans="1:32" ht="12.75" customHeight="1" x14ac:dyDescent="0.2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</row>
    <row r="287" spans="1:32" ht="12.75" customHeight="1" x14ac:dyDescent="0.2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</row>
    <row r="288" spans="1:32" ht="12.75" customHeight="1" x14ac:dyDescent="0.2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</row>
    <row r="289" spans="1:32" ht="12.75" customHeight="1" x14ac:dyDescent="0.2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</row>
    <row r="290" spans="1:32" ht="12.75" customHeight="1" x14ac:dyDescent="0.2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</row>
    <row r="291" spans="1:32" ht="12.75" customHeight="1" x14ac:dyDescent="0.2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</row>
    <row r="292" spans="1:32" ht="12.75" customHeight="1" x14ac:dyDescent="0.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</row>
    <row r="293" spans="1:32" ht="12.75" customHeight="1" x14ac:dyDescent="0.2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</row>
    <row r="294" spans="1:32" ht="12.75" customHeight="1" x14ac:dyDescent="0.2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</row>
    <row r="295" spans="1:32" ht="12.75" customHeight="1" x14ac:dyDescent="0.2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</row>
    <row r="296" spans="1:32" ht="12.75" customHeight="1" x14ac:dyDescent="0.2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</row>
    <row r="297" spans="1:32" ht="12.75" customHeight="1" x14ac:dyDescent="0.2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</row>
    <row r="298" spans="1:32" ht="12.75" customHeight="1" x14ac:dyDescent="0.2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</row>
    <row r="299" spans="1:32" ht="12.75" customHeight="1" x14ac:dyDescent="0.2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</row>
    <row r="300" spans="1:32" ht="12.75" customHeight="1" x14ac:dyDescent="0.2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</row>
    <row r="301" spans="1:32" ht="12.75" customHeight="1" x14ac:dyDescent="0.2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</row>
    <row r="302" spans="1:32" ht="12.75" customHeight="1" x14ac:dyDescent="0.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</row>
    <row r="303" spans="1:32" ht="12.75" customHeight="1" x14ac:dyDescent="0.2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</row>
    <row r="304" spans="1:32" ht="12.75" customHeight="1" x14ac:dyDescent="0.2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</row>
    <row r="305" spans="1:32" ht="12.75" customHeight="1" x14ac:dyDescent="0.2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</row>
    <row r="306" spans="1:32" ht="12.75" customHeight="1" x14ac:dyDescent="0.2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</row>
    <row r="307" spans="1:32" ht="12.75" customHeight="1" x14ac:dyDescent="0.2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</row>
    <row r="308" spans="1:32" ht="12.75" customHeight="1" x14ac:dyDescent="0.2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  <c r="AF308" s="77"/>
    </row>
    <row r="309" spans="1:32" ht="12.75" customHeight="1" x14ac:dyDescent="0.2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  <c r="AF309" s="77"/>
    </row>
    <row r="310" spans="1:32" ht="12.75" customHeight="1" x14ac:dyDescent="0.2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  <c r="AF310" s="77"/>
    </row>
    <row r="311" spans="1:32" ht="12.75" customHeight="1" x14ac:dyDescent="0.2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  <c r="AF311" s="77"/>
    </row>
    <row r="312" spans="1:32" ht="12.75" customHeight="1" x14ac:dyDescent="0.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  <c r="AF312" s="77"/>
    </row>
    <row r="313" spans="1:32" ht="12.75" customHeight="1" x14ac:dyDescent="0.2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  <c r="AF313" s="77"/>
    </row>
    <row r="314" spans="1:32" ht="12.75" customHeight="1" x14ac:dyDescent="0.2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</row>
    <row r="315" spans="1:32" ht="12.75" customHeight="1" x14ac:dyDescent="0.2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</row>
    <row r="316" spans="1:32" ht="12.75" customHeight="1" x14ac:dyDescent="0.2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</row>
    <row r="317" spans="1:32" ht="12.75" customHeight="1" x14ac:dyDescent="0.2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</row>
    <row r="318" spans="1:32" ht="12.75" customHeight="1" x14ac:dyDescent="0.2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  <c r="AF318" s="77"/>
    </row>
    <row r="319" spans="1:32" ht="12.75" customHeight="1" x14ac:dyDescent="0.2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  <c r="AF319" s="77"/>
    </row>
    <row r="320" spans="1:32" ht="12.75" customHeight="1" x14ac:dyDescent="0.2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  <c r="AF320" s="77"/>
    </row>
    <row r="321" spans="1:32" ht="12.75" customHeight="1" x14ac:dyDescent="0.2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  <c r="AF321" s="77"/>
    </row>
    <row r="322" spans="1:32" ht="12.75" customHeight="1" x14ac:dyDescent="0.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  <c r="AF322" s="77"/>
    </row>
    <row r="323" spans="1:32" ht="12.75" customHeight="1" x14ac:dyDescent="0.2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  <c r="AF323" s="77"/>
    </row>
    <row r="324" spans="1:32" ht="12.75" customHeight="1" x14ac:dyDescent="0.2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  <c r="AF324" s="77"/>
    </row>
    <row r="325" spans="1:32" ht="12.75" customHeight="1" x14ac:dyDescent="0.2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  <c r="AF325" s="77"/>
    </row>
    <row r="326" spans="1:32" ht="12.75" customHeight="1" x14ac:dyDescent="0.2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  <c r="AF326" s="77"/>
    </row>
    <row r="327" spans="1:32" ht="12.75" customHeight="1" x14ac:dyDescent="0.2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  <c r="AF327" s="77"/>
    </row>
    <row r="328" spans="1:32" ht="12.75" customHeight="1" x14ac:dyDescent="0.2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  <c r="AF328" s="77"/>
    </row>
    <row r="329" spans="1:32" ht="12.75" customHeight="1" x14ac:dyDescent="0.2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  <c r="AF329" s="77"/>
    </row>
    <row r="330" spans="1:32" ht="12.75" customHeight="1" x14ac:dyDescent="0.2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  <c r="AF330" s="77"/>
    </row>
    <row r="331" spans="1:32" ht="12.75" customHeight="1" x14ac:dyDescent="0.2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  <c r="AF331" s="77"/>
    </row>
    <row r="332" spans="1:32" ht="12.75" customHeight="1" x14ac:dyDescent="0.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  <c r="AF332" s="77"/>
    </row>
    <row r="333" spans="1:32" ht="12.75" customHeight="1" x14ac:dyDescent="0.2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  <c r="AF333" s="77"/>
    </row>
    <row r="334" spans="1:32" ht="12.75" customHeight="1" x14ac:dyDescent="0.2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  <c r="AF334" s="77"/>
    </row>
    <row r="335" spans="1:32" ht="12.75" customHeight="1" x14ac:dyDescent="0.2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  <c r="AF335" s="77"/>
    </row>
    <row r="336" spans="1:32" ht="12.75" customHeight="1" x14ac:dyDescent="0.2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  <c r="AF336" s="77"/>
    </row>
    <row r="337" spans="1:32" ht="12.75" customHeight="1" x14ac:dyDescent="0.2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  <c r="AF337" s="77"/>
    </row>
    <row r="338" spans="1:32" ht="12.75" customHeight="1" x14ac:dyDescent="0.2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  <c r="AF338" s="77"/>
    </row>
    <row r="339" spans="1:32" ht="12.75" customHeight="1" x14ac:dyDescent="0.2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  <c r="AF339" s="77"/>
    </row>
    <row r="340" spans="1:32" ht="12.75" customHeight="1" x14ac:dyDescent="0.2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  <c r="AF340" s="77"/>
    </row>
    <row r="341" spans="1:32" ht="12.75" customHeight="1" x14ac:dyDescent="0.2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  <c r="AF341" s="77"/>
    </row>
    <row r="342" spans="1:32" ht="12.75" customHeight="1" x14ac:dyDescent="0.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  <c r="AF342" s="77"/>
    </row>
    <row r="343" spans="1:32" ht="12.75" customHeight="1" x14ac:dyDescent="0.2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  <c r="AF343" s="77"/>
    </row>
    <row r="344" spans="1:32" ht="12.75" customHeight="1" x14ac:dyDescent="0.2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  <c r="AF344" s="77"/>
    </row>
    <row r="345" spans="1:32" ht="12.75" customHeight="1" x14ac:dyDescent="0.2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</row>
    <row r="346" spans="1:32" ht="12.75" customHeight="1" x14ac:dyDescent="0.2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  <c r="AF346" s="77"/>
    </row>
    <row r="347" spans="1:32" ht="12.75" customHeight="1" x14ac:dyDescent="0.2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  <c r="AF347" s="77"/>
    </row>
    <row r="348" spans="1:32" ht="12.75" customHeight="1" x14ac:dyDescent="0.2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  <c r="AF348" s="77"/>
    </row>
    <row r="349" spans="1:32" ht="12.75" customHeight="1" x14ac:dyDescent="0.2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  <c r="AF349" s="77"/>
    </row>
    <row r="350" spans="1:32" ht="12.75" customHeight="1" x14ac:dyDescent="0.2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  <c r="AF350" s="77"/>
    </row>
    <row r="351" spans="1:32" ht="12.75" customHeight="1" x14ac:dyDescent="0.2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  <c r="AF351" s="77"/>
    </row>
    <row r="352" spans="1:32" ht="12.75" customHeight="1" x14ac:dyDescent="0.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  <c r="AF352" s="77"/>
    </row>
    <row r="353" spans="1:32" ht="12.75" customHeight="1" x14ac:dyDescent="0.2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  <c r="AF353" s="77"/>
    </row>
    <row r="354" spans="1:32" ht="12.75" customHeight="1" x14ac:dyDescent="0.2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  <c r="AF354" s="77"/>
    </row>
    <row r="355" spans="1:32" ht="12.75" customHeight="1" x14ac:dyDescent="0.2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  <c r="AF355" s="77"/>
    </row>
    <row r="356" spans="1:32" ht="12.75" customHeight="1" x14ac:dyDescent="0.2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  <c r="AF356" s="77"/>
    </row>
    <row r="357" spans="1:32" ht="12.75" customHeight="1" x14ac:dyDescent="0.2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  <c r="AF357" s="77"/>
    </row>
    <row r="358" spans="1:32" ht="12.75" customHeight="1" x14ac:dyDescent="0.2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  <c r="AF358" s="77"/>
    </row>
    <row r="359" spans="1:32" ht="12.75" customHeight="1" x14ac:dyDescent="0.2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  <c r="AF359" s="77"/>
    </row>
    <row r="360" spans="1:32" ht="12.75" customHeight="1" x14ac:dyDescent="0.2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  <c r="AF360" s="77"/>
    </row>
    <row r="361" spans="1:32" ht="12.75" customHeight="1" x14ac:dyDescent="0.2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  <c r="AF361" s="77"/>
    </row>
    <row r="362" spans="1:32" ht="12.75" customHeight="1" x14ac:dyDescent="0.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  <c r="AF362" s="77"/>
    </row>
    <row r="363" spans="1:32" ht="12.75" customHeight="1" x14ac:dyDescent="0.2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  <c r="AF363" s="77"/>
    </row>
    <row r="364" spans="1:32" ht="12.75" customHeight="1" x14ac:dyDescent="0.2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  <c r="AF364" s="77"/>
    </row>
    <row r="365" spans="1:32" ht="12.75" customHeight="1" x14ac:dyDescent="0.2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  <c r="AF365" s="77"/>
    </row>
    <row r="366" spans="1:32" ht="12.75" customHeight="1" x14ac:dyDescent="0.2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  <c r="AF366" s="77"/>
    </row>
    <row r="367" spans="1:32" ht="12.75" customHeight="1" x14ac:dyDescent="0.2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  <c r="AF367" s="77"/>
    </row>
    <row r="368" spans="1:32" ht="12.75" customHeight="1" x14ac:dyDescent="0.2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  <c r="AF368" s="77"/>
    </row>
    <row r="369" spans="1:32" ht="12.75" customHeight="1" x14ac:dyDescent="0.2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  <c r="AF369" s="77"/>
    </row>
    <row r="370" spans="1:32" ht="12.75" customHeight="1" x14ac:dyDescent="0.2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  <c r="AF370" s="77"/>
    </row>
    <row r="371" spans="1:32" ht="12.75" customHeight="1" x14ac:dyDescent="0.2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  <c r="AF371" s="77"/>
    </row>
    <row r="372" spans="1:32" ht="12.75" customHeight="1" x14ac:dyDescent="0.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  <c r="AF372" s="77"/>
    </row>
    <row r="373" spans="1:32" ht="12.75" customHeight="1" x14ac:dyDescent="0.2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  <c r="AF373" s="77"/>
    </row>
    <row r="374" spans="1:32" ht="12.75" customHeight="1" x14ac:dyDescent="0.2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  <c r="AF374" s="77"/>
    </row>
    <row r="375" spans="1:32" ht="12.75" customHeight="1" x14ac:dyDescent="0.2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  <c r="AF375" s="77"/>
    </row>
    <row r="376" spans="1:32" ht="12.75" customHeight="1" x14ac:dyDescent="0.2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  <c r="AF376" s="77"/>
    </row>
    <row r="377" spans="1:32" ht="12.75" customHeight="1" x14ac:dyDescent="0.2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  <c r="AF377" s="77"/>
    </row>
    <row r="378" spans="1:32" ht="12.75" customHeight="1" x14ac:dyDescent="0.2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  <c r="AF378" s="77"/>
    </row>
    <row r="379" spans="1:32" ht="12.75" customHeight="1" x14ac:dyDescent="0.2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  <c r="AF379" s="77"/>
    </row>
    <row r="380" spans="1:32" ht="12.75" customHeight="1" x14ac:dyDescent="0.2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  <c r="AF380" s="77"/>
    </row>
    <row r="381" spans="1:32" ht="12.75" customHeight="1" x14ac:dyDescent="0.2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  <c r="AF381" s="77"/>
    </row>
    <row r="382" spans="1:32" ht="12.75" customHeight="1" x14ac:dyDescent="0.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  <c r="AF382" s="77"/>
    </row>
    <row r="383" spans="1:32" ht="12.75" customHeight="1" x14ac:dyDescent="0.2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</row>
    <row r="384" spans="1:32" ht="12.75" customHeight="1" x14ac:dyDescent="0.2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  <c r="AF384" s="77"/>
    </row>
    <row r="385" spans="1:32" ht="12.75" customHeight="1" x14ac:dyDescent="0.2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  <c r="AF385" s="77"/>
    </row>
    <row r="386" spans="1:32" ht="12.75" customHeight="1" x14ac:dyDescent="0.2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  <c r="AF386" s="77"/>
    </row>
    <row r="387" spans="1:32" ht="12.75" customHeight="1" x14ac:dyDescent="0.2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  <c r="AF387" s="77"/>
    </row>
    <row r="388" spans="1:32" ht="12.75" customHeight="1" x14ac:dyDescent="0.2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  <c r="AF388" s="77"/>
    </row>
    <row r="389" spans="1:32" ht="12.75" customHeight="1" x14ac:dyDescent="0.2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  <c r="AF389" s="77"/>
    </row>
    <row r="390" spans="1:32" ht="12.75" customHeight="1" x14ac:dyDescent="0.2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  <c r="AF390" s="77"/>
    </row>
    <row r="391" spans="1:32" ht="12.75" customHeight="1" x14ac:dyDescent="0.2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  <c r="AF391" s="77"/>
    </row>
    <row r="392" spans="1:32" ht="12.75" customHeight="1" x14ac:dyDescent="0.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  <c r="AF392" s="77"/>
    </row>
    <row r="393" spans="1:32" ht="12.75" customHeight="1" x14ac:dyDescent="0.2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  <c r="AF393" s="77"/>
    </row>
    <row r="394" spans="1:32" ht="12.75" customHeight="1" x14ac:dyDescent="0.2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  <c r="AF394" s="77"/>
    </row>
    <row r="395" spans="1:32" ht="12.75" customHeight="1" x14ac:dyDescent="0.2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  <c r="AF395" s="77"/>
    </row>
    <row r="396" spans="1:32" ht="12.75" customHeight="1" x14ac:dyDescent="0.2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  <c r="AF396" s="77"/>
    </row>
    <row r="397" spans="1:32" ht="12.75" customHeight="1" x14ac:dyDescent="0.2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  <c r="AF397" s="77"/>
    </row>
    <row r="398" spans="1:32" ht="12.75" customHeight="1" x14ac:dyDescent="0.2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  <c r="AF398" s="77"/>
    </row>
    <row r="399" spans="1:32" ht="12.75" customHeight="1" x14ac:dyDescent="0.2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  <c r="AF399" s="77"/>
    </row>
    <row r="400" spans="1:32" ht="12.75" customHeight="1" x14ac:dyDescent="0.2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  <c r="AF400" s="77"/>
    </row>
    <row r="401" spans="1:32" ht="12.75" customHeight="1" x14ac:dyDescent="0.2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  <c r="AF401" s="77"/>
    </row>
    <row r="402" spans="1:32" ht="12.75" customHeight="1" x14ac:dyDescent="0.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  <c r="AF402" s="77"/>
    </row>
    <row r="403" spans="1:32" ht="12.75" customHeight="1" x14ac:dyDescent="0.2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  <c r="AF403" s="77"/>
    </row>
    <row r="404" spans="1:32" ht="12.75" customHeight="1" x14ac:dyDescent="0.2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  <c r="AF404" s="77"/>
    </row>
    <row r="405" spans="1:32" ht="12.75" customHeight="1" x14ac:dyDescent="0.2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  <c r="AF405" s="77"/>
    </row>
    <row r="406" spans="1:32" ht="12.75" customHeight="1" x14ac:dyDescent="0.2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  <c r="AF406" s="77"/>
    </row>
    <row r="407" spans="1:32" ht="12.75" customHeight="1" x14ac:dyDescent="0.2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  <c r="AF407" s="77"/>
    </row>
    <row r="408" spans="1:32" ht="12.75" customHeight="1" x14ac:dyDescent="0.2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  <c r="AF408" s="77"/>
    </row>
    <row r="409" spans="1:32" ht="12.75" customHeight="1" x14ac:dyDescent="0.2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  <c r="AF409" s="77"/>
    </row>
    <row r="410" spans="1:32" ht="12.75" customHeight="1" x14ac:dyDescent="0.2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  <c r="AF410" s="77"/>
    </row>
    <row r="411" spans="1:32" ht="12.75" customHeight="1" x14ac:dyDescent="0.2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  <c r="AF411" s="77"/>
    </row>
    <row r="412" spans="1:32" ht="12.75" customHeight="1" x14ac:dyDescent="0.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  <c r="AF412" s="77"/>
    </row>
    <row r="413" spans="1:32" ht="12.75" customHeight="1" x14ac:dyDescent="0.2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  <c r="AF413" s="77"/>
    </row>
    <row r="414" spans="1:32" ht="12.75" customHeight="1" x14ac:dyDescent="0.2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  <c r="AF414" s="77"/>
    </row>
    <row r="415" spans="1:32" ht="12.75" customHeight="1" x14ac:dyDescent="0.2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  <c r="AF415" s="77"/>
    </row>
    <row r="416" spans="1:32" ht="12.75" customHeight="1" x14ac:dyDescent="0.2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  <c r="AF416" s="77"/>
    </row>
    <row r="417" spans="1:32" ht="12.75" customHeight="1" x14ac:dyDescent="0.2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  <c r="AF417" s="77"/>
    </row>
    <row r="418" spans="1:32" ht="12.75" customHeight="1" x14ac:dyDescent="0.2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  <c r="AF418" s="77"/>
    </row>
    <row r="419" spans="1:32" ht="12.75" customHeight="1" x14ac:dyDescent="0.2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  <c r="AF419" s="77"/>
    </row>
    <row r="420" spans="1:32" ht="12.75" customHeight="1" x14ac:dyDescent="0.2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  <c r="AF420" s="77"/>
    </row>
    <row r="421" spans="1:32" ht="12.75" customHeight="1" x14ac:dyDescent="0.2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</row>
    <row r="422" spans="1:32" ht="12.75" customHeight="1" x14ac:dyDescent="0.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  <c r="AF422" s="77"/>
    </row>
    <row r="423" spans="1:32" ht="12.75" customHeight="1" x14ac:dyDescent="0.2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  <c r="AF423" s="77"/>
    </row>
    <row r="424" spans="1:32" ht="12.75" customHeight="1" x14ac:dyDescent="0.2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  <c r="AF424" s="77"/>
    </row>
    <row r="425" spans="1:32" ht="12.75" customHeight="1" x14ac:dyDescent="0.2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  <c r="AF425" s="77"/>
    </row>
    <row r="426" spans="1:32" ht="12.75" customHeight="1" x14ac:dyDescent="0.2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  <c r="AF426" s="77"/>
    </row>
    <row r="427" spans="1:32" ht="12.75" customHeight="1" x14ac:dyDescent="0.2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  <c r="AF427" s="77"/>
    </row>
    <row r="428" spans="1:32" ht="12.75" customHeight="1" x14ac:dyDescent="0.2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  <c r="AF428" s="77"/>
    </row>
    <row r="429" spans="1:32" ht="12.75" customHeight="1" x14ac:dyDescent="0.2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  <c r="AF429" s="77"/>
    </row>
    <row r="430" spans="1:32" ht="12.75" customHeight="1" x14ac:dyDescent="0.2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  <c r="AF430" s="77"/>
    </row>
    <row r="431" spans="1:32" ht="12.75" customHeight="1" x14ac:dyDescent="0.2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  <c r="AF431" s="77"/>
    </row>
    <row r="432" spans="1:32" ht="12.75" customHeight="1" x14ac:dyDescent="0.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  <c r="AF432" s="77"/>
    </row>
    <row r="433" spans="1:32" ht="12.75" customHeight="1" x14ac:dyDescent="0.2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  <c r="AF433" s="77"/>
    </row>
    <row r="434" spans="1:32" ht="12.75" customHeight="1" x14ac:dyDescent="0.2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  <c r="AF434" s="77"/>
    </row>
    <row r="435" spans="1:32" ht="12.75" customHeight="1" x14ac:dyDescent="0.2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  <c r="AF435" s="77"/>
    </row>
    <row r="436" spans="1:32" ht="12.75" customHeight="1" x14ac:dyDescent="0.2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  <c r="AF436" s="77"/>
    </row>
    <row r="437" spans="1:32" ht="12.75" customHeight="1" x14ac:dyDescent="0.2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  <c r="AF437" s="77"/>
    </row>
    <row r="438" spans="1:32" ht="12.75" customHeight="1" x14ac:dyDescent="0.2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  <c r="AF438" s="77"/>
    </row>
    <row r="439" spans="1:32" ht="12.75" customHeight="1" x14ac:dyDescent="0.2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  <c r="AF439" s="77"/>
    </row>
    <row r="440" spans="1:32" ht="12.75" customHeight="1" x14ac:dyDescent="0.2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  <c r="AF440" s="77"/>
    </row>
    <row r="441" spans="1:32" ht="12.75" customHeight="1" x14ac:dyDescent="0.2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  <c r="AF441" s="77"/>
    </row>
    <row r="442" spans="1:32" ht="12.75" customHeight="1" x14ac:dyDescent="0.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  <c r="AF442" s="77"/>
    </row>
    <row r="443" spans="1:32" ht="12.75" customHeight="1" x14ac:dyDescent="0.2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  <c r="AF443" s="77"/>
    </row>
    <row r="444" spans="1:32" ht="12.75" customHeight="1" x14ac:dyDescent="0.2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  <c r="AF444" s="77"/>
    </row>
    <row r="445" spans="1:32" ht="12.75" customHeight="1" x14ac:dyDescent="0.2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  <c r="AF445" s="77"/>
    </row>
    <row r="446" spans="1:32" ht="12.75" customHeight="1" x14ac:dyDescent="0.2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  <c r="AF446" s="77"/>
    </row>
    <row r="447" spans="1:32" ht="12.75" customHeight="1" x14ac:dyDescent="0.2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  <c r="AF447" s="77"/>
    </row>
    <row r="448" spans="1:32" ht="12.75" customHeight="1" x14ac:dyDescent="0.2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  <c r="AF448" s="77"/>
    </row>
    <row r="449" spans="1:32" ht="12.75" customHeight="1" x14ac:dyDescent="0.2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  <c r="AF449" s="77"/>
    </row>
    <row r="450" spans="1:32" ht="12.75" customHeight="1" x14ac:dyDescent="0.2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  <c r="AF450" s="77"/>
    </row>
    <row r="451" spans="1:32" ht="12.75" customHeight="1" x14ac:dyDescent="0.2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  <c r="AF451" s="77"/>
    </row>
    <row r="452" spans="1:32" ht="12.75" customHeight="1" x14ac:dyDescent="0.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  <c r="AF452" s="77"/>
    </row>
    <row r="453" spans="1:32" ht="12.75" customHeight="1" x14ac:dyDescent="0.2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  <c r="AF453" s="77"/>
    </row>
    <row r="454" spans="1:32" ht="12.75" customHeight="1" x14ac:dyDescent="0.2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  <c r="AF454" s="77"/>
    </row>
    <row r="455" spans="1:32" ht="12.75" customHeight="1" x14ac:dyDescent="0.2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  <c r="AF455" s="77"/>
    </row>
    <row r="456" spans="1:32" ht="12.75" customHeight="1" x14ac:dyDescent="0.2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  <c r="AF456" s="77"/>
    </row>
    <row r="457" spans="1:32" ht="12.75" customHeight="1" x14ac:dyDescent="0.2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  <c r="AF457" s="77"/>
    </row>
    <row r="458" spans="1:32" ht="12.75" customHeight="1" x14ac:dyDescent="0.2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  <c r="AF458" s="77"/>
    </row>
    <row r="459" spans="1:32" ht="12.75" customHeight="1" x14ac:dyDescent="0.2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</row>
    <row r="460" spans="1:32" ht="12.75" customHeight="1" x14ac:dyDescent="0.2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  <c r="AF460" s="77"/>
    </row>
    <row r="461" spans="1:32" ht="12.75" customHeight="1" x14ac:dyDescent="0.2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  <c r="AF461" s="77"/>
    </row>
    <row r="462" spans="1:32" ht="12.75" customHeight="1" x14ac:dyDescent="0.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  <c r="AF462" s="77"/>
    </row>
    <row r="463" spans="1:32" ht="12.75" customHeight="1" x14ac:dyDescent="0.2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  <c r="AF463" s="77"/>
    </row>
    <row r="464" spans="1:32" ht="12.75" customHeight="1" x14ac:dyDescent="0.2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  <c r="AF464" s="77"/>
    </row>
    <row r="465" spans="1:32" ht="12.75" customHeight="1" x14ac:dyDescent="0.2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  <c r="AF465" s="77"/>
    </row>
    <row r="466" spans="1:32" ht="12.75" customHeight="1" x14ac:dyDescent="0.2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  <c r="AF466" s="77"/>
    </row>
    <row r="467" spans="1:32" ht="12.75" customHeight="1" x14ac:dyDescent="0.2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</row>
    <row r="468" spans="1:32" ht="12.75" customHeight="1" x14ac:dyDescent="0.2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</row>
    <row r="469" spans="1:32" ht="12.75" customHeight="1" x14ac:dyDescent="0.2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</row>
    <row r="470" spans="1:32" ht="12.75" customHeight="1" x14ac:dyDescent="0.2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</row>
    <row r="471" spans="1:32" ht="12.75" customHeight="1" x14ac:dyDescent="0.2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</row>
    <row r="472" spans="1:32" ht="12.75" customHeight="1" x14ac:dyDescent="0.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</row>
    <row r="473" spans="1:32" ht="12.75" customHeight="1" x14ac:dyDescent="0.2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</row>
    <row r="474" spans="1:32" ht="12.75" customHeight="1" x14ac:dyDescent="0.2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</row>
    <row r="475" spans="1:32" ht="12.75" customHeight="1" x14ac:dyDescent="0.2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</row>
    <row r="476" spans="1:32" ht="12.75" customHeight="1" x14ac:dyDescent="0.2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</row>
    <row r="477" spans="1:32" ht="12.75" customHeight="1" x14ac:dyDescent="0.2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</row>
    <row r="478" spans="1:32" ht="12.75" customHeight="1" x14ac:dyDescent="0.2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</row>
    <row r="479" spans="1:32" ht="12.75" customHeight="1" x14ac:dyDescent="0.2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</row>
    <row r="480" spans="1:32" ht="12.75" customHeight="1" x14ac:dyDescent="0.2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</row>
    <row r="481" spans="1:32" ht="12.75" customHeight="1" x14ac:dyDescent="0.2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</row>
    <row r="482" spans="1:32" ht="12.75" customHeight="1" x14ac:dyDescent="0.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</row>
    <row r="483" spans="1:32" ht="12.75" customHeight="1" x14ac:dyDescent="0.2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</row>
    <row r="484" spans="1:32" ht="12.75" customHeight="1" x14ac:dyDescent="0.2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</row>
    <row r="485" spans="1:32" ht="12.75" customHeight="1" x14ac:dyDescent="0.2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</row>
    <row r="486" spans="1:32" ht="12.75" customHeight="1" x14ac:dyDescent="0.2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</row>
    <row r="487" spans="1:32" ht="12.75" customHeight="1" x14ac:dyDescent="0.2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</row>
    <row r="488" spans="1:32" ht="12.75" customHeight="1" x14ac:dyDescent="0.2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</row>
    <row r="489" spans="1:32" ht="12.75" customHeight="1" x14ac:dyDescent="0.2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</row>
    <row r="490" spans="1:32" ht="12.75" customHeight="1" x14ac:dyDescent="0.2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</row>
    <row r="491" spans="1:32" ht="12.75" customHeight="1" x14ac:dyDescent="0.2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</row>
    <row r="492" spans="1:32" ht="12.75" customHeight="1" x14ac:dyDescent="0.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</row>
    <row r="493" spans="1:32" ht="12.75" customHeight="1" x14ac:dyDescent="0.2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</row>
    <row r="494" spans="1:32" ht="12.75" customHeight="1" x14ac:dyDescent="0.2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</row>
    <row r="495" spans="1:32" ht="12.75" customHeight="1" x14ac:dyDescent="0.2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</row>
    <row r="496" spans="1:32" ht="12.75" customHeight="1" x14ac:dyDescent="0.2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</row>
    <row r="497" spans="1:32" ht="12.75" customHeight="1" x14ac:dyDescent="0.2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</row>
    <row r="498" spans="1:32" ht="12.75" customHeight="1" x14ac:dyDescent="0.2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</row>
    <row r="499" spans="1:32" ht="12.75" customHeight="1" x14ac:dyDescent="0.2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</row>
    <row r="500" spans="1:32" ht="12.75" customHeight="1" x14ac:dyDescent="0.2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</row>
    <row r="501" spans="1:32" ht="12.75" customHeight="1" x14ac:dyDescent="0.2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</row>
    <row r="502" spans="1:32" ht="12.75" customHeight="1" x14ac:dyDescent="0.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</row>
    <row r="503" spans="1:32" ht="12.75" customHeight="1" x14ac:dyDescent="0.2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</row>
    <row r="504" spans="1:32" ht="12.75" customHeight="1" x14ac:dyDescent="0.2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</row>
    <row r="505" spans="1:32" ht="12.75" customHeight="1" x14ac:dyDescent="0.2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</row>
    <row r="506" spans="1:32" ht="12.75" customHeight="1" x14ac:dyDescent="0.2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</row>
    <row r="507" spans="1:32" ht="12.75" customHeight="1" x14ac:dyDescent="0.2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</row>
    <row r="508" spans="1:32" ht="12.75" customHeight="1" x14ac:dyDescent="0.2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</row>
    <row r="509" spans="1:32" ht="12.75" customHeight="1" x14ac:dyDescent="0.2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</row>
    <row r="510" spans="1:32" ht="12.75" customHeight="1" x14ac:dyDescent="0.2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</row>
    <row r="511" spans="1:32" ht="12.75" customHeight="1" x14ac:dyDescent="0.2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</row>
    <row r="512" spans="1:32" ht="12.75" customHeight="1" x14ac:dyDescent="0.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</row>
    <row r="513" spans="1:32" ht="12.75" customHeight="1" x14ac:dyDescent="0.2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</row>
    <row r="514" spans="1:32" ht="12.75" customHeight="1" x14ac:dyDescent="0.2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</row>
    <row r="515" spans="1:32" ht="12.75" customHeight="1" x14ac:dyDescent="0.2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</row>
    <row r="516" spans="1:32" ht="12.75" customHeight="1" x14ac:dyDescent="0.2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</row>
    <row r="517" spans="1:32" ht="12.75" customHeight="1" x14ac:dyDescent="0.2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</row>
    <row r="518" spans="1:32" ht="12.75" customHeight="1" x14ac:dyDescent="0.2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</row>
    <row r="519" spans="1:32" ht="12.75" customHeight="1" x14ac:dyDescent="0.2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</row>
    <row r="520" spans="1:32" ht="12.75" customHeight="1" x14ac:dyDescent="0.2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</row>
    <row r="521" spans="1:32" ht="12.75" customHeight="1" x14ac:dyDescent="0.2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</row>
    <row r="522" spans="1:32" ht="12.75" customHeight="1" x14ac:dyDescent="0.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</row>
    <row r="523" spans="1:32" ht="12.75" customHeight="1" x14ac:dyDescent="0.2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</row>
    <row r="524" spans="1:32" ht="12.75" customHeight="1" x14ac:dyDescent="0.2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</row>
    <row r="525" spans="1:32" ht="12.75" customHeight="1" x14ac:dyDescent="0.2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</row>
    <row r="526" spans="1:32" ht="12.75" customHeight="1" x14ac:dyDescent="0.2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</row>
    <row r="527" spans="1:32" ht="12.75" customHeight="1" x14ac:dyDescent="0.2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</row>
    <row r="528" spans="1:32" ht="12.75" customHeight="1" x14ac:dyDescent="0.2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</row>
    <row r="529" spans="1:32" ht="12.75" customHeight="1" x14ac:dyDescent="0.2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</row>
    <row r="530" spans="1:32" ht="12.75" customHeight="1" x14ac:dyDescent="0.2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</row>
    <row r="531" spans="1:32" ht="12.75" customHeight="1" x14ac:dyDescent="0.2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</row>
    <row r="532" spans="1:32" ht="12.75" customHeight="1" x14ac:dyDescent="0.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</row>
    <row r="533" spans="1:32" ht="12.75" customHeight="1" x14ac:dyDescent="0.2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</row>
    <row r="534" spans="1:32" ht="12.75" customHeight="1" x14ac:dyDescent="0.2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</row>
    <row r="535" spans="1:32" ht="12.75" customHeight="1" x14ac:dyDescent="0.2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</row>
    <row r="536" spans="1:32" ht="12.75" customHeight="1" x14ac:dyDescent="0.2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</row>
    <row r="537" spans="1:32" ht="12.75" customHeight="1" x14ac:dyDescent="0.2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</row>
    <row r="538" spans="1:32" ht="12.75" customHeight="1" x14ac:dyDescent="0.2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</row>
    <row r="539" spans="1:32" ht="12.75" customHeight="1" x14ac:dyDescent="0.2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</row>
    <row r="540" spans="1:32" ht="12.75" customHeight="1" x14ac:dyDescent="0.2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</row>
    <row r="541" spans="1:32" ht="12.75" customHeight="1" x14ac:dyDescent="0.2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</row>
    <row r="542" spans="1:32" ht="12.75" customHeight="1" x14ac:dyDescent="0.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</row>
    <row r="543" spans="1:32" ht="12.75" customHeight="1" x14ac:dyDescent="0.2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</row>
    <row r="544" spans="1:32" ht="12.75" customHeight="1" x14ac:dyDescent="0.2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</row>
    <row r="545" spans="1:32" ht="12.75" customHeight="1" x14ac:dyDescent="0.2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</row>
    <row r="546" spans="1:32" ht="12.75" customHeight="1" x14ac:dyDescent="0.2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</row>
    <row r="547" spans="1:32" ht="12.75" customHeight="1" x14ac:dyDescent="0.2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</row>
    <row r="548" spans="1:32" ht="12.75" customHeight="1" x14ac:dyDescent="0.2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</row>
    <row r="549" spans="1:32" ht="12.75" customHeight="1" x14ac:dyDescent="0.2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</row>
    <row r="550" spans="1:32" ht="12.75" customHeight="1" x14ac:dyDescent="0.2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</row>
    <row r="551" spans="1:32" ht="12.75" customHeight="1" x14ac:dyDescent="0.2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</row>
    <row r="552" spans="1:32" ht="12.75" customHeight="1" x14ac:dyDescent="0.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</row>
    <row r="553" spans="1:32" ht="12.75" customHeight="1" x14ac:dyDescent="0.2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</row>
    <row r="554" spans="1:32" ht="12.75" customHeight="1" x14ac:dyDescent="0.2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</row>
    <row r="555" spans="1:32" ht="12.75" customHeight="1" x14ac:dyDescent="0.2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</row>
    <row r="556" spans="1:32" ht="12.75" customHeight="1" x14ac:dyDescent="0.2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</row>
    <row r="557" spans="1:32" ht="12.75" customHeight="1" x14ac:dyDescent="0.2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</row>
    <row r="558" spans="1:32" ht="12.75" customHeight="1" x14ac:dyDescent="0.2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</row>
    <row r="559" spans="1:32" ht="12.75" customHeight="1" x14ac:dyDescent="0.2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</row>
    <row r="560" spans="1:32" ht="12.75" customHeight="1" x14ac:dyDescent="0.2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</row>
    <row r="561" spans="1:32" ht="12.75" customHeight="1" x14ac:dyDescent="0.2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</row>
    <row r="562" spans="1:32" ht="12.75" customHeight="1" x14ac:dyDescent="0.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</row>
    <row r="563" spans="1:32" ht="12.75" customHeight="1" x14ac:dyDescent="0.2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</row>
    <row r="564" spans="1:32" ht="12.75" customHeight="1" x14ac:dyDescent="0.2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</row>
    <row r="565" spans="1:32" ht="12.75" customHeight="1" x14ac:dyDescent="0.2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</row>
    <row r="566" spans="1:32" ht="12.75" customHeight="1" x14ac:dyDescent="0.2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</row>
    <row r="567" spans="1:32" ht="12.75" customHeight="1" x14ac:dyDescent="0.2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</row>
    <row r="568" spans="1:32" ht="12.75" customHeight="1" x14ac:dyDescent="0.2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</row>
    <row r="569" spans="1:32" ht="12.75" customHeight="1" x14ac:dyDescent="0.2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</row>
    <row r="570" spans="1:32" ht="12.75" customHeight="1" x14ac:dyDescent="0.2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</row>
    <row r="571" spans="1:32" ht="12.75" customHeight="1" x14ac:dyDescent="0.2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</row>
    <row r="572" spans="1:32" ht="12.75" customHeight="1" x14ac:dyDescent="0.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</row>
    <row r="573" spans="1:32" ht="12.75" customHeight="1" x14ac:dyDescent="0.2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</row>
    <row r="574" spans="1:32" ht="12.75" customHeight="1" x14ac:dyDescent="0.2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</row>
    <row r="575" spans="1:32" ht="12.75" customHeight="1" x14ac:dyDescent="0.2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</row>
    <row r="576" spans="1:32" ht="12.75" customHeight="1" x14ac:dyDescent="0.2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</row>
    <row r="577" spans="1:32" ht="12.75" customHeight="1" x14ac:dyDescent="0.2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</row>
    <row r="578" spans="1:32" ht="12.75" customHeight="1" x14ac:dyDescent="0.2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</row>
    <row r="579" spans="1:32" ht="12.75" customHeight="1" x14ac:dyDescent="0.2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</row>
    <row r="580" spans="1:32" ht="12.75" customHeight="1" x14ac:dyDescent="0.2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</row>
    <row r="581" spans="1:32" ht="12.75" customHeight="1" x14ac:dyDescent="0.2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</row>
    <row r="582" spans="1:32" ht="12.75" customHeight="1" x14ac:dyDescent="0.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</row>
    <row r="583" spans="1:32" ht="12.75" customHeight="1" x14ac:dyDescent="0.2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</row>
    <row r="584" spans="1:32" ht="12.75" customHeight="1" x14ac:dyDescent="0.2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</row>
    <row r="585" spans="1:32" ht="12.75" customHeight="1" x14ac:dyDescent="0.2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</row>
    <row r="586" spans="1:32" ht="12.75" customHeight="1" x14ac:dyDescent="0.2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</row>
    <row r="587" spans="1:32" ht="12.75" customHeight="1" x14ac:dyDescent="0.2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</row>
    <row r="588" spans="1:32" ht="12.75" customHeight="1" x14ac:dyDescent="0.2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</row>
    <row r="589" spans="1:32" ht="12.75" customHeight="1" x14ac:dyDescent="0.2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</row>
    <row r="590" spans="1:32" ht="12.75" customHeight="1" x14ac:dyDescent="0.2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</row>
    <row r="591" spans="1:32" ht="12.75" customHeight="1" x14ac:dyDescent="0.2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</row>
    <row r="592" spans="1:32" ht="12.75" customHeight="1" x14ac:dyDescent="0.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</row>
    <row r="593" spans="1:32" ht="12.75" customHeight="1" x14ac:dyDescent="0.2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</row>
    <row r="594" spans="1:32" ht="12.75" customHeight="1" x14ac:dyDescent="0.2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</row>
    <row r="595" spans="1:32" ht="12.75" customHeight="1" x14ac:dyDescent="0.2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</row>
    <row r="596" spans="1:32" ht="12.75" customHeight="1" x14ac:dyDescent="0.2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</row>
    <row r="597" spans="1:32" ht="12.75" customHeight="1" x14ac:dyDescent="0.2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</row>
    <row r="598" spans="1:32" ht="12.75" customHeight="1" x14ac:dyDescent="0.2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</row>
    <row r="599" spans="1:32" ht="12.75" customHeight="1" x14ac:dyDescent="0.2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</row>
    <row r="600" spans="1:32" ht="12.75" customHeight="1" x14ac:dyDescent="0.2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</row>
    <row r="601" spans="1:32" ht="12.75" customHeight="1" x14ac:dyDescent="0.2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</row>
    <row r="602" spans="1:32" ht="12.75" customHeight="1" x14ac:dyDescent="0.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</row>
    <row r="603" spans="1:32" ht="12.75" customHeight="1" x14ac:dyDescent="0.2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</row>
    <row r="604" spans="1:32" ht="12.75" customHeight="1" x14ac:dyDescent="0.2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</row>
    <row r="605" spans="1:32" ht="12.75" customHeight="1" x14ac:dyDescent="0.2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</row>
    <row r="606" spans="1:32" ht="12.75" customHeight="1" x14ac:dyDescent="0.2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</row>
    <row r="607" spans="1:32" ht="12.75" customHeight="1" x14ac:dyDescent="0.2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</row>
    <row r="608" spans="1:32" ht="12.75" customHeight="1" x14ac:dyDescent="0.2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</row>
    <row r="609" spans="1:32" ht="12.75" customHeight="1" x14ac:dyDescent="0.2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</row>
    <row r="610" spans="1:32" ht="12.75" customHeight="1" x14ac:dyDescent="0.2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</row>
    <row r="611" spans="1:32" ht="12.75" customHeight="1" x14ac:dyDescent="0.2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</row>
    <row r="612" spans="1:32" ht="12.75" customHeight="1" x14ac:dyDescent="0.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</row>
    <row r="613" spans="1:32" ht="12.75" customHeight="1" x14ac:dyDescent="0.2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</row>
    <row r="614" spans="1:32" ht="12.75" customHeight="1" x14ac:dyDescent="0.2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</row>
    <row r="615" spans="1:32" ht="12.75" customHeight="1" x14ac:dyDescent="0.2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</row>
    <row r="616" spans="1:32" ht="12.75" customHeight="1" x14ac:dyDescent="0.2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</row>
    <row r="617" spans="1:32" ht="12.75" customHeight="1" x14ac:dyDescent="0.2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</row>
    <row r="618" spans="1:32" ht="12.75" customHeight="1" x14ac:dyDescent="0.2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</row>
    <row r="619" spans="1:32" ht="12.75" customHeight="1" x14ac:dyDescent="0.2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</row>
    <row r="620" spans="1:32" ht="12.75" customHeight="1" x14ac:dyDescent="0.2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</row>
    <row r="621" spans="1:32" ht="12.75" customHeight="1" x14ac:dyDescent="0.2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</row>
    <row r="622" spans="1:32" ht="12.75" customHeight="1" x14ac:dyDescent="0.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</row>
    <row r="623" spans="1:32" ht="12.75" customHeight="1" x14ac:dyDescent="0.2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</row>
    <row r="624" spans="1:32" ht="12.75" customHeight="1" x14ac:dyDescent="0.2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</row>
    <row r="625" spans="1:32" ht="12.75" customHeight="1" x14ac:dyDescent="0.2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</row>
    <row r="626" spans="1:32" ht="12.75" customHeight="1" x14ac:dyDescent="0.2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</row>
    <row r="627" spans="1:32" ht="12.75" customHeight="1" x14ac:dyDescent="0.2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</row>
    <row r="628" spans="1:32" ht="12.75" customHeight="1" x14ac:dyDescent="0.2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</row>
    <row r="629" spans="1:32" ht="12.75" customHeight="1" x14ac:dyDescent="0.2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</row>
    <row r="630" spans="1:32" ht="12.75" customHeight="1" x14ac:dyDescent="0.2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</row>
    <row r="631" spans="1:32" ht="12.75" customHeight="1" x14ac:dyDescent="0.2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</row>
    <row r="632" spans="1:32" ht="12.75" customHeight="1" x14ac:dyDescent="0.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</row>
    <row r="633" spans="1:32" ht="12.75" customHeight="1" x14ac:dyDescent="0.2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</row>
    <row r="634" spans="1:32" ht="12.75" customHeight="1" x14ac:dyDescent="0.2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</row>
    <row r="635" spans="1:32" ht="12.75" customHeight="1" x14ac:dyDescent="0.2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</row>
    <row r="636" spans="1:32" ht="12.75" customHeight="1" x14ac:dyDescent="0.2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</row>
    <row r="637" spans="1:32" ht="12.75" customHeight="1" x14ac:dyDescent="0.2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</row>
    <row r="638" spans="1:32" ht="12.75" customHeight="1" x14ac:dyDescent="0.2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</row>
    <row r="639" spans="1:32" ht="12.75" customHeight="1" x14ac:dyDescent="0.2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</row>
    <row r="640" spans="1:32" ht="12.75" customHeight="1" x14ac:dyDescent="0.2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</row>
    <row r="641" spans="1:32" ht="12.75" customHeight="1" x14ac:dyDescent="0.2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</row>
    <row r="642" spans="1:32" ht="12.75" customHeight="1" x14ac:dyDescent="0.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</row>
    <row r="643" spans="1:32" ht="12.75" customHeight="1" x14ac:dyDescent="0.2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</row>
    <row r="644" spans="1:32" ht="12.75" customHeight="1" x14ac:dyDescent="0.2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</row>
    <row r="645" spans="1:32" ht="12.75" customHeight="1" x14ac:dyDescent="0.2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</row>
    <row r="646" spans="1:32" ht="12.75" customHeight="1" x14ac:dyDescent="0.2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</row>
    <row r="647" spans="1:32" ht="12.75" customHeight="1" x14ac:dyDescent="0.2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</row>
    <row r="648" spans="1:32" ht="12.75" customHeight="1" x14ac:dyDescent="0.2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</row>
    <row r="649" spans="1:32" ht="12.75" customHeight="1" x14ac:dyDescent="0.2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</row>
    <row r="650" spans="1:32" ht="12.75" customHeight="1" x14ac:dyDescent="0.2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</row>
    <row r="651" spans="1:32" ht="12.75" customHeight="1" x14ac:dyDescent="0.2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</row>
    <row r="652" spans="1:32" ht="12.75" customHeight="1" x14ac:dyDescent="0.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</row>
    <row r="653" spans="1:32" ht="12.75" customHeight="1" x14ac:dyDescent="0.2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</row>
    <row r="654" spans="1:32" ht="12.75" customHeight="1" x14ac:dyDescent="0.2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</row>
    <row r="655" spans="1:32" ht="12.75" customHeight="1" x14ac:dyDescent="0.2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</row>
    <row r="656" spans="1:32" ht="12.75" customHeight="1" x14ac:dyDescent="0.2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</row>
    <row r="657" spans="1:32" ht="12.75" customHeight="1" x14ac:dyDescent="0.2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</row>
    <row r="658" spans="1:32" ht="12.75" customHeight="1" x14ac:dyDescent="0.2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</row>
    <row r="659" spans="1:32" ht="12.75" customHeight="1" x14ac:dyDescent="0.2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</row>
    <row r="660" spans="1:32" ht="12.75" customHeight="1" x14ac:dyDescent="0.2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</row>
    <row r="661" spans="1:32" ht="12.75" customHeight="1" x14ac:dyDescent="0.2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</row>
    <row r="662" spans="1:32" ht="12.75" customHeight="1" x14ac:dyDescent="0.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</row>
    <row r="663" spans="1:32" ht="12.75" customHeight="1" x14ac:dyDescent="0.2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</row>
    <row r="664" spans="1:32" ht="12.75" customHeight="1" x14ac:dyDescent="0.2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</row>
    <row r="665" spans="1:32" ht="12.75" customHeight="1" x14ac:dyDescent="0.2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</row>
    <row r="666" spans="1:32" ht="12.75" customHeight="1" x14ac:dyDescent="0.2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</row>
    <row r="667" spans="1:32" ht="12.75" customHeight="1" x14ac:dyDescent="0.2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</row>
    <row r="668" spans="1:32" ht="12.75" customHeight="1" x14ac:dyDescent="0.2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</row>
    <row r="669" spans="1:32" ht="12.75" customHeight="1" x14ac:dyDescent="0.2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</row>
    <row r="670" spans="1:32" ht="12.75" customHeight="1" x14ac:dyDescent="0.2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</row>
    <row r="671" spans="1:32" ht="12.75" customHeight="1" x14ac:dyDescent="0.2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</row>
    <row r="672" spans="1:32" ht="12.75" customHeight="1" x14ac:dyDescent="0.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</row>
    <row r="673" spans="1:32" ht="12.75" customHeight="1" x14ac:dyDescent="0.2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</row>
    <row r="674" spans="1:32" ht="12.75" customHeight="1" x14ac:dyDescent="0.2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</row>
    <row r="675" spans="1:32" ht="12.75" customHeight="1" x14ac:dyDescent="0.2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</row>
    <row r="676" spans="1:32" ht="12.75" customHeight="1" x14ac:dyDescent="0.2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</row>
    <row r="677" spans="1:32" ht="12.75" customHeight="1" x14ac:dyDescent="0.2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</row>
    <row r="678" spans="1:32" ht="12.75" customHeight="1" x14ac:dyDescent="0.2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</row>
    <row r="679" spans="1:32" ht="12.75" customHeight="1" x14ac:dyDescent="0.2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</row>
    <row r="680" spans="1:32" ht="12.75" customHeight="1" x14ac:dyDescent="0.2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</row>
    <row r="681" spans="1:32" ht="12.75" customHeight="1" x14ac:dyDescent="0.2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</row>
    <row r="682" spans="1:32" ht="12.75" customHeight="1" x14ac:dyDescent="0.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</row>
    <row r="683" spans="1:32" ht="12.75" customHeight="1" x14ac:dyDescent="0.2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</row>
    <row r="684" spans="1:32" ht="12.75" customHeight="1" x14ac:dyDescent="0.2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</row>
    <row r="685" spans="1:32" ht="12.75" customHeight="1" x14ac:dyDescent="0.2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</row>
    <row r="686" spans="1:32" ht="12.75" customHeight="1" x14ac:dyDescent="0.2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</row>
    <row r="687" spans="1:32" ht="12.75" customHeight="1" x14ac:dyDescent="0.2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</row>
    <row r="688" spans="1:32" ht="12.75" customHeight="1" x14ac:dyDescent="0.2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</row>
    <row r="689" spans="1:32" ht="12.75" customHeight="1" x14ac:dyDescent="0.2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</row>
    <row r="690" spans="1:32" ht="12.75" customHeight="1" x14ac:dyDescent="0.2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</row>
    <row r="691" spans="1:32" ht="12.75" customHeight="1" x14ac:dyDescent="0.2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</row>
    <row r="692" spans="1:32" ht="12.75" customHeight="1" x14ac:dyDescent="0.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</row>
    <row r="693" spans="1:32" ht="12.75" customHeight="1" x14ac:dyDescent="0.2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</row>
    <row r="694" spans="1:32" ht="12.75" customHeight="1" x14ac:dyDescent="0.2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</row>
    <row r="695" spans="1:32" ht="12.75" customHeight="1" x14ac:dyDescent="0.2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</row>
    <row r="696" spans="1:32" ht="12.75" customHeight="1" x14ac:dyDescent="0.2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</row>
    <row r="697" spans="1:32" ht="12.75" customHeight="1" x14ac:dyDescent="0.2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</row>
    <row r="698" spans="1:32" ht="12.75" customHeight="1" x14ac:dyDescent="0.2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</row>
    <row r="699" spans="1:32" ht="12.75" customHeight="1" x14ac:dyDescent="0.2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</row>
    <row r="700" spans="1:32" ht="12.75" customHeight="1" x14ac:dyDescent="0.2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</row>
    <row r="701" spans="1:32" ht="12.75" customHeight="1" x14ac:dyDescent="0.2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</row>
    <row r="702" spans="1:32" ht="12.75" customHeight="1" x14ac:dyDescent="0.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</row>
    <row r="703" spans="1:32" ht="12.75" customHeight="1" x14ac:dyDescent="0.2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</row>
    <row r="704" spans="1:32" ht="12.75" customHeight="1" x14ac:dyDescent="0.2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</row>
    <row r="705" spans="1:32" ht="12.75" customHeight="1" x14ac:dyDescent="0.2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</row>
    <row r="706" spans="1:32" ht="12.75" customHeight="1" x14ac:dyDescent="0.2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</row>
    <row r="707" spans="1:32" ht="12.75" customHeight="1" x14ac:dyDescent="0.2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</row>
    <row r="708" spans="1:32" ht="12.75" customHeight="1" x14ac:dyDescent="0.2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</row>
    <row r="709" spans="1:32" ht="12.75" customHeight="1" x14ac:dyDescent="0.2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</row>
    <row r="710" spans="1:32" ht="12.75" customHeight="1" x14ac:dyDescent="0.2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</row>
    <row r="711" spans="1:32" ht="12.75" customHeight="1" x14ac:dyDescent="0.2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</row>
    <row r="712" spans="1:32" ht="12.75" customHeight="1" x14ac:dyDescent="0.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</row>
    <row r="713" spans="1:32" ht="12.75" customHeight="1" x14ac:dyDescent="0.2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</row>
    <row r="714" spans="1:32" ht="12.75" customHeight="1" x14ac:dyDescent="0.2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</row>
    <row r="715" spans="1:32" ht="12.75" customHeight="1" x14ac:dyDescent="0.2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</row>
    <row r="716" spans="1:32" ht="12.75" customHeight="1" x14ac:dyDescent="0.2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</row>
    <row r="717" spans="1:32" ht="12.75" customHeight="1" x14ac:dyDescent="0.2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</row>
    <row r="718" spans="1:32" ht="12.75" customHeight="1" x14ac:dyDescent="0.2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</row>
    <row r="719" spans="1:32" ht="12.75" customHeight="1" x14ac:dyDescent="0.2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</row>
    <row r="720" spans="1:32" ht="12.75" customHeight="1" x14ac:dyDescent="0.2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</row>
    <row r="721" spans="1:32" ht="12.75" customHeight="1" x14ac:dyDescent="0.2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</row>
    <row r="722" spans="1:32" ht="12.75" customHeight="1" x14ac:dyDescent="0.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</row>
    <row r="723" spans="1:32" ht="12.75" customHeight="1" x14ac:dyDescent="0.2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</row>
    <row r="724" spans="1:32" ht="12.75" customHeight="1" x14ac:dyDescent="0.2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</row>
    <row r="725" spans="1:32" ht="12.75" customHeight="1" x14ac:dyDescent="0.2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</row>
    <row r="726" spans="1:32" ht="12.75" customHeight="1" x14ac:dyDescent="0.2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</row>
    <row r="727" spans="1:32" ht="12.75" customHeight="1" x14ac:dyDescent="0.2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</row>
    <row r="728" spans="1:32" ht="12.75" customHeight="1" x14ac:dyDescent="0.2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</row>
    <row r="729" spans="1:32" ht="12.75" customHeight="1" x14ac:dyDescent="0.2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</row>
    <row r="730" spans="1:32" ht="12.75" customHeight="1" x14ac:dyDescent="0.2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</row>
    <row r="731" spans="1:32" ht="12.75" customHeight="1" x14ac:dyDescent="0.2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</row>
    <row r="732" spans="1:32" ht="12.75" customHeight="1" x14ac:dyDescent="0.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</row>
    <row r="733" spans="1:32" ht="12.75" customHeight="1" x14ac:dyDescent="0.2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</row>
    <row r="734" spans="1:32" ht="12.75" customHeight="1" x14ac:dyDescent="0.2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</row>
    <row r="735" spans="1:32" ht="12.75" customHeight="1" x14ac:dyDescent="0.2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</row>
    <row r="736" spans="1:32" ht="12.75" customHeight="1" x14ac:dyDescent="0.2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</row>
    <row r="737" spans="1:32" ht="12.75" customHeight="1" x14ac:dyDescent="0.2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</row>
    <row r="738" spans="1:32" ht="12.75" customHeight="1" x14ac:dyDescent="0.2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</row>
    <row r="739" spans="1:32" ht="12.75" customHeight="1" x14ac:dyDescent="0.2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</row>
    <row r="740" spans="1:32" ht="12.75" customHeight="1" x14ac:dyDescent="0.2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</row>
    <row r="741" spans="1:32" ht="12.75" customHeight="1" x14ac:dyDescent="0.2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</row>
    <row r="742" spans="1:32" ht="12.75" customHeight="1" x14ac:dyDescent="0.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</row>
    <row r="743" spans="1:32" ht="12.75" customHeight="1" x14ac:dyDescent="0.2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</row>
    <row r="744" spans="1:32" ht="12.75" customHeight="1" x14ac:dyDescent="0.2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</row>
    <row r="745" spans="1:32" ht="12.75" customHeight="1" x14ac:dyDescent="0.2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</row>
    <row r="746" spans="1:32" ht="12.75" customHeight="1" x14ac:dyDescent="0.2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</row>
    <row r="747" spans="1:32" ht="12.75" customHeight="1" x14ac:dyDescent="0.2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</row>
    <row r="748" spans="1:32" ht="12.75" customHeight="1" x14ac:dyDescent="0.2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</row>
    <row r="749" spans="1:32" ht="12.75" customHeight="1" x14ac:dyDescent="0.2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</row>
    <row r="750" spans="1:32" ht="12.75" customHeight="1" x14ac:dyDescent="0.2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</row>
    <row r="751" spans="1:32" ht="12.75" customHeight="1" x14ac:dyDescent="0.2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</row>
    <row r="752" spans="1:32" ht="12.75" customHeight="1" x14ac:dyDescent="0.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</row>
    <row r="753" spans="1:32" ht="12.75" customHeight="1" x14ac:dyDescent="0.2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</row>
    <row r="754" spans="1:32" ht="12.75" customHeight="1" x14ac:dyDescent="0.2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</row>
    <row r="755" spans="1:32" ht="12.75" customHeight="1" x14ac:dyDescent="0.2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</row>
    <row r="756" spans="1:32" ht="12.75" customHeight="1" x14ac:dyDescent="0.2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</row>
    <row r="757" spans="1:32" ht="12.75" customHeight="1" x14ac:dyDescent="0.2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</row>
    <row r="758" spans="1:32" ht="12.75" customHeight="1" x14ac:dyDescent="0.2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</row>
    <row r="759" spans="1:32" ht="12.75" customHeight="1" x14ac:dyDescent="0.2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</row>
    <row r="760" spans="1:32" ht="12.75" customHeight="1" x14ac:dyDescent="0.2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</row>
    <row r="761" spans="1:32" ht="12.75" customHeight="1" x14ac:dyDescent="0.2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</row>
    <row r="762" spans="1:32" ht="12.75" customHeight="1" x14ac:dyDescent="0.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</row>
    <row r="763" spans="1:32" ht="12.75" customHeight="1" x14ac:dyDescent="0.2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</row>
    <row r="764" spans="1:32" ht="12.75" customHeight="1" x14ac:dyDescent="0.2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</row>
    <row r="765" spans="1:32" ht="12.75" customHeight="1" x14ac:dyDescent="0.2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</row>
    <row r="766" spans="1:32" ht="12.75" customHeight="1" x14ac:dyDescent="0.2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</row>
    <row r="767" spans="1:32" ht="12.75" customHeight="1" x14ac:dyDescent="0.2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</row>
    <row r="768" spans="1:32" ht="12.75" customHeight="1" x14ac:dyDescent="0.2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</row>
    <row r="769" spans="1:32" ht="12.75" customHeight="1" x14ac:dyDescent="0.2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</row>
    <row r="770" spans="1:32" ht="12.75" customHeight="1" x14ac:dyDescent="0.2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</row>
    <row r="771" spans="1:32" ht="12.75" customHeight="1" x14ac:dyDescent="0.2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</row>
    <row r="772" spans="1:32" ht="12.75" customHeight="1" x14ac:dyDescent="0.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</row>
    <row r="773" spans="1:32" ht="12.75" customHeight="1" x14ac:dyDescent="0.2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</row>
    <row r="774" spans="1:32" ht="12.75" customHeight="1" x14ac:dyDescent="0.2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</row>
    <row r="775" spans="1:32" ht="12.75" customHeight="1" x14ac:dyDescent="0.2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</row>
    <row r="776" spans="1:32" ht="12.75" customHeight="1" x14ac:dyDescent="0.2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</row>
    <row r="777" spans="1:32" ht="12.75" customHeight="1" x14ac:dyDescent="0.2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</row>
    <row r="778" spans="1:32" ht="12.75" customHeight="1" x14ac:dyDescent="0.2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</row>
    <row r="779" spans="1:32" ht="12.75" customHeight="1" x14ac:dyDescent="0.2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</row>
    <row r="780" spans="1:32" ht="12.75" customHeight="1" x14ac:dyDescent="0.2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</row>
    <row r="781" spans="1:32" ht="12.75" customHeight="1" x14ac:dyDescent="0.2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</row>
    <row r="782" spans="1:32" ht="12.75" customHeight="1" x14ac:dyDescent="0.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</row>
    <row r="783" spans="1:32" ht="12.75" customHeight="1" x14ac:dyDescent="0.2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</row>
    <row r="784" spans="1:32" ht="12.75" customHeight="1" x14ac:dyDescent="0.2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</row>
    <row r="785" spans="1:32" ht="12.75" customHeight="1" x14ac:dyDescent="0.2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</row>
    <row r="786" spans="1:32" ht="12.75" customHeight="1" x14ac:dyDescent="0.2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</row>
    <row r="787" spans="1:32" ht="12.75" customHeight="1" x14ac:dyDescent="0.2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</row>
    <row r="788" spans="1:32" ht="12.75" customHeight="1" x14ac:dyDescent="0.2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</row>
    <row r="789" spans="1:32" ht="12.75" customHeight="1" x14ac:dyDescent="0.2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</row>
    <row r="790" spans="1:32" ht="12.75" customHeight="1" x14ac:dyDescent="0.2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</row>
    <row r="791" spans="1:32" ht="12.75" customHeight="1" x14ac:dyDescent="0.2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</row>
    <row r="792" spans="1:32" ht="12.75" customHeight="1" x14ac:dyDescent="0.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</row>
    <row r="793" spans="1:32" ht="12.75" customHeight="1" x14ac:dyDescent="0.2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</row>
    <row r="794" spans="1:32" ht="12.75" customHeight="1" x14ac:dyDescent="0.2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</row>
    <row r="795" spans="1:32" ht="12.75" customHeight="1" x14ac:dyDescent="0.2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</row>
    <row r="796" spans="1:32" ht="12.75" customHeight="1" x14ac:dyDescent="0.2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</row>
    <row r="797" spans="1:32" ht="12.75" customHeight="1" x14ac:dyDescent="0.2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</row>
    <row r="798" spans="1:32" ht="12.75" customHeight="1" x14ac:dyDescent="0.2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</row>
    <row r="799" spans="1:32" ht="12.75" customHeight="1" x14ac:dyDescent="0.2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</row>
    <row r="800" spans="1:32" ht="12.75" customHeight="1" x14ac:dyDescent="0.2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</row>
    <row r="801" spans="1:32" ht="12.75" customHeight="1" x14ac:dyDescent="0.2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</row>
    <row r="802" spans="1:32" ht="12.75" customHeight="1" x14ac:dyDescent="0.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</row>
    <row r="803" spans="1:32" ht="12.75" customHeight="1" x14ac:dyDescent="0.2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</row>
    <row r="804" spans="1:32" ht="12.75" customHeight="1" x14ac:dyDescent="0.2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</row>
    <row r="805" spans="1:32" ht="12.75" customHeight="1" x14ac:dyDescent="0.2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</row>
    <row r="806" spans="1:32" ht="12.75" customHeight="1" x14ac:dyDescent="0.2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</row>
    <row r="807" spans="1:32" ht="12.75" customHeight="1" x14ac:dyDescent="0.2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</row>
    <row r="808" spans="1:32" ht="12.75" customHeight="1" x14ac:dyDescent="0.2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</row>
    <row r="809" spans="1:32" ht="12.75" customHeight="1" x14ac:dyDescent="0.2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</row>
    <row r="810" spans="1:32" ht="12.75" customHeight="1" x14ac:dyDescent="0.2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</row>
    <row r="811" spans="1:32" ht="12.75" customHeight="1" x14ac:dyDescent="0.2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</row>
    <row r="812" spans="1:32" ht="12.75" customHeight="1" x14ac:dyDescent="0.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</row>
    <row r="813" spans="1:32" ht="12.75" customHeight="1" x14ac:dyDescent="0.2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</row>
    <row r="814" spans="1:32" ht="12.75" customHeight="1" x14ac:dyDescent="0.2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</row>
    <row r="815" spans="1:32" ht="12.75" customHeight="1" x14ac:dyDescent="0.2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</row>
    <row r="816" spans="1:32" ht="12.75" customHeight="1" x14ac:dyDescent="0.2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</row>
    <row r="817" spans="1:32" ht="12.75" customHeight="1" x14ac:dyDescent="0.2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</row>
    <row r="818" spans="1:32" ht="12.75" customHeight="1" x14ac:dyDescent="0.2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</row>
    <row r="819" spans="1:32" ht="12.75" customHeight="1" x14ac:dyDescent="0.2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</row>
    <row r="820" spans="1:32" ht="12.75" customHeight="1" x14ac:dyDescent="0.2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</row>
    <row r="821" spans="1:32" ht="12.75" customHeight="1" x14ac:dyDescent="0.2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</row>
    <row r="822" spans="1:32" ht="12.75" customHeight="1" x14ac:dyDescent="0.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</row>
    <row r="823" spans="1:32" ht="12.75" customHeight="1" x14ac:dyDescent="0.2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</row>
    <row r="824" spans="1:32" ht="12.75" customHeight="1" x14ac:dyDescent="0.2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</row>
    <row r="825" spans="1:32" ht="12.75" customHeight="1" x14ac:dyDescent="0.2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</row>
    <row r="826" spans="1:32" ht="12.75" customHeight="1" x14ac:dyDescent="0.2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</row>
    <row r="827" spans="1:32" ht="12.75" customHeight="1" x14ac:dyDescent="0.2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</row>
    <row r="828" spans="1:32" ht="12.75" customHeight="1" x14ac:dyDescent="0.2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</row>
    <row r="829" spans="1:32" ht="12.75" customHeight="1" x14ac:dyDescent="0.2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</row>
    <row r="830" spans="1:32" ht="12.75" customHeight="1" x14ac:dyDescent="0.2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</row>
    <row r="831" spans="1:32" ht="12.75" customHeight="1" x14ac:dyDescent="0.2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</row>
    <row r="832" spans="1:32" ht="12.75" customHeight="1" x14ac:dyDescent="0.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</row>
    <row r="833" spans="1:32" ht="12.75" customHeight="1" x14ac:dyDescent="0.2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</row>
    <row r="834" spans="1:32" ht="12.75" customHeight="1" x14ac:dyDescent="0.2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</row>
    <row r="835" spans="1:32" ht="12.75" customHeight="1" x14ac:dyDescent="0.2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</row>
    <row r="836" spans="1:32" ht="12.75" customHeight="1" x14ac:dyDescent="0.2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</row>
    <row r="837" spans="1:32" ht="12.75" customHeight="1" x14ac:dyDescent="0.2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</row>
    <row r="838" spans="1:32" ht="12.75" customHeight="1" x14ac:dyDescent="0.2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</row>
    <row r="839" spans="1:32" ht="12.75" customHeight="1" x14ac:dyDescent="0.2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</row>
    <row r="840" spans="1:32" ht="12.75" customHeight="1" x14ac:dyDescent="0.2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</row>
    <row r="841" spans="1:32" ht="12.75" customHeight="1" x14ac:dyDescent="0.2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</row>
    <row r="842" spans="1:32" ht="12.75" customHeight="1" x14ac:dyDescent="0.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</row>
    <row r="843" spans="1:32" ht="12.75" customHeight="1" x14ac:dyDescent="0.2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</row>
    <row r="844" spans="1:32" ht="12.75" customHeight="1" x14ac:dyDescent="0.2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</row>
    <row r="845" spans="1:32" ht="12.75" customHeight="1" x14ac:dyDescent="0.2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</row>
    <row r="846" spans="1:32" ht="12.75" customHeight="1" x14ac:dyDescent="0.2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</row>
    <row r="847" spans="1:32" ht="12.75" customHeight="1" x14ac:dyDescent="0.2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</row>
    <row r="848" spans="1:32" ht="12.75" customHeight="1" x14ac:dyDescent="0.2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</row>
    <row r="849" spans="1:32" ht="12.75" customHeight="1" x14ac:dyDescent="0.2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</row>
    <row r="850" spans="1:32" ht="12.75" customHeight="1" x14ac:dyDescent="0.2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</row>
    <row r="851" spans="1:32" ht="12.75" customHeight="1" x14ac:dyDescent="0.2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</row>
    <row r="852" spans="1:32" ht="12.75" customHeight="1" x14ac:dyDescent="0.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</row>
    <row r="853" spans="1:32" ht="12.75" customHeight="1" x14ac:dyDescent="0.2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</row>
    <row r="854" spans="1:32" ht="12.75" customHeight="1" x14ac:dyDescent="0.2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</row>
    <row r="855" spans="1:32" ht="12.75" customHeight="1" x14ac:dyDescent="0.2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</row>
    <row r="856" spans="1:32" ht="12.75" customHeight="1" x14ac:dyDescent="0.2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</row>
    <row r="857" spans="1:32" ht="12.75" customHeight="1" x14ac:dyDescent="0.2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</row>
    <row r="858" spans="1:32" ht="12.75" customHeight="1" x14ac:dyDescent="0.2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</row>
    <row r="859" spans="1:32" ht="12.75" customHeight="1" x14ac:dyDescent="0.2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</row>
    <row r="860" spans="1:32" ht="12.75" customHeight="1" x14ac:dyDescent="0.2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</row>
    <row r="861" spans="1:32" ht="12.75" customHeight="1" x14ac:dyDescent="0.2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</row>
    <row r="862" spans="1:32" ht="12.75" customHeight="1" x14ac:dyDescent="0.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</row>
    <row r="863" spans="1:32" ht="12.75" customHeight="1" x14ac:dyDescent="0.2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</row>
    <row r="864" spans="1:32" ht="12.75" customHeight="1" x14ac:dyDescent="0.2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</row>
    <row r="865" spans="1:32" ht="12.75" customHeight="1" x14ac:dyDescent="0.2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</row>
    <row r="866" spans="1:32" ht="12.75" customHeight="1" x14ac:dyDescent="0.2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</row>
    <row r="867" spans="1:32" ht="12.75" customHeight="1" x14ac:dyDescent="0.2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</row>
    <row r="868" spans="1:32" ht="12.75" customHeight="1" x14ac:dyDescent="0.2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</row>
    <row r="869" spans="1:32" ht="12.75" customHeight="1" x14ac:dyDescent="0.2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</row>
    <row r="870" spans="1:32" ht="12.75" customHeight="1" x14ac:dyDescent="0.2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</row>
    <row r="871" spans="1:32" ht="12.75" customHeight="1" x14ac:dyDescent="0.2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</row>
    <row r="872" spans="1:32" ht="12.75" customHeight="1" x14ac:dyDescent="0.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</row>
    <row r="873" spans="1:32" ht="12.75" customHeight="1" x14ac:dyDescent="0.2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</row>
    <row r="874" spans="1:32" ht="12.75" customHeight="1" x14ac:dyDescent="0.2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</row>
    <row r="875" spans="1:32" ht="12.75" customHeight="1" x14ac:dyDescent="0.2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</row>
    <row r="876" spans="1:32" ht="12.75" customHeight="1" x14ac:dyDescent="0.2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</row>
    <row r="877" spans="1:32" ht="12.75" customHeight="1" x14ac:dyDescent="0.2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</row>
    <row r="878" spans="1:32" ht="12.75" customHeight="1" x14ac:dyDescent="0.2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</row>
    <row r="879" spans="1:32" ht="12.75" customHeight="1" x14ac:dyDescent="0.2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</row>
    <row r="880" spans="1:32" ht="12.75" customHeight="1" x14ac:dyDescent="0.2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</row>
    <row r="881" spans="1:32" ht="12.75" customHeight="1" x14ac:dyDescent="0.2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</row>
    <row r="882" spans="1:32" ht="12.75" customHeight="1" x14ac:dyDescent="0.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</row>
    <row r="883" spans="1:32" ht="12.75" customHeight="1" x14ac:dyDescent="0.2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</row>
    <row r="884" spans="1:32" ht="12.75" customHeight="1" x14ac:dyDescent="0.2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</row>
    <row r="885" spans="1:32" ht="12.75" customHeight="1" x14ac:dyDescent="0.2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</row>
    <row r="886" spans="1:32" ht="12.75" customHeight="1" x14ac:dyDescent="0.2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</row>
    <row r="887" spans="1:32" ht="12.75" customHeight="1" x14ac:dyDescent="0.2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</row>
    <row r="888" spans="1:32" ht="12.75" customHeight="1" x14ac:dyDescent="0.2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</row>
    <row r="889" spans="1:32" ht="12.75" customHeight="1" x14ac:dyDescent="0.2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</row>
    <row r="890" spans="1:32" ht="12.75" customHeight="1" x14ac:dyDescent="0.2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</row>
    <row r="891" spans="1:32" ht="12.75" customHeight="1" x14ac:dyDescent="0.2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</row>
    <row r="892" spans="1:32" ht="12.75" customHeight="1" x14ac:dyDescent="0.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</row>
    <row r="893" spans="1:32" ht="12.75" customHeight="1" x14ac:dyDescent="0.2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</row>
    <row r="894" spans="1:32" ht="12.75" customHeight="1" x14ac:dyDescent="0.2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</row>
    <row r="895" spans="1:32" ht="12.75" customHeight="1" x14ac:dyDescent="0.2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</row>
    <row r="896" spans="1:32" ht="12.75" customHeight="1" x14ac:dyDescent="0.2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</row>
    <row r="897" spans="1:32" ht="12.75" customHeight="1" x14ac:dyDescent="0.2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</row>
    <row r="898" spans="1:32" ht="12.75" customHeight="1" x14ac:dyDescent="0.2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</row>
    <row r="899" spans="1:32" ht="12.75" customHeight="1" x14ac:dyDescent="0.2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</row>
    <row r="900" spans="1:32" ht="12.75" customHeight="1" x14ac:dyDescent="0.2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</row>
    <row r="901" spans="1:32" ht="12.75" customHeight="1" x14ac:dyDescent="0.2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</row>
    <row r="902" spans="1:32" ht="12.75" customHeight="1" x14ac:dyDescent="0.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</row>
    <row r="903" spans="1:32" ht="12.75" customHeight="1" x14ac:dyDescent="0.2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</row>
    <row r="904" spans="1:32" ht="12.75" customHeight="1" x14ac:dyDescent="0.2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</row>
    <row r="905" spans="1:32" ht="12.75" customHeight="1" x14ac:dyDescent="0.2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</row>
    <row r="906" spans="1:32" ht="12.75" customHeight="1" x14ac:dyDescent="0.2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</row>
    <row r="907" spans="1:32" ht="12.75" customHeight="1" x14ac:dyDescent="0.2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</row>
    <row r="908" spans="1:32" ht="12.75" customHeight="1" x14ac:dyDescent="0.2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</row>
    <row r="909" spans="1:32" ht="12.75" customHeight="1" x14ac:dyDescent="0.2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</row>
    <row r="910" spans="1:32" ht="12.75" customHeight="1" x14ac:dyDescent="0.2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</row>
    <row r="911" spans="1:32" ht="12.75" customHeight="1" x14ac:dyDescent="0.2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</row>
    <row r="912" spans="1:32" ht="12.75" customHeight="1" x14ac:dyDescent="0.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</row>
    <row r="913" spans="1:32" ht="12.75" customHeight="1" x14ac:dyDescent="0.2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</row>
    <row r="914" spans="1:32" ht="12.75" customHeight="1" x14ac:dyDescent="0.2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</row>
    <row r="915" spans="1:32" ht="12.75" customHeight="1" x14ac:dyDescent="0.2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</row>
    <row r="916" spans="1:32" ht="12.75" customHeight="1" x14ac:dyDescent="0.2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</row>
    <row r="917" spans="1:32" ht="12.75" customHeight="1" x14ac:dyDescent="0.2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</row>
    <row r="918" spans="1:32" ht="12.75" customHeight="1" x14ac:dyDescent="0.2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</row>
    <row r="919" spans="1:32" ht="12.75" customHeight="1" x14ac:dyDescent="0.2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</row>
    <row r="920" spans="1:32" ht="12.75" customHeight="1" x14ac:dyDescent="0.2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</row>
    <row r="921" spans="1:32" ht="12.75" customHeight="1" x14ac:dyDescent="0.2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</row>
    <row r="922" spans="1:32" ht="12.75" customHeight="1" x14ac:dyDescent="0.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</row>
    <row r="923" spans="1:32" ht="12.75" customHeight="1" x14ac:dyDescent="0.2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</row>
    <row r="924" spans="1:32" ht="12.75" customHeight="1" x14ac:dyDescent="0.2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</row>
    <row r="925" spans="1:32" ht="12.75" customHeight="1" x14ac:dyDescent="0.2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</row>
    <row r="926" spans="1:32" ht="12.75" customHeight="1" x14ac:dyDescent="0.2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</row>
    <row r="927" spans="1:32" ht="12.75" customHeight="1" x14ac:dyDescent="0.2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</row>
    <row r="928" spans="1:32" ht="12.75" customHeight="1" x14ac:dyDescent="0.2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</row>
    <row r="929" spans="1:32" ht="12.75" customHeight="1" x14ac:dyDescent="0.2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</row>
    <row r="930" spans="1:32" ht="12.75" customHeight="1" x14ac:dyDescent="0.2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</row>
    <row r="931" spans="1:32" ht="12.75" customHeight="1" x14ac:dyDescent="0.2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</row>
    <row r="932" spans="1:32" ht="12.75" customHeight="1" x14ac:dyDescent="0.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</row>
    <row r="933" spans="1:32" ht="12.75" customHeight="1" x14ac:dyDescent="0.2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</row>
    <row r="934" spans="1:32" ht="12.75" customHeight="1" x14ac:dyDescent="0.2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</row>
    <row r="935" spans="1:32" ht="12.75" customHeight="1" x14ac:dyDescent="0.2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</row>
    <row r="936" spans="1:32" ht="12.75" customHeight="1" x14ac:dyDescent="0.2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</row>
    <row r="937" spans="1:32" ht="12.75" customHeight="1" x14ac:dyDescent="0.2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</row>
    <row r="938" spans="1:32" ht="12.75" customHeight="1" x14ac:dyDescent="0.2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</row>
    <row r="939" spans="1:32" ht="12.75" customHeight="1" x14ac:dyDescent="0.2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</row>
    <row r="940" spans="1:32" ht="12.75" customHeight="1" x14ac:dyDescent="0.2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</row>
    <row r="941" spans="1:32" ht="12.75" customHeight="1" x14ac:dyDescent="0.2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</row>
    <row r="942" spans="1:32" ht="12.75" customHeight="1" x14ac:dyDescent="0.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</row>
    <row r="943" spans="1:32" ht="12.75" customHeight="1" x14ac:dyDescent="0.2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</row>
    <row r="944" spans="1:32" ht="12.75" customHeight="1" x14ac:dyDescent="0.2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</row>
    <row r="945" spans="1:32" ht="12.75" customHeight="1" x14ac:dyDescent="0.2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</row>
    <row r="946" spans="1:32" ht="12.75" customHeight="1" x14ac:dyDescent="0.2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</row>
    <row r="947" spans="1:32" ht="12.75" customHeight="1" x14ac:dyDescent="0.2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</row>
    <row r="948" spans="1:32" ht="12.75" customHeight="1" x14ac:dyDescent="0.2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</row>
    <row r="949" spans="1:32" ht="12.75" customHeight="1" x14ac:dyDescent="0.2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</row>
    <row r="950" spans="1:32" ht="12.75" customHeight="1" x14ac:dyDescent="0.2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</row>
    <row r="951" spans="1:32" ht="12.75" customHeight="1" x14ac:dyDescent="0.2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</row>
    <row r="952" spans="1:32" ht="12.75" customHeight="1" x14ac:dyDescent="0.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</row>
    <row r="953" spans="1:32" ht="12.75" customHeight="1" x14ac:dyDescent="0.2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</row>
    <row r="954" spans="1:32" ht="12.75" customHeight="1" x14ac:dyDescent="0.2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</row>
    <row r="955" spans="1:32" ht="12.75" customHeight="1" x14ac:dyDescent="0.2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</row>
    <row r="956" spans="1:32" ht="12.75" customHeight="1" x14ac:dyDescent="0.2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</row>
    <row r="957" spans="1:32" ht="12.75" customHeight="1" x14ac:dyDescent="0.2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</row>
    <row r="958" spans="1:32" ht="12.75" customHeight="1" x14ac:dyDescent="0.2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</row>
    <row r="959" spans="1:32" ht="12.75" customHeight="1" x14ac:dyDescent="0.2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</row>
    <row r="960" spans="1:32" ht="12.75" customHeight="1" x14ac:dyDescent="0.2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</row>
    <row r="961" spans="1:32" ht="12.75" customHeight="1" x14ac:dyDescent="0.2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</row>
    <row r="962" spans="1:32" ht="12.75" customHeight="1" x14ac:dyDescent="0.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</row>
    <row r="963" spans="1:32" ht="12.75" customHeight="1" x14ac:dyDescent="0.2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</row>
    <row r="964" spans="1:32" ht="12.75" customHeight="1" x14ac:dyDescent="0.2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</row>
    <row r="965" spans="1:32" ht="12.75" customHeight="1" x14ac:dyDescent="0.2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</row>
    <row r="966" spans="1:32" ht="12.75" customHeight="1" x14ac:dyDescent="0.2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</row>
    <row r="967" spans="1:32" ht="12.75" customHeight="1" x14ac:dyDescent="0.2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</row>
    <row r="968" spans="1:32" ht="12.75" customHeight="1" x14ac:dyDescent="0.2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</row>
    <row r="969" spans="1:32" ht="12.75" customHeight="1" x14ac:dyDescent="0.2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</row>
    <row r="970" spans="1:32" ht="12.75" customHeight="1" x14ac:dyDescent="0.2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</row>
    <row r="971" spans="1:32" ht="12.75" customHeight="1" x14ac:dyDescent="0.2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</row>
    <row r="972" spans="1:32" ht="12.75" customHeight="1" x14ac:dyDescent="0.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</row>
    <row r="973" spans="1:32" ht="12.75" customHeight="1" x14ac:dyDescent="0.2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</row>
    <row r="974" spans="1:32" ht="12.75" customHeight="1" x14ac:dyDescent="0.2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</row>
    <row r="975" spans="1:32" ht="12.75" customHeight="1" x14ac:dyDescent="0.2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</row>
    <row r="976" spans="1:32" ht="12.75" customHeight="1" x14ac:dyDescent="0.2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</row>
    <row r="977" spans="1:32" ht="12.75" customHeight="1" x14ac:dyDescent="0.2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</row>
    <row r="978" spans="1:32" ht="12.75" customHeight="1" x14ac:dyDescent="0.2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</row>
    <row r="979" spans="1:32" ht="12.75" customHeight="1" x14ac:dyDescent="0.2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</row>
    <row r="980" spans="1:32" ht="12.75" customHeight="1" x14ac:dyDescent="0.2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</row>
    <row r="981" spans="1:32" ht="12.75" customHeight="1" x14ac:dyDescent="0.2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</row>
    <row r="982" spans="1:32" ht="12.75" customHeight="1" x14ac:dyDescent="0.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</row>
    <row r="983" spans="1:32" ht="12.75" customHeight="1" x14ac:dyDescent="0.2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</row>
    <row r="984" spans="1:32" ht="12.75" customHeight="1" x14ac:dyDescent="0.2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</row>
    <row r="985" spans="1:32" ht="12.75" customHeight="1" x14ac:dyDescent="0.2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</row>
    <row r="986" spans="1:32" ht="12.75" customHeight="1" x14ac:dyDescent="0.2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</row>
    <row r="987" spans="1:32" ht="12.75" customHeight="1" x14ac:dyDescent="0.2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</row>
    <row r="988" spans="1:32" ht="12.75" customHeight="1" x14ac:dyDescent="0.2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</row>
    <row r="989" spans="1:32" ht="12.75" customHeight="1" x14ac:dyDescent="0.2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</row>
    <row r="990" spans="1:32" ht="12.75" customHeight="1" x14ac:dyDescent="0.2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</row>
    <row r="991" spans="1:32" ht="12.75" customHeight="1" x14ac:dyDescent="0.2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</row>
    <row r="992" spans="1:32" ht="12.75" customHeight="1" x14ac:dyDescent="0.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</row>
    <row r="993" spans="1:32" ht="12.75" customHeight="1" x14ac:dyDescent="0.2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</row>
    <row r="994" spans="1:32" ht="12.75" customHeight="1" x14ac:dyDescent="0.2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</row>
    <row r="995" spans="1:32" ht="12.75" customHeight="1" x14ac:dyDescent="0.2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</row>
    <row r="996" spans="1:32" ht="12.75" customHeight="1" x14ac:dyDescent="0.2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</row>
    <row r="997" spans="1:32" ht="12.75" customHeight="1" x14ac:dyDescent="0.2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</row>
    <row r="998" spans="1:32" ht="12.75" customHeight="1" x14ac:dyDescent="0.2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</row>
    <row r="999" spans="1:32" ht="12.75" customHeight="1" x14ac:dyDescent="0.2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</row>
    <row r="1000" spans="1:32" ht="12.75" customHeight="1" x14ac:dyDescent="0.2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</row>
  </sheetData>
  <mergeCells count="1">
    <mergeCell ref="E4:J6"/>
  </mergeCells>
  <pageMargins left="0.7" right="0.7" top="0.75" bottom="0.75" header="0" footer="0"/>
  <pageSetup orientation="landscape"/>
  <ignoredErrors>
    <ignoredError sqref="L15 J5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0C1"/>
  </sheetPr>
  <dimension ref="A1:AM1000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6" sqref="B6:K6"/>
    </sheetView>
  </sheetViews>
  <sheetFormatPr baseColWidth="10" defaultColWidth="14.5" defaultRowHeight="15" customHeight="1" x14ac:dyDescent="0.2"/>
  <cols>
    <col min="1" max="1" width="11.83203125" customWidth="1"/>
    <col min="2" max="2" width="1.6640625" customWidth="1"/>
    <col min="3" max="3" width="56.5" customWidth="1"/>
    <col min="4" max="14" width="8" hidden="1" customWidth="1"/>
    <col min="15" max="15" width="8.1640625" customWidth="1"/>
    <col min="16" max="16" width="8.83203125" customWidth="1"/>
    <col min="17" max="17" width="9.83203125" customWidth="1"/>
    <col min="18" max="18" width="10.83203125" customWidth="1"/>
    <col min="19" max="19" width="7.5" customWidth="1"/>
    <col min="20" max="39" width="8" customWidth="1"/>
  </cols>
  <sheetData>
    <row r="1" spans="1:39" ht="13.5" customHeight="1" x14ac:dyDescent="0.3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  <c r="W1" s="3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3.5" customHeight="1" x14ac:dyDescent="0.3">
      <c r="A2" s="4"/>
      <c r="B2" s="4"/>
      <c r="C2" s="5" t="s">
        <v>1</v>
      </c>
      <c r="D2" s="6"/>
      <c r="E2" s="6"/>
      <c r="F2" s="6"/>
      <c r="G2" s="6"/>
      <c r="H2" s="6"/>
      <c r="I2" s="6"/>
      <c r="J2" s="6"/>
      <c r="K2" s="6"/>
      <c r="L2" s="170"/>
      <c r="M2" s="6"/>
      <c r="N2" s="6"/>
      <c r="O2" s="6"/>
      <c r="P2" s="6"/>
      <c r="Q2" s="6"/>
      <c r="R2" s="6"/>
      <c r="S2" s="6"/>
      <c r="T2" s="6"/>
      <c r="U2" s="6"/>
      <c r="V2" s="4"/>
      <c r="W2" s="6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13.5" customHeight="1" x14ac:dyDescent="0.2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</row>
    <row r="4" spans="1:39" ht="14.25" customHeight="1" x14ac:dyDescent="0.2">
      <c r="A4" s="171"/>
      <c r="B4" s="171"/>
      <c r="C4" s="218" t="s">
        <v>143</v>
      </c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20"/>
      <c r="T4" s="171"/>
      <c r="U4" s="171"/>
      <c r="V4" s="171"/>
      <c r="W4" s="171"/>
      <c r="X4" s="171"/>
      <c r="Y4" s="171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</row>
    <row r="5" spans="1:39" ht="40.5" customHeight="1" x14ac:dyDescent="0.2">
      <c r="A5" s="171"/>
      <c r="B5" s="171"/>
      <c r="C5" s="221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3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</row>
    <row r="6" spans="1:39" ht="13.5" customHeight="1" x14ac:dyDescent="0.2">
      <c r="A6" s="171"/>
      <c r="B6" s="239"/>
      <c r="C6" s="240"/>
      <c r="D6" s="240"/>
      <c r="E6" s="240"/>
      <c r="F6" s="240"/>
      <c r="G6" s="240"/>
      <c r="H6" s="240"/>
      <c r="I6" s="240"/>
      <c r="J6" s="240"/>
      <c r="K6" s="228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171"/>
    </row>
    <row r="7" spans="1:39" ht="13.5" customHeight="1" x14ac:dyDescent="0.2">
      <c r="A7" s="171"/>
      <c r="B7" s="172"/>
      <c r="C7" s="173"/>
      <c r="D7" s="174" t="s">
        <v>89</v>
      </c>
      <c r="E7" s="175">
        <v>2001</v>
      </c>
      <c r="F7" s="175">
        <v>2002</v>
      </c>
      <c r="G7" s="175">
        <v>2003</v>
      </c>
      <c r="H7" s="175">
        <v>2004</v>
      </c>
      <c r="I7" s="175">
        <v>2005</v>
      </c>
      <c r="J7" s="175">
        <v>2006</v>
      </c>
      <c r="K7" s="175">
        <v>2007</v>
      </c>
      <c r="L7" s="175">
        <v>2008</v>
      </c>
      <c r="M7" s="175">
        <v>2009</v>
      </c>
      <c r="N7" s="175">
        <v>2010</v>
      </c>
      <c r="O7" s="175">
        <v>2015</v>
      </c>
      <c r="P7" s="175">
        <v>2016</v>
      </c>
      <c r="Q7" s="175">
        <v>2017</v>
      </c>
      <c r="R7" s="175">
        <v>2018</v>
      </c>
      <c r="S7" s="175">
        <v>2019</v>
      </c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</row>
    <row r="8" spans="1:39" ht="13.5" customHeight="1" x14ac:dyDescent="0.2">
      <c r="A8" s="171"/>
      <c r="B8" s="171"/>
      <c r="C8" s="176" t="s">
        <v>90</v>
      </c>
      <c r="D8" s="177"/>
      <c r="E8" s="241" t="s">
        <v>91</v>
      </c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2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</row>
    <row r="9" spans="1:39" ht="13.5" customHeight="1" x14ac:dyDescent="0.2">
      <c r="A9" s="171"/>
      <c r="B9" s="171"/>
      <c r="C9" s="178" t="s">
        <v>92</v>
      </c>
      <c r="D9" s="179" t="s">
        <v>93</v>
      </c>
      <c r="E9" s="180">
        <f t="shared" ref="E9:S9" si="0">E10+E11</f>
        <v>12.693243000000001</v>
      </c>
      <c r="F9" s="180">
        <f t="shared" si="0"/>
        <v>42.755780666666695</v>
      </c>
      <c r="G9" s="180">
        <f t="shared" si="0"/>
        <v>34.714988913462903</v>
      </c>
      <c r="H9" s="180">
        <f t="shared" si="0"/>
        <v>34.375267732343104</v>
      </c>
      <c r="I9" s="180">
        <f t="shared" si="0"/>
        <v>32.288283013757194</v>
      </c>
      <c r="J9" s="180">
        <f t="shared" si="0"/>
        <v>51.849721750630998</v>
      </c>
      <c r="K9" s="180">
        <f t="shared" si="0"/>
        <v>35.611494598521602</v>
      </c>
      <c r="L9" s="180">
        <f t="shared" si="0"/>
        <v>36.775442453924398</v>
      </c>
      <c r="M9" s="180">
        <f t="shared" si="0"/>
        <v>53.634492680522598</v>
      </c>
      <c r="N9" s="180">
        <f t="shared" si="0"/>
        <v>33.4685916986707</v>
      </c>
      <c r="O9" s="180">
        <f t="shared" si="0"/>
        <v>60</v>
      </c>
      <c r="P9" s="180">
        <f t="shared" si="0"/>
        <v>62</v>
      </c>
      <c r="Q9" s="180">
        <f t="shared" si="0"/>
        <v>66</v>
      </c>
      <c r="R9" s="180">
        <f t="shared" si="0"/>
        <v>70</v>
      </c>
      <c r="S9" s="181">
        <f t="shared" si="0"/>
        <v>69</v>
      </c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/>
      <c r="AM9" s="171"/>
    </row>
    <row r="10" spans="1:39" ht="13.5" customHeight="1" x14ac:dyDescent="0.2">
      <c r="A10" s="171"/>
      <c r="B10" s="171"/>
      <c r="C10" s="182" t="s">
        <v>94</v>
      </c>
      <c r="D10" s="183"/>
      <c r="E10" s="184">
        <v>12.693243000000001</v>
      </c>
      <c r="F10" s="184">
        <v>11.966113999999999</v>
      </c>
      <c r="G10" s="184">
        <v>11.96733</v>
      </c>
      <c r="H10" s="184">
        <v>11.610117000000001</v>
      </c>
      <c r="I10" s="184">
        <v>12.670703</v>
      </c>
      <c r="J10" s="184">
        <v>14.509728000000001</v>
      </c>
      <c r="K10" s="184">
        <v>16.721703999999999</v>
      </c>
      <c r="L10" s="184">
        <v>16.568691999999999</v>
      </c>
      <c r="M10" s="184">
        <v>12.789577</v>
      </c>
      <c r="N10" s="184">
        <v>14.161993000000001</v>
      </c>
      <c r="O10" s="184">
        <v>10</v>
      </c>
      <c r="P10" s="184">
        <v>10</v>
      </c>
      <c r="Q10" s="184">
        <v>11</v>
      </c>
      <c r="R10" s="184">
        <v>12</v>
      </c>
      <c r="S10" s="185">
        <v>12</v>
      </c>
      <c r="T10" s="171"/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</row>
    <row r="11" spans="1:39" ht="13.5" customHeight="1" x14ac:dyDescent="0.2">
      <c r="A11" s="171"/>
      <c r="B11" s="186"/>
      <c r="C11" s="182" t="s">
        <v>95</v>
      </c>
      <c r="D11" s="183"/>
      <c r="E11" s="184">
        <v>0</v>
      </c>
      <c r="F11" s="184">
        <v>30.789666666666697</v>
      </c>
      <c r="G11" s="184">
        <v>22.747658913462899</v>
      </c>
      <c r="H11" s="184">
        <v>22.765150732343102</v>
      </c>
      <c r="I11" s="184">
        <v>19.617580013757198</v>
      </c>
      <c r="J11" s="184">
        <v>37.339993750630995</v>
      </c>
      <c r="K11" s="184">
        <v>18.8897905985216</v>
      </c>
      <c r="L11" s="184">
        <v>20.2067504539244</v>
      </c>
      <c r="M11" s="184">
        <v>40.844915680522597</v>
      </c>
      <c r="N11" s="184">
        <v>19.306598698670701</v>
      </c>
      <c r="O11" s="184">
        <v>50</v>
      </c>
      <c r="P11" s="184">
        <v>52</v>
      </c>
      <c r="Q11" s="184">
        <v>55</v>
      </c>
      <c r="R11" s="184">
        <v>58</v>
      </c>
      <c r="S11" s="185">
        <v>57</v>
      </c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</row>
    <row r="12" spans="1:39" ht="13.5" customHeight="1" x14ac:dyDescent="0.2">
      <c r="A12" s="171"/>
      <c r="B12" s="171"/>
      <c r="C12" s="182" t="s">
        <v>96</v>
      </c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7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</row>
    <row r="13" spans="1:39" ht="13.5" customHeight="1" x14ac:dyDescent="0.2">
      <c r="A13" s="171"/>
      <c r="B13" s="171"/>
      <c r="C13" s="182" t="s">
        <v>97</v>
      </c>
      <c r="D13" s="183"/>
      <c r="E13" s="184">
        <v>171.48069999999998</v>
      </c>
      <c r="F13" s="184">
        <v>173.82380000000001</v>
      </c>
      <c r="G13" s="184">
        <v>177.4229</v>
      </c>
      <c r="H13" s="184">
        <v>201.99990000000003</v>
      </c>
      <c r="I13" s="184">
        <v>230.3689</v>
      </c>
      <c r="J13" s="184">
        <v>266.22739999999999</v>
      </c>
      <c r="K13" s="184">
        <v>289.5369</v>
      </c>
      <c r="L13" s="184">
        <v>309.55870000000004</v>
      </c>
      <c r="M13" s="184">
        <v>244.79929999999999</v>
      </c>
      <c r="N13" s="184">
        <v>314.09450000000004</v>
      </c>
      <c r="O13" s="184">
        <v>140.19999999999999</v>
      </c>
      <c r="P13" s="184">
        <v>141.69999999999999</v>
      </c>
      <c r="Q13" s="184">
        <v>152.5</v>
      </c>
      <c r="R13" s="184">
        <v>171.7</v>
      </c>
      <c r="S13" s="185">
        <v>160.69999999999999</v>
      </c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</row>
    <row r="14" spans="1:39" ht="13.5" customHeight="1" x14ac:dyDescent="0.2">
      <c r="A14" s="171"/>
      <c r="B14" s="171"/>
      <c r="C14" s="188" t="s">
        <v>98</v>
      </c>
      <c r="D14" s="189"/>
      <c r="E14" s="190">
        <v>185.59020000000001</v>
      </c>
      <c r="F14" s="190">
        <v>186.72210000000001</v>
      </c>
      <c r="G14" s="190">
        <v>189.07579999999999</v>
      </c>
      <c r="H14" s="190">
        <v>217.68379999999999</v>
      </c>
      <c r="I14" s="190">
        <v>245.0992</v>
      </c>
      <c r="J14" s="190">
        <v>280.27209999999997</v>
      </c>
      <c r="K14" s="190">
        <v>307.50839999999999</v>
      </c>
      <c r="L14" s="190">
        <v>335.15009999999995</v>
      </c>
      <c r="M14" s="190">
        <v>259.9436</v>
      </c>
      <c r="N14" s="190">
        <v>327.5949</v>
      </c>
      <c r="O14" s="190">
        <v>135.80000000000001</v>
      </c>
      <c r="P14" s="190">
        <v>139.19999999999999</v>
      </c>
      <c r="Q14" s="190">
        <v>149.69999999999999</v>
      </c>
      <c r="R14" s="190">
        <v>170.1</v>
      </c>
      <c r="S14" s="191">
        <v>158.30000000000001</v>
      </c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171"/>
    </row>
    <row r="15" spans="1:39" ht="13.5" customHeight="1" x14ac:dyDescent="0.2">
      <c r="A15" s="171"/>
      <c r="B15" s="171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</row>
    <row r="16" spans="1:39" ht="13.5" customHeight="1" x14ac:dyDescent="0.2">
      <c r="A16" s="171"/>
      <c r="B16" s="171"/>
      <c r="C16" s="192"/>
      <c r="D16" s="193"/>
      <c r="E16" s="243" t="s">
        <v>99</v>
      </c>
      <c r="F16" s="225"/>
      <c r="G16" s="225"/>
      <c r="H16" s="225"/>
      <c r="I16" s="225"/>
      <c r="J16" s="225"/>
      <c r="K16" s="225"/>
      <c r="L16" s="225"/>
      <c r="M16" s="225"/>
      <c r="N16" s="225"/>
      <c r="O16" s="225"/>
      <c r="P16" s="225"/>
      <c r="Q16" s="225"/>
      <c r="R16" s="225"/>
      <c r="S16" s="226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171"/>
    </row>
    <row r="17" spans="1:39" ht="13.5" customHeight="1" x14ac:dyDescent="0.2">
      <c r="A17" s="171"/>
      <c r="B17" s="171"/>
      <c r="C17" s="194" t="s">
        <v>100</v>
      </c>
      <c r="D17" s="195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>
        <v>60</v>
      </c>
      <c r="P17" s="196">
        <v>62</v>
      </c>
      <c r="Q17" s="196">
        <v>65</v>
      </c>
      <c r="R17" s="196">
        <v>67</v>
      </c>
      <c r="S17" s="185">
        <v>64</v>
      </c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</row>
    <row r="18" spans="1:39" ht="13.5" customHeight="1" x14ac:dyDescent="0.2">
      <c r="A18" s="171"/>
      <c r="B18" s="171"/>
      <c r="C18" s="182" t="s">
        <v>101</v>
      </c>
      <c r="D18" s="183"/>
      <c r="E18" s="184" t="e">
        <v>#N/A</v>
      </c>
      <c r="F18" s="184">
        <v>161.99360000000001</v>
      </c>
      <c r="G18" s="184">
        <v>162.20439999999999</v>
      </c>
      <c r="H18" s="184">
        <v>166.1901</v>
      </c>
      <c r="I18" s="184">
        <v>172.69139999999999</v>
      </c>
      <c r="J18" s="184">
        <v>172.4821</v>
      </c>
      <c r="K18" s="184">
        <v>194.24179999999998</v>
      </c>
      <c r="L18" s="184">
        <v>200.17490000000001</v>
      </c>
      <c r="M18" s="184">
        <v>190.08629999999999</v>
      </c>
      <c r="N18" s="184">
        <v>244.44200000000001</v>
      </c>
      <c r="O18" s="184">
        <v>900</v>
      </c>
      <c r="P18" s="184">
        <v>920</v>
      </c>
      <c r="Q18" s="184">
        <v>950</v>
      </c>
      <c r="R18" s="184">
        <v>980</v>
      </c>
      <c r="S18" s="185">
        <v>960</v>
      </c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</row>
    <row r="19" spans="1:39" ht="13.5" customHeight="1" x14ac:dyDescent="0.2">
      <c r="A19" s="171"/>
      <c r="B19" s="171"/>
      <c r="C19" s="197" t="s">
        <v>102</v>
      </c>
      <c r="D19" s="198" t="s">
        <v>103</v>
      </c>
      <c r="E19" s="199" t="e">
        <f t="shared" ref="E19:N19" si="1">E20+E21</f>
        <v>#N/A</v>
      </c>
      <c r="F19" s="199">
        <f t="shared" si="1"/>
        <v>53.193266666666695</v>
      </c>
      <c r="G19" s="199">
        <f t="shared" si="1"/>
        <v>44.888158913462902</v>
      </c>
      <c r="H19" s="199">
        <f t="shared" si="1"/>
        <v>41.481450732343106</v>
      </c>
      <c r="I19" s="199">
        <f t="shared" si="1"/>
        <v>39.760880013757202</v>
      </c>
      <c r="J19" s="199">
        <f t="shared" si="1"/>
        <v>61.865893750630988</v>
      </c>
      <c r="K19" s="199">
        <f t="shared" si="1"/>
        <v>43.131290598521602</v>
      </c>
      <c r="L19" s="199">
        <f t="shared" si="1"/>
        <v>43.046150453924398</v>
      </c>
      <c r="M19" s="199">
        <f t="shared" si="1"/>
        <v>63.097615680522594</v>
      </c>
      <c r="N19" s="199">
        <f t="shared" si="1"/>
        <v>53.70449869867069</v>
      </c>
      <c r="O19" s="199">
        <f>O20+O21</f>
        <v>200</v>
      </c>
      <c r="P19" s="199">
        <f t="shared" ref="P19:S19" si="2">P20+P21</f>
        <v>210</v>
      </c>
      <c r="Q19" s="199">
        <f t="shared" si="2"/>
        <v>220</v>
      </c>
      <c r="R19" s="199">
        <f t="shared" si="2"/>
        <v>230</v>
      </c>
      <c r="S19" s="199">
        <f t="shared" si="2"/>
        <v>225</v>
      </c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</row>
    <row r="20" spans="1:39" ht="13.5" customHeight="1" x14ac:dyDescent="0.2">
      <c r="A20" s="171"/>
      <c r="B20" s="171"/>
      <c r="C20" s="182" t="s">
        <v>104</v>
      </c>
      <c r="D20" s="183"/>
      <c r="E20" s="184" t="e">
        <v>#N/A</v>
      </c>
      <c r="F20" s="184">
        <v>22.403599999999997</v>
      </c>
      <c r="G20" s="184">
        <v>22.140499999999999</v>
      </c>
      <c r="H20" s="184">
        <v>18.7163</v>
      </c>
      <c r="I20" s="184">
        <v>20.1433</v>
      </c>
      <c r="J20" s="184">
        <v>24.525899999999996</v>
      </c>
      <c r="K20" s="184">
        <v>24.241499999999998</v>
      </c>
      <c r="L20" s="184">
        <v>22.839399999999998</v>
      </c>
      <c r="M20" s="184">
        <v>22.252699999999997</v>
      </c>
      <c r="N20" s="184">
        <v>34.397899999999993</v>
      </c>
      <c r="O20" s="184">
        <v>150</v>
      </c>
      <c r="P20" s="184">
        <v>158</v>
      </c>
      <c r="Q20" s="184">
        <v>165</v>
      </c>
      <c r="R20" s="184">
        <v>172</v>
      </c>
      <c r="S20" s="185">
        <v>168</v>
      </c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</row>
    <row r="21" spans="1:39" ht="13.5" customHeight="1" x14ac:dyDescent="0.2">
      <c r="A21" s="171"/>
      <c r="B21" s="171"/>
      <c r="C21" s="182" t="s">
        <v>105</v>
      </c>
      <c r="D21" s="183"/>
      <c r="E21" s="184">
        <v>0</v>
      </c>
      <c r="F21" s="184">
        <v>30.789666666666697</v>
      </c>
      <c r="G21" s="184">
        <v>22.747658913462899</v>
      </c>
      <c r="H21" s="184">
        <v>22.765150732343102</v>
      </c>
      <c r="I21" s="184">
        <v>19.617580013757198</v>
      </c>
      <c r="J21" s="184">
        <v>37.339993750630995</v>
      </c>
      <c r="K21" s="184">
        <v>18.8897905985216</v>
      </c>
      <c r="L21" s="184">
        <v>20.2067504539244</v>
      </c>
      <c r="M21" s="184">
        <v>40.844915680522597</v>
      </c>
      <c r="N21" s="184">
        <v>19.306598698670701</v>
      </c>
      <c r="O21" s="184">
        <v>50</v>
      </c>
      <c r="P21" s="184">
        <v>52</v>
      </c>
      <c r="Q21" s="184">
        <v>55</v>
      </c>
      <c r="R21" s="184">
        <v>58</v>
      </c>
      <c r="S21" s="185">
        <v>57</v>
      </c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</row>
    <row r="22" spans="1:39" ht="13.5" customHeight="1" x14ac:dyDescent="0.2">
      <c r="A22" s="171"/>
      <c r="B22" s="171"/>
      <c r="C22" s="182" t="s">
        <v>106</v>
      </c>
      <c r="D22" s="183"/>
      <c r="E22" s="184">
        <v>5.0432000000000006</v>
      </c>
      <c r="F22" s="184">
        <v>-6.4206000000000003</v>
      </c>
      <c r="G22" s="184">
        <v>6.0433999999999992</v>
      </c>
      <c r="H22" s="184">
        <v>10.822799999999999</v>
      </c>
      <c r="I22" s="184">
        <v>14.164399999999999</v>
      </c>
      <c r="J22" s="184">
        <v>-2.1374</v>
      </c>
      <c r="K22" s="184">
        <v>48.019599999999997</v>
      </c>
      <c r="L22" s="184">
        <v>19.307300000000001</v>
      </c>
      <c r="M22" s="184">
        <v>28.774899999999999</v>
      </c>
      <c r="N22" s="184">
        <v>107.80149999999999</v>
      </c>
      <c r="O22" s="184">
        <v>75</v>
      </c>
      <c r="P22" s="184">
        <v>77.5</v>
      </c>
      <c r="Q22" s="184">
        <v>80</v>
      </c>
      <c r="R22" s="184">
        <v>82.5</v>
      </c>
      <c r="S22" s="185">
        <v>85</v>
      </c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</row>
    <row r="23" spans="1:39" ht="13.5" customHeight="1" x14ac:dyDescent="0.2">
      <c r="A23" s="171"/>
      <c r="B23" s="171"/>
      <c r="C23" s="182" t="s">
        <v>142</v>
      </c>
      <c r="D23" s="183"/>
      <c r="E23" s="184">
        <v>3019.9</v>
      </c>
      <c r="F23" s="184">
        <v>3333.3</v>
      </c>
      <c r="G23" s="184">
        <v>3788.59</v>
      </c>
      <c r="H23" s="184">
        <v>4245.47</v>
      </c>
      <c r="I23" s="184">
        <v>4875.3599999999997</v>
      </c>
      <c r="J23" s="184">
        <v>5511.49</v>
      </c>
      <c r="K23" s="184">
        <v>6129.49</v>
      </c>
      <c r="L23" s="184">
        <v>7157.42</v>
      </c>
      <c r="M23" s="184">
        <v>7592.8</v>
      </c>
      <c r="N23" s="184">
        <v>8504.1299999999992</v>
      </c>
      <c r="O23" s="184">
        <v>2800</v>
      </c>
      <c r="P23" s="184">
        <v>2950</v>
      </c>
      <c r="Q23" s="184">
        <v>3100</v>
      </c>
      <c r="R23" s="184">
        <v>3250</v>
      </c>
      <c r="S23" s="185">
        <v>3400</v>
      </c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</row>
    <row r="24" spans="1:39" ht="13.5" customHeight="1" x14ac:dyDescent="0.2">
      <c r="A24" s="171"/>
      <c r="B24" s="171"/>
      <c r="C24" s="200" t="s">
        <v>107</v>
      </c>
      <c r="D24" s="199" t="s">
        <v>108</v>
      </c>
      <c r="E24" s="199">
        <f t="shared" ref="E24:N24" si="3">E23/E26</f>
        <v>330.32169147807446</v>
      </c>
      <c r="F24" s="199">
        <f t="shared" si="3"/>
        <v>323.22909090909093</v>
      </c>
      <c r="G24" s="199">
        <f t="shared" si="3"/>
        <v>337.18316126735493</v>
      </c>
      <c r="H24" s="199">
        <f t="shared" si="3"/>
        <v>376.87930544705637</v>
      </c>
      <c r="I24" s="199">
        <f t="shared" si="3"/>
        <v>452.35625411729774</v>
      </c>
      <c r="J24" s="199">
        <f t="shared" si="3"/>
        <v>506.52421652421651</v>
      </c>
      <c r="K24" s="199">
        <f t="shared" si="3"/>
        <v>564.08772155859458</v>
      </c>
      <c r="L24" s="199">
        <f t="shared" si="3"/>
        <v>528.67937628801258</v>
      </c>
      <c r="M24" s="199">
        <f t="shared" si="3"/>
        <v>581.43613070213723</v>
      </c>
      <c r="N24" s="199">
        <f t="shared" si="3"/>
        <v>688.19787814292988</v>
      </c>
      <c r="O24" s="199">
        <f>O23/O26</f>
        <v>331.95020746887963</v>
      </c>
      <c r="P24" s="199">
        <f t="shared" ref="P24:S24" si="4">P23/P26</f>
        <v>344.58591286064711</v>
      </c>
      <c r="Q24" s="199">
        <f t="shared" si="4"/>
        <v>362.78525453481569</v>
      </c>
      <c r="R24" s="199">
        <f t="shared" si="4"/>
        <v>373.90704095720201</v>
      </c>
      <c r="S24" s="199">
        <f t="shared" si="4"/>
        <v>359.40803382663847</v>
      </c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</row>
    <row r="25" spans="1:39" ht="13.5" customHeight="1" x14ac:dyDescent="0.2">
      <c r="A25" s="171"/>
      <c r="B25" s="171"/>
      <c r="C25" s="182" t="s">
        <v>109</v>
      </c>
      <c r="D25" s="201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7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</row>
    <row r="26" spans="1:39" ht="13.5" customHeight="1" x14ac:dyDescent="0.2">
      <c r="A26" s="171"/>
      <c r="B26" s="171"/>
      <c r="C26" s="182" t="s">
        <v>141</v>
      </c>
      <c r="D26" s="183"/>
      <c r="E26" s="184">
        <v>9.1423000000000005</v>
      </c>
      <c r="F26" s="184">
        <v>10.3125</v>
      </c>
      <c r="G26" s="184">
        <v>11.236000000000001</v>
      </c>
      <c r="H26" s="184">
        <v>11.264799999999999</v>
      </c>
      <c r="I26" s="184">
        <v>10.777699999999999</v>
      </c>
      <c r="J26" s="184">
        <v>10.881</v>
      </c>
      <c r="K26" s="184">
        <v>10.866199999999999</v>
      </c>
      <c r="L26" s="184">
        <v>13.5383</v>
      </c>
      <c r="M26" s="184">
        <v>13.0587</v>
      </c>
      <c r="N26" s="184">
        <v>12.357100000000001</v>
      </c>
      <c r="O26" s="184">
        <v>8.4350000000000005</v>
      </c>
      <c r="P26" s="184">
        <v>8.5609999999999999</v>
      </c>
      <c r="Q26" s="184">
        <v>8.5449999999999999</v>
      </c>
      <c r="R26" s="184">
        <v>8.6920000000000002</v>
      </c>
      <c r="S26" s="185">
        <v>9.4600000000000009</v>
      </c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</row>
    <row r="27" spans="1:39" ht="13.5" customHeight="1" x14ac:dyDescent="0.2">
      <c r="A27" s="171"/>
      <c r="B27" s="171"/>
      <c r="C27" s="188" t="s">
        <v>110</v>
      </c>
      <c r="D27" s="189"/>
      <c r="E27" s="190">
        <v>725.18299999999999</v>
      </c>
      <c r="F27" s="190">
        <v>741.947</v>
      </c>
      <c r="G27" s="190">
        <v>713.43799999999999</v>
      </c>
      <c r="H27" s="190">
        <v>769.96299999999997</v>
      </c>
      <c r="I27" s="190">
        <v>866.51300000000003</v>
      </c>
      <c r="J27" s="190">
        <v>966.31899999999996</v>
      </c>
      <c r="K27" s="190">
        <v>1042.81</v>
      </c>
      <c r="L27" s="190">
        <v>1111.0529999999999</v>
      </c>
      <c r="M27" s="190">
        <v>896.26700000000005</v>
      </c>
      <c r="N27" s="190">
        <v>1051.316</v>
      </c>
      <c r="O27" s="190">
        <v>505.1</v>
      </c>
      <c r="P27" s="190">
        <v>515.70000000000005</v>
      </c>
      <c r="Q27" s="190">
        <v>541</v>
      </c>
      <c r="R27" s="190">
        <v>555.5</v>
      </c>
      <c r="S27" s="191">
        <v>533.9</v>
      </c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</row>
    <row r="28" spans="1:39" ht="13.5" customHeight="1" x14ac:dyDescent="0.2">
      <c r="A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</row>
    <row r="29" spans="1:39" ht="13.5" hidden="1" customHeight="1" x14ac:dyDescent="0.2">
      <c r="A29" s="171"/>
      <c r="B29" s="171"/>
      <c r="C29" s="202" t="s">
        <v>111</v>
      </c>
      <c r="D29" s="203"/>
      <c r="E29" s="244" t="s">
        <v>111</v>
      </c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28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</row>
    <row r="30" spans="1:39" ht="13.5" hidden="1" customHeight="1" x14ac:dyDescent="0.2">
      <c r="A30" s="171"/>
      <c r="C30" s="204" t="s">
        <v>112</v>
      </c>
      <c r="D30" s="205" t="s">
        <v>113</v>
      </c>
      <c r="E30" s="206" t="e">
        <f t="shared" ref="E30:S30" si="5">E18/E13*100</f>
        <v>#N/A</v>
      </c>
      <c r="F30" s="206">
        <f t="shared" si="5"/>
        <v>93.194142574261988</v>
      </c>
      <c r="G30" s="206">
        <f t="shared" si="5"/>
        <v>91.422471394617048</v>
      </c>
      <c r="H30" s="206">
        <f t="shared" si="5"/>
        <v>82.272367461568038</v>
      </c>
      <c r="I30" s="206">
        <f t="shared" si="5"/>
        <v>74.962983284636081</v>
      </c>
      <c r="J30" s="206">
        <f t="shared" si="5"/>
        <v>64.787508723745191</v>
      </c>
      <c r="K30" s="206">
        <f t="shared" si="5"/>
        <v>67.087062132667711</v>
      </c>
      <c r="L30" s="206">
        <f t="shared" si="5"/>
        <v>64.664601576373073</v>
      </c>
      <c r="M30" s="206">
        <f t="shared" si="5"/>
        <v>77.649854390923494</v>
      </c>
      <c r="N30" s="206">
        <f t="shared" si="5"/>
        <v>77.824349041450887</v>
      </c>
      <c r="O30" s="206">
        <f t="shared" si="5"/>
        <v>641.94008559201143</v>
      </c>
      <c r="P30" s="206">
        <f t="shared" si="5"/>
        <v>649.25899788285108</v>
      </c>
      <c r="Q30" s="206">
        <f t="shared" si="5"/>
        <v>622.95081967213116</v>
      </c>
      <c r="R30" s="206">
        <f t="shared" si="5"/>
        <v>570.76295864880603</v>
      </c>
      <c r="S30" s="206">
        <f t="shared" si="5"/>
        <v>597.38643434972005</v>
      </c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</row>
    <row r="31" spans="1:39" ht="13.5" hidden="1" customHeight="1" x14ac:dyDescent="0.2">
      <c r="A31" s="171"/>
      <c r="B31" s="186"/>
      <c r="C31" s="204" t="s">
        <v>114</v>
      </c>
      <c r="D31" s="205" t="s">
        <v>115</v>
      </c>
      <c r="E31" s="206" t="e">
        <f t="shared" ref="E31:S31" si="6">E18/E27*100</f>
        <v>#N/A</v>
      </c>
      <c r="F31" s="206">
        <f t="shared" si="6"/>
        <v>21.833581104849809</v>
      </c>
      <c r="G31" s="206">
        <f t="shared" si="6"/>
        <v>22.735598608428482</v>
      </c>
      <c r="H31" s="206">
        <f t="shared" si="6"/>
        <v>21.58416703140281</v>
      </c>
      <c r="I31" s="206">
        <f t="shared" si="6"/>
        <v>19.929464416575399</v>
      </c>
      <c r="J31" s="206">
        <f t="shared" si="6"/>
        <v>17.849395489481218</v>
      </c>
      <c r="K31" s="206">
        <f t="shared" si="6"/>
        <v>18.626768059378026</v>
      </c>
      <c r="L31" s="206">
        <f t="shared" si="6"/>
        <v>18.016683272535154</v>
      </c>
      <c r="M31" s="206">
        <f t="shared" si="6"/>
        <v>21.208668845332916</v>
      </c>
      <c r="N31" s="206">
        <f t="shared" si="6"/>
        <v>23.251049161241717</v>
      </c>
      <c r="O31" s="206">
        <f t="shared" si="6"/>
        <v>178.1825381112651</v>
      </c>
      <c r="P31" s="206">
        <f t="shared" si="6"/>
        <v>178.39829358153963</v>
      </c>
      <c r="Q31" s="206">
        <f t="shared" si="6"/>
        <v>175.60073937153419</v>
      </c>
      <c r="R31" s="206">
        <f t="shared" si="6"/>
        <v>176.41764176417644</v>
      </c>
      <c r="S31" s="206">
        <f t="shared" si="6"/>
        <v>179.80895298745082</v>
      </c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</row>
    <row r="32" spans="1:39" ht="13.5" hidden="1" customHeight="1" x14ac:dyDescent="0.2">
      <c r="A32" s="171"/>
      <c r="B32" s="171"/>
      <c r="C32" s="207" t="s">
        <v>116</v>
      </c>
      <c r="D32" s="208" t="s">
        <v>117</v>
      </c>
      <c r="E32" s="209">
        <f t="shared" ref="E32:S32" si="7">E9/E13*100</f>
        <v>7.4021408823267008</v>
      </c>
      <c r="F32" s="209">
        <f t="shared" si="7"/>
        <v>24.597195934427099</v>
      </c>
      <c r="G32" s="209">
        <f t="shared" si="7"/>
        <v>19.566239145827797</v>
      </c>
      <c r="H32" s="209">
        <f t="shared" si="7"/>
        <v>17.017467697926136</v>
      </c>
      <c r="I32" s="209">
        <f t="shared" si="7"/>
        <v>14.015903628379176</v>
      </c>
      <c r="J32" s="209">
        <f t="shared" si="7"/>
        <v>19.475727047866222</v>
      </c>
      <c r="K32" s="209">
        <f t="shared" si="7"/>
        <v>12.299466699588759</v>
      </c>
      <c r="L32" s="209">
        <f t="shared" si="7"/>
        <v>11.879957647426609</v>
      </c>
      <c r="M32" s="209">
        <f t="shared" si="7"/>
        <v>21.909577633809658</v>
      </c>
      <c r="N32" s="209">
        <f t="shared" si="7"/>
        <v>10.655580310597829</v>
      </c>
      <c r="O32" s="209">
        <f t="shared" si="7"/>
        <v>42.796005706134096</v>
      </c>
      <c r="P32" s="209">
        <f t="shared" si="7"/>
        <v>43.754410726887791</v>
      </c>
      <c r="Q32" s="209">
        <f t="shared" si="7"/>
        <v>43.278688524590166</v>
      </c>
      <c r="R32" s="209">
        <f t="shared" si="7"/>
        <v>40.768782760629009</v>
      </c>
      <c r="S32" s="209">
        <f t="shared" si="7"/>
        <v>42.937149968886125</v>
      </c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</row>
    <row r="33" spans="1:39" ht="13.5" hidden="1" customHeight="1" x14ac:dyDescent="0.2">
      <c r="A33" s="171"/>
      <c r="B33" s="171"/>
      <c r="C33" s="171" t="s">
        <v>118</v>
      </c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</row>
    <row r="34" spans="1:39" ht="13.5" customHeight="1" x14ac:dyDescent="0.2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</row>
    <row r="35" spans="1:39" ht="35.25" customHeight="1" x14ac:dyDescent="0.2">
      <c r="A35" s="210"/>
      <c r="B35" s="210"/>
      <c r="C35" s="211" t="s">
        <v>119</v>
      </c>
      <c r="D35" s="212"/>
      <c r="E35" s="245" t="s">
        <v>120</v>
      </c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6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  <c r="AG35" s="210"/>
      <c r="AH35" s="210"/>
      <c r="AI35" s="210"/>
      <c r="AJ35" s="210"/>
      <c r="AK35" s="210"/>
      <c r="AL35" s="210"/>
      <c r="AM35" s="210"/>
    </row>
    <row r="36" spans="1:39" ht="13.5" customHeight="1" x14ac:dyDescent="0.2">
      <c r="A36" s="171"/>
      <c r="B36" s="171"/>
      <c r="C36" s="194" t="s">
        <v>121</v>
      </c>
      <c r="D36" s="180" t="s">
        <v>122</v>
      </c>
      <c r="E36" s="180" t="e">
        <f t="shared" ref="E36:S36" si="8">0.3*E19</f>
        <v>#N/A</v>
      </c>
      <c r="F36" s="180">
        <f t="shared" si="8"/>
        <v>15.957980000000008</v>
      </c>
      <c r="G36" s="180">
        <f t="shared" si="8"/>
        <v>13.46644767403887</v>
      </c>
      <c r="H36" s="180">
        <f t="shared" si="8"/>
        <v>12.444435219702932</v>
      </c>
      <c r="I36" s="180">
        <f t="shared" si="8"/>
        <v>11.928264004127159</v>
      </c>
      <c r="J36" s="180">
        <f t="shared" si="8"/>
        <v>18.559768125189297</v>
      </c>
      <c r="K36" s="180">
        <f t="shared" si="8"/>
        <v>12.93938717955648</v>
      </c>
      <c r="L36" s="180">
        <f t="shared" si="8"/>
        <v>12.913845136177319</v>
      </c>
      <c r="M36" s="180">
        <f t="shared" si="8"/>
        <v>18.929284704156778</v>
      </c>
      <c r="N36" s="213">
        <f t="shared" si="8"/>
        <v>16.111349609601206</v>
      </c>
      <c r="O36" s="213">
        <f t="shared" si="8"/>
        <v>60</v>
      </c>
      <c r="P36" s="213">
        <f t="shared" si="8"/>
        <v>63</v>
      </c>
      <c r="Q36" s="213">
        <f t="shared" si="8"/>
        <v>66</v>
      </c>
      <c r="R36" s="213">
        <f t="shared" si="8"/>
        <v>69</v>
      </c>
      <c r="S36" s="213">
        <f t="shared" si="8"/>
        <v>67.5</v>
      </c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</row>
    <row r="37" spans="1:39" ht="13.5" customHeight="1" x14ac:dyDescent="0.2">
      <c r="A37" s="171"/>
      <c r="B37" s="171"/>
      <c r="C37" s="182" t="s">
        <v>123</v>
      </c>
      <c r="D37" s="199" t="s">
        <v>124</v>
      </c>
      <c r="E37" s="199">
        <f t="shared" ref="E37:S37" si="9">0.2*E22</f>
        <v>1.0086400000000002</v>
      </c>
      <c r="F37" s="199">
        <f t="shared" si="9"/>
        <v>-1.2841200000000002</v>
      </c>
      <c r="G37" s="199">
        <f t="shared" si="9"/>
        <v>1.20868</v>
      </c>
      <c r="H37" s="199">
        <f t="shared" si="9"/>
        <v>2.1645599999999998</v>
      </c>
      <c r="I37" s="199">
        <f t="shared" si="9"/>
        <v>2.8328799999999998</v>
      </c>
      <c r="J37" s="199">
        <f t="shared" si="9"/>
        <v>-0.42748000000000003</v>
      </c>
      <c r="K37" s="199">
        <f t="shared" si="9"/>
        <v>9.6039200000000005</v>
      </c>
      <c r="L37" s="199">
        <f t="shared" si="9"/>
        <v>3.8614600000000006</v>
      </c>
      <c r="M37" s="199">
        <f t="shared" si="9"/>
        <v>5.7549799999999998</v>
      </c>
      <c r="N37" s="214">
        <f t="shared" si="9"/>
        <v>21.560299999999998</v>
      </c>
      <c r="O37" s="214">
        <f t="shared" si="9"/>
        <v>15</v>
      </c>
      <c r="P37" s="214">
        <f t="shared" si="9"/>
        <v>15.5</v>
      </c>
      <c r="Q37" s="214">
        <f t="shared" si="9"/>
        <v>16</v>
      </c>
      <c r="R37" s="214">
        <f t="shared" si="9"/>
        <v>16.5</v>
      </c>
      <c r="S37" s="214">
        <f t="shared" si="9"/>
        <v>17</v>
      </c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</row>
    <row r="38" spans="1:39" ht="13.5" customHeight="1" x14ac:dyDescent="0.2">
      <c r="A38" s="171"/>
      <c r="B38" s="171"/>
      <c r="C38" s="182" t="s">
        <v>125</v>
      </c>
      <c r="D38" s="199" t="s">
        <v>126</v>
      </c>
      <c r="E38" s="199">
        <f t="shared" ref="E38:S38" si="10">0.05*E24</f>
        <v>16.516084573903722</v>
      </c>
      <c r="F38" s="199">
        <f t="shared" si="10"/>
        <v>16.161454545454546</v>
      </c>
      <c r="G38" s="199">
        <f t="shared" si="10"/>
        <v>16.859158063367747</v>
      </c>
      <c r="H38" s="199">
        <f t="shared" si="10"/>
        <v>18.843965272352818</v>
      </c>
      <c r="I38" s="199">
        <f t="shared" si="10"/>
        <v>22.617812705864889</v>
      </c>
      <c r="J38" s="199">
        <f t="shared" si="10"/>
        <v>25.326210826210826</v>
      </c>
      <c r="K38" s="199">
        <f t="shared" si="10"/>
        <v>28.20438607792973</v>
      </c>
      <c r="L38" s="199">
        <f t="shared" si="10"/>
        <v>26.433968814400629</v>
      </c>
      <c r="M38" s="199">
        <f t="shared" si="10"/>
        <v>29.071806535106862</v>
      </c>
      <c r="N38" s="214">
        <f t="shared" si="10"/>
        <v>34.409893907146497</v>
      </c>
      <c r="O38" s="214">
        <f t="shared" si="10"/>
        <v>16.597510373443981</v>
      </c>
      <c r="P38" s="214">
        <f t="shared" si="10"/>
        <v>17.229295643032355</v>
      </c>
      <c r="Q38" s="214">
        <f t="shared" si="10"/>
        <v>18.139262726740785</v>
      </c>
      <c r="R38" s="214">
        <f t="shared" si="10"/>
        <v>18.695352047860101</v>
      </c>
      <c r="S38" s="214">
        <f t="shared" si="10"/>
        <v>17.970401691331926</v>
      </c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</row>
    <row r="39" spans="1:39" ht="13.5" customHeight="1" x14ac:dyDescent="0.2">
      <c r="A39" s="171"/>
      <c r="B39" s="171"/>
      <c r="C39" s="182" t="s">
        <v>127</v>
      </c>
      <c r="D39" s="199" t="s">
        <v>128</v>
      </c>
      <c r="E39" s="199">
        <f t="shared" ref="E39:S39" si="11">0.05*E13</f>
        <v>8.5740350000000003</v>
      </c>
      <c r="F39" s="199">
        <f t="shared" si="11"/>
        <v>8.6911900000000006</v>
      </c>
      <c r="G39" s="199">
        <f t="shared" si="11"/>
        <v>8.8711450000000003</v>
      </c>
      <c r="H39" s="199">
        <f t="shared" si="11"/>
        <v>10.099995000000002</v>
      </c>
      <c r="I39" s="199">
        <f t="shared" si="11"/>
        <v>11.518445</v>
      </c>
      <c r="J39" s="199">
        <f t="shared" si="11"/>
        <v>13.31137</v>
      </c>
      <c r="K39" s="199">
        <f t="shared" si="11"/>
        <v>14.476845000000001</v>
      </c>
      <c r="L39" s="199">
        <f t="shared" si="11"/>
        <v>15.477935000000002</v>
      </c>
      <c r="M39" s="199">
        <f t="shared" si="11"/>
        <v>12.239965</v>
      </c>
      <c r="N39" s="214">
        <f t="shared" si="11"/>
        <v>15.704725000000003</v>
      </c>
      <c r="O39" s="214">
        <f t="shared" si="11"/>
        <v>7.01</v>
      </c>
      <c r="P39" s="214">
        <f t="shared" si="11"/>
        <v>7.085</v>
      </c>
      <c r="Q39" s="214">
        <f t="shared" si="11"/>
        <v>7.625</v>
      </c>
      <c r="R39" s="214">
        <f t="shared" si="11"/>
        <v>8.5849999999999991</v>
      </c>
      <c r="S39" s="214">
        <f t="shared" si="11"/>
        <v>8.0350000000000001</v>
      </c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</row>
    <row r="40" spans="1:39" ht="13.5" customHeight="1" x14ac:dyDescent="0.2">
      <c r="A40" s="171"/>
      <c r="B40" s="171"/>
      <c r="C40" s="182" t="s">
        <v>129</v>
      </c>
      <c r="D40" s="199" t="s">
        <v>130</v>
      </c>
      <c r="E40" s="199" t="e">
        <f t="shared" ref="E40:S40" si="12">SUM(E36:E39)</f>
        <v>#N/A</v>
      </c>
      <c r="F40" s="199">
        <f t="shared" si="12"/>
        <v>39.526504545454557</v>
      </c>
      <c r="G40" s="199">
        <f t="shared" si="12"/>
        <v>40.405430737406618</v>
      </c>
      <c r="H40" s="199">
        <f t="shared" si="12"/>
        <v>43.552955492055752</v>
      </c>
      <c r="I40" s="199">
        <f t="shared" si="12"/>
        <v>48.897401709992046</v>
      </c>
      <c r="J40" s="199">
        <f t="shared" si="12"/>
        <v>56.769868951400127</v>
      </c>
      <c r="K40" s="199">
        <f t="shared" si="12"/>
        <v>65.224538257486202</v>
      </c>
      <c r="L40" s="199">
        <f t="shared" si="12"/>
        <v>58.687208950577954</v>
      </c>
      <c r="M40" s="199">
        <f t="shared" si="12"/>
        <v>65.996036239263645</v>
      </c>
      <c r="N40" s="214">
        <f t="shared" si="12"/>
        <v>87.786268516747697</v>
      </c>
      <c r="O40" s="214">
        <f t="shared" si="12"/>
        <v>98.607510373443986</v>
      </c>
      <c r="P40" s="214">
        <f t="shared" si="12"/>
        <v>102.81429564303235</v>
      </c>
      <c r="Q40" s="214">
        <f t="shared" si="12"/>
        <v>107.76426272674078</v>
      </c>
      <c r="R40" s="214">
        <f t="shared" si="12"/>
        <v>112.78035204786009</v>
      </c>
      <c r="S40" s="214">
        <f t="shared" si="12"/>
        <v>110.50540169133193</v>
      </c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</row>
    <row r="41" spans="1:39" ht="13.5" customHeight="1" x14ac:dyDescent="0.2">
      <c r="A41" s="171"/>
      <c r="B41" s="171"/>
      <c r="C41" s="216"/>
      <c r="D41" s="183"/>
      <c r="E41" s="183"/>
      <c r="F41" s="183"/>
      <c r="G41" s="183"/>
      <c r="H41" s="183"/>
      <c r="I41" s="183"/>
      <c r="J41" s="183"/>
      <c r="K41" s="183"/>
      <c r="L41" s="183"/>
      <c r="M41" s="183"/>
      <c r="N41" s="183"/>
      <c r="O41" s="183"/>
      <c r="P41" s="183"/>
      <c r="Q41" s="183"/>
      <c r="R41" s="183"/>
      <c r="S41" s="187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</row>
    <row r="42" spans="1:39" ht="13.5" customHeight="1" x14ac:dyDescent="0.2">
      <c r="A42" s="171"/>
      <c r="B42" s="171"/>
      <c r="C42" s="182" t="s">
        <v>131</v>
      </c>
      <c r="D42" s="217" t="s">
        <v>132</v>
      </c>
      <c r="E42" s="214" t="e">
        <f t="shared" ref="E42:R42" si="13">E17/E40*100</f>
        <v>#N/A</v>
      </c>
      <c r="F42" s="214">
        <f t="shared" si="13"/>
        <v>0</v>
      </c>
      <c r="G42" s="214">
        <f t="shared" si="13"/>
        <v>0</v>
      </c>
      <c r="H42" s="214">
        <f t="shared" si="13"/>
        <v>0</v>
      </c>
      <c r="I42" s="214">
        <f t="shared" si="13"/>
        <v>0</v>
      </c>
      <c r="J42" s="214">
        <f t="shared" si="13"/>
        <v>0</v>
      </c>
      <c r="K42" s="214">
        <f t="shared" si="13"/>
        <v>0</v>
      </c>
      <c r="L42" s="214">
        <f t="shared" si="13"/>
        <v>0</v>
      </c>
      <c r="M42" s="214">
        <f t="shared" si="13"/>
        <v>0</v>
      </c>
      <c r="N42" s="214">
        <f t="shared" si="13"/>
        <v>0</v>
      </c>
      <c r="O42" s="215">
        <f t="shared" si="13"/>
        <v>60.847292232376063</v>
      </c>
      <c r="P42" s="215">
        <f t="shared" si="13"/>
        <v>60.302898164338778</v>
      </c>
      <c r="Q42" s="215">
        <f t="shared" si="13"/>
        <v>60.316841924508246</v>
      </c>
      <c r="R42" s="215">
        <f t="shared" si="13"/>
        <v>59.407510956844249</v>
      </c>
      <c r="S42" s="215">
        <f>S17/S40*100</f>
        <v>57.915720879208543</v>
      </c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</row>
    <row r="43" spans="1:39" ht="13.5" customHeight="1" x14ac:dyDescent="0.2">
      <c r="A43" s="171"/>
      <c r="B43" s="171"/>
      <c r="C43" s="188" t="s">
        <v>133</v>
      </c>
      <c r="D43" s="189"/>
      <c r="E43" s="190">
        <v>100</v>
      </c>
      <c r="F43" s="190">
        <v>100</v>
      </c>
      <c r="G43" s="190">
        <v>100</v>
      </c>
      <c r="H43" s="190">
        <v>100</v>
      </c>
      <c r="I43" s="190">
        <v>100</v>
      </c>
      <c r="J43" s="190">
        <v>100</v>
      </c>
      <c r="K43" s="190">
        <v>100</v>
      </c>
      <c r="L43" s="190">
        <v>100</v>
      </c>
      <c r="M43" s="190">
        <v>100</v>
      </c>
      <c r="N43" s="190">
        <v>100</v>
      </c>
      <c r="O43" s="190">
        <v>100</v>
      </c>
      <c r="P43" s="190">
        <v>100</v>
      </c>
      <c r="Q43" s="190">
        <v>100</v>
      </c>
      <c r="R43" s="190">
        <v>100</v>
      </c>
      <c r="S43" s="191">
        <v>100</v>
      </c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</row>
    <row r="44" spans="1:39" ht="13.5" customHeight="1" x14ac:dyDescent="0.2">
      <c r="A44" s="171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</row>
    <row r="45" spans="1:39" ht="13.5" customHeight="1" x14ac:dyDescent="0.2">
      <c r="A45" s="171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</row>
    <row r="46" spans="1:39" ht="13.5" customHeight="1" x14ac:dyDescent="0.2">
      <c r="A46" s="171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</row>
    <row r="47" spans="1:39" ht="13.5" customHeight="1" x14ac:dyDescent="0.2">
      <c r="A47" s="171"/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1"/>
      <c r="AI47" s="171"/>
      <c r="AJ47" s="171"/>
      <c r="AK47" s="171"/>
      <c r="AL47" s="171"/>
      <c r="AM47" s="171"/>
    </row>
    <row r="48" spans="1:39" ht="13.5" customHeight="1" x14ac:dyDescent="0.2">
      <c r="A48" s="171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171"/>
    </row>
    <row r="49" spans="1:39" ht="13.5" customHeight="1" x14ac:dyDescent="0.2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171"/>
    </row>
    <row r="50" spans="1:39" ht="13.5" customHeight="1" x14ac:dyDescent="0.2">
      <c r="A50" s="171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/>
      <c r="AI50" s="171"/>
      <c r="AJ50" s="171"/>
      <c r="AK50" s="171"/>
      <c r="AL50" s="171"/>
      <c r="AM50" s="171"/>
    </row>
    <row r="51" spans="1:39" ht="13.5" customHeight="1" x14ac:dyDescent="0.2">
      <c r="A51" s="171"/>
      <c r="B51" s="171"/>
      <c r="C51" s="171"/>
      <c r="D51" s="171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/>
      <c r="AI51" s="171"/>
      <c r="AJ51" s="171"/>
      <c r="AK51" s="171"/>
      <c r="AL51" s="171"/>
      <c r="AM51" s="171"/>
    </row>
    <row r="52" spans="1:39" ht="13.5" customHeight="1" x14ac:dyDescent="0.2">
      <c r="A52" s="171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  <c r="AL52" s="171"/>
      <c r="AM52" s="171"/>
    </row>
    <row r="53" spans="1:39" ht="13.5" customHeight="1" x14ac:dyDescent="0.2">
      <c r="A53" s="171"/>
      <c r="B53" s="171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/>
      <c r="AK53" s="171"/>
      <c r="AL53" s="171"/>
      <c r="AM53" s="171"/>
    </row>
    <row r="54" spans="1:39" ht="13.5" customHeight="1" x14ac:dyDescent="0.2">
      <c r="A54" s="171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/>
      <c r="AH54" s="171"/>
      <c r="AI54" s="171"/>
      <c r="AJ54" s="171"/>
      <c r="AK54" s="171"/>
      <c r="AL54" s="171"/>
      <c r="AM54" s="171"/>
    </row>
    <row r="55" spans="1:39" ht="13.5" customHeight="1" x14ac:dyDescent="0.2">
      <c r="A55" s="171"/>
      <c r="B55" s="171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171"/>
      <c r="AI55" s="171"/>
      <c r="AJ55" s="171"/>
      <c r="AK55" s="171"/>
      <c r="AL55" s="171"/>
      <c r="AM55" s="171"/>
    </row>
    <row r="56" spans="1:39" ht="13.5" customHeight="1" x14ac:dyDescent="0.2">
      <c r="A56" s="171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171"/>
    </row>
    <row r="57" spans="1:39" ht="13.5" customHeight="1" x14ac:dyDescent="0.2">
      <c r="A57" s="171"/>
      <c r="B57" s="171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/>
      <c r="AK57" s="171"/>
      <c r="AL57" s="171"/>
      <c r="AM57" s="171"/>
    </row>
    <row r="58" spans="1:39" ht="13.5" customHeight="1" x14ac:dyDescent="0.2">
      <c r="A58" s="171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171"/>
    </row>
    <row r="59" spans="1:39" ht="13.5" customHeight="1" x14ac:dyDescent="0.2">
      <c r="A59" s="171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/>
      <c r="AL59" s="171"/>
      <c r="AM59" s="171"/>
    </row>
    <row r="60" spans="1:39" ht="13.5" customHeight="1" x14ac:dyDescent="0.2">
      <c r="A60" s="171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1"/>
      <c r="AI60" s="171"/>
      <c r="AJ60" s="171"/>
      <c r="AK60" s="171"/>
      <c r="AL60" s="171"/>
      <c r="AM60" s="171"/>
    </row>
    <row r="61" spans="1:39" ht="13.5" customHeight="1" x14ac:dyDescent="0.2">
      <c r="A61" s="171"/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/>
      <c r="AI61" s="171"/>
      <c r="AJ61" s="171"/>
      <c r="AK61" s="171"/>
      <c r="AL61" s="171"/>
      <c r="AM61" s="171"/>
    </row>
    <row r="62" spans="1:39" ht="13.5" customHeight="1" x14ac:dyDescent="0.2">
      <c r="A62" s="171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/>
      <c r="AL62" s="171"/>
      <c r="AM62" s="171"/>
    </row>
    <row r="63" spans="1:39" ht="13.5" customHeight="1" x14ac:dyDescent="0.2">
      <c r="A63" s="171"/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/>
      <c r="AM63" s="171"/>
    </row>
    <row r="64" spans="1:39" ht="13.5" customHeight="1" x14ac:dyDescent="0.2">
      <c r="A64" s="171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171"/>
    </row>
    <row r="65" spans="1:39" ht="13.5" customHeight="1" x14ac:dyDescent="0.2">
      <c r="A65" s="171"/>
      <c r="B65" s="171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171"/>
      <c r="AI65" s="171"/>
      <c r="AJ65" s="171"/>
      <c r="AK65" s="171"/>
      <c r="AL65" s="171"/>
      <c r="AM65" s="171"/>
    </row>
    <row r="66" spans="1:39" ht="13.5" customHeight="1" x14ac:dyDescent="0.2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171"/>
    </row>
    <row r="67" spans="1:39" ht="13.5" customHeight="1" x14ac:dyDescent="0.2">
      <c r="A67" s="171"/>
      <c r="B67" s="171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/>
      <c r="AJ67" s="171"/>
      <c r="AK67" s="171"/>
      <c r="AL67" s="171"/>
      <c r="AM67" s="171"/>
    </row>
    <row r="68" spans="1:39" ht="13.5" customHeight="1" x14ac:dyDescent="0.2">
      <c r="A68" s="171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171"/>
    </row>
    <row r="69" spans="1:39" ht="13.5" customHeight="1" x14ac:dyDescent="0.2">
      <c r="A69" s="171"/>
      <c r="B69" s="171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171"/>
    </row>
    <row r="70" spans="1:39" ht="13.5" customHeight="1" x14ac:dyDescent="0.2">
      <c r="A70" s="171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171"/>
      <c r="AI70" s="171"/>
      <c r="AJ70" s="171"/>
      <c r="AK70" s="171"/>
      <c r="AL70" s="171"/>
      <c r="AM70" s="171"/>
    </row>
    <row r="71" spans="1:39" ht="13.5" customHeight="1" x14ac:dyDescent="0.2">
      <c r="A71" s="171"/>
      <c r="B71" s="171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1"/>
      <c r="AB71" s="171"/>
      <c r="AC71" s="171"/>
      <c r="AD71" s="171"/>
      <c r="AE71" s="171"/>
      <c r="AF71" s="171"/>
      <c r="AG71" s="171"/>
      <c r="AH71" s="171"/>
      <c r="AI71" s="171"/>
      <c r="AJ71" s="171"/>
      <c r="AK71" s="171"/>
      <c r="AL71" s="171"/>
      <c r="AM71" s="171"/>
    </row>
    <row r="72" spans="1:39" ht="13.5" customHeight="1" x14ac:dyDescent="0.2">
      <c r="A72" s="171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171"/>
      <c r="AI72" s="171"/>
      <c r="AJ72" s="171"/>
      <c r="AK72" s="171"/>
      <c r="AL72" s="171"/>
      <c r="AM72" s="171"/>
    </row>
    <row r="73" spans="1:39" ht="13.5" customHeight="1" x14ac:dyDescent="0.2">
      <c r="A73" s="171"/>
      <c r="B73" s="171"/>
      <c r="C73" s="171"/>
      <c r="D73" s="171"/>
      <c r="E73" s="171"/>
      <c r="F73" s="171"/>
      <c r="G73" s="171"/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171"/>
      <c r="AI73" s="171"/>
      <c r="AJ73" s="171"/>
      <c r="AK73" s="171"/>
      <c r="AL73" s="171"/>
      <c r="AM73" s="171"/>
    </row>
    <row r="74" spans="1:39" ht="13.5" customHeight="1" x14ac:dyDescent="0.2">
      <c r="A74" s="171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171"/>
    </row>
    <row r="75" spans="1:39" ht="13.5" customHeight="1" x14ac:dyDescent="0.2">
      <c r="A75" s="171"/>
      <c r="B75" s="171"/>
      <c r="C75" s="171"/>
      <c r="D75" s="171"/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171"/>
      <c r="AI75" s="171"/>
      <c r="AJ75" s="171"/>
      <c r="AK75" s="171"/>
      <c r="AL75" s="171"/>
      <c r="AM75" s="171"/>
    </row>
    <row r="76" spans="1:39" ht="13.5" customHeight="1" x14ac:dyDescent="0.2">
      <c r="A76" s="171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/>
      <c r="AM76" s="171"/>
    </row>
    <row r="77" spans="1:39" ht="13.5" customHeight="1" x14ac:dyDescent="0.2">
      <c r="A77" s="171"/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1"/>
      <c r="AM77" s="171"/>
    </row>
    <row r="78" spans="1:39" ht="13.5" customHeight="1" x14ac:dyDescent="0.2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/>
      <c r="AM78" s="171"/>
    </row>
    <row r="79" spans="1:39" ht="13.5" customHeight="1" x14ac:dyDescent="0.2">
      <c r="A79" s="171"/>
      <c r="B79" s="171"/>
      <c r="C79" s="171"/>
      <c r="D79" s="171"/>
      <c r="E79" s="171"/>
      <c r="F79" s="171"/>
      <c r="G79" s="171"/>
      <c r="H79" s="171"/>
      <c r="I79" s="171"/>
      <c r="J79" s="171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1"/>
      <c r="AE79" s="171"/>
      <c r="AF79" s="171"/>
      <c r="AG79" s="171"/>
      <c r="AH79" s="171"/>
      <c r="AI79" s="171"/>
      <c r="AJ79" s="171"/>
      <c r="AK79" s="171"/>
      <c r="AL79" s="171"/>
      <c r="AM79" s="171"/>
    </row>
    <row r="80" spans="1:39" ht="13.5" customHeight="1" x14ac:dyDescent="0.2">
      <c r="A80" s="171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/>
      <c r="AM80" s="171"/>
    </row>
    <row r="81" spans="1:39" ht="13.5" customHeight="1" x14ac:dyDescent="0.2">
      <c r="A81" s="171"/>
      <c r="B81" s="171"/>
      <c r="C81" s="171"/>
      <c r="D81" s="171"/>
      <c r="E81" s="171"/>
      <c r="F81" s="171"/>
      <c r="G81" s="171"/>
      <c r="H81" s="171"/>
      <c r="I81" s="171"/>
      <c r="J81" s="171"/>
      <c r="K81" s="171"/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/>
      <c r="AI81" s="171"/>
      <c r="AJ81" s="171"/>
      <c r="AK81" s="171"/>
      <c r="AL81" s="171"/>
      <c r="AM81" s="171"/>
    </row>
    <row r="82" spans="1:39" ht="13.5" customHeight="1" x14ac:dyDescent="0.2">
      <c r="A82" s="171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/>
      <c r="AM82" s="171"/>
    </row>
    <row r="83" spans="1:39" ht="13.5" customHeight="1" x14ac:dyDescent="0.2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171"/>
    </row>
    <row r="84" spans="1:39" ht="13.5" customHeight="1" x14ac:dyDescent="0.2">
      <c r="A84" s="171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171"/>
    </row>
    <row r="85" spans="1:39" ht="13.5" customHeight="1" x14ac:dyDescent="0.2">
      <c r="A85" s="171"/>
      <c r="B85" s="171"/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171"/>
    </row>
    <row r="86" spans="1:39" ht="13.5" customHeight="1" x14ac:dyDescent="0.2">
      <c r="A86" s="171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171"/>
    </row>
    <row r="87" spans="1:39" ht="13.5" customHeight="1" x14ac:dyDescent="0.2">
      <c r="A87" s="171"/>
      <c r="B87" s="171"/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171"/>
    </row>
    <row r="88" spans="1:39" ht="13.5" customHeight="1" x14ac:dyDescent="0.2">
      <c r="A88" s="171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/>
      <c r="AM88" s="171"/>
    </row>
    <row r="89" spans="1:39" ht="13.5" customHeight="1" x14ac:dyDescent="0.2">
      <c r="A89" s="171"/>
      <c r="B89" s="171"/>
      <c r="C89" s="171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/>
      <c r="AM89" s="171"/>
    </row>
    <row r="90" spans="1:39" ht="13.5" customHeight="1" x14ac:dyDescent="0.2">
      <c r="A90" s="171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171"/>
    </row>
    <row r="91" spans="1:39" ht="13.5" customHeight="1" x14ac:dyDescent="0.2">
      <c r="A91" s="171"/>
      <c r="B91" s="171"/>
      <c r="C91" s="171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171"/>
    </row>
    <row r="92" spans="1:39" ht="13.5" customHeight="1" x14ac:dyDescent="0.2">
      <c r="A92" s="171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/>
      <c r="AJ92" s="171"/>
      <c r="AK92" s="171"/>
      <c r="AL92" s="171"/>
      <c r="AM92" s="171"/>
    </row>
    <row r="93" spans="1:39" ht="13.5" customHeight="1" x14ac:dyDescent="0.2">
      <c r="A93" s="171"/>
      <c r="B93" s="171"/>
      <c r="C93" s="171"/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171"/>
    </row>
    <row r="94" spans="1:39" ht="13.5" customHeight="1" x14ac:dyDescent="0.2">
      <c r="A94" s="171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171"/>
      <c r="AI94" s="171"/>
      <c r="AJ94" s="171"/>
      <c r="AK94" s="171"/>
      <c r="AL94" s="171"/>
      <c r="AM94" s="171"/>
    </row>
    <row r="95" spans="1:39" ht="13.5" customHeight="1" x14ac:dyDescent="0.2">
      <c r="A95" s="171"/>
      <c r="B95" s="171"/>
      <c r="C95" s="171"/>
      <c r="D95" s="171"/>
      <c r="E95" s="171"/>
      <c r="F95" s="171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171"/>
      <c r="AI95" s="171"/>
      <c r="AJ95" s="171"/>
      <c r="AK95" s="171"/>
      <c r="AL95" s="171"/>
      <c r="AM95" s="171"/>
    </row>
    <row r="96" spans="1:39" ht="13.5" customHeight="1" x14ac:dyDescent="0.2">
      <c r="A96" s="171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</row>
    <row r="97" spans="1:39" ht="13.5" customHeight="1" x14ac:dyDescent="0.2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171"/>
    </row>
    <row r="98" spans="1:39" ht="13.5" customHeight="1" x14ac:dyDescent="0.2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/>
      <c r="AM98" s="171"/>
    </row>
    <row r="99" spans="1:39" ht="13.5" customHeight="1" x14ac:dyDescent="0.2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171"/>
    </row>
    <row r="100" spans="1:39" ht="13.5" customHeight="1" x14ac:dyDescent="0.2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/>
      <c r="AM100" s="171"/>
    </row>
    <row r="101" spans="1:39" ht="13.5" customHeight="1" x14ac:dyDescent="0.2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/>
      <c r="AK101" s="171"/>
      <c r="AL101" s="171"/>
      <c r="AM101" s="171"/>
    </row>
    <row r="102" spans="1:39" ht="13.5" customHeight="1" x14ac:dyDescent="0.2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171"/>
    </row>
    <row r="103" spans="1:39" ht="13.5" customHeight="1" x14ac:dyDescent="0.2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171"/>
    </row>
    <row r="104" spans="1:39" ht="13.5" customHeight="1" x14ac:dyDescent="0.2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171"/>
    </row>
    <row r="105" spans="1:39" ht="13.5" customHeight="1" x14ac:dyDescent="0.2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171"/>
    </row>
    <row r="106" spans="1:39" ht="13.5" customHeight="1" x14ac:dyDescent="0.2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171"/>
    </row>
    <row r="107" spans="1:39" ht="13.5" customHeight="1" x14ac:dyDescent="0.2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171"/>
    </row>
    <row r="108" spans="1:39" ht="13.5" customHeight="1" x14ac:dyDescent="0.2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171"/>
    </row>
    <row r="109" spans="1:39" ht="13.5" customHeight="1" x14ac:dyDescent="0.2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171"/>
    </row>
    <row r="110" spans="1:39" ht="13.5" customHeight="1" x14ac:dyDescent="0.2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/>
      <c r="AI110" s="171"/>
      <c r="AJ110" s="171"/>
      <c r="AK110" s="171"/>
      <c r="AL110" s="171"/>
      <c r="AM110" s="171"/>
    </row>
    <row r="111" spans="1:39" ht="13.5" customHeight="1" x14ac:dyDescent="0.2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171"/>
    </row>
    <row r="112" spans="1:39" ht="13.5" customHeight="1" x14ac:dyDescent="0.2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171"/>
    </row>
    <row r="113" spans="1:39" ht="13.5" customHeight="1" x14ac:dyDescent="0.2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171"/>
    </row>
    <row r="114" spans="1:39" ht="13.5" customHeight="1" x14ac:dyDescent="0.2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171"/>
    </row>
    <row r="115" spans="1:39" ht="13.5" customHeight="1" x14ac:dyDescent="0.2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171"/>
    </row>
    <row r="116" spans="1:39" ht="13.5" customHeight="1" x14ac:dyDescent="0.2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  <c r="AK116" s="171"/>
      <c r="AL116" s="171"/>
      <c r="AM116" s="171"/>
    </row>
    <row r="117" spans="1:39" ht="13.5" customHeight="1" x14ac:dyDescent="0.2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171"/>
    </row>
    <row r="118" spans="1:39" ht="13.5" customHeight="1" x14ac:dyDescent="0.2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171"/>
    </row>
    <row r="119" spans="1:39" ht="13.5" customHeight="1" x14ac:dyDescent="0.2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  <c r="AI119" s="171"/>
      <c r="AJ119" s="171"/>
      <c r="AK119" s="171"/>
      <c r="AL119" s="171"/>
      <c r="AM119" s="171"/>
    </row>
    <row r="120" spans="1:39" ht="13.5" customHeight="1" x14ac:dyDescent="0.2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  <c r="AI120" s="171"/>
      <c r="AJ120" s="171"/>
      <c r="AK120" s="171"/>
      <c r="AL120" s="171"/>
      <c r="AM120" s="171"/>
    </row>
    <row r="121" spans="1:39" ht="13.5" customHeight="1" x14ac:dyDescent="0.2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171"/>
    </row>
    <row r="122" spans="1:39" ht="13.5" customHeight="1" x14ac:dyDescent="0.2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  <c r="AK122" s="171"/>
      <c r="AL122" s="171"/>
      <c r="AM122" s="171"/>
    </row>
    <row r="123" spans="1:39" ht="13.5" customHeight="1" x14ac:dyDescent="0.2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171"/>
    </row>
    <row r="124" spans="1:39" ht="13.5" customHeight="1" x14ac:dyDescent="0.2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/>
      <c r="AJ124" s="171"/>
      <c r="AK124" s="171"/>
      <c r="AL124" s="171"/>
      <c r="AM124" s="171"/>
    </row>
    <row r="125" spans="1:39" ht="13.5" customHeight="1" x14ac:dyDescent="0.2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171"/>
      <c r="AI125" s="171"/>
      <c r="AJ125" s="171"/>
      <c r="AK125" s="171"/>
      <c r="AL125" s="171"/>
      <c r="AM125" s="171"/>
    </row>
    <row r="126" spans="1:39" ht="13.5" customHeight="1" x14ac:dyDescent="0.2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/>
      <c r="AM126" s="171"/>
    </row>
    <row r="127" spans="1:39" ht="13.5" customHeight="1" x14ac:dyDescent="0.2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171"/>
    </row>
    <row r="128" spans="1:39" ht="13.5" customHeight="1" x14ac:dyDescent="0.2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/>
      <c r="AK128" s="171"/>
      <c r="AL128" s="171"/>
      <c r="AM128" s="171"/>
    </row>
    <row r="129" spans="1:39" ht="13.5" customHeight="1" x14ac:dyDescent="0.2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171"/>
      <c r="AI129" s="171"/>
      <c r="AJ129" s="171"/>
      <c r="AK129" s="171"/>
      <c r="AL129" s="171"/>
      <c r="AM129" s="171"/>
    </row>
    <row r="130" spans="1:39" ht="13.5" customHeight="1" x14ac:dyDescent="0.2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/>
      <c r="AJ130" s="171"/>
      <c r="AK130" s="171"/>
      <c r="AL130" s="171"/>
      <c r="AM130" s="171"/>
    </row>
    <row r="131" spans="1:39" ht="13.5" customHeight="1" x14ac:dyDescent="0.2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171"/>
    </row>
    <row r="132" spans="1:39" ht="13.5" customHeight="1" x14ac:dyDescent="0.2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/>
      <c r="AM132" s="171"/>
    </row>
    <row r="133" spans="1:39" ht="13.5" customHeight="1" x14ac:dyDescent="0.2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171"/>
    </row>
    <row r="134" spans="1:39" ht="13.5" customHeight="1" x14ac:dyDescent="0.2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/>
      <c r="AI134" s="171"/>
      <c r="AJ134" s="171"/>
      <c r="AK134" s="171"/>
      <c r="AL134" s="171"/>
      <c r="AM134" s="171"/>
    </row>
    <row r="135" spans="1:39" ht="13.5" customHeight="1" x14ac:dyDescent="0.2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171"/>
    </row>
    <row r="136" spans="1:39" ht="13.5" customHeight="1" x14ac:dyDescent="0.2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171"/>
    </row>
    <row r="137" spans="1:39" ht="13.5" customHeight="1" x14ac:dyDescent="0.2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/>
      <c r="AM137" s="171"/>
    </row>
    <row r="138" spans="1:39" ht="13.5" customHeight="1" x14ac:dyDescent="0.2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171"/>
    </row>
    <row r="139" spans="1:39" ht="13.5" customHeight="1" x14ac:dyDescent="0.2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171"/>
    </row>
    <row r="140" spans="1:39" ht="13.5" customHeight="1" x14ac:dyDescent="0.2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171"/>
    </row>
    <row r="141" spans="1:39" ht="13.5" customHeight="1" x14ac:dyDescent="0.2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/>
      <c r="AM141" s="171"/>
    </row>
    <row r="142" spans="1:39" ht="13.5" customHeight="1" x14ac:dyDescent="0.2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  <c r="AK142" s="171"/>
      <c r="AL142" s="171"/>
      <c r="AM142" s="171"/>
    </row>
    <row r="143" spans="1:39" ht="13.5" customHeight="1" x14ac:dyDescent="0.2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/>
      <c r="AL143" s="171"/>
      <c r="AM143" s="171"/>
    </row>
    <row r="144" spans="1:39" ht="13.5" customHeight="1" x14ac:dyDescent="0.2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  <c r="AK144" s="171"/>
      <c r="AL144" s="171"/>
      <c r="AM144" s="171"/>
    </row>
    <row r="145" spans="1:39" ht="13.5" customHeight="1" x14ac:dyDescent="0.2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1"/>
      <c r="AK145" s="171"/>
      <c r="AL145" s="171"/>
      <c r="AM145" s="171"/>
    </row>
    <row r="146" spans="1:39" ht="13.5" customHeight="1" x14ac:dyDescent="0.2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171"/>
    </row>
    <row r="147" spans="1:39" ht="13.5" customHeight="1" x14ac:dyDescent="0.2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/>
      <c r="AM147" s="171"/>
    </row>
    <row r="148" spans="1:39" ht="13.5" customHeight="1" x14ac:dyDescent="0.2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  <c r="AK148" s="171"/>
      <c r="AL148" s="171"/>
      <c r="AM148" s="171"/>
    </row>
    <row r="149" spans="1:39" ht="13.5" customHeight="1" x14ac:dyDescent="0.2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  <c r="AK149" s="171"/>
      <c r="AL149" s="171"/>
      <c r="AM149" s="171"/>
    </row>
    <row r="150" spans="1:39" ht="13.5" customHeight="1" x14ac:dyDescent="0.2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  <c r="AK150" s="171"/>
      <c r="AL150" s="171"/>
      <c r="AM150" s="171"/>
    </row>
    <row r="151" spans="1:39" ht="13.5" customHeight="1" x14ac:dyDescent="0.2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  <c r="AK151" s="171"/>
      <c r="AL151" s="171"/>
      <c r="AM151" s="171"/>
    </row>
    <row r="152" spans="1:39" ht="13.5" customHeight="1" x14ac:dyDescent="0.2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171"/>
    </row>
    <row r="153" spans="1:39" ht="13.5" customHeight="1" x14ac:dyDescent="0.2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  <c r="AK153" s="171"/>
      <c r="AL153" s="171"/>
      <c r="AM153" s="171"/>
    </row>
    <row r="154" spans="1:39" ht="13.5" customHeight="1" x14ac:dyDescent="0.2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  <c r="AK154" s="171"/>
      <c r="AL154" s="171"/>
      <c r="AM154" s="171"/>
    </row>
    <row r="155" spans="1:39" ht="13.5" customHeight="1" x14ac:dyDescent="0.2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  <c r="AK155" s="171"/>
      <c r="AL155" s="171"/>
      <c r="AM155" s="171"/>
    </row>
    <row r="156" spans="1:39" ht="13.5" customHeight="1" x14ac:dyDescent="0.2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171"/>
    </row>
    <row r="157" spans="1:39" ht="13.5" customHeight="1" x14ac:dyDescent="0.2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/>
      <c r="AM157" s="171"/>
    </row>
    <row r="158" spans="1:39" ht="13.5" customHeight="1" x14ac:dyDescent="0.2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171"/>
    </row>
    <row r="159" spans="1:39" ht="13.5" customHeight="1" x14ac:dyDescent="0.2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/>
      <c r="AM159" s="171"/>
    </row>
    <row r="160" spans="1:39" ht="13.5" customHeight="1" x14ac:dyDescent="0.2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171"/>
    </row>
    <row r="161" spans="1:39" ht="13.5" customHeight="1" x14ac:dyDescent="0.2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171"/>
      <c r="AI161" s="171"/>
      <c r="AJ161" s="171"/>
      <c r="AK161" s="171"/>
      <c r="AL161" s="171"/>
      <c r="AM161" s="171"/>
    </row>
    <row r="162" spans="1:39" ht="13.5" customHeight="1" x14ac:dyDescent="0.2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  <c r="AK162" s="171"/>
      <c r="AL162" s="171"/>
      <c r="AM162" s="171"/>
    </row>
    <row r="163" spans="1:39" ht="13.5" customHeight="1" x14ac:dyDescent="0.2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171"/>
    </row>
    <row r="164" spans="1:39" ht="13.5" customHeight="1" x14ac:dyDescent="0.2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171"/>
    </row>
    <row r="165" spans="1:39" ht="13.5" customHeight="1" x14ac:dyDescent="0.2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71"/>
    </row>
    <row r="166" spans="1:39" ht="13.5" customHeight="1" x14ac:dyDescent="0.2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  <c r="AK166" s="171"/>
      <c r="AL166" s="171"/>
      <c r="AM166" s="171"/>
    </row>
    <row r="167" spans="1:39" ht="13.5" customHeight="1" x14ac:dyDescent="0.2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  <c r="AK167" s="171"/>
      <c r="AL167" s="171"/>
      <c r="AM167" s="171"/>
    </row>
    <row r="168" spans="1:39" ht="13.5" customHeight="1" x14ac:dyDescent="0.2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  <c r="AK168" s="171"/>
      <c r="AL168" s="171"/>
      <c r="AM168" s="171"/>
    </row>
    <row r="169" spans="1:39" ht="13.5" customHeight="1" x14ac:dyDescent="0.2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171"/>
    </row>
    <row r="170" spans="1:39" ht="13.5" customHeight="1" x14ac:dyDescent="0.2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  <c r="AK170" s="171"/>
      <c r="AL170" s="171"/>
      <c r="AM170" s="171"/>
    </row>
    <row r="171" spans="1:39" ht="13.5" customHeight="1" x14ac:dyDescent="0.2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171"/>
    </row>
    <row r="172" spans="1:39" ht="13.5" customHeight="1" x14ac:dyDescent="0.2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  <c r="AL172" s="171"/>
      <c r="AM172" s="171"/>
    </row>
    <row r="173" spans="1:39" ht="13.5" customHeight="1" x14ac:dyDescent="0.2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171"/>
    </row>
    <row r="174" spans="1:39" ht="13.5" customHeight="1" x14ac:dyDescent="0.2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  <c r="AK174" s="171"/>
      <c r="AL174" s="171"/>
      <c r="AM174" s="171"/>
    </row>
    <row r="175" spans="1:39" ht="13.5" customHeight="1" x14ac:dyDescent="0.2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  <c r="AK175" s="171"/>
      <c r="AL175" s="171"/>
      <c r="AM175" s="171"/>
    </row>
    <row r="176" spans="1:39" ht="13.5" customHeight="1" x14ac:dyDescent="0.2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K176" s="171"/>
      <c r="AL176" s="171"/>
      <c r="AM176" s="171"/>
    </row>
    <row r="177" spans="1:39" ht="13.5" customHeight="1" x14ac:dyDescent="0.2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/>
      <c r="AM177" s="171"/>
    </row>
    <row r="178" spans="1:39" ht="13.5" customHeight="1" x14ac:dyDescent="0.2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171"/>
      <c r="AI178" s="171"/>
      <c r="AJ178" s="171"/>
      <c r="AK178" s="171"/>
      <c r="AL178" s="171"/>
      <c r="AM178" s="171"/>
    </row>
    <row r="179" spans="1:39" ht="13.5" customHeight="1" x14ac:dyDescent="0.2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171"/>
      <c r="AI179" s="171"/>
      <c r="AJ179" s="171"/>
      <c r="AK179" s="171"/>
      <c r="AL179" s="171"/>
      <c r="AM179" s="171"/>
    </row>
    <row r="180" spans="1:39" ht="13.5" customHeight="1" x14ac:dyDescent="0.2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  <c r="AA180" s="171"/>
      <c r="AB180" s="171"/>
      <c r="AC180" s="171"/>
      <c r="AD180" s="171"/>
      <c r="AE180" s="171"/>
      <c r="AF180" s="171"/>
      <c r="AG180" s="171"/>
      <c r="AH180" s="171"/>
      <c r="AI180" s="171"/>
      <c r="AJ180" s="171"/>
      <c r="AK180" s="171"/>
      <c r="AL180" s="171"/>
      <c r="AM180" s="171"/>
    </row>
    <row r="181" spans="1:39" ht="13.5" customHeight="1" x14ac:dyDescent="0.2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  <c r="AA181" s="171"/>
      <c r="AB181" s="171"/>
      <c r="AC181" s="171"/>
      <c r="AD181" s="171"/>
      <c r="AE181" s="171"/>
      <c r="AF181" s="171"/>
      <c r="AG181" s="171"/>
      <c r="AH181" s="171"/>
      <c r="AI181" s="171"/>
      <c r="AJ181" s="171"/>
      <c r="AK181" s="171"/>
      <c r="AL181" s="171"/>
      <c r="AM181" s="171"/>
    </row>
    <row r="182" spans="1:39" ht="13.5" customHeight="1" x14ac:dyDescent="0.2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  <c r="AA182" s="171"/>
      <c r="AB182" s="171"/>
      <c r="AC182" s="171"/>
      <c r="AD182" s="171"/>
      <c r="AE182" s="171"/>
      <c r="AF182" s="171"/>
      <c r="AG182" s="171"/>
      <c r="AH182" s="171"/>
      <c r="AI182" s="171"/>
      <c r="AJ182" s="171"/>
      <c r="AK182" s="171"/>
      <c r="AL182" s="171"/>
      <c r="AM182" s="171"/>
    </row>
    <row r="183" spans="1:39" ht="13.5" customHeight="1" x14ac:dyDescent="0.2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/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171"/>
    </row>
    <row r="184" spans="1:39" ht="13.5" customHeight="1" x14ac:dyDescent="0.2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/>
      <c r="AK184" s="171"/>
      <c r="AL184" s="171"/>
      <c r="AM184" s="171"/>
    </row>
    <row r="185" spans="1:39" ht="13.5" customHeight="1" x14ac:dyDescent="0.2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171"/>
      <c r="AI185" s="171"/>
      <c r="AJ185" s="171"/>
      <c r="AK185" s="171"/>
      <c r="AL185" s="171"/>
      <c r="AM185" s="171"/>
    </row>
    <row r="186" spans="1:39" ht="13.5" customHeight="1" x14ac:dyDescent="0.2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/>
      <c r="AK186" s="171"/>
      <c r="AL186" s="171"/>
      <c r="AM186" s="171"/>
    </row>
    <row r="187" spans="1:39" ht="13.5" customHeight="1" x14ac:dyDescent="0.2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171"/>
    </row>
    <row r="188" spans="1:39" ht="13.5" customHeight="1" x14ac:dyDescent="0.2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171"/>
    </row>
    <row r="189" spans="1:39" ht="13.5" customHeight="1" x14ac:dyDescent="0.2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/>
      <c r="AM189" s="171"/>
    </row>
    <row r="190" spans="1:39" ht="13.5" customHeight="1" x14ac:dyDescent="0.2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1"/>
      <c r="AK190" s="171"/>
      <c r="AL190" s="171"/>
      <c r="AM190" s="171"/>
    </row>
    <row r="191" spans="1:39" ht="13.5" customHeight="1" x14ac:dyDescent="0.2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  <c r="AK191" s="171"/>
      <c r="AL191" s="171"/>
      <c r="AM191" s="171"/>
    </row>
    <row r="192" spans="1:39" ht="13.5" customHeight="1" x14ac:dyDescent="0.2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71"/>
    </row>
    <row r="193" spans="1:39" ht="13.5" customHeight="1" x14ac:dyDescent="0.2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</row>
    <row r="194" spans="1:39" ht="13.5" customHeight="1" x14ac:dyDescent="0.2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  <c r="AK194" s="171"/>
      <c r="AL194" s="171"/>
      <c r="AM194" s="171"/>
    </row>
    <row r="195" spans="1:39" ht="13.5" customHeight="1" x14ac:dyDescent="0.2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</row>
    <row r="196" spans="1:39" ht="13.5" customHeight="1" x14ac:dyDescent="0.2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  <c r="AK196" s="171"/>
      <c r="AL196" s="171"/>
      <c r="AM196" s="171"/>
    </row>
    <row r="197" spans="1:39" ht="13.5" customHeight="1" x14ac:dyDescent="0.2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  <c r="AK197" s="171"/>
      <c r="AL197" s="171"/>
      <c r="AM197" s="171"/>
    </row>
    <row r="198" spans="1:39" ht="13.5" customHeight="1" x14ac:dyDescent="0.2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1"/>
      <c r="AK198" s="171"/>
      <c r="AL198" s="171"/>
      <c r="AM198" s="171"/>
    </row>
    <row r="199" spans="1:39" ht="13.5" customHeight="1" x14ac:dyDescent="0.2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</row>
    <row r="200" spans="1:39" ht="13.5" customHeight="1" x14ac:dyDescent="0.2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  <c r="AK200" s="171"/>
      <c r="AL200" s="171"/>
      <c r="AM200" s="171"/>
    </row>
    <row r="201" spans="1:39" ht="13.5" customHeight="1" x14ac:dyDescent="0.2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</row>
    <row r="202" spans="1:39" ht="13.5" customHeight="1" x14ac:dyDescent="0.2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  <c r="AK202" s="171"/>
      <c r="AL202" s="171"/>
      <c r="AM202" s="171"/>
    </row>
    <row r="203" spans="1:39" ht="13.5" customHeight="1" x14ac:dyDescent="0.2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/>
      <c r="AM203" s="171"/>
    </row>
    <row r="204" spans="1:39" ht="13.5" customHeight="1" x14ac:dyDescent="0.2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/>
      <c r="AM204" s="171"/>
    </row>
    <row r="205" spans="1:39" ht="13.5" customHeight="1" x14ac:dyDescent="0.2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171"/>
    </row>
    <row r="206" spans="1:39" ht="13.5" customHeight="1" x14ac:dyDescent="0.2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171"/>
    </row>
    <row r="207" spans="1:39" ht="13.5" customHeight="1" x14ac:dyDescent="0.2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/>
      <c r="AL207" s="171"/>
      <c r="AM207" s="171"/>
    </row>
    <row r="208" spans="1:39" ht="13.5" customHeight="1" x14ac:dyDescent="0.2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  <c r="AK208" s="171"/>
      <c r="AL208" s="171"/>
      <c r="AM208" s="171"/>
    </row>
    <row r="209" spans="1:39" ht="13.5" customHeight="1" x14ac:dyDescent="0.2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171"/>
    </row>
    <row r="210" spans="1:39" ht="13.5" customHeight="1" x14ac:dyDescent="0.2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  <c r="AK210" s="171"/>
      <c r="AL210" s="171"/>
      <c r="AM210" s="171"/>
    </row>
    <row r="211" spans="1:39" ht="13.5" customHeight="1" x14ac:dyDescent="0.2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171"/>
    </row>
    <row r="212" spans="1:39" ht="13.5" customHeight="1" x14ac:dyDescent="0.2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  <c r="AK212" s="171"/>
      <c r="AL212" s="171"/>
      <c r="AM212" s="171"/>
    </row>
    <row r="213" spans="1:39" ht="13.5" customHeight="1" x14ac:dyDescent="0.2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171"/>
    </row>
    <row r="214" spans="1:39" ht="13.5" customHeight="1" x14ac:dyDescent="0.2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</row>
    <row r="215" spans="1:39" ht="13.5" customHeight="1" x14ac:dyDescent="0.2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</row>
    <row r="216" spans="1:39" ht="13.5" customHeight="1" x14ac:dyDescent="0.2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  <c r="AK216" s="171"/>
      <c r="AL216" s="171"/>
      <c r="AM216" s="171"/>
    </row>
    <row r="217" spans="1:39" ht="13.5" customHeight="1" x14ac:dyDescent="0.2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71"/>
    </row>
    <row r="218" spans="1:39" ht="13.5" customHeight="1" x14ac:dyDescent="0.2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/>
      <c r="AL218" s="171"/>
      <c r="AM218" s="171"/>
    </row>
    <row r="219" spans="1:39" ht="13.5" customHeight="1" x14ac:dyDescent="0.2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/>
      <c r="AM219" s="171"/>
    </row>
    <row r="220" spans="1:39" ht="13.5" customHeight="1" x14ac:dyDescent="0.2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/>
      <c r="AL220" s="171"/>
      <c r="AM220" s="171"/>
    </row>
    <row r="221" spans="1:39" ht="13.5" customHeight="1" x14ac:dyDescent="0.2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  <c r="AK221" s="171"/>
      <c r="AL221" s="171"/>
      <c r="AM221" s="171"/>
    </row>
    <row r="222" spans="1:39" ht="13.5" customHeight="1" x14ac:dyDescent="0.2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/>
      <c r="AL222" s="171"/>
      <c r="AM222" s="171"/>
    </row>
    <row r="223" spans="1:39" ht="13.5" customHeight="1" x14ac:dyDescent="0.2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  <c r="AK223" s="171"/>
      <c r="AL223" s="171"/>
      <c r="AM223" s="171"/>
    </row>
    <row r="224" spans="1:39" ht="13.5" customHeight="1" x14ac:dyDescent="0.2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  <c r="AK224" s="171"/>
      <c r="AL224" s="171"/>
      <c r="AM224" s="171"/>
    </row>
    <row r="225" spans="1:39" ht="13.5" customHeight="1" x14ac:dyDescent="0.2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  <c r="AK225" s="171"/>
      <c r="AL225" s="171"/>
      <c r="AM225" s="171"/>
    </row>
    <row r="226" spans="1:39" ht="13.5" customHeight="1" x14ac:dyDescent="0.2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  <c r="AK226" s="171"/>
      <c r="AL226" s="171"/>
      <c r="AM226" s="171"/>
    </row>
    <row r="227" spans="1:39" ht="13.5" customHeight="1" x14ac:dyDescent="0.2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171"/>
    </row>
    <row r="228" spans="1:39" ht="13.5" customHeight="1" x14ac:dyDescent="0.2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  <c r="AK228" s="171"/>
      <c r="AL228" s="171"/>
      <c r="AM228" s="171"/>
    </row>
    <row r="229" spans="1:39" ht="13.5" customHeight="1" x14ac:dyDescent="0.2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  <c r="AK229" s="171"/>
      <c r="AL229" s="171"/>
      <c r="AM229" s="171"/>
    </row>
    <row r="230" spans="1:39" ht="13.5" customHeight="1" x14ac:dyDescent="0.2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</row>
    <row r="231" spans="1:39" ht="13.5" customHeight="1" x14ac:dyDescent="0.2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171"/>
    </row>
    <row r="232" spans="1:39" ht="13.5" customHeight="1" x14ac:dyDescent="0.2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  <c r="AK232" s="171"/>
      <c r="AL232" s="171"/>
      <c r="AM232" s="171"/>
    </row>
    <row r="233" spans="1:39" ht="13.5" customHeight="1" x14ac:dyDescent="0.2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</row>
    <row r="234" spans="1:39" ht="13.5" customHeight="1" x14ac:dyDescent="0.2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171"/>
    </row>
    <row r="235" spans="1:39" ht="13.5" customHeight="1" x14ac:dyDescent="0.2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171"/>
    </row>
    <row r="236" spans="1:39" ht="13.5" customHeight="1" x14ac:dyDescent="0.2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</row>
    <row r="237" spans="1:39" ht="13.5" customHeight="1" x14ac:dyDescent="0.2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</row>
    <row r="238" spans="1:39" ht="13.5" customHeight="1" x14ac:dyDescent="0.2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  <c r="AK238" s="171"/>
      <c r="AL238" s="171"/>
      <c r="AM238" s="171"/>
    </row>
    <row r="239" spans="1:39" ht="13.5" customHeight="1" x14ac:dyDescent="0.2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  <c r="AK239" s="171"/>
      <c r="AL239" s="171"/>
      <c r="AM239" s="171"/>
    </row>
    <row r="240" spans="1:39" ht="13.5" customHeight="1" x14ac:dyDescent="0.2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  <c r="AK240" s="171"/>
      <c r="AL240" s="171"/>
      <c r="AM240" s="171"/>
    </row>
    <row r="241" spans="1:39" ht="13.5" customHeight="1" x14ac:dyDescent="0.2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171"/>
    </row>
    <row r="242" spans="1:39" ht="13.5" customHeight="1" x14ac:dyDescent="0.2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171"/>
    </row>
    <row r="243" spans="1:39" ht="13.5" customHeight="1" x14ac:dyDescent="0.2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/>
      <c r="AL243" s="171"/>
      <c r="AM243" s="171"/>
    </row>
    <row r="244" spans="1:39" ht="13.5" customHeight="1" x14ac:dyDescent="0.2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  <c r="AK244" s="171"/>
      <c r="AL244" s="171"/>
      <c r="AM244" s="171"/>
    </row>
    <row r="245" spans="1:39" ht="13.5" customHeight="1" x14ac:dyDescent="0.2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  <c r="AK245" s="171"/>
      <c r="AL245" s="171"/>
      <c r="AM245" s="171"/>
    </row>
    <row r="246" spans="1:39" ht="13.5" customHeight="1" x14ac:dyDescent="0.2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  <c r="AK246" s="171"/>
      <c r="AL246" s="171"/>
      <c r="AM246" s="171"/>
    </row>
    <row r="247" spans="1:39" ht="13.5" customHeight="1" x14ac:dyDescent="0.2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  <c r="AK247" s="171"/>
      <c r="AL247" s="171"/>
      <c r="AM247" s="171"/>
    </row>
    <row r="248" spans="1:39" ht="13.5" customHeight="1" x14ac:dyDescent="0.2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  <c r="AK248" s="171"/>
      <c r="AL248" s="171"/>
      <c r="AM248" s="171"/>
    </row>
    <row r="249" spans="1:39" ht="13.5" customHeight="1" x14ac:dyDescent="0.2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/>
      <c r="AL249" s="171"/>
      <c r="AM249" s="171"/>
    </row>
    <row r="250" spans="1:39" ht="13.5" customHeight="1" x14ac:dyDescent="0.2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  <c r="AK250" s="171"/>
      <c r="AL250" s="171"/>
      <c r="AM250" s="171"/>
    </row>
    <row r="251" spans="1:39" ht="13.5" customHeight="1" x14ac:dyDescent="0.2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  <c r="AK251" s="171"/>
      <c r="AL251" s="171"/>
      <c r="AM251" s="171"/>
    </row>
    <row r="252" spans="1:39" ht="13.5" customHeight="1" x14ac:dyDescent="0.2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  <c r="AK252" s="171"/>
      <c r="AL252" s="171"/>
      <c r="AM252" s="171"/>
    </row>
    <row r="253" spans="1:39" ht="13.5" customHeight="1" x14ac:dyDescent="0.2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1"/>
      <c r="AL253" s="171"/>
      <c r="AM253" s="171"/>
    </row>
    <row r="254" spans="1:39" ht="13.5" customHeight="1" x14ac:dyDescent="0.2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</row>
    <row r="255" spans="1:39" ht="13.5" customHeight="1" x14ac:dyDescent="0.2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  <c r="AK255" s="171"/>
      <c r="AL255" s="171"/>
      <c r="AM255" s="171"/>
    </row>
    <row r="256" spans="1:39" ht="13.5" customHeight="1" x14ac:dyDescent="0.2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171"/>
    </row>
    <row r="257" spans="1:39" ht="13.5" customHeight="1" x14ac:dyDescent="0.2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  <c r="AK257" s="171"/>
      <c r="AL257" s="171"/>
      <c r="AM257" s="171"/>
    </row>
    <row r="258" spans="1:39" ht="13.5" customHeight="1" x14ac:dyDescent="0.2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  <c r="AK258" s="171"/>
      <c r="AL258" s="171"/>
      <c r="AM258" s="171"/>
    </row>
    <row r="259" spans="1:39" ht="13.5" customHeight="1" x14ac:dyDescent="0.2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  <c r="AK259" s="171"/>
      <c r="AL259" s="171"/>
      <c r="AM259" s="171"/>
    </row>
    <row r="260" spans="1:39" ht="13.5" customHeight="1" x14ac:dyDescent="0.2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  <c r="AK260" s="171"/>
      <c r="AL260" s="171"/>
      <c r="AM260" s="171"/>
    </row>
    <row r="261" spans="1:39" ht="13.5" customHeight="1" x14ac:dyDescent="0.2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  <c r="AK261" s="171"/>
      <c r="AL261" s="171"/>
      <c r="AM261" s="171"/>
    </row>
    <row r="262" spans="1:39" ht="13.5" customHeight="1" x14ac:dyDescent="0.2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/>
      <c r="AM262" s="171"/>
    </row>
    <row r="263" spans="1:39" ht="13.5" customHeight="1" x14ac:dyDescent="0.2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  <c r="AK263" s="171"/>
      <c r="AL263" s="171"/>
      <c r="AM263" s="171"/>
    </row>
    <row r="264" spans="1:39" ht="13.5" customHeight="1" x14ac:dyDescent="0.2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</row>
    <row r="265" spans="1:39" ht="13.5" customHeight="1" x14ac:dyDescent="0.2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1"/>
      <c r="AL265" s="171"/>
      <c r="AM265" s="171"/>
    </row>
    <row r="266" spans="1:39" ht="13.5" customHeight="1" x14ac:dyDescent="0.2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  <c r="AK266" s="171"/>
      <c r="AL266" s="171"/>
      <c r="AM266" s="171"/>
    </row>
    <row r="267" spans="1:39" ht="13.5" customHeight="1" x14ac:dyDescent="0.2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  <c r="AK267" s="171"/>
      <c r="AL267" s="171"/>
      <c r="AM267" s="171"/>
    </row>
    <row r="268" spans="1:39" ht="13.5" customHeight="1" x14ac:dyDescent="0.2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1"/>
      <c r="AL268" s="171"/>
      <c r="AM268" s="171"/>
    </row>
    <row r="269" spans="1:39" ht="13.5" customHeight="1" x14ac:dyDescent="0.2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1"/>
      <c r="AL269" s="171"/>
      <c r="AM269" s="171"/>
    </row>
    <row r="270" spans="1:39" ht="13.5" customHeight="1" x14ac:dyDescent="0.2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  <c r="AK270" s="171"/>
      <c r="AL270" s="171"/>
      <c r="AM270" s="171"/>
    </row>
    <row r="271" spans="1:39" ht="13.5" customHeight="1" x14ac:dyDescent="0.2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/>
      <c r="AL271" s="171"/>
      <c r="AM271" s="171"/>
    </row>
    <row r="272" spans="1:39" ht="13.5" customHeight="1" x14ac:dyDescent="0.2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  <c r="AK272" s="171"/>
      <c r="AL272" s="171"/>
      <c r="AM272" s="171"/>
    </row>
    <row r="273" spans="1:39" ht="13.5" customHeight="1" x14ac:dyDescent="0.2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1"/>
      <c r="AL273" s="171"/>
      <c r="AM273" s="171"/>
    </row>
    <row r="274" spans="1:39" ht="13.5" customHeight="1" x14ac:dyDescent="0.2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  <c r="AK274" s="171"/>
      <c r="AL274" s="171"/>
      <c r="AM274" s="171"/>
    </row>
    <row r="275" spans="1:39" ht="13.5" customHeight="1" x14ac:dyDescent="0.2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1"/>
      <c r="AL275" s="171"/>
      <c r="AM275" s="171"/>
    </row>
    <row r="276" spans="1:39" ht="13.5" customHeight="1" x14ac:dyDescent="0.2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  <c r="AK276" s="171"/>
      <c r="AL276" s="171"/>
      <c r="AM276" s="171"/>
    </row>
    <row r="277" spans="1:39" ht="13.5" customHeight="1" x14ac:dyDescent="0.2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/>
      <c r="AM277" s="171"/>
    </row>
    <row r="278" spans="1:39" ht="13.5" customHeight="1" x14ac:dyDescent="0.2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1"/>
      <c r="AL278" s="171"/>
      <c r="AM278" s="171"/>
    </row>
    <row r="279" spans="1:39" ht="13.5" customHeight="1" x14ac:dyDescent="0.2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1"/>
      <c r="AL279" s="171"/>
      <c r="AM279" s="171"/>
    </row>
    <row r="280" spans="1:39" ht="13.5" customHeight="1" x14ac:dyDescent="0.2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  <c r="AK280" s="171"/>
      <c r="AL280" s="171"/>
      <c r="AM280" s="171"/>
    </row>
    <row r="281" spans="1:39" ht="13.5" customHeight="1" x14ac:dyDescent="0.2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/>
      <c r="AM281" s="171"/>
    </row>
    <row r="282" spans="1:39" ht="13.5" customHeight="1" x14ac:dyDescent="0.2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1"/>
      <c r="AK282" s="171"/>
      <c r="AL282" s="171"/>
      <c r="AM282" s="171"/>
    </row>
    <row r="283" spans="1:39" ht="13.5" customHeight="1" x14ac:dyDescent="0.2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  <c r="AK283" s="171"/>
      <c r="AL283" s="171"/>
      <c r="AM283" s="171"/>
    </row>
    <row r="284" spans="1:39" ht="13.5" customHeight="1" x14ac:dyDescent="0.2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  <c r="AK284" s="171"/>
      <c r="AL284" s="171"/>
      <c r="AM284" s="171"/>
    </row>
    <row r="285" spans="1:39" ht="13.5" customHeight="1" x14ac:dyDescent="0.2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  <c r="AK285" s="171"/>
      <c r="AL285" s="171"/>
      <c r="AM285" s="171"/>
    </row>
    <row r="286" spans="1:39" ht="13.5" customHeight="1" x14ac:dyDescent="0.2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  <c r="AK286" s="171"/>
      <c r="AL286" s="171"/>
      <c r="AM286" s="171"/>
    </row>
    <row r="287" spans="1:39" ht="13.5" customHeight="1" x14ac:dyDescent="0.2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/>
      <c r="AM287" s="171"/>
    </row>
    <row r="288" spans="1:39" ht="13.5" customHeight="1" x14ac:dyDescent="0.2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  <c r="AK288" s="171"/>
      <c r="AL288" s="171"/>
      <c r="AM288" s="171"/>
    </row>
    <row r="289" spans="1:39" ht="13.5" customHeight="1" x14ac:dyDescent="0.2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  <c r="AK289" s="171"/>
      <c r="AL289" s="171"/>
      <c r="AM289" s="171"/>
    </row>
    <row r="290" spans="1:39" ht="13.5" customHeight="1" x14ac:dyDescent="0.2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  <c r="AK290" s="171"/>
      <c r="AL290" s="171"/>
      <c r="AM290" s="171"/>
    </row>
    <row r="291" spans="1:39" ht="13.5" customHeight="1" x14ac:dyDescent="0.2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</row>
    <row r="292" spans="1:39" ht="13.5" customHeight="1" x14ac:dyDescent="0.2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  <c r="AK292" s="171"/>
      <c r="AL292" s="171"/>
      <c r="AM292" s="171"/>
    </row>
    <row r="293" spans="1:39" ht="13.5" customHeight="1" x14ac:dyDescent="0.2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/>
      <c r="AM293" s="171"/>
    </row>
    <row r="294" spans="1:39" ht="13.5" customHeight="1" x14ac:dyDescent="0.2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  <c r="AK294" s="171"/>
      <c r="AL294" s="171"/>
      <c r="AM294" s="171"/>
    </row>
    <row r="295" spans="1:39" ht="13.5" customHeight="1" x14ac:dyDescent="0.2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/>
      <c r="AM295" s="171"/>
    </row>
    <row r="296" spans="1:39" ht="13.5" customHeight="1" x14ac:dyDescent="0.2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  <c r="AK296" s="171"/>
      <c r="AL296" s="171"/>
      <c r="AM296" s="171"/>
    </row>
    <row r="297" spans="1:39" ht="13.5" customHeight="1" x14ac:dyDescent="0.2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/>
      <c r="AM297" s="171"/>
    </row>
    <row r="298" spans="1:39" ht="13.5" customHeight="1" x14ac:dyDescent="0.2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  <c r="AK298" s="171"/>
      <c r="AL298" s="171"/>
      <c r="AM298" s="171"/>
    </row>
    <row r="299" spans="1:39" ht="13.5" customHeight="1" x14ac:dyDescent="0.2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/>
      <c r="AM299" s="171"/>
    </row>
    <row r="300" spans="1:39" ht="13.5" customHeight="1" x14ac:dyDescent="0.2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  <c r="AK300" s="171"/>
      <c r="AL300" s="171"/>
      <c r="AM300" s="171"/>
    </row>
    <row r="301" spans="1:39" ht="13.5" customHeight="1" x14ac:dyDescent="0.2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/>
      <c r="AM301" s="171"/>
    </row>
    <row r="302" spans="1:39" ht="13.5" customHeight="1" x14ac:dyDescent="0.2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  <c r="AK302" s="171"/>
      <c r="AL302" s="171"/>
      <c r="AM302" s="171"/>
    </row>
    <row r="303" spans="1:39" ht="13.5" customHeight="1" x14ac:dyDescent="0.2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  <c r="AK303" s="171"/>
      <c r="AL303" s="171"/>
      <c r="AM303" s="171"/>
    </row>
    <row r="304" spans="1:39" ht="13.5" customHeight="1" x14ac:dyDescent="0.2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  <c r="AK304" s="171"/>
      <c r="AL304" s="171"/>
      <c r="AM304" s="171"/>
    </row>
    <row r="305" spans="1:39" ht="13.5" customHeight="1" x14ac:dyDescent="0.2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/>
      <c r="AM305" s="171"/>
    </row>
    <row r="306" spans="1:39" ht="13.5" customHeight="1" x14ac:dyDescent="0.2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  <c r="AK306" s="171"/>
      <c r="AL306" s="171"/>
      <c r="AM306" s="171"/>
    </row>
    <row r="307" spans="1:39" ht="13.5" customHeight="1" x14ac:dyDescent="0.2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171"/>
    </row>
    <row r="308" spans="1:39" ht="13.5" customHeight="1" x14ac:dyDescent="0.2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  <c r="AK308" s="171"/>
      <c r="AL308" s="171"/>
      <c r="AM308" s="171"/>
    </row>
    <row r="309" spans="1:39" ht="13.5" customHeight="1" x14ac:dyDescent="0.2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</row>
    <row r="310" spans="1:39" ht="13.5" customHeight="1" x14ac:dyDescent="0.2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  <c r="AK310" s="171"/>
      <c r="AL310" s="171"/>
      <c r="AM310" s="171"/>
    </row>
    <row r="311" spans="1:39" ht="13.5" customHeight="1" x14ac:dyDescent="0.2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/>
      <c r="AL311" s="171"/>
      <c r="AM311" s="171"/>
    </row>
    <row r="312" spans="1:39" ht="13.5" customHeight="1" x14ac:dyDescent="0.2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  <c r="AK312" s="171"/>
      <c r="AL312" s="171"/>
      <c r="AM312" s="171"/>
    </row>
    <row r="313" spans="1:39" ht="13.5" customHeight="1" x14ac:dyDescent="0.2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171"/>
    </row>
    <row r="314" spans="1:39" ht="13.5" customHeight="1" x14ac:dyDescent="0.2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171"/>
    </row>
    <row r="315" spans="1:39" ht="13.5" customHeight="1" x14ac:dyDescent="0.2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  <c r="AK315" s="171"/>
      <c r="AL315" s="171"/>
      <c r="AM315" s="171"/>
    </row>
    <row r="316" spans="1:39" ht="13.5" customHeight="1" x14ac:dyDescent="0.2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  <c r="AK316" s="171"/>
      <c r="AL316" s="171"/>
      <c r="AM316" s="171"/>
    </row>
    <row r="317" spans="1:39" ht="13.5" customHeight="1" x14ac:dyDescent="0.2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/>
      <c r="AM317" s="171"/>
    </row>
    <row r="318" spans="1:39" ht="13.5" customHeight="1" x14ac:dyDescent="0.2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  <c r="AK318" s="171"/>
      <c r="AL318" s="171"/>
      <c r="AM318" s="171"/>
    </row>
    <row r="319" spans="1:39" ht="13.5" customHeight="1" x14ac:dyDescent="0.2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171"/>
    </row>
    <row r="320" spans="1:39" ht="13.5" customHeight="1" x14ac:dyDescent="0.2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  <c r="AK320" s="171"/>
      <c r="AL320" s="171"/>
      <c r="AM320" s="171"/>
    </row>
    <row r="321" spans="1:39" ht="13.5" customHeight="1" x14ac:dyDescent="0.2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/>
      <c r="AM321" s="171"/>
    </row>
    <row r="322" spans="1:39" ht="13.5" customHeight="1" x14ac:dyDescent="0.2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  <c r="AK322" s="171"/>
      <c r="AL322" s="171"/>
      <c r="AM322" s="171"/>
    </row>
    <row r="323" spans="1:39" ht="13.5" customHeight="1" x14ac:dyDescent="0.2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/>
      <c r="AK323" s="171"/>
      <c r="AL323" s="171"/>
      <c r="AM323" s="171"/>
    </row>
    <row r="324" spans="1:39" ht="13.5" customHeight="1" x14ac:dyDescent="0.2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  <c r="AK324" s="171"/>
      <c r="AL324" s="171"/>
      <c r="AM324" s="171"/>
    </row>
    <row r="325" spans="1:39" ht="13.5" customHeight="1" x14ac:dyDescent="0.2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  <c r="AK325" s="171"/>
      <c r="AL325" s="171"/>
      <c r="AM325" s="171"/>
    </row>
    <row r="326" spans="1:39" ht="13.5" customHeight="1" x14ac:dyDescent="0.2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1"/>
      <c r="AK326" s="171"/>
      <c r="AL326" s="171"/>
      <c r="AM326" s="171"/>
    </row>
    <row r="327" spans="1:39" ht="13.5" customHeight="1" x14ac:dyDescent="0.2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  <c r="AK327" s="171"/>
      <c r="AL327" s="171"/>
      <c r="AM327" s="171"/>
    </row>
    <row r="328" spans="1:39" ht="13.5" customHeight="1" x14ac:dyDescent="0.2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  <c r="AK328" s="171"/>
      <c r="AL328" s="171"/>
      <c r="AM328" s="171"/>
    </row>
    <row r="329" spans="1:39" ht="13.5" customHeight="1" x14ac:dyDescent="0.2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  <c r="AK329" s="171"/>
      <c r="AL329" s="171"/>
      <c r="AM329" s="171"/>
    </row>
    <row r="330" spans="1:39" ht="13.5" customHeight="1" x14ac:dyDescent="0.2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/>
      <c r="AH330" s="171"/>
      <c r="AI330" s="171"/>
      <c r="AJ330" s="171"/>
      <c r="AK330" s="171"/>
      <c r="AL330" s="171"/>
      <c r="AM330" s="171"/>
    </row>
    <row r="331" spans="1:39" ht="13.5" customHeight="1" x14ac:dyDescent="0.2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1"/>
      <c r="AK331" s="171"/>
      <c r="AL331" s="171"/>
      <c r="AM331" s="171"/>
    </row>
    <row r="332" spans="1:39" ht="13.5" customHeight="1" x14ac:dyDescent="0.2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1"/>
      <c r="AK332" s="171"/>
      <c r="AL332" s="171"/>
      <c r="AM332" s="171"/>
    </row>
    <row r="333" spans="1:39" ht="13.5" customHeight="1" x14ac:dyDescent="0.2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  <c r="AK333" s="171"/>
      <c r="AL333" s="171"/>
      <c r="AM333" s="171"/>
    </row>
    <row r="334" spans="1:39" ht="13.5" customHeight="1" x14ac:dyDescent="0.2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1"/>
      <c r="AK334" s="171"/>
      <c r="AL334" s="171"/>
      <c r="AM334" s="171"/>
    </row>
    <row r="335" spans="1:39" ht="13.5" customHeight="1" x14ac:dyDescent="0.2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1"/>
      <c r="AK335" s="171"/>
      <c r="AL335" s="171"/>
      <c r="AM335" s="171"/>
    </row>
    <row r="336" spans="1:39" ht="13.5" customHeight="1" x14ac:dyDescent="0.2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1"/>
      <c r="AK336" s="171"/>
      <c r="AL336" s="171"/>
      <c r="AM336" s="171"/>
    </row>
    <row r="337" spans="1:39" ht="13.5" customHeight="1" x14ac:dyDescent="0.2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1"/>
      <c r="AK337" s="171"/>
      <c r="AL337" s="171"/>
      <c r="AM337" s="171"/>
    </row>
    <row r="338" spans="1:39" ht="13.5" customHeight="1" x14ac:dyDescent="0.2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1"/>
      <c r="AK338" s="171"/>
      <c r="AL338" s="171"/>
      <c r="AM338" s="171"/>
    </row>
    <row r="339" spans="1:39" ht="13.5" customHeight="1" x14ac:dyDescent="0.2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  <c r="AK339" s="171"/>
      <c r="AL339" s="171"/>
      <c r="AM339" s="171"/>
    </row>
    <row r="340" spans="1:39" ht="13.5" customHeight="1" x14ac:dyDescent="0.2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  <c r="AK340" s="171"/>
      <c r="AL340" s="171"/>
      <c r="AM340" s="171"/>
    </row>
    <row r="341" spans="1:39" ht="13.5" customHeight="1" x14ac:dyDescent="0.2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171"/>
    </row>
    <row r="342" spans="1:39" ht="13.5" customHeight="1" x14ac:dyDescent="0.2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1"/>
      <c r="AK342" s="171"/>
      <c r="AL342" s="171"/>
      <c r="AM342" s="171"/>
    </row>
    <row r="343" spans="1:39" ht="13.5" customHeight="1" x14ac:dyDescent="0.2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1"/>
      <c r="AK343" s="171"/>
      <c r="AL343" s="171"/>
      <c r="AM343" s="171"/>
    </row>
    <row r="344" spans="1:39" ht="13.5" customHeight="1" x14ac:dyDescent="0.2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1"/>
      <c r="AK344" s="171"/>
      <c r="AL344" s="171"/>
      <c r="AM344" s="171"/>
    </row>
    <row r="345" spans="1:39" ht="13.5" customHeight="1" x14ac:dyDescent="0.2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171"/>
    </row>
    <row r="346" spans="1:39" ht="13.5" customHeight="1" x14ac:dyDescent="0.2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  <c r="AK346" s="171"/>
      <c r="AL346" s="171"/>
      <c r="AM346" s="171"/>
    </row>
    <row r="347" spans="1:39" ht="13.5" customHeight="1" x14ac:dyDescent="0.2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  <c r="AK347" s="171"/>
      <c r="AL347" s="171"/>
      <c r="AM347" s="171"/>
    </row>
    <row r="348" spans="1:39" ht="13.5" customHeight="1" x14ac:dyDescent="0.2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1"/>
      <c r="AK348" s="171"/>
      <c r="AL348" s="171"/>
      <c r="AM348" s="171"/>
    </row>
    <row r="349" spans="1:39" ht="13.5" customHeight="1" x14ac:dyDescent="0.2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171"/>
    </row>
    <row r="350" spans="1:39" ht="13.5" customHeight="1" x14ac:dyDescent="0.2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1"/>
      <c r="AK350" s="171"/>
      <c r="AL350" s="171"/>
      <c r="AM350" s="171"/>
    </row>
    <row r="351" spans="1:39" ht="13.5" customHeight="1" x14ac:dyDescent="0.2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1"/>
      <c r="AK351" s="171"/>
      <c r="AL351" s="171"/>
      <c r="AM351" s="171"/>
    </row>
    <row r="352" spans="1:39" ht="13.5" customHeight="1" x14ac:dyDescent="0.2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  <c r="AK352" s="171"/>
      <c r="AL352" s="171"/>
      <c r="AM352" s="171"/>
    </row>
    <row r="353" spans="1:39" ht="13.5" customHeight="1" x14ac:dyDescent="0.2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1"/>
      <c r="AK353" s="171"/>
      <c r="AL353" s="171"/>
      <c r="AM353" s="171"/>
    </row>
    <row r="354" spans="1:39" ht="13.5" customHeight="1" x14ac:dyDescent="0.2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/>
      <c r="AH354" s="171"/>
      <c r="AI354" s="171"/>
      <c r="AJ354" s="171"/>
      <c r="AK354" s="171"/>
      <c r="AL354" s="171"/>
      <c r="AM354" s="171"/>
    </row>
    <row r="355" spans="1:39" ht="13.5" customHeight="1" x14ac:dyDescent="0.2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1"/>
      <c r="AK355" s="171"/>
      <c r="AL355" s="171"/>
      <c r="AM355" s="171"/>
    </row>
    <row r="356" spans="1:39" ht="13.5" customHeight="1" x14ac:dyDescent="0.2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1"/>
      <c r="AK356" s="171"/>
      <c r="AL356" s="171"/>
      <c r="AM356" s="171"/>
    </row>
    <row r="357" spans="1:39" ht="13.5" customHeight="1" x14ac:dyDescent="0.2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171"/>
    </row>
    <row r="358" spans="1:39" ht="13.5" customHeight="1" x14ac:dyDescent="0.2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1"/>
      <c r="AK358" s="171"/>
      <c r="AL358" s="171"/>
      <c r="AM358" s="171"/>
    </row>
    <row r="359" spans="1:39" ht="13.5" customHeight="1" x14ac:dyDescent="0.2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  <c r="AK359" s="171"/>
      <c r="AL359" s="171"/>
      <c r="AM359" s="171"/>
    </row>
    <row r="360" spans="1:39" ht="13.5" customHeight="1" x14ac:dyDescent="0.2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171"/>
      <c r="AI360" s="171"/>
      <c r="AJ360" s="171"/>
      <c r="AK360" s="171"/>
      <c r="AL360" s="171"/>
      <c r="AM360" s="171"/>
    </row>
    <row r="361" spans="1:39" ht="13.5" customHeight="1" x14ac:dyDescent="0.2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  <c r="AG361" s="171"/>
      <c r="AH361" s="171"/>
      <c r="AI361" s="171"/>
      <c r="AJ361" s="171"/>
      <c r="AK361" s="171"/>
      <c r="AL361" s="171"/>
      <c r="AM361" s="171"/>
    </row>
    <row r="362" spans="1:39" ht="13.5" customHeight="1" x14ac:dyDescent="0.2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  <c r="AG362" s="171"/>
      <c r="AH362" s="171"/>
      <c r="AI362" s="171"/>
      <c r="AJ362" s="171"/>
      <c r="AK362" s="171"/>
      <c r="AL362" s="171"/>
      <c r="AM362" s="171"/>
    </row>
    <row r="363" spans="1:39" ht="13.5" customHeight="1" x14ac:dyDescent="0.2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1"/>
      <c r="AK363" s="171"/>
      <c r="AL363" s="171"/>
      <c r="AM363" s="171"/>
    </row>
    <row r="364" spans="1:39" ht="13.5" customHeight="1" x14ac:dyDescent="0.2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  <c r="AK364" s="171"/>
      <c r="AL364" s="171"/>
      <c r="AM364" s="171"/>
    </row>
    <row r="365" spans="1:39" ht="13.5" customHeight="1" x14ac:dyDescent="0.2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1"/>
      <c r="AK365" s="171"/>
      <c r="AL365" s="171"/>
      <c r="AM365" s="171"/>
    </row>
    <row r="366" spans="1:39" ht="13.5" customHeight="1" x14ac:dyDescent="0.2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1"/>
      <c r="AK366" s="171"/>
      <c r="AL366" s="171"/>
      <c r="AM366" s="171"/>
    </row>
    <row r="367" spans="1:39" ht="13.5" customHeight="1" x14ac:dyDescent="0.2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1"/>
      <c r="AK367" s="171"/>
      <c r="AL367" s="171"/>
      <c r="AM367" s="171"/>
    </row>
    <row r="368" spans="1:39" ht="13.5" customHeight="1" x14ac:dyDescent="0.2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1"/>
      <c r="AK368" s="171"/>
      <c r="AL368" s="171"/>
      <c r="AM368" s="171"/>
    </row>
    <row r="369" spans="1:39" ht="13.5" customHeight="1" x14ac:dyDescent="0.2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  <c r="AK369" s="171"/>
      <c r="AL369" s="171"/>
      <c r="AM369" s="171"/>
    </row>
    <row r="370" spans="1:39" ht="13.5" customHeight="1" x14ac:dyDescent="0.2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1"/>
      <c r="AK370" s="171"/>
      <c r="AL370" s="171"/>
      <c r="AM370" s="171"/>
    </row>
    <row r="371" spans="1:39" ht="13.5" customHeight="1" x14ac:dyDescent="0.2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  <c r="AK371" s="171"/>
      <c r="AL371" s="171"/>
      <c r="AM371" s="171"/>
    </row>
    <row r="372" spans="1:39" ht="13.5" customHeight="1" x14ac:dyDescent="0.2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1"/>
      <c r="AK372" s="171"/>
      <c r="AL372" s="171"/>
      <c r="AM372" s="171"/>
    </row>
    <row r="373" spans="1:39" ht="13.5" customHeight="1" x14ac:dyDescent="0.2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  <c r="AK373" s="171"/>
      <c r="AL373" s="171"/>
      <c r="AM373" s="171"/>
    </row>
    <row r="374" spans="1:39" ht="13.5" customHeight="1" x14ac:dyDescent="0.2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  <c r="AK374" s="171"/>
      <c r="AL374" s="171"/>
      <c r="AM374" s="171"/>
    </row>
    <row r="375" spans="1:39" ht="13.5" customHeight="1" x14ac:dyDescent="0.2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171"/>
      <c r="AI375" s="171"/>
      <c r="AJ375" s="171"/>
      <c r="AK375" s="171"/>
      <c r="AL375" s="171"/>
      <c r="AM375" s="171"/>
    </row>
    <row r="376" spans="1:39" ht="13.5" customHeight="1" x14ac:dyDescent="0.2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  <c r="AG376" s="171"/>
      <c r="AH376" s="171"/>
      <c r="AI376" s="171"/>
      <c r="AJ376" s="171"/>
      <c r="AK376" s="171"/>
      <c r="AL376" s="171"/>
      <c r="AM376" s="171"/>
    </row>
    <row r="377" spans="1:39" ht="13.5" customHeight="1" x14ac:dyDescent="0.2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171"/>
    </row>
    <row r="378" spans="1:39" ht="13.5" customHeight="1" x14ac:dyDescent="0.2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  <c r="AK378" s="171"/>
      <c r="AL378" s="171"/>
      <c r="AM378" s="171"/>
    </row>
    <row r="379" spans="1:39" ht="13.5" customHeight="1" x14ac:dyDescent="0.2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171"/>
      <c r="AI379" s="171"/>
      <c r="AJ379" s="171"/>
      <c r="AK379" s="171"/>
      <c r="AL379" s="171"/>
      <c r="AM379" s="171"/>
    </row>
    <row r="380" spans="1:39" ht="13.5" customHeight="1" x14ac:dyDescent="0.2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  <c r="AF380" s="171"/>
      <c r="AG380" s="171"/>
      <c r="AH380" s="171"/>
      <c r="AI380" s="171"/>
      <c r="AJ380" s="171"/>
      <c r="AK380" s="171"/>
      <c r="AL380" s="171"/>
      <c r="AM380" s="171"/>
    </row>
    <row r="381" spans="1:39" ht="13.5" customHeight="1" x14ac:dyDescent="0.2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  <c r="AK381" s="171"/>
      <c r="AL381" s="171"/>
      <c r="AM381" s="171"/>
    </row>
    <row r="382" spans="1:39" ht="13.5" customHeight="1" x14ac:dyDescent="0.2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  <c r="AG382" s="171"/>
      <c r="AH382" s="171"/>
      <c r="AI382" s="171"/>
      <c r="AJ382" s="171"/>
      <c r="AK382" s="171"/>
      <c r="AL382" s="171"/>
      <c r="AM382" s="171"/>
    </row>
    <row r="383" spans="1:39" ht="13.5" customHeight="1" x14ac:dyDescent="0.2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  <c r="AF383" s="171"/>
      <c r="AG383" s="171"/>
      <c r="AH383" s="171"/>
      <c r="AI383" s="171"/>
      <c r="AJ383" s="171"/>
      <c r="AK383" s="171"/>
      <c r="AL383" s="171"/>
      <c r="AM383" s="171"/>
    </row>
    <row r="384" spans="1:39" ht="13.5" customHeight="1" x14ac:dyDescent="0.2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1"/>
      <c r="AH384" s="171"/>
      <c r="AI384" s="171"/>
      <c r="AJ384" s="171"/>
      <c r="AK384" s="171"/>
      <c r="AL384" s="171"/>
      <c r="AM384" s="171"/>
    </row>
    <row r="385" spans="1:39" ht="13.5" customHeight="1" x14ac:dyDescent="0.2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  <c r="AG385" s="171"/>
      <c r="AH385" s="171"/>
      <c r="AI385" s="171"/>
      <c r="AJ385" s="171"/>
      <c r="AK385" s="171"/>
      <c r="AL385" s="171"/>
      <c r="AM385" s="171"/>
    </row>
    <row r="386" spans="1:39" ht="13.5" customHeight="1" x14ac:dyDescent="0.2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/>
      <c r="AH386" s="171"/>
      <c r="AI386" s="171"/>
      <c r="AJ386" s="171"/>
      <c r="AK386" s="171"/>
      <c r="AL386" s="171"/>
      <c r="AM386" s="171"/>
    </row>
    <row r="387" spans="1:39" ht="13.5" customHeight="1" x14ac:dyDescent="0.2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  <c r="AF387" s="171"/>
      <c r="AG387" s="171"/>
      <c r="AH387" s="171"/>
      <c r="AI387" s="171"/>
      <c r="AJ387" s="171"/>
      <c r="AK387" s="171"/>
      <c r="AL387" s="171"/>
      <c r="AM387" s="171"/>
    </row>
    <row r="388" spans="1:39" ht="13.5" customHeight="1" x14ac:dyDescent="0.2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</row>
    <row r="389" spans="1:39" ht="13.5" customHeight="1" x14ac:dyDescent="0.2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171"/>
      <c r="AI389" s="171"/>
      <c r="AJ389" s="171"/>
      <c r="AK389" s="171"/>
      <c r="AL389" s="171"/>
      <c r="AM389" s="171"/>
    </row>
    <row r="390" spans="1:39" ht="13.5" customHeight="1" x14ac:dyDescent="0.2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  <c r="AF390" s="171"/>
      <c r="AG390" s="171"/>
      <c r="AH390" s="171"/>
      <c r="AI390" s="171"/>
      <c r="AJ390" s="171"/>
      <c r="AK390" s="171"/>
      <c r="AL390" s="171"/>
      <c r="AM390" s="171"/>
    </row>
    <row r="391" spans="1:39" ht="13.5" customHeight="1" x14ac:dyDescent="0.2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171"/>
      <c r="AI391" s="171"/>
      <c r="AJ391" s="171"/>
      <c r="AK391" s="171"/>
      <c r="AL391" s="171"/>
      <c r="AM391" s="171"/>
    </row>
    <row r="392" spans="1:39" ht="13.5" customHeight="1" x14ac:dyDescent="0.2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  <c r="AG392" s="171"/>
      <c r="AH392" s="171"/>
      <c r="AI392" s="171"/>
      <c r="AJ392" s="171"/>
      <c r="AK392" s="171"/>
      <c r="AL392" s="171"/>
      <c r="AM392" s="171"/>
    </row>
    <row r="393" spans="1:39" ht="13.5" customHeight="1" x14ac:dyDescent="0.2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171"/>
      <c r="AI393" s="171"/>
      <c r="AJ393" s="171"/>
      <c r="AK393" s="171"/>
      <c r="AL393" s="171"/>
      <c r="AM393" s="171"/>
    </row>
    <row r="394" spans="1:39" ht="13.5" customHeight="1" x14ac:dyDescent="0.2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  <c r="AF394" s="171"/>
      <c r="AG394" s="171"/>
      <c r="AH394" s="171"/>
      <c r="AI394" s="171"/>
      <c r="AJ394" s="171"/>
      <c r="AK394" s="171"/>
      <c r="AL394" s="171"/>
      <c r="AM394" s="171"/>
    </row>
    <row r="395" spans="1:39" ht="13.5" customHeight="1" x14ac:dyDescent="0.2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/>
      <c r="AH395" s="171"/>
      <c r="AI395" s="171"/>
      <c r="AJ395" s="171"/>
      <c r="AK395" s="171"/>
      <c r="AL395" s="171"/>
      <c r="AM395" s="171"/>
    </row>
    <row r="396" spans="1:39" ht="13.5" customHeight="1" x14ac:dyDescent="0.2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  <c r="AE396" s="171"/>
      <c r="AF396" s="171"/>
      <c r="AG396" s="171"/>
      <c r="AH396" s="171"/>
      <c r="AI396" s="171"/>
      <c r="AJ396" s="171"/>
      <c r="AK396" s="171"/>
      <c r="AL396" s="171"/>
      <c r="AM396" s="171"/>
    </row>
    <row r="397" spans="1:39" ht="13.5" customHeight="1" x14ac:dyDescent="0.2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  <c r="AE397" s="171"/>
      <c r="AF397" s="171"/>
      <c r="AG397" s="171"/>
      <c r="AH397" s="171"/>
      <c r="AI397" s="171"/>
      <c r="AJ397" s="171"/>
      <c r="AK397" s="171"/>
      <c r="AL397" s="171"/>
      <c r="AM397" s="171"/>
    </row>
    <row r="398" spans="1:39" ht="13.5" customHeight="1" x14ac:dyDescent="0.2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/>
      <c r="AF398" s="171"/>
      <c r="AG398" s="171"/>
      <c r="AH398" s="171"/>
      <c r="AI398" s="171"/>
      <c r="AJ398" s="171"/>
      <c r="AK398" s="171"/>
      <c r="AL398" s="171"/>
      <c r="AM398" s="171"/>
    </row>
    <row r="399" spans="1:39" ht="13.5" customHeight="1" x14ac:dyDescent="0.2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171"/>
      <c r="AI399" s="171"/>
      <c r="AJ399" s="171"/>
      <c r="AK399" s="171"/>
      <c r="AL399" s="171"/>
      <c r="AM399" s="171"/>
    </row>
    <row r="400" spans="1:39" ht="13.5" customHeight="1" x14ac:dyDescent="0.2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  <c r="AF400" s="171"/>
      <c r="AG400" s="171"/>
      <c r="AH400" s="171"/>
      <c r="AI400" s="171"/>
      <c r="AJ400" s="171"/>
      <c r="AK400" s="171"/>
      <c r="AL400" s="171"/>
      <c r="AM400" s="171"/>
    </row>
    <row r="401" spans="1:39" ht="13.5" customHeight="1" x14ac:dyDescent="0.2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171"/>
      <c r="AI401" s="171"/>
      <c r="AJ401" s="171"/>
      <c r="AK401" s="171"/>
      <c r="AL401" s="171"/>
      <c r="AM401" s="171"/>
    </row>
    <row r="402" spans="1:39" ht="13.5" customHeight="1" x14ac:dyDescent="0.2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  <c r="AF402" s="171"/>
      <c r="AG402" s="171"/>
      <c r="AH402" s="171"/>
      <c r="AI402" s="171"/>
      <c r="AJ402" s="171"/>
      <c r="AK402" s="171"/>
      <c r="AL402" s="171"/>
      <c r="AM402" s="171"/>
    </row>
    <row r="403" spans="1:39" ht="13.5" customHeight="1" x14ac:dyDescent="0.2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171"/>
      <c r="AI403" s="171"/>
      <c r="AJ403" s="171"/>
      <c r="AK403" s="171"/>
      <c r="AL403" s="171"/>
      <c r="AM403" s="171"/>
    </row>
    <row r="404" spans="1:39" ht="13.5" customHeight="1" x14ac:dyDescent="0.2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1"/>
      <c r="AH404" s="171"/>
      <c r="AI404" s="171"/>
      <c r="AJ404" s="171"/>
      <c r="AK404" s="171"/>
      <c r="AL404" s="171"/>
      <c r="AM404" s="171"/>
    </row>
    <row r="405" spans="1:39" ht="13.5" customHeight="1" x14ac:dyDescent="0.2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171"/>
      <c r="AI405" s="171"/>
      <c r="AJ405" s="171"/>
      <c r="AK405" s="171"/>
      <c r="AL405" s="171"/>
      <c r="AM405" s="171"/>
    </row>
    <row r="406" spans="1:39" ht="13.5" customHeight="1" x14ac:dyDescent="0.2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  <c r="Y406" s="171"/>
      <c r="Z406" s="171"/>
      <c r="AA406" s="171"/>
      <c r="AB406" s="171"/>
      <c r="AC406" s="171"/>
      <c r="AD406" s="171"/>
      <c r="AE406" s="171"/>
      <c r="AF406" s="171"/>
      <c r="AG406" s="171"/>
      <c r="AH406" s="171"/>
      <c r="AI406" s="171"/>
      <c r="AJ406" s="171"/>
      <c r="AK406" s="171"/>
      <c r="AL406" s="171"/>
      <c r="AM406" s="171"/>
    </row>
    <row r="407" spans="1:39" ht="13.5" customHeight="1" x14ac:dyDescent="0.2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1"/>
      <c r="AD407" s="171"/>
      <c r="AE407" s="171"/>
      <c r="AF407" s="171"/>
      <c r="AG407" s="171"/>
      <c r="AH407" s="171"/>
      <c r="AI407" s="171"/>
      <c r="AJ407" s="171"/>
      <c r="AK407" s="171"/>
      <c r="AL407" s="171"/>
      <c r="AM407" s="171"/>
    </row>
    <row r="408" spans="1:39" ht="13.5" customHeight="1" x14ac:dyDescent="0.2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1"/>
      <c r="AD408" s="171"/>
      <c r="AE408" s="171"/>
      <c r="AF408" s="171"/>
      <c r="AG408" s="171"/>
      <c r="AH408" s="171"/>
      <c r="AI408" s="171"/>
      <c r="AJ408" s="171"/>
      <c r="AK408" s="171"/>
      <c r="AL408" s="171"/>
      <c r="AM408" s="171"/>
    </row>
    <row r="409" spans="1:39" ht="13.5" customHeight="1" x14ac:dyDescent="0.2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  <c r="Y409" s="171"/>
      <c r="Z409" s="171"/>
      <c r="AA409" s="171"/>
      <c r="AB409" s="171"/>
      <c r="AC409" s="171"/>
      <c r="AD409" s="171"/>
      <c r="AE409" s="171"/>
      <c r="AF409" s="171"/>
      <c r="AG409" s="171"/>
      <c r="AH409" s="171"/>
      <c r="AI409" s="171"/>
      <c r="AJ409" s="171"/>
      <c r="AK409" s="171"/>
      <c r="AL409" s="171"/>
      <c r="AM409" s="171"/>
    </row>
    <row r="410" spans="1:39" ht="13.5" customHeight="1" x14ac:dyDescent="0.2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  <c r="Y410" s="171"/>
      <c r="Z410" s="171"/>
      <c r="AA410" s="171"/>
      <c r="AB410" s="171"/>
      <c r="AC410" s="171"/>
      <c r="AD410" s="171"/>
      <c r="AE410" s="171"/>
      <c r="AF410" s="171"/>
      <c r="AG410" s="171"/>
      <c r="AH410" s="171"/>
      <c r="AI410" s="171"/>
      <c r="AJ410" s="171"/>
      <c r="AK410" s="171"/>
      <c r="AL410" s="171"/>
      <c r="AM410" s="171"/>
    </row>
    <row r="411" spans="1:39" ht="13.5" customHeight="1" x14ac:dyDescent="0.2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1"/>
      <c r="AH411" s="171"/>
      <c r="AI411" s="171"/>
      <c r="AJ411" s="171"/>
      <c r="AK411" s="171"/>
      <c r="AL411" s="171"/>
      <c r="AM411" s="171"/>
    </row>
    <row r="412" spans="1:39" ht="13.5" customHeight="1" x14ac:dyDescent="0.2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1"/>
      <c r="AH412" s="171"/>
      <c r="AI412" s="171"/>
      <c r="AJ412" s="171"/>
      <c r="AK412" s="171"/>
      <c r="AL412" s="171"/>
      <c r="AM412" s="171"/>
    </row>
    <row r="413" spans="1:39" ht="13.5" customHeight="1" x14ac:dyDescent="0.2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1"/>
      <c r="AH413" s="171"/>
      <c r="AI413" s="171"/>
      <c r="AJ413" s="171"/>
      <c r="AK413" s="171"/>
      <c r="AL413" s="171"/>
      <c r="AM413" s="171"/>
    </row>
    <row r="414" spans="1:39" ht="13.5" customHeight="1" x14ac:dyDescent="0.2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  <c r="AF414" s="171"/>
      <c r="AG414" s="171"/>
      <c r="AH414" s="171"/>
      <c r="AI414" s="171"/>
      <c r="AJ414" s="171"/>
      <c r="AK414" s="171"/>
      <c r="AL414" s="171"/>
      <c r="AM414" s="171"/>
    </row>
    <row r="415" spans="1:39" ht="13.5" customHeight="1" x14ac:dyDescent="0.2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  <c r="AF415" s="171"/>
      <c r="AG415" s="171"/>
      <c r="AH415" s="171"/>
      <c r="AI415" s="171"/>
      <c r="AJ415" s="171"/>
      <c r="AK415" s="171"/>
      <c r="AL415" s="171"/>
      <c r="AM415" s="171"/>
    </row>
    <row r="416" spans="1:39" ht="13.5" customHeight="1" x14ac:dyDescent="0.2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  <c r="AF416" s="171"/>
      <c r="AG416" s="171"/>
      <c r="AH416" s="171"/>
      <c r="AI416" s="171"/>
      <c r="AJ416" s="171"/>
      <c r="AK416" s="171"/>
      <c r="AL416" s="171"/>
      <c r="AM416" s="171"/>
    </row>
    <row r="417" spans="1:39" ht="13.5" customHeight="1" x14ac:dyDescent="0.2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  <c r="AF417" s="171"/>
      <c r="AG417" s="171"/>
      <c r="AH417" s="171"/>
      <c r="AI417" s="171"/>
      <c r="AJ417" s="171"/>
      <c r="AK417" s="171"/>
      <c r="AL417" s="171"/>
      <c r="AM417" s="171"/>
    </row>
    <row r="418" spans="1:39" ht="13.5" customHeight="1" x14ac:dyDescent="0.2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  <c r="AF418" s="171"/>
      <c r="AG418" s="171"/>
      <c r="AH418" s="171"/>
      <c r="AI418" s="171"/>
      <c r="AJ418" s="171"/>
      <c r="AK418" s="171"/>
      <c r="AL418" s="171"/>
      <c r="AM418" s="171"/>
    </row>
    <row r="419" spans="1:39" ht="13.5" customHeight="1" x14ac:dyDescent="0.2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171"/>
      <c r="AI419" s="171"/>
      <c r="AJ419" s="171"/>
      <c r="AK419" s="171"/>
      <c r="AL419" s="171"/>
      <c r="AM419" s="171"/>
    </row>
    <row r="420" spans="1:39" ht="13.5" customHeight="1" x14ac:dyDescent="0.2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1"/>
      <c r="AG420" s="171"/>
      <c r="AH420" s="171"/>
      <c r="AI420" s="171"/>
      <c r="AJ420" s="171"/>
      <c r="AK420" s="171"/>
      <c r="AL420" s="171"/>
      <c r="AM420" s="171"/>
    </row>
    <row r="421" spans="1:39" ht="13.5" customHeight="1" x14ac:dyDescent="0.2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171"/>
      <c r="AI421" s="171"/>
      <c r="AJ421" s="171"/>
      <c r="AK421" s="171"/>
      <c r="AL421" s="171"/>
      <c r="AM421" s="171"/>
    </row>
    <row r="422" spans="1:39" ht="13.5" customHeight="1" x14ac:dyDescent="0.2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  <c r="AF422" s="171"/>
      <c r="AG422" s="171"/>
      <c r="AH422" s="171"/>
      <c r="AI422" s="171"/>
      <c r="AJ422" s="171"/>
      <c r="AK422" s="171"/>
      <c r="AL422" s="171"/>
      <c r="AM422" s="171"/>
    </row>
    <row r="423" spans="1:39" ht="13.5" customHeight="1" x14ac:dyDescent="0.2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  <c r="AF423" s="171"/>
      <c r="AG423" s="171"/>
      <c r="AH423" s="171"/>
      <c r="AI423" s="171"/>
      <c r="AJ423" s="171"/>
      <c r="AK423" s="171"/>
      <c r="AL423" s="171"/>
      <c r="AM423" s="171"/>
    </row>
    <row r="424" spans="1:39" ht="13.5" customHeight="1" x14ac:dyDescent="0.2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1"/>
      <c r="AH424" s="171"/>
      <c r="AI424" s="171"/>
      <c r="AJ424" s="171"/>
      <c r="AK424" s="171"/>
      <c r="AL424" s="171"/>
      <c r="AM424" s="171"/>
    </row>
    <row r="425" spans="1:39" ht="13.5" customHeight="1" x14ac:dyDescent="0.2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/>
      <c r="AH425" s="171"/>
      <c r="AI425" s="171"/>
      <c r="AJ425" s="171"/>
      <c r="AK425" s="171"/>
      <c r="AL425" s="171"/>
      <c r="AM425" s="171"/>
    </row>
    <row r="426" spans="1:39" ht="13.5" customHeight="1" x14ac:dyDescent="0.2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1"/>
      <c r="AH426" s="171"/>
      <c r="AI426" s="171"/>
      <c r="AJ426" s="171"/>
      <c r="AK426" s="171"/>
      <c r="AL426" s="171"/>
      <c r="AM426" s="171"/>
    </row>
    <row r="427" spans="1:39" ht="13.5" customHeight="1" x14ac:dyDescent="0.2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171"/>
      <c r="AI427" s="171"/>
      <c r="AJ427" s="171"/>
      <c r="AK427" s="171"/>
      <c r="AL427" s="171"/>
      <c r="AM427" s="171"/>
    </row>
    <row r="428" spans="1:39" ht="13.5" customHeight="1" x14ac:dyDescent="0.2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1"/>
      <c r="AH428" s="171"/>
      <c r="AI428" s="171"/>
      <c r="AJ428" s="171"/>
      <c r="AK428" s="171"/>
      <c r="AL428" s="171"/>
      <c r="AM428" s="171"/>
    </row>
    <row r="429" spans="1:39" ht="13.5" customHeight="1" x14ac:dyDescent="0.2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171"/>
      <c r="AI429" s="171"/>
      <c r="AJ429" s="171"/>
      <c r="AK429" s="171"/>
      <c r="AL429" s="171"/>
      <c r="AM429" s="171"/>
    </row>
    <row r="430" spans="1:39" ht="13.5" customHeight="1" x14ac:dyDescent="0.2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1"/>
      <c r="AH430" s="171"/>
      <c r="AI430" s="171"/>
      <c r="AJ430" s="171"/>
      <c r="AK430" s="171"/>
      <c r="AL430" s="171"/>
      <c r="AM430" s="171"/>
    </row>
    <row r="431" spans="1:39" ht="13.5" customHeight="1" x14ac:dyDescent="0.2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171"/>
      <c r="AI431" s="171"/>
      <c r="AJ431" s="171"/>
      <c r="AK431" s="171"/>
      <c r="AL431" s="171"/>
      <c r="AM431" s="171"/>
    </row>
    <row r="432" spans="1:39" ht="13.5" customHeight="1" x14ac:dyDescent="0.2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1"/>
      <c r="AH432" s="171"/>
      <c r="AI432" s="171"/>
      <c r="AJ432" s="171"/>
      <c r="AK432" s="171"/>
      <c r="AL432" s="171"/>
      <c r="AM432" s="171"/>
    </row>
    <row r="433" spans="1:39" ht="13.5" customHeight="1" x14ac:dyDescent="0.2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1"/>
      <c r="AH433" s="171"/>
      <c r="AI433" s="171"/>
      <c r="AJ433" s="171"/>
      <c r="AK433" s="171"/>
      <c r="AL433" s="171"/>
      <c r="AM433" s="171"/>
    </row>
    <row r="434" spans="1:39" ht="13.5" customHeight="1" x14ac:dyDescent="0.2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1"/>
      <c r="AH434" s="171"/>
      <c r="AI434" s="171"/>
      <c r="AJ434" s="171"/>
      <c r="AK434" s="171"/>
      <c r="AL434" s="171"/>
      <c r="AM434" s="171"/>
    </row>
    <row r="435" spans="1:39" ht="13.5" customHeight="1" x14ac:dyDescent="0.2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171"/>
      <c r="AI435" s="171"/>
      <c r="AJ435" s="171"/>
      <c r="AK435" s="171"/>
      <c r="AL435" s="171"/>
      <c r="AM435" s="171"/>
    </row>
    <row r="436" spans="1:39" ht="13.5" customHeight="1" x14ac:dyDescent="0.2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  <c r="AF436" s="171"/>
      <c r="AG436" s="171"/>
      <c r="AH436" s="171"/>
      <c r="AI436" s="171"/>
      <c r="AJ436" s="171"/>
      <c r="AK436" s="171"/>
      <c r="AL436" s="171"/>
      <c r="AM436" s="171"/>
    </row>
    <row r="437" spans="1:39" ht="13.5" customHeight="1" x14ac:dyDescent="0.2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171"/>
      <c r="AI437" s="171"/>
      <c r="AJ437" s="171"/>
      <c r="AK437" s="171"/>
      <c r="AL437" s="171"/>
      <c r="AM437" s="171"/>
    </row>
    <row r="438" spans="1:39" ht="13.5" customHeight="1" x14ac:dyDescent="0.2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  <c r="AF438" s="171"/>
      <c r="AG438" s="171"/>
      <c r="AH438" s="171"/>
      <c r="AI438" s="171"/>
      <c r="AJ438" s="171"/>
      <c r="AK438" s="171"/>
      <c r="AL438" s="171"/>
      <c r="AM438" s="171"/>
    </row>
    <row r="439" spans="1:39" ht="13.5" customHeight="1" x14ac:dyDescent="0.2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/>
      <c r="AH439" s="171"/>
      <c r="AI439" s="171"/>
      <c r="AJ439" s="171"/>
      <c r="AK439" s="171"/>
      <c r="AL439" s="171"/>
      <c r="AM439" s="171"/>
    </row>
    <row r="440" spans="1:39" ht="13.5" customHeight="1" x14ac:dyDescent="0.2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  <c r="AF440" s="171"/>
      <c r="AG440" s="171"/>
      <c r="AH440" s="171"/>
      <c r="AI440" s="171"/>
      <c r="AJ440" s="171"/>
      <c r="AK440" s="171"/>
      <c r="AL440" s="171"/>
      <c r="AM440" s="171"/>
    </row>
    <row r="441" spans="1:39" ht="13.5" customHeight="1" x14ac:dyDescent="0.2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171"/>
      <c r="AI441" s="171"/>
      <c r="AJ441" s="171"/>
      <c r="AK441" s="171"/>
      <c r="AL441" s="171"/>
      <c r="AM441" s="171"/>
    </row>
    <row r="442" spans="1:39" ht="13.5" customHeight="1" x14ac:dyDescent="0.2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  <c r="AF442" s="171"/>
      <c r="AG442" s="171"/>
      <c r="AH442" s="171"/>
      <c r="AI442" s="171"/>
      <c r="AJ442" s="171"/>
      <c r="AK442" s="171"/>
      <c r="AL442" s="171"/>
      <c r="AM442" s="171"/>
    </row>
    <row r="443" spans="1:39" ht="13.5" customHeight="1" x14ac:dyDescent="0.2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171"/>
      <c r="AI443" s="171"/>
      <c r="AJ443" s="171"/>
      <c r="AK443" s="171"/>
      <c r="AL443" s="171"/>
      <c r="AM443" s="171"/>
    </row>
    <row r="444" spans="1:39" ht="13.5" customHeight="1" x14ac:dyDescent="0.2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  <c r="AF444" s="171"/>
      <c r="AG444" s="171"/>
      <c r="AH444" s="171"/>
      <c r="AI444" s="171"/>
      <c r="AJ444" s="171"/>
      <c r="AK444" s="171"/>
      <c r="AL444" s="171"/>
      <c r="AM444" s="171"/>
    </row>
    <row r="445" spans="1:39" ht="13.5" customHeight="1" x14ac:dyDescent="0.2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171"/>
      <c r="AI445" s="171"/>
      <c r="AJ445" s="171"/>
      <c r="AK445" s="171"/>
      <c r="AL445" s="171"/>
      <c r="AM445" s="171"/>
    </row>
    <row r="446" spans="1:39" ht="13.5" customHeight="1" x14ac:dyDescent="0.2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  <c r="AF446" s="171"/>
      <c r="AG446" s="171"/>
      <c r="AH446" s="171"/>
      <c r="AI446" s="171"/>
      <c r="AJ446" s="171"/>
      <c r="AK446" s="171"/>
      <c r="AL446" s="171"/>
      <c r="AM446" s="171"/>
    </row>
    <row r="447" spans="1:39" ht="13.5" customHeight="1" x14ac:dyDescent="0.2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  <c r="AF447" s="171"/>
      <c r="AG447" s="171"/>
      <c r="AH447" s="171"/>
      <c r="AI447" s="171"/>
      <c r="AJ447" s="171"/>
      <c r="AK447" s="171"/>
      <c r="AL447" s="171"/>
      <c r="AM447" s="171"/>
    </row>
    <row r="448" spans="1:39" ht="13.5" customHeight="1" x14ac:dyDescent="0.2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  <c r="AE448" s="171"/>
      <c r="AF448" s="171"/>
      <c r="AG448" s="171"/>
      <c r="AH448" s="171"/>
      <c r="AI448" s="171"/>
      <c r="AJ448" s="171"/>
      <c r="AK448" s="171"/>
      <c r="AL448" s="171"/>
      <c r="AM448" s="171"/>
    </row>
    <row r="449" spans="1:39" ht="13.5" customHeight="1" x14ac:dyDescent="0.2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171"/>
      <c r="AI449" s="171"/>
      <c r="AJ449" s="171"/>
      <c r="AK449" s="171"/>
      <c r="AL449" s="171"/>
      <c r="AM449" s="171"/>
    </row>
    <row r="450" spans="1:39" ht="13.5" customHeight="1" x14ac:dyDescent="0.2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  <c r="AE450" s="171"/>
      <c r="AF450" s="171"/>
      <c r="AG450" s="171"/>
      <c r="AH450" s="171"/>
      <c r="AI450" s="171"/>
      <c r="AJ450" s="171"/>
      <c r="AK450" s="171"/>
      <c r="AL450" s="171"/>
      <c r="AM450" s="171"/>
    </row>
    <row r="451" spans="1:39" ht="13.5" customHeight="1" x14ac:dyDescent="0.2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171"/>
      <c r="AI451" s="171"/>
      <c r="AJ451" s="171"/>
      <c r="AK451" s="171"/>
      <c r="AL451" s="171"/>
      <c r="AM451" s="171"/>
    </row>
    <row r="452" spans="1:39" ht="13.5" customHeight="1" x14ac:dyDescent="0.2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  <c r="AF452" s="171"/>
      <c r="AG452" s="171"/>
      <c r="AH452" s="171"/>
      <c r="AI452" s="171"/>
      <c r="AJ452" s="171"/>
      <c r="AK452" s="171"/>
      <c r="AL452" s="171"/>
      <c r="AM452" s="171"/>
    </row>
    <row r="453" spans="1:39" ht="13.5" customHeight="1" x14ac:dyDescent="0.2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  <c r="AF453" s="171"/>
      <c r="AG453" s="171"/>
      <c r="AH453" s="171"/>
      <c r="AI453" s="171"/>
      <c r="AJ453" s="171"/>
      <c r="AK453" s="171"/>
      <c r="AL453" s="171"/>
      <c r="AM453" s="171"/>
    </row>
    <row r="454" spans="1:39" ht="13.5" customHeight="1" x14ac:dyDescent="0.2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  <c r="AE454" s="171"/>
      <c r="AF454" s="171"/>
      <c r="AG454" s="171"/>
      <c r="AH454" s="171"/>
      <c r="AI454" s="171"/>
      <c r="AJ454" s="171"/>
      <c r="AK454" s="171"/>
      <c r="AL454" s="171"/>
      <c r="AM454" s="171"/>
    </row>
    <row r="455" spans="1:39" ht="13.5" customHeight="1" x14ac:dyDescent="0.2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171"/>
      <c r="AI455" s="171"/>
      <c r="AJ455" s="171"/>
      <c r="AK455" s="171"/>
      <c r="AL455" s="171"/>
      <c r="AM455" s="171"/>
    </row>
    <row r="456" spans="1:39" ht="13.5" customHeight="1" x14ac:dyDescent="0.2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  <c r="AF456" s="171"/>
      <c r="AG456" s="171"/>
      <c r="AH456" s="171"/>
      <c r="AI456" s="171"/>
      <c r="AJ456" s="171"/>
      <c r="AK456" s="171"/>
      <c r="AL456" s="171"/>
      <c r="AM456" s="171"/>
    </row>
    <row r="457" spans="1:39" ht="13.5" customHeight="1" x14ac:dyDescent="0.2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171"/>
      <c r="AI457" s="171"/>
      <c r="AJ457" s="171"/>
      <c r="AK457" s="171"/>
      <c r="AL457" s="171"/>
      <c r="AM457" s="171"/>
    </row>
    <row r="458" spans="1:39" ht="13.5" customHeight="1" x14ac:dyDescent="0.2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  <c r="AF458" s="171"/>
      <c r="AG458" s="171"/>
      <c r="AH458" s="171"/>
      <c r="AI458" s="171"/>
      <c r="AJ458" s="171"/>
      <c r="AK458" s="171"/>
      <c r="AL458" s="171"/>
      <c r="AM458" s="171"/>
    </row>
    <row r="459" spans="1:39" ht="13.5" customHeight="1" x14ac:dyDescent="0.2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171"/>
      <c r="AI459" s="171"/>
      <c r="AJ459" s="171"/>
      <c r="AK459" s="171"/>
      <c r="AL459" s="171"/>
      <c r="AM459" s="171"/>
    </row>
    <row r="460" spans="1:39" ht="13.5" customHeight="1" x14ac:dyDescent="0.2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  <c r="AF460" s="171"/>
      <c r="AG460" s="171"/>
      <c r="AH460" s="171"/>
      <c r="AI460" s="171"/>
      <c r="AJ460" s="171"/>
      <c r="AK460" s="171"/>
      <c r="AL460" s="171"/>
      <c r="AM460" s="171"/>
    </row>
    <row r="461" spans="1:39" ht="13.5" customHeight="1" x14ac:dyDescent="0.2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171"/>
      <c r="AI461" s="171"/>
      <c r="AJ461" s="171"/>
      <c r="AK461" s="171"/>
      <c r="AL461" s="171"/>
      <c r="AM461" s="171"/>
    </row>
    <row r="462" spans="1:39" ht="13.5" customHeight="1" x14ac:dyDescent="0.2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  <c r="AF462" s="171"/>
      <c r="AG462" s="171"/>
      <c r="AH462" s="171"/>
      <c r="AI462" s="171"/>
      <c r="AJ462" s="171"/>
      <c r="AK462" s="171"/>
      <c r="AL462" s="171"/>
      <c r="AM462" s="171"/>
    </row>
    <row r="463" spans="1:39" ht="13.5" customHeight="1" x14ac:dyDescent="0.2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171"/>
      <c r="AI463" s="171"/>
      <c r="AJ463" s="171"/>
      <c r="AK463" s="171"/>
      <c r="AL463" s="171"/>
      <c r="AM463" s="171"/>
    </row>
    <row r="464" spans="1:39" ht="13.5" customHeight="1" x14ac:dyDescent="0.2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171"/>
      <c r="AI464" s="171"/>
      <c r="AJ464" s="171"/>
      <c r="AK464" s="171"/>
      <c r="AL464" s="171"/>
      <c r="AM464" s="171"/>
    </row>
    <row r="465" spans="1:39" ht="13.5" customHeight="1" x14ac:dyDescent="0.2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171"/>
      <c r="AI465" s="171"/>
      <c r="AJ465" s="171"/>
      <c r="AK465" s="171"/>
      <c r="AL465" s="171"/>
      <c r="AM465" s="171"/>
    </row>
    <row r="466" spans="1:39" ht="13.5" customHeight="1" x14ac:dyDescent="0.2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  <c r="AE466" s="171"/>
      <c r="AF466" s="171"/>
      <c r="AG466" s="171"/>
      <c r="AH466" s="171"/>
      <c r="AI466" s="171"/>
      <c r="AJ466" s="171"/>
      <c r="AK466" s="171"/>
      <c r="AL466" s="171"/>
      <c r="AM466" s="171"/>
    </row>
    <row r="467" spans="1:39" ht="13.5" customHeight="1" x14ac:dyDescent="0.2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/>
      <c r="AH467" s="171"/>
      <c r="AI467" s="171"/>
      <c r="AJ467" s="171"/>
      <c r="AK467" s="171"/>
      <c r="AL467" s="171"/>
      <c r="AM467" s="171"/>
    </row>
    <row r="468" spans="1:39" ht="13.5" customHeight="1" x14ac:dyDescent="0.2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  <c r="AF468" s="171"/>
      <c r="AG468" s="171"/>
      <c r="AH468" s="171"/>
      <c r="AI468" s="171"/>
      <c r="AJ468" s="171"/>
      <c r="AK468" s="171"/>
      <c r="AL468" s="171"/>
      <c r="AM468" s="171"/>
    </row>
    <row r="469" spans="1:39" ht="13.5" customHeight="1" x14ac:dyDescent="0.2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171"/>
      <c r="AI469" s="171"/>
      <c r="AJ469" s="171"/>
      <c r="AK469" s="171"/>
      <c r="AL469" s="171"/>
      <c r="AM469" s="171"/>
    </row>
    <row r="470" spans="1:39" ht="13.5" customHeight="1" x14ac:dyDescent="0.2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  <c r="AF470" s="171"/>
      <c r="AG470" s="171"/>
      <c r="AH470" s="171"/>
      <c r="AI470" s="171"/>
      <c r="AJ470" s="171"/>
      <c r="AK470" s="171"/>
      <c r="AL470" s="171"/>
      <c r="AM470" s="171"/>
    </row>
    <row r="471" spans="1:39" ht="13.5" customHeight="1" x14ac:dyDescent="0.2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171"/>
      <c r="AI471" s="171"/>
      <c r="AJ471" s="171"/>
      <c r="AK471" s="171"/>
      <c r="AL471" s="171"/>
      <c r="AM471" s="171"/>
    </row>
    <row r="472" spans="1:39" ht="13.5" customHeight="1" x14ac:dyDescent="0.2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1"/>
      <c r="AG472" s="171"/>
      <c r="AH472" s="171"/>
      <c r="AI472" s="171"/>
      <c r="AJ472" s="171"/>
      <c r="AK472" s="171"/>
      <c r="AL472" s="171"/>
      <c r="AM472" s="171"/>
    </row>
    <row r="473" spans="1:39" ht="13.5" customHeight="1" x14ac:dyDescent="0.2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  <c r="AK473" s="171"/>
      <c r="AL473" s="171"/>
      <c r="AM473" s="171"/>
    </row>
    <row r="474" spans="1:39" ht="13.5" customHeight="1" x14ac:dyDescent="0.2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71"/>
      <c r="AF474" s="171"/>
      <c r="AG474" s="171"/>
      <c r="AH474" s="171"/>
      <c r="AI474" s="171"/>
      <c r="AJ474" s="171"/>
      <c r="AK474" s="171"/>
      <c r="AL474" s="171"/>
      <c r="AM474" s="171"/>
    </row>
    <row r="475" spans="1:39" ht="13.5" customHeight="1" x14ac:dyDescent="0.2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171"/>
      <c r="AI475" s="171"/>
      <c r="AJ475" s="171"/>
      <c r="AK475" s="171"/>
      <c r="AL475" s="171"/>
      <c r="AM475" s="171"/>
    </row>
    <row r="476" spans="1:39" ht="13.5" customHeight="1" x14ac:dyDescent="0.2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  <c r="AF476" s="171"/>
      <c r="AG476" s="171"/>
      <c r="AH476" s="171"/>
      <c r="AI476" s="171"/>
      <c r="AJ476" s="171"/>
      <c r="AK476" s="171"/>
      <c r="AL476" s="171"/>
      <c r="AM476" s="171"/>
    </row>
    <row r="477" spans="1:39" ht="13.5" customHeight="1" x14ac:dyDescent="0.2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  <c r="AK477" s="171"/>
      <c r="AL477" s="171"/>
      <c r="AM477" s="171"/>
    </row>
    <row r="478" spans="1:39" ht="13.5" customHeight="1" x14ac:dyDescent="0.2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  <c r="AE478" s="171"/>
      <c r="AF478" s="171"/>
      <c r="AG478" s="171"/>
      <c r="AH478" s="171"/>
      <c r="AI478" s="171"/>
      <c r="AJ478" s="171"/>
      <c r="AK478" s="171"/>
      <c r="AL478" s="171"/>
      <c r="AM478" s="171"/>
    </row>
    <row r="479" spans="1:39" ht="13.5" customHeight="1" x14ac:dyDescent="0.2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1"/>
      <c r="AK479" s="171"/>
      <c r="AL479" s="171"/>
      <c r="AM479" s="171"/>
    </row>
    <row r="480" spans="1:39" ht="13.5" customHeight="1" x14ac:dyDescent="0.2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  <c r="AE480" s="171"/>
      <c r="AF480" s="171"/>
      <c r="AG480" s="171"/>
      <c r="AH480" s="171"/>
      <c r="AI480" s="171"/>
      <c r="AJ480" s="171"/>
      <c r="AK480" s="171"/>
      <c r="AL480" s="171"/>
      <c r="AM480" s="171"/>
    </row>
    <row r="481" spans="1:39" ht="13.5" customHeight="1" x14ac:dyDescent="0.2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1"/>
      <c r="AK481" s="171"/>
      <c r="AL481" s="171"/>
      <c r="AM481" s="171"/>
    </row>
    <row r="482" spans="1:39" ht="13.5" customHeight="1" x14ac:dyDescent="0.2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1"/>
      <c r="AH482" s="171"/>
      <c r="AI482" s="171"/>
      <c r="AJ482" s="171"/>
      <c r="AK482" s="171"/>
      <c r="AL482" s="171"/>
      <c r="AM482" s="171"/>
    </row>
    <row r="483" spans="1:39" ht="13.5" customHeight="1" x14ac:dyDescent="0.2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  <c r="AF483" s="171"/>
      <c r="AG483" s="171"/>
      <c r="AH483" s="171"/>
      <c r="AI483" s="171"/>
      <c r="AJ483" s="171"/>
      <c r="AK483" s="171"/>
      <c r="AL483" s="171"/>
      <c r="AM483" s="171"/>
    </row>
    <row r="484" spans="1:39" ht="13.5" customHeight="1" x14ac:dyDescent="0.2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  <c r="AF484" s="171"/>
      <c r="AG484" s="171"/>
      <c r="AH484" s="171"/>
      <c r="AI484" s="171"/>
      <c r="AJ484" s="171"/>
      <c r="AK484" s="171"/>
      <c r="AL484" s="171"/>
      <c r="AM484" s="171"/>
    </row>
    <row r="485" spans="1:39" ht="13.5" customHeight="1" x14ac:dyDescent="0.2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171"/>
      <c r="AI485" s="171"/>
      <c r="AJ485" s="171"/>
      <c r="AK485" s="171"/>
      <c r="AL485" s="171"/>
      <c r="AM485" s="171"/>
    </row>
    <row r="486" spans="1:39" ht="13.5" customHeight="1" x14ac:dyDescent="0.2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  <c r="AF486" s="171"/>
      <c r="AG486" s="171"/>
      <c r="AH486" s="171"/>
      <c r="AI486" s="171"/>
      <c r="AJ486" s="171"/>
      <c r="AK486" s="171"/>
      <c r="AL486" s="171"/>
      <c r="AM486" s="171"/>
    </row>
    <row r="487" spans="1:39" ht="13.5" customHeight="1" x14ac:dyDescent="0.2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  <c r="AF487" s="171"/>
      <c r="AG487" s="171"/>
      <c r="AH487" s="171"/>
      <c r="AI487" s="171"/>
      <c r="AJ487" s="171"/>
      <c r="AK487" s="171"/>
      <c r="AL487" s="171"/>
      <c r="AM487" s="171"/>
    </row>
    <row r="488" spans="1:39" ht="13.5" customHeight="1" x14ac:dyDescent="0.2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171"/>
      <c r="AI488" s="171"/>
      <c r="AJ488" s="171"/>
      <c r="AK488" s="171"/>
      <c r="AL488" s="171"/>
      <c r="AM488" s="171"/>
    </row>
    <row r="489" spans="1:39" ht="13.5" customHeight="1" x14ac:dyDescent="0.2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  <c r="AK489" s="171"/>
      <c r="AL489" s="171"/>
      <c r="AM489" s="171"/>
    </row>
    <row r="490" spans="1:39" ht="13.5" customHeight="1" x14ac:dyDescent="0.2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171"/>
      <c r="AI490" s="171"/>
      <c r="AJ490" s="171"/>
      <c r="AK490" s="171"/>
      <c r="AL490" s="171"/>
      <c r="AM490" s="171"/>
    </row>
    <row r="491" spans="1:39" ht="13.5" customHeight="1" x14ac:dyDescent="0.2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  <c r="AK491" s="171"/>
      <c r="AL491" s="171"/>
      <c r="AM491" s="171"/>
    </row>
    <row r="492" spans="1:39" ht="13.5" customHeight="1" x14ac:dyDescent="0.2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1"/>
      <c r="AD492" s="171"/>
      <c r="AE492" s="171"/>
      <c r="AF492" s="171"/>
      <c r="AG492" s="171"/>
      <c r="AH492" s="171"/>
      <c r="AI492" s="171"/>
      <c r="AJ492" s="171"/>
      <c r="AK492" s="171"/>
      <c r="AL492" s="171"/>
      <c r="AM492" s="171"/>
    </row>
    <row r="493" spans="1:39" ht="13.5" customHeight="1" x14ac:dyDescent="0.2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171"/>
      <c r="AI493" s="171"/>
      <c r="AJ493" s="171"/>
      <c r="AK493" s="171"/>
      <c r="AL493" s="171"/>
      <c r="AM493" s="171"/>
    </row>
    <row r="494" spans="1:39" ht="13.5" customHeight="1" x14ac:dyDescent="0.2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  <c r="AF494" s="171"/>
      <c r="AG494" s="171"/>
      <c r="AH494" s="171"/>
      <c r="AI494" s="171"/>
      <c r="AJ494" s="171"/>
      <c r="AK494" s="171"/>
      <c r="AL494" s="171"/>
      <c r="AM494" s="171"/>
    </row>
    <row r="495" spans="1:39" ht="13.5" customHeight="1" x14ac:dyDescent="0.2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171"/>
      <c r="AI495" s="171"/>
      <c r="AJ495" s="171"/>
      <c r="AK495" s="171"/>
      <c r="AL495" s="171"/>
      <c r="AM495" s="171"/>
    </row>
    <row r="496" spans="1:39" ht="13.5" customHeight="1" x14ac:dyDescent="0.2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  <c r="AE496" s="171"/>
      <c r="AF496" s="171"/>
      <c r="AG496" s="171"/>
      <c r="AH496" s="171"/>
      <c r="AI496" s="171"/>
      <c r="AJ496" s="171"/>
      <c r="AK496" s="171"/>
      <c r="AL496" s="171"/>
      <c r="AM496" s="171"/>
    </row>
    <row r="497" spans="1:39" ht="13.5" customHeight="1" x14ac:dyDescent="0.2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171"/>
      <c r="AI497" s="171"/>
      <c r="AJ497" s="171"/>
      <c r="AK497" s="171"/>
      <c r="AL497" s="171"/>
      <c r="AM497" s="171"/>
    </row>
    <row r="498" spans="1:39" ht="13.5" customHeight="1" x14ac:dyDescent="0.2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171"/>
      <c r="AI498" s="171"/>
      <c r="AJ498" s="171"/>
      <c r="AK498" s="171"/>
      <c r="AL498" s="171"/>
      <c r="AM498" s="171"/>
    </row>
    <row r="499" spans="1:39" ht="13.5" customHeight="1" x14ac:dyDescent="0.2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171"/>
      <c r="AI499" s="171"/>
      <c r="AJ499" s="171"/>
      <c r="AK499" s="171"/>
      <c r="AL499" s="171"/>
      <c r="AM499" s="171"/>
    </row>
    <row r="500" spans="1:39" ht="13.5" customHeight="1" x14ac:dyDescent="0.2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171"/>
      <c r="AI500" s="171"/>
      <c r="AJ500" s="171"/>
      <c r="AK500" s="171"/>
      <c r="AL500" s="171"/>
      <c r="AM500" s="171"/>
    </row>
    <row r="501" spans="1:39" ht="13.5" customHeight="1" x14ac:dyDescent="0.2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171"/>
      <c r="AI501" s="171"/>
      <c r="AJ501" s="171"/>
      <c r="AK501" s="171"/>
      <c r="AL501" s="171"/>
      <c r="AM501" s="171"/>
    </row>
    <row r="502" spans="1:39" ht="13.5" customHeight="1" x14ac:dyDescent="0.2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  <c r="AF502" s="171"/>
      <c r="AG502" s="171"/>
      <c r="AH502" s="171"/>
      <c r="AI502" s="171"/>
      <c r="AJ502" s="171"/>
      <c r="AK502" s="171"/>
      <c r="AL502" s="171"/>
      <c r="AM502" s="171"/>
    </row>
    <row r="503" spans="1:39" ht="13.5" customHeight="1" x14ac:dyDescent="0.2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171"/>
      <c r="AI503" s="171"/>
      <c r="AJ503" s="171"/>
      <c r="AK503" s="171"/>
      <c r="AL503" s="171"/>
      <c r="AM503" s="171"/>
    </row>
    <row r="504" spans="1:39" ht="13.5" customHeight="1" x14ac:dyDescent="0.2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  <c r="AF504" s="171"/>
      <c r="AG504" s="171"/>
      <c r="AH504" s="171"/>
      <c r="AI504" s="171"/>
      <c r="AJ504" s="171"/>
      <c r="AK504" s="171"/>
      <c r="AL504" s="171"/>
      <c r="AM504" s="171"/>
    </row>
    <row r="505" spans="1:39" ht="13.5" customHeight="1" x14ac:dyDescent="0.2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/>
      <c r="AG505" s="171"/>
      <c r="AH505" s="171"/>
      <c r="AI505" s="171"/>
      <c r="AJ505" s="171"/>
      <c r="AK505" s="171"/>
      <c r="AL505" s="171"/>
      <c r="AM505" s="171"/>
    </row>
    <row r="506" spans="1:39" ht="13.5" customHeight="1" x14ac:dyDescent="0.2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/>
      <c r="AF506" s="171"/>
      <c r="AG506" s="171"/>
      <c r="AH506" s="171"/>
      <c r="AI506" s="171"/>
      <c r="AJ506" s="171"/>
      <c r="AK506" s="171"/>
      <c r="AL506" s="171"/>
      <c r="AM506" s="171"/>
    </row>
    <row r="507" spans="1:39" ht="13.5" customHeight="1" x14ac:dyDescent="0.2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171"/>
      <c r="AI507" s="171"/>
      <c r="AJ507" s="171"/>
      <c r="AK507" s="171"/>
      <c r="AL507" s="171"/>
      <c r="AM507" s="171"/>
    </row>
    <row r="508" spans="1:39" ht="13.5" customHeight="1" x14ac:dyDescent="0.2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  <c r="AF508" s="171"/>
      <c r="AG508" s="171"/>
      <c r="AH508" s="171"/>
      <c r="AI508" s="171"/>
      <c r="AJ508" s="171"/>
      <c r="AK508" s="171"/>
      <c r="AL508" s="171"/>
      <c r="AM508" s="171"/>
    </row>
    <row r="509" spans="1:39" ht="13.5" customHeight="1" x14ac:dyDescent="0.2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171"/>
      <c r="AI509" s="171"/>
      <c r="AJ509" s="171"/>
      <c r="AK509" s="171"/>
      <c r="AL509" s="171"/>
      <c r="AM509" s="171"/>
    </row>
    <row r="510" spans="1:39" ht="13.5" customHeight="1" x14ac:dyDescent="0.2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  <c r="AF510" s="171"/>
      <c r="AG510" s="171"/>
      <c r="AH510" s="171"/>
      <c r="AI510" s="171"/>
      <c r="AJ510" s="171"/>
      <c r="AK510" s="171"/>
      <c r="AL510" s="171"/>
      <c r="AM510" s="171"/>
    </row>
    <row r="511" spans="1:39" ht="13.5" customHeight="1" x14ac:dyDescent="0.2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171"/>
      <c r="AI511" s="171"/>
      <c r="AJ511" s="171"/>
      <c r="AK511" s="171"/>
      <c r="AL511" s="171"/>
      <c r="AM511" s="171"/>
    </row>
    <row r="512" spans="1:39" ht="13.5" customHeight="1" x14ac:dyDescent="0.2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  <c r="AF512" s="171"/>
      <c r="AG512" s="171"/>
      <c r="AH512" s="171"/>
      <c r="AI512" s="171"/>
      <c r="AJ512" s="171"/>
      <c r="AK512" s="171"/>
      <c r="AL512" s="171"/>
      <c r="AM512" s="171"/>
    </row>
    <row r="513" spans="1:39" ht="13.5" customHeight="1" x14ac:dyDescent="0.2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171"/>
      <c r="AI513" s="171"/>
      <c r="AJ513" s="171"/>
      <c r="AK513" s="171"/>
      <c r="AL513" s="171"/>
      <c r="AM513" s="171"/>
    </row>
    <row r="514" spans="1:39" ht="13.5" customHeight="1" x14ac:dyDescent="0.2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  <c r="AE514" s="171"/>
      <c r="AF514" s="171"/>
      <c r="AG514" s="171"/>
      <c r="AH514" s="171"/>
      <c r="AI514" s="171"/>
      <c r="AJ514" s="171"/>
      <c r="AK514" s="171"/>
      <c r="AL514" s="171"/>
      <c r="AM514" s="171"/>
    </row>
    <row r="515" spans="1:39" ht="13.5" customHeight="1" x14ac:dyDescent="0.2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171"/>
      <c r="AI515" s="171"/>
      <c r="AJ515" s="171"/>
      <c r="AK515" s="171"/>
      <c r="AL515" s="171"/>
      <c r="AM515" s="171"/>
    </row>
    <row r="516" spans="1:39" ht="13.5" customHeight="1" x14ac:dyDescent="0.2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  <c r="AF516" s="171"/>
      <c r="AG516" s="171"/>
      <c r="AH516" s="171"/>
      <c r="AI516" s="171"/>
      <c r="AJ516" s="171"/>
      <c r="AK516" s="171"/>
      <c r="AL516" s="171"/>
      <c r="AM516" s="171"/>
    </row>
    <row r="517" spans="1:39" ht="13.5" customHeight="1" x14ac:dyDescent="0.2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  <c r="AF517" s="171"/>
      <c r="AG517" s="171"/>
      <c r="AH517" s="171"/>
      <c r="AI517" s="171"/>
      <c r="AJ517" s="171"/>
      <c r="AK517" s="171"/>
      <c r="AL517" s="171"/>
      <c r="AM517" s="171"/>
    </row>
    <row r="518" spans="1:39" ht="13.5" customHeight="1" x14ac:dyDescent="0.2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  <c r="AF518" s="171"/>
      <c r="AG518" s="171"/>
      <c r="AH518" s="171"/>
      <c r="AI518" s="171"/>
      <c r="AJ518" s="171"/>
      <c r="AK518" s="171"/>
      <c r="AL518" s="171"/>
      <c r="AM518" s="171"/>
    </row>
    <row r="519" spans="1:39" ht="13.5" customHeight="1" x14ac:dyDescent="0.2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  <c r="AF519" s="171"/>
      <c r="AG519" s="171"/>
      <c r="AH519" s="171"/>
      <c r="AI519" s="171"/>
      <c r="AJ519" s="171"/>
      <c r="AK519" s="171"/>
      <c r="AL519" s="171"/>
      <c r="AM519" s="171"/>
    </row>
    <row r="520" spans="1:39" ht="13.5" customHeight="1" x14ac:dyDescent="0.2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  <c r="AE520" s="171"/>
      <c r="AF520" s="171"/>
      <c r="AG520" s="171"/>
      <c r="AH520" s="171"/>
      <c r="AI520" s="171"/>
      <c r="AJ520" s="171"/>
      <c r="AK520" s="171"/>
      <c r="AL520" s="171"/>
      <c r="AM520" s="171"/>
    </row>
    <row r="521" spans="1:39" ht="13.5" customHeight="1" x14ac:dyDescent="0.2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  <c r="AF521" s="171"/>
      <c r="AG521" s="171"/>
      <c r="AH521" s="171"/>
      <c r="AI521" s="171"/>
      <c r="AJ521" s="171"/>
      <c r="AK521" s="171"/>
      <c r="AL521" s="171"/>
      <c r="AM521" s="171"/>
    </row>
    <row r="522" spans="1:39" ht="13.5" customHeight="1" x14ac:dyDescent="0.2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  <c r="AF522" s="171"/>
      <c r="AG522" s="171"/>
      <c r="AH522" s="171"/>
      <c r="AI522" s="171"/>
      <c r="AJ522" s="171"/>
      <c r="AK522" s="171"/>
      <c r="AL522" s="171"/>
      <c r="AM522" s="171"/>
    </row>
    <row r="523" spans="1:39" ht="13.5" customHeight="1" x14ac:dyDescent="0.2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171"/>
      <c r="AI523" s="171"/>
      <c r="AJ523" s="171"/>
      <c r="AK523" s="171"/>
      <c r="AL523" s="171"/>
      <c r="AM523" s="171"/>
    </row>
    <row r="524" spans="1:39" ht="13.5" customHeight="1" x14ac:dyDescent="0.2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1"/>
      <c r="AG524" s="171"/>
      <c r="AH524" s="171"/>
      <c r="AI524" s="171"/>
      <c r="AJ524" s="171"/>
      <c r="AK524" s="171"/>
      <c r="AL524" s="171"/>
      <c r="AM524" s="171"/>
    </row>
    <row r="525" spans="1:39" ht="13.5" customHeight="1" x14ac:dyDescent="0.2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  <c r="AK525" s="171"/>
      <c r="AL525" s="171"/>
      <c r="AM525" s="171"/>
    </row>
    <row r="526" spans="1:39" ht="13.5" customHeight="1" x14ac:dyDescent="0.2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  <c r="AF526" s="171"/>
      <c r="AG526" s="171"/>
      <c r="AH526" s="171"/>
      <c r="AI526" s="171"/>
      <c r="AJ526" s="171"/>
      <c r="AK526" s="171"/>
      <c r="AL526" s="171"/>
      <c r="AM526" s="171"/>
    </row>
    <row r="527" spans="1:39" ht="13.5" customHeight="1" x14ac:dyDescent="0.2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171"/>
      <c r="AI527" s="171"/>
      <c r="AJ527" s="171"/>
      <c r="AK527" s="171"/>
      <c r="AL527" s="171"/>
      <c r="AM527" s="171"/>
    </row>
    <row r="528" spans="1:39" ht="13.5" customHeight="1" x14ac:dyDescent="0.2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  <c r="AF528" s="171"/>
      <c r="AG528" s="171"/>
      <c r="AH528" s="171"/>
      <c r="AI528" s="171"/>
      <c r="AJ528" s="171"/>
      <c r="AK528" s="171"/>
      <c r="AL528" s="171"/>
      <c r="AM528" s="171"/>
    </row>
    <row r="529" spans="1:39" ht="13.5" customHeight="1" x14ac:dyDescent="0.2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171"/>
      <c r="AI529" s="171"/>
      <c r="AJ529" s="171"/>
      <c r="AK529" s="171"/>
      <c r="AL529" s="171"/>
      <c r="AM529" s="171"/>
    </row>
    <row r="530" spans="1:39" ht="13.5" customHeight="1" x14ac:dyDescent="0.2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  <c r="AF530" s="171"/>
      <c r="AG530" s="171"/>
      <c r="AH530" s="171"/>
      <c r="AI530" s="171"/>
      <c r="AJ530" s="171"/>
      <c r="AK530" s="171"/>
      <c r="AL530" s="171"/>
      <c r="AM530" s="171"/>
    </row>
    <row r="531" spans="1:39" ht="13.5" customHeight="1" x14ac:dyDescent="0.2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/>
      <c r="AG531" s="171"/>
      <c r="AH531" s="171"/>
      <c r="AI531" s="171"/>
      <c r="AJ531" s="171"/>
      <c r="AK531" s="171"/>
      <c r="AL531" s="171"/>
      <c r="AM531" s="171"/>
    </row>
    <row r="532" spans="1:39" ht="13.5" customHeight="1" x14ac:dyDescent="0.2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  <c r="AF532" s="171"/>
      <c r="AG532" s="171"/>
      <c r="AH532" s="171"/>
      <c r="AI532" s="171"/>
      <c r="AJ532" s="171"/>
      <c r="AK532" s="171"/>
      <c r="AL532" s="171"/>
      <c r="AM532" s="171"/>
    </row>
    <row r="533" spans="1:39" ht="13.5" customHeight="1" x14ac:dyDescent="0.2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171"/>
      <c r="AI533" s="171"/>
      <c r="AJ533" s="171"/>
      <c r="AK533" s="171"/>
      <c r="AL533" s="171"/>
      <c r="AM533" s="171"/>
    </row>
    <row r="534" spans="1:39" ht="13.5" customHeight="1" x14ac:dyDescent="0.2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  <c r="AE534" s="171"/>
      <c r="AF534" s="171"/>
      <c r="AG534" s="171"/>
      <c r="AH534" s="171"/>
      <c r="AI534" s="171"/>
      <c r="AJ534" s="171"/>
      <c r="AK534" s="171"/>
      <c r="AL534" s="171"/>
      <c r="AM534" s="171"/>
    </row>
    <row r="535" spans="1:39" ht="13.5" customHeight="1" x14ac:dyDescent="0.2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  <c r="AF535" s="171"/>
      <c r="AG535" s="171"/>
      <c r="AH535" s="171"/>
      <c r="AI535" s="171"/>
      <c r="AJ535" s="171"/>
      <c r="AK535" s="171"/>
      <c r="AL535" s="171"/>
      <c r="AM535" s="171"/>
    </row>
    <row r="536" spans="1:39" ht="13.5" customHeight="1" x14ac:dyDescent="0.2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  <c r="AE536" s="171"/>
      <c r="AF536" s="171"/>
      <c r="AG536" s="171"/>
      <c r="AH536" s="171"/>
      <c r="AI536" s="171"/>
      <c r="AJ536" s="171"/>
      <c r="AK536" s="171"/>
      <c r="AL536" s="171"/>
      <c r="AM536" s="171"/>
    </row>
    <row r="537" spans="1:39" ht="13.5" customHeight="1" x14ac:dyDescent="0.2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171"/>
      <c r="AI537" s="171"/>
      <c r="AJ537" s="171"/>
      <c r="AK537" s="171"/>
      <c r="AL537" s="171"/>
      <c r="AM537" s="171"/>
    </row>
    <row r="538" spans="1:39" ht="13.5" customHeight="1" x14ac:dyDescent="0.2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  <c r="AE538" s="171"/>
      <c r="AF538" s="171"/>
      <c r="AG538" s="171"/>
      <c r="AH538" s="171"/>
      <c r="AI538" s="171"/>
      <c r="AJ538" s="171"/>
      <c r="AK538" s="171"/>
      <c r="AL538" s="171"/>
      <c r="AM538" s="171"/>
    </row>
    <row r="539" spans="1:39" ht="13.5" customHeight="1" x14ac:dyDescent="0.2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171"/>
      <c r="AI539" s="171"/>
      <c r="AJ539" s="171"/>
      <c r="AK539" s="171"/>
      <c r="AL539" s="171"/>
      <c r="AM539" s="171"/>
    </row>
    <row r="540" spans="1:39" ht="13.5" customHeight="1" x14ac:dyDescent="0.2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  <c r="AF540" s="171"/>
      <c r="AG540" s="171"/>
      <c r="AH540" s="171"/>
      <c r="AI540" s="171"/>
      <c r="AJ540" s="171"/>
      <c r="AK540" s="171"/>
      <c r="AL540" s="171"/>
      <c r="AM540" s="171"/>
    </row>
    <row r="541" spans="1:39" ht="13.5" customHeight="1" x14ac:dyDescent="0.2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/>
      <c r="AH541" s="171"/>
      <c r="AI541" s="171"/>
      <c r="AJ541" s="171"/>
      <c r="AK541" s="171"/>
      <c r="AL541" s="171"/>
      <c r="AM541" s="171"/>
    </row>
    <row r="542" spans="1:39" ht="13.5" customHeight="1" x14ac:dyDescent="0.2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171"/>
      <c r="AI542" s="171"/>
      <c r="AJ542" s="171"/>
      <c r="AK542" s="171"/>
      <c r="AL542" s="171"/>
      <c r="AM542" s="171"/>
    </row>
    <row r="543" spans="1:39" ht="13.5" customHeight="1" x14ac:dyDescent="0.2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/>
      <c r="AG543" s="171"/>
      <c r="AH543" s="171"/>
      <c r="AI543" s="171"/>
      <c r="AJ543" s="171"/>
      <c r="AK543" s="171"/>
      <c r="AL543" s="171"/>
      <c r="AM543" s="171"/>
    </row>
    <row r="544" spans="1:39" ht="13.5" customHeight="1" x14ac:dyDescent="0.2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171"/>
      <c r="AI544" s="171"/>
      <c r="AJ544" s="171"/>
      <c r="AK544" s="171"/>
      <c r="AL544" s="171"/>
      <c r="AM544" s="171"/>
    </row>
    <row r="545" spans="1:39" ht="13.5" customHeight="1" x14ac:dyDescent="0.2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/>
      <c r="AG545" s="171"/>
      <c r="AH545" s="171"/>
      <c r="AI545" s="171"/>
      <c r="AJ545" s="171"/>
      <c r="AK545" s="171"/>
      <c r="AL545" s="171"/>
      <c r="AM545" s="171"/>
    </row>
    <row r="546" spans="1:39" ht="13.5" customHeight="1" x14ac:dyDescent="0.2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1"/>
      <c r="AH546" s="171"/>
      <c r="AI546" s="171"/>
      <c r="AJ546" s="171"/>
      <c r="AK546" s="171"/>
      <c r="AL546" s="171"/>
      <c r="AM546" s="171"/>
    </row>
    <row r="547" spans="1:39" ht="13.5" customHeight="1" x14ac:dyDescent="0.2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1"/>
      <c r="AD547" s="171"/>
      <c r="AE547" s="171"/>
      <c r="AF547" s="171"/>
      <c r="AG547" s="171"/>
      <c r="AH547" s="171"/>
      <c r="AI547" s="171"/>
      <c r="AJ547" s="171"/>
      <c r="AK547" s="171"/>
      <c r="AL547" s="171"/>
      <c r="AM547" s="171"/>
    </row>
    <row r="548" spans="1:39" ht="13.5" customHeight="1" x14ac:dyDescent="0.2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  <c r="AE548" s="171"/>
      <c r="AF548" s="171"/>
      <c r="AG548" s="171"/>
      <c r="AH548" s="171"/>
      <c r="AI548" s="171"/>
      <c r="AJ548" s="171"/>
      <c r="AK548" s="171"/>
      <c r="AL548" s="171"/>
      <c r="AM548" s="171"/>
    </row>
    <row r="549" spans="1:39" ht="13.5" customHeight="1" x14ac:dyDescent="0.2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  <c r="AE549" s="171"/>
      <c r="AF549" s="171"/>
      <c r="AG549" s="171"/>
      <c r="AH549" s="171"/>
      <c r="AI549" s="171"/>
      <c r="AJ549" s="171"/>
      <c r="AK549" s="171"/>
      <c r="AL549" s="171"/>
      <c r="AM549" s="171"/>
    </row>
    <row r="550" spans="1:39" ht="13.5" customHeight="1" x14ac:dyDescent="0.2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/>
      <c r="AH550" s="171"/>
      <c r="AI550" s="171"/>
      <c r="AJ550" s="171"/>
      <c r="AK550" s="171"/>
      <c r="AL550" s="171"/>
      <c r="AM550" s="171"/>
    </row>
    <row r="551" spans="1:39" ht="13.5" customHeight="1" x14ac:dyDescent="0.2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  <c r="AE551" s="171"/>
      <c r="AF551" s="171"/>
      <c r="AG551" s="171"/>
      <c r="AH551" s="171"/>
      <c r="AI551" s="171"/>
      <c r="AJ551" s="171"/>
      <c r="AK551" s="171"/>
      <c r="AL551" s="171"/>
      <c r="AM551" s="171"/>
    </row>
    <row r="552" spans="1:39" ht="13.5" customHeight="1" x14ac:dyDescent="0.2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  <c r="AF552" s="171"/>
      <c r="AG552" s="171"/>
      <c r="AH552" s="171"/>
      <c r="AI552" s="171"/>
      <c r="AJ552" s="171"/>
      <c r="AK552" s="171"/>
      <c r="AL552" s="171"/>
      <c r="AM552" s="171"/>
    </row>
    <row r="553" spans="1:39" ht="13.5" customHeight="1" x14ac:dyDescent="0.2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  <c r="AF553" s="171"/>
      <c r="AG553" s="171"/>
      <c r="AH553" s="171"/>
      <c r="AI553" s="171"/>
      <c r="AJ553" s="171"/>
      <c r="AK553" s="171"/>
      <c r="AL553" s="171"/>
      <c r="AM553" s="171"/>
    </row>
    <row r="554" spans="1:39" ht="13.5" customHeight="1" x14ac:dyDescent="0.2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171"/>
      <c r="AI554" s="171"/>
      <c r="AJ554" s="171"/>
      <c r="AK554" s="171"/>
      <c r="AL554" s="171"/>
      <c r="AM554" s="171"/>
    </row>
    <row r="555" spans="1:39" ht="13.5" customHeight="1" x14ac:dyDescent="0.2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  <c r="AF555" s="171"/>
      <c r="AG555" s="171"/>
      <c r="AH555" s="171"/>
      <c r="AI555" s="171"/>
      <c r="AJ555" s="171"/>
      <c r="AK555" s="171"/>
      <c r="AL555" s="171"/>
      <c r="AM555" s="171"/>
    </row>
    <row r="556" spans="1:39" ht="13.5" customHeight="1" x14ac:dyDescent="0.2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171"/>
      <c r="AI556" s="171"/>
      <c r="AJ556" s="171"/>
      <c r="AK556" s="171"/>
      <c r="AL556" s="171"/>
      <c r="AM556" s="171"/>
    </row>
    <row r="557" spans="1:39" ht="13.5" customHeight="1" x14ac:dyDescent="0.2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171"/>
      <c r="AI557" s="171"/>
      <c r="AJ557" s="171"/>
      <c r="AK557" s="171"/>
      <c r="AL557" s="171"/>
      <c r="AM557" s="171"/>
    </row>
    <row r="558" spans="1:39" ht="13.5" customHeight="1" x14ac:dyDescent="0.2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171"/>
      <c r="AI558" s="171"/>
      <c r="AJ558" s="171"/>
      <c r="AK558" s="171"/>
      <c r="AL558" s="171"/>
      <c r="AM558" s="171"/>
    </row>
    <row r="559" spans="1:39" ht="13.5" customHeight="1" x14ac:dyDescent="0.2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  <c r="AF559" s="171"/>
      <c r="AG559" s="171"/>
      <c r="AH559" s="171"/>
      <c r="AI559" s="171"/>
      <c r="AJ559" s="171"/>
      <c r="AK559" s="171"/>
      <c r="AL559" s="171"/>
      <c r="AM559" s="171"/>
    </row>
    <row r="560" spans="1:39" ht="13.5" customHeight="1" x14ac:dyDescent="0.2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171"/>
      <c r="AI560" s="171"/>
      <c r="AJ560" s="171"/>
      <c r="AK560" s="171"/>
      <c r="AL560" s="171"/>
      <c r="AM560" s="171"/>
    </row>
    <row r="561" spans="1:39" ht="13.5" customHeight="1" x14ac:dyDescent="0.2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  <c r="AF561" s="171"/>
      <c r="AG561" s="171"/>
      <c r="AH561" s="171"/>
      <c r="AI561" s="171"/>
      <c r="AJ561" s="171"/>
      <c r="AK561" s="171"/>
      <c r="AL561" s="171"/>
      <c r="AM561" s="171"/>
    </row>
    <row r="562" spans="1:39" ht="13.5" customHeight="1" x14ac:dyDescent="0.2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171"/>
      <c r="AI562" s="171"/>
      <c r="AJ562" s="171"/>
      <c r="AK562" s="171"/>
      <c r="AL562" s="171"/>
      <c r="AM562" s="171"/>
    </row>
    <row r="563" spans="1:39" ht="13.5" customHeight="1" x14ac:dyDescent="0.2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  <c r="AE563" s="171"/>
      <c r="AF563" s="171"/>
      <c r="AG563" s="171"/>
      <c r="AH563" s="171"/>
      <c r="AI563" s="171"/>
      <c r="AJ563" s="171"/>
      <c r="AK563" s="171"/>
      <c r="AL563" s="171"/>
      <c r="AM563" s="171"/>
    </row>
    <row r="564" spans="1:39" ht="13.5" customHeight="1" x14ac:dyDescent="0.2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  <c r="AF564" s="171"/>
      <c r="AG564" s="171"/>
      <c r="AH564" s="171"/>
      <c r="AI564" s="171"/>
      <c r="AJ564" s="171"/>
      <c r="AK564" s="171"/>
      <c r="AL564" s="171"/>
      <c r="AM564" s="171"/>
    </row>
    <row r="565" spans="1:39" ht="13.5" customHeight="1" x14ac:dyDescent="0.2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  <c r="AE565" s="171"/>
      <c r="AF565" s="171"/>
      <c r="AG565" s="171"/>
      <c r="AH565" s="171"/>
      <c r="AI565" s="171"/>
      <c r="AJ565" s="171"/>
      <c r="AK565" s="171"/>
      <c r="AL565" s="171"/>
      <c r="AM565" s="171"/>
    </row>
    <row r="566" spans="1:39" ht="13.5" customHeight="1" x14ac:dyDescent="0.2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  <c r="AF566" s="171"/>
      <c r="AG566" s="171"/>
      <c r="AH566" s="171"/>
      <c r="AI566" s="171"/>
      <c r="AJ566" s="171"/>
      <c r="AK566" s="171"/>
      <c r="AL566" s="171"/>
      <c r="AM566" s="171"/>
    </row>
    <row r="567" spans="1:39" ht="13.5" customHeight="1" x14ac:dyDescent="0.2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  <c r="AE567" s="171"/>
      <c r="AF567" s="171"/>
      <c r="AG567" s="171"/>
      <c r="AH567" s="171"/>
      <c r="AI567" s="171"/>
      <c r="AJ567" s="171"/>
      <c r="AK567" s="171"/>
      <c r="AL567" s="171"/>
      <c r="AM567" s="171"/>
    </row>
    <row r="568" spans="1:39" ht="13.5" customHeight="1" x14ac:dyDescent="0.2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171"/>
      <c r="AI568" s="171"/>
      <c r="AJ568" s="171"/>
      <c r="AK568" s="171"/>
      <c r="AL568" s="171"/>
      <c r="AM568" s="171"/>
    </row>
    <row r="569" spans="1:39" ht="13.5" customHeight="1" x14ac:dyDescent="0.2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  <c r="AF569" s="171"/>
      <c r="AG569" s="171"/>
      <c r="AH569" s="171"/>
      <c r="AI569" s="171"/>
      <c r="AJ569" s="171"/>
      <c r="AK569" s="171"/>
      <c r="AL569" s="171"/>
      <c r="AM569" s="171"/>
    </row>
    <row r="570" spans="1:39" ht="13.5" customHeight="1" x14ac:dyDescent="0.2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171"/>
      <c r="AI570" s="171"/>
      <c r="AJ570" s="171"/>
      <c r="AK570" s="171"/>
      <c r="AL570" s="171"/>
      <c r="AM570" s="171"/>
    </row>
    <row r="571" spans="1:39" ht="13.5" customHeight="1" x14ac:dyDescent="0.2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  <c r="AF571" s="171"/>
      <c r="AG571" s="171"/>
      <c r="AH571" s="171"/>
      <c r="AI571" s="171"/>
      <c r="AJ571" s="171"/>
      <c r="AK571" s="171"/>
      <c r="AL571" s="171"/>
      <c r="AM571" s="171"/>
    </row>
    <row r="572" spans="1:39" ht="13.5" customHeight="1" x14ac:dyDescent="0.2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171"/>
      <c r="AI572" s="171"/>
      <c r="AJ572" s="171"/>
      <c r="AK572" s="171"/>
      <c r="AL572" s="171"/>
      <c r="AM572" s="171"/>
    </row>
    <row r="573" spans="1:39" ht="13.5" customHeight="1" x14ac:dyDescent="0.2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  <c r="AF573" s="171"/>
      <c r="AG573" s="171"/>
      <c r="AH573" s="171"/>
      <c r="AI573" s="171"/>
      <c r="AJ573" s="171"/>
      <c r="AK573" s="171"/>
      <c r="AL573" s="171"/>
      <c r="AM573" s="171"/>
    </row>
    <row r="574" spans="1:39" ht="13.5" customHeight="1" x14ac:dyDescent="0.2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  <c r="AF574" s="171"/>
      <c r="AG574" s="171"/>
      <c r="AH574" s="171"/>
      <c r="AI574" s="171"/>
      <c r="AJ574" s="171"/>
      <c r="AK574" s="171"/>
      <c r="AL574" s="171"/>
      <c r="AM574" s="171"/>
    </row>
    <row r="575" spans="1:39" ht="13.5" customHeight="1" x14ac:dyDescent="0.2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  <c r="AF575" s="171"/>
      <c r="AG575" s="171"/>
      <c r="AH575" s="171"/>
      <c r="AI575" s="171"/>
      <c r="AJ575" s="171"/>
      <c r="AK575" s="171"/>
      <c r="AL575" s="171"/>
      <c r="AM575" s="171"/>
    </row>
    <row r="576" spans="1:39" ht="13.5" customHeight="1" x14ac:dyDescent="0.2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171"/>
      <c r="AI576" s="171"/>
      <c r="AJ576" s="171"/>
      <c r="AK576" s="171"/>
      <c r="AL576" s="171"/>
      <c r="AM576" s="171"/>
    </row>
    <row r="577" spans="1:39" ht="13.5" customHeight="1" x14ac:dyDescent="0.2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  <c r="AF577" s="171"/>
      <c r="AG577" s="171"/>
      <c r="AH577" s="171"/>
      <c r="AI577" s="171"/>
      <c r="AJ577" s="171"/>
      <c r="AK577" s="171"/>
      <c r="AL577" s="171"/>
      <c r="AM577" s="171"/>
    </row>
    <row r="578" spans="1:39" ht="13.5" customHeight="1" x14ac:dyDescent="0.2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171"/>
      <c r="AI578" s="171"/>
      <c r="AJ578" s="171"/>
      <c r="AK578" s="171"/>
      <c r="AL578" s="171"/>
      <c r="AM578" s="171"/>
    </row>
    <row r="579" spans="1:39" ht="13.5" customHeight="1" x14ac:dyDescent="0.2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  <c r="AE579" s="171"/>
      <c r="AF579" s="171"/>
      <c r="AG579" s="171"/>
      <c r="AH579" s="171"/>
      <c r="AI579" s="171"/>
      <c r="AJ579" s="171"/>
      <c r="AK579" s="171"/>
      <c r="AL579" s="171"/>
      <c r="AM579" s="171"/>
    </row>
    <row r="580" spans="1:39" ht="13.5" customHeight="1" x14ac:dyDescent="0.2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  <c r="AF580" s="171"/>
      <c r="AG580" s="171"/>
      <c r="AH580" s="171"/>
      <c r="AI580" s="171"/>
      <c r="AJ580" s="171"/>
      <c r="AK580" s="171"/>
      <c r="AL580" s="171"/>
      <c r="AM580" s="171"/>
    </row>
    <row r="581" spans="1:39" ht="13.5" customHeight="1" x14ac:dyDescent="0.2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171"/>
      <c r="AI581" s="171"/>
      <c r="AJ581" s="171"/>
      <c r="AK581" s="171"/>
      <c r="AL581" s="171"/>
      <c r="AM581" s="171"/>
    </row>
    <row r="582" spans="1:39" ht="13.5" customHeight="1" x14ac:dyDescent="0.2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  <c r="AF582" s="171"/>
      <c r="AG582" s="171"/>
      <c r="AH582" s="171"/>
      <c r="AI582" s="171"/>
      <c r="AJ582" s="171"/>
      <c r="AK582" s="171"/>
      <c r="AL582" s="171"/>
      <c r="AM582" s="171"/>
    </row>
    <row r="583" spans="1:39" ht="13.5" customHeight="1" x14ac:dyDescent="0.2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  <c r="AF583" s="171"/>
      <c r="AG583" s="171"/>
      <c r="AH583" s="171"/>
      <c r="AI583" s="171"/>
      <c r="AJ583" s="171"/>
      <c r="AK583" s="171"/>
      <c r="AL583" s="171"/>
      <c r="AM583" s="171"/>
    </row>
    <row r="584" spans="1:39" ht="13.5" customHeight="1" x14ac:dyDescent="0.2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  <c r="AE584" s="171"/>
      <c r="AF584" s="171"/>
      <c r="AG584" s="171"/>
      <c r="AH584" s="171"/>
      <c r="AI584" s="171"/>
      <c r="AJ584" s="171"/>
      <c r="AK584" s="171"/>
      <c r="AL584" s="171"/>
      <c r="AM584" s="171"/>
    </row>
    <row r="585" spans="1:39" ht="13.5" customHeight="1" x14ac:dyDescent="0.2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/>
      <c r="AH585" s="171"/>
      <c r="AI585" s="171"/>
      <c r="AJ585" s="171"/>
      <c r="AK585" s="171"/>
      <c r="AL585" s="171"/>
      <c r="AM585" s="171"/>
    </row>
    <row r="586" spans="1:39" ht="13.5" customHeight="1" x14ac:dyDescent="0.2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  <c r="AF586" s="171"/>
      <c r="AG586" s="171"/>
      <c r="AH586" s="171"/>
      <c r="AI586" s="171"/>
      <c r="AJ586" s="171"/>
      <c r="AK586" s="171"/>
      <c r="AL586" s="171"/>
      <c r="AM586" s="171"/>
    </row>
    <row r="587" spans="1:39" ht="13.5" customHeight="1" x14ac:dyDescent="0.2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171"/>
      <c r="AI587" s="171"/>
      <c r="AJ587" s="171"/>
      <c r="AK587" s="171"/>
      <c r="AL587" s="171"/>
      <c r="AM587" s="171"/>
    </row>
    <row r="588" spans="1:39" ht="13.5" customHeight="1" x14ac:dyDescent="0.2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  <c r="AF588" s="171"/>
      <c r="AG588" s="171"/>
      <c r="AH588" s="171"/>
      <c r="AI588" s="171"/>
      <c r="AJ588" s="171"/>
      <c r="AK588" s="171"/>
      <c r="AL588" s="171"/>
      <c r="AM588" s="171"/>
    </row>
    <row r="589" spans="1:39" ht="13.5" customHeight="1" x14ac:dyDescent="0.2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  <c r="AF589" s="171"/>
      <c r="AG589" s="171"/>
      <c r="AH589" s="171"/>
      <c r="AI589" s="171"/>
      <c r="AJ589" s="171"/>
      <c r="AK589" s="171"/>
      <c r="AL589" s="171"/>
      <c r="AM589" s="171"/>
    </row>
    <row r="590" spans="1:39" ht="13.5" customHeight="1" x14ac:dyDescent="0.2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  <c r="AF590" s="171"/>
      <c r="AG590" s="171"/>
      <c r="AH590" s="171"/>
      <c r="AI590" s="171"/>
      <c r="AJ590" s="171"/>
      <c r="AK590" s="171"/>
      <c r="AL590" s="171"/>
      <c r="AM590" s="171"/>
    </row>
    <row r="591" spans="1:39" ht="13.5" customHeight="1" x14ac:dyDescent="0.2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171"/>
      <c r="AI591" s="171"/>
      <c r="AJ591" s="171"/>
      <c r="AK591" s="171"/>
      <c r="AL591" s="171"/>
      <c r="AM591" s="171"/>
    </row>
    <row r="592" spans="1:39" ht="13.5" customHeight="1" x14ac:dyDescent="0.2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  <c r="AF592" s="171"/>
      <c r="AG592" s="171"/>
      <c r="AH592" s="171"/>
      <c r="AI592" s="171"/>
      <c r="AJ592" s="171"/>
      <c r="AK592" s="171"/>
      <c r="AL592" s="171"/>
      <c r="AM592" s="171"/>
    </row>
    <row r="593" spans="1:39" ht="13.5" customHeight="1" x14ac:dyDescent="0.2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  <c r="AE593" s="171"/>
      <c r="AF593" s="171"/>
      <c r="AG593" s="171"/>
      <c r="AH593" s="171"/>
      <c r="AI593" s="171"/>
      <c r="AJ593" s="171"/>
      <c r="AK593" s="171"/>
      <c r="AL593" s="171"/>
      <c r="AM593" s="171"/>
    </row>
    <row r="594" spans="1:39" ht="13.5" customHeight="1" x14ac:dyDescent="0.2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  <c r="AF594" s="171"/>
      <c r="AG594" s="171"/>
      <c r="AH594" s="171"/>
      <c r="AI594" s="171"/>
      <c r="AJ594" s="171"/>
      <c r="AK594" s="171"/>
      <c r="AL594" s="171"/>
      <c r="AM594" s="171"/>
    </row>
    <row r="595" spans="1:39" ht="13.5" customHeight="1" x14ac:dyDescent="0.2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171"/>
      <c r="AI595" s="171"/>
      <c r="AJ595" s="171"/>
      <c r="AK595" s="171"/>
      <c r="AL595" s="171"/>
      <c r="AM595" s="171"/>
    </row>
    <row r="596" spans="1:39" ht="13.5" customHeight="1" x14ac:dyDescent="0.2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  <c r="AF596" s="171"/>
      <c r="AG596" s="171"/>
      <c r="AH596" s="171"/>
      <c r="AI596" s="171"/>
      <c r="AJ596" s="171"/>
      <c r="AK596" s="171"/>
      <c r="AL596" s="171"/>
      <c r="AM596" s="171"/>
    </row>
    <row r="597" spans="1:39" ht="13.5" customHeight="1" x14ac:dyDescent="0.2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171"/>
      <c r="AI597" s="171"/>
      <c r="AJ597" s="171"/>
      <c r="AK597" s="171"/>
      <c r="AL597" s="171"/>
      <c r="AM597" s="171"/>
    </row>
    <row r="598" spans="1:39" ht="13.5" customHeight="1" x14ac:dyDescent="0.2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  <c r="AF598" s="171"/>
      <c r="AG598" s="171"/>
      <c r="AH598" s="171"/>
      <c r="AI598" s="171"/>
      <c r="AJ598" s="171"/>
      <c r="AK598" s="171"/>
      <c r="AL598" s="171"/>
      <c r="AM598" s="171"/>
    </row>
    <row r="599" spans="1:39" ht="13.5" customHeight="1" x14ac:dyDescent="0.2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171"/>
      <c r="AI599" s="171"/>
      <c r="AJ599" s="171"/>
      <c r="AK599" s="171"/>
      <c r="AL599" s="171"/>
      <c r="AM599" s="171"/>
    </row>
    <row r="600" spans="1:39" ht="13.5" customHeight="1" x14ac:dyDescent="0.2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  <c r="AF600" s="171"/>
      <c r="AG600" s="171"/>
      <c r="AH600" s="171"/>
      <c r="AI600" s="171"/>
      <c r="AJ600" s="171"/>
      <c r="AK600" s="171"/>
      <c r="AL600" s="171"/>
      <c r="AM600" s="171"/>
    </row>
    <row r="601" spans="1:39" ht="13.5" customHeight="1" x14ac:dyDescent="0.2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171"/>
      <c r="AI601" s="171"/>
      <c r="AJ601" s="171"/>
      <c r="AK601" s="171"/>
      <c r="AL601" s="171"/>
      <c r="AM601" s="171"/>
    </row>
    <row r="602" spans="1:39" ht="13.5" customHeight="1" x14ac:dyDescent="0.2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171"/>
      <c r="AI602" s="171"/>
      <c r="AJ602" s="171"/>
      <c r="AK602" s="171"/>
      <c r="AL602" s="171"/>
      <c r="AM602" s="171"/>
    </row>
    <row r="603" spans="1:39" ht="13.5" customHeight="1" x14ac:dyDescent="0.2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  <c r="AF603" s="171"/>
      <c r="AG603" s="171"/>
      <c r="AH603" s="171"/>
      <c r="AI603" s="171"/>
      <c r="AJ603" s="171"/>
      <c r="AK603" s="171"/>
      <c r="AL603" s="171"/>
      <c r="AM603" s="171"/>
    </row>
    <row r="604" spans="1:39" ht="13.5" customHeight="1" x14ac:dyDescent="0.2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  <c r="AE604" s="171"/>
      <c r="AF604" s="171"/>
      <c r="AG604" s="171"/>
      <c r="AH604" s="171"/>
      <c r="AI604" s="171"/>
      <c r="AJ604" s="171"/>
      <c r="AK604" s="171"/>
      <c r="AL604" s="171"/>
      <c r="AM604" s="171"/>
    </row>
    <row r="605" spans="1:39" ht="13.5" customHeight="1" x14ac:dyDescent="0.2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  <c r="AE605" s="171"/>
      <c r="AF605" s="171"/>
      <c r="AG605" s="171"/>
      <c r="AH605" s="171"/>
      <c r="AI605" s="171"/>
      <c r="AJ605" s="171"/>
      <c r="AK605" s="171"/>
      <c r="AL605" s="171"/>
      <c r="AM605" s="171"/>
    </row>
    <row r="606" spans="1:39" ht="13.5" customHeight="1" x14ac:dyDescent="0.2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171"/>
      <c r="AI606" s="171"/>
      <c r="AJ606" s="171"/>
      <c r="AK606" s="171"/>
      <c r="AL606" s="171"/>
      <c r="AM606" s="171"/>
    </row>
    <row r="607" spans="1:39" ht="13.5" customHeight="1" x14ac:dyDescent="0.2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  <c r="AF607" s="171"/>
      <c r="AG607" s="171"/>
      <c r="AH607" s="171"/>
      <c r="AI607" s="171"/>
      <c r="AJ607" s="171"/>
      <c r="AK607" s="171"/>
      <c r="AL607" s="171"/>
      <c r="AM607" s="171"/>
    </row>
    <row r="608" spans="1:39" ht="13.5" customHeight="1" x14ac:dyDescent="0.2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  <c r="AE608" s="171"/>
      <c r="AF608" s="171"/>
      <c r="AG608" s="171"/>
      <c r="AH608" s="171"/>
      <c r="AI608" s="171"/>
      <c r="AJ608" s="171"/>
      <c r="AK608" s="171"/>
      <c r="AL608" s="171"/>
      <c r="AM608" s="171"/>
    </row>
    <row r="609" spans="1:39" ht="13.5" customHeight="1" x14ac:dyDescent="0.2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171"/>
      <c r="AI609" s="171"/>
      <c r="AJ609" s="171"/>
      <c r="AK609" s="171"/>
      <c r="AL609" s="171"/>
      <c r="AM609" s="171"/>
    </row>
    <row r="610" spans="1:39" ht="13.5" customHeight="1" x14ac:dyDescent="0.2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171"/>
      <c r="AI610" s="171"/>
      <c r="AJ610" s="171"/>
      <c r="AK610" s="171"/>
      <c r="AL610" s="171"/>
      <c r="AM610" s="171"/>
    </row>
    <row r="611" spans="1:39" ht="13.5" customHeight="1" x14ac:dyDescent="0.2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1"/>
      <c r="AH611" s="171"/>
      <c r="AI611" s="171"/>
      <c r="AJ611" s="171"/>
      <c r="AK611" s="171"/>
      <c r="AL611" s="171"/>
      <c r="AM611" s="171"/>
    </row>
    <row r="612" spans="1:39" ht="13.5" customHeight="1" x14ac:dyDescent="0.2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1"/>
      <c r="AH612" s="171"/>
      <c r="AI612" s="171"/>
      <c r="AJ612" s="171"/>
      <c r="AK612" s="171"/>
      <c r="AL612" s="171"/>
      <c r="AM612" s="171"/>
    </row>
    <row r="613" spans="1:39" ht="13.5" customHeight="1" x14ac:dyDescent="0.2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1"/>
      <c r="AH613" s="171"/>
      <c r="AI613" s="171"/>
      <c r="AJ613" s="171"/>
      <c r="AK613" s="171"/>
      <c r="AL613" s="171"/>
      <c r="AM613" s="171"/>
    </row>
    <row r="614" spans="1:39" ht="13.5" customHeight="1" x14ac:dyDescent="0.2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171"/>
      <c r="AI614" s="171"/>
      <c r="AJ614" s="171"/>
      <c r="AK614" s="171"/>
      <c r="AL614" s="171"/>
      <c r="AM614" s="171"/>
    </row>
    <row r="615" spans="1:39" ht="13.5" customHeight="1" x14ac:dyDescent="0.2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  <c r="AF615" s="171"/>
      <c r="AG615" s="171"/>
      <c r="AH615" s="171"/>
      <c r="AI615" s="171"/>
      <c r="AJ615" s="171"/>
      <c r="AK615" s="171"/>
      <c r="AL615" s="171"/>
      <c r="AM615" s="171"/>
    </row>
    <row r="616" spans="1:39" ht="13.5" customHeight="1" x14ac:dyDescent="0.2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171"/>
      <c r="AI616" s="171"/>
      <c r="AJ616" s="171"/>
      <c r="AK616" s="171"/>
      <c r="AL616" s="171"/>
      <c r="AM616" s="171"/>
    </row>
    <row r="617" spans="1:39" ht="13.5" customHeight="1" x14ac:dyDescent="0.2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  <c r="AF617" s="171"/>
      <c r="AG617" s="171"/>
      <c r="AH617" s="171"/>
      <c r="AI617" s="171"/>
      <c r="AJ617" s="171"/>
      <c r="AK617" s="171"/>
      <c r="AL617" s="171"/>
      <c r="AM617" s="171"/>
    </row>
    <row r="618" spans="1:39" ht="13.5" customHeight="1" x14ac:dyDescent="0.2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171"/>
      <c r="AJ618" s="171"/>
      <c r="AK618" s="171"/>
      <c r="AL618" s="171"/>
      <c r="AM618" s="171"/>
    </row>
    <row r="619" spans="1:39" ht="13.5" customHeight="1" x14ac:dyDescent="0.2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/>
      <c r="AH619" s="171"/>
      <c r="AI619" s="171"/>
      <c r="AJ619" s="171"/>
      <c r="AK619" s="171"/>
      <c r="AL619" s="171"/>
      <c r="AM619" s="171"/>
    </row>
    <row r="620" spans="1:39" ht="13.5" customHeight="1" x14ac:dyDescent="0.2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171"/>
      <c r="AI620" s="171"/>
      <c r="AJ620" s="171"/>
      <c r="AK620" s="171"/>
      <c r="AL620" s="171"/>
      <c r="AM620" s="171"/>
    </row>
    <row r="621" spans="1:39" ht="13.5" customHeight="1" x14ac:dyDescent="0.2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  <c r="AF621" s="171"/>
      <c r="AG621" s="171"/>
      <c r="AH621" s="171"/>
      <c r="AI621" s="171"/>
      <c r="AJ621" s="171"/>
      <c r="AK621" s="171"/>
      <c r="AL621" s="171"/>
      <c r="AM621" s="171"/>
    </row>
    <row r="622" spans="1:39" ht="13.5" customHeight="1" x14ac:dyDescent="0.2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171"/>
      <c r="AI622" s="171"/>
      <c r="AJ622" s="171"/>
      <c r="AK622" s="171"/>
      <c r="AL622" s="171"/>
      <c r="AM622" s="171"/>
    </row>
    <row r="623" spans="1:39" ht="13.5" customHeight="1" x14ac:dyDescent="0.2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  <c r="AF623" s="171"/>
      <c r="AG623" s="171"/>
      <c r="AH623" s="171"/>
      <c r="AI623" s="171"/>
      <c r="AJ623" s="171"/>
      <c r="AK623" s="171"/>
      <c r="AL623" s="171"/>
      <c r="AM623" s="171"/>
    </row>
    <row r="624" spans="1:39" ht="13.5" customHeight="1" x14ac:dyDescent="0.2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  <c r="AF624" s="171"/>
      <c r="AG624" s="171"/>
      <c r="AH624" s="171"/>
      <c r="AI624" s="171"/>
      <c r="AJ624" s="171"/>
      <c r="AK624" s="171"/>
      <c r="AL624" s="171"/>
      <c r="AM624" s="171"/>
    </row>
    <row r="625" spans="1:39" ht="13.5" customHeight="1" x14ac:dyDescent="0.2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171"/>
      <c r="AI625" s="171"/>
      <c r="AJ625" s="171"/>
      <c r="AK625" s="171"/>
      <c r="AL625" s="171"/>
      <c r="AM625" s="171"/>
    </row>
    <row r="626" spans="1:39" ht="13.5" customHeight="1" x14ac:dyDescent="0.2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  <c r="AF626" s="171"/>
      <c r="AG626" s="171"/>
      <c r="AH626" s="171"/>
      <c r="AI626" s="171"/>
      <c r="AJ626" s="171"/>
      <c r="AK626" s="171"/>
      <c r="AL626" s="171"/>
      <c r="AM626" s="171"/>
    </row>
    <row r="627" spans="1:39" ht="13.5" customHeight="1" x14ac:dyDescent="0.2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1"/>
      <c r="AH627" s="171"/>
      <c r="AI627" s="171"/>
      <c r="AJ627" s="171"/>
      <c r="AK627" s="171"/>
      <c r="AL627" s="171"/>
      <c r="AM627" s="171"/>
    </row>
    <row r="628" spans="1:39" ht="13.5" customHeight="1" x14ac:dyDescent="0.2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  <c r="AF628" s="171"/>
      <c r="AG628" s="171"/>
      <c r="AH628" s="171"/>
      <c r="AI628" s="171"/>
      <c r="AJ628" s="171"/>
      <c r="AK628" s="171"/>
      <c r="AL628" s="171"/>
      <c r="AM628" s="171"/>
    </row>
    <row r="629" spans="1:39" ht="13.5" customHeight="1" x14ac:dyDescent="0.2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/>
      <c r="AH629" s="171"/>
      <c r="AI629" s="171"/>
      <c r="AJ629" s="171"/>
      <c r="AK629" s="171"/>
      <c r="AL629" s="171"/>
      <c r="AM629" s="171"/>
    </row>
    <row r="630" spans="1:39" ht="13.5" customHeight="1" x14ac:dyDescent="0.2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  <c r="AE630" s="171"/>
      <c r="AF630" s="171"/>
      <c r="AG630" s="171"/>
      <c r="AH630" s="171"/>
      <c r="AI630" s="171"/>
      <c r="AJ630" s="171"/>
      <c r="AK630" s="171"/>
      <c r="AL630" s="171"/>
      <c r="AM630" s="171"/>
    </row>
    <row r="631" spans="1:39" ht="13.5" customHeight="1" x14ac:dyDescent="0.2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171"/>
      <c r="AI631" s="171"/>
      <c r="AJ631" s="171"/>
      <c r="AK631" s="171"/>
      <c r="AL631" s="171"/>
      <c r="AM631" s="171"/>
    </row>
    <row r="632" spans="1:39" ht="13.5" customHeight="1" x14ac:dyDescent="0.2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  <c r="AF632" s="171"/>
      <c r="AG632" s="171"/>
      <c r="AH632" s="171"/>
      <c r="AI632" s="171"/>
      <c r="AJ632" s="171"/>
      <c r="AK632" s="171"/>
      <c r="AL632" s="171"/>
      <c r="AM632" s="171"/>
    </row>
    <row r="633" spans="1:39" ht="13.5" customHeight="1" x14ac:dyDescent="0.2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171"/>
      <c r="AI633" s="171"/>
      <c r="AJ633" s="171"/>
      <c r="AK633" s="171"/>
      <c r="AL633" s="171"/>
      <c r="AM633" s="171"/>
    </row>
    <row r="634" spans="1:39" ht="13.5" customHeight="1" x14ac:dyDescent="0.2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  <c r="AE634" s="171"/>
      <c r="AF634" s="171"/>
      <c r="AG634" s="171"/>
      <c r="AH634" s="171"/>
      <c r="AI634" s="171"/>
      <c r="AJ634" s="171"/>
      <c r="AK634" s="171"/>
      <c r="AL634" s="171"/>
      <c r="AM634" s="171"/>
    </row>
    <row r="635" spans="1:39" ht="13.5" customHeight="1" x14ac:dyDescent="0.2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  <c r="AF635" s="171"/>
      <c r="AG635" s="171"/>
      <c r="AH635" s="171"/>
      <c r="AI635" s="171"/>
      <c r="AJ635" s="171"/>
      <c r="AK635" s="171"/>
      <c r="AL635" s="171"/>
      <c r="AM635" s="171"/>
    </row>
    <row r="636" spans="1:39" ht="13.5" customHeight="1" x14ac:dyDescent="0.2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  <c r="AF636" s="171"/>
      <c r="AG636" s="171"/>
      <c r="AH636" s="171"/>
      <c r="AI636" s="171"/>
      <c r="AJ636" s="171"/>
      <c r="AK636" s="171"/>
      <c r="AL636" s="171"/>
      <c r="AM636" s="171"/>
    </row>
    <row r="637" spans="1:39" ht="13.5" customHeight="1" x14ac:dyDescent="0.2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1"/>
      <c r="AI637" s="171"/>
      <c r="AJ637" s="171"/>
      <c r="AK637" s="171"/>
      <c r="AL637" s="171"/>
      <c r="AM637" s="171"/>
    </row>
    <row r="638" spans="1:39" ht="13.5" customHeight="1" x14ac:dyDescent="0.2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  <c r="AE638" s="171"/>
      <c r="AF638" s="171"/>
      <c r="AG638" s="171"/>
      <c r="AH638" s="171"/>
      <c r="AI638" s="171"/>
      <c r="AJ638" s="171"/>
      <c r="AK638" s="171"/>
      <c r="AL638" s="171"/>
      <c r="AM638" s="171"/>
    </row>
    <row r="639" spans="1:39" ht="13.5" customHeight="1" x14ac:dyDescent="0.2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  <c r="AF639" s="171"/>
      <c r="AG639" s="171"/>
      <c r="AH639" s="171"/>
      <c r="AI639" s="171"/>
      <c r="AJ639" s="171"/>
      <c r="AK639" s="171"/>
      <c r="AL639" s="171"/>
      <c r="AM639" s="171"/>
    </row>
    <row r="640" spans="1:39" ht="13.5" customHeight="1" x14ac:dyDescent="0.2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  <c r="AE640" s="171"/>
      <c r="AF640" s="171"/>
      <c r="AG640" s="171"/>
      <c r="AH640" s="171"/>
      <c r="AI640" s="171"/>
      <c r="AJ640" s="171"/>
      <c r="AK640" s="171"/>
      <c r="AL640" s="171"/>
      <c r="AM640" s="171"/>
    </row>
    <row r="641" spans="1:39" ht="13.5" customHeight="1" x14ac:dyDescent="0.2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  <c r="AF641" s="171"/>
      <c r="AG641" s="171"/>
      <c r="AH641" s="171"/>
      <c r="AI641" s="171"/>
      <c r="AJ641" s="171"/>
      <c r="AK641" s="171"/>
      <c r="AL641" s="171"/>
      <c r="AM641" s="171"/>
    </row>
    <row r="642" spans="1:39" ht="13.5" customHeight="1" x14ac:dyDescent="0.2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1"/>
      <c r="AI642" s="171"/>
      <c r="AJ642" s="171"/>
      <c r="AK642" s="171"/>
      <c r="AL642" s="171"/>
      <c r="AM642" s="171"/>
    </row>
    <row r="643" spans="1:39" ht="13.5" customHeight="1" x14ac:dyDescent="0.2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  <c r="AF643" s="171"/>
      <c r="AG643" s="171"/>
      <c r="AH643" s="171"/>
      <c r="AI643" s="171"/>
      <c r="AJ643" s="171"/>
      <c r="AK643" s="171"/>
      <c r="AL643" s="171"/>
      <c r="AM643" s="171"/>
    </row>
    <row r="644" spans="1:39" ht="13.5" customHeight="1" x14ac:dyDescent="0.2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  <c r="AE644" s="171"/>
      <c r="AF644" s="171"/>
      <c r="AG644" s="171"/>
      <c r="AH644" s="171"/>
      <c r="AI644" s="171"/>
      <c r="AJ644" s="171"/>
      <c r="AK644" s="171"/>
      <c r="AL644" s="171"/>
      <c r="AM644" s="171"/>
    </row>
    <row r="645" spans="1:39" ht="13.5" customHeight="1" x14ac:dyDescent="0.2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  <c r="AF645" s="171"/>
      <c r="AG645" s="171"/>
      <c r="AH645" s="171"/>
      <c r="AI645" s="171"/>
      <c r="AJ645" s="171"/>
      <c r="AK645" s="171"/>
      <c r="AL645" s="171"/>
      <c r="AM645" s="171"/>
    </row>
    <row r="646" spans="1:39" ht="13.5" customHeight="1" x14ac:dyDescent="0.2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  <c r="AE646" s="171"/>
      <c r="AF646" s="171"/>
      <c r="AG646" s="171"/>
      <c r="AH646" s="171"/>
      <c r="AI646" s="171"/>
      <c r="AJ646" s="171"/>
      <c r="AK646" s="171"/>
      <c r="AL646" s="171"/>
      <c r="AM646" s="171"/>
    </row>
    <row r="647" spans="1:39" ht="13.5" customHeight="1" x14ac:dyDescent="0.2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  <c r="AF647" s="171"/>
      <c r="AG647" s="171"/>
      <c r="AH647" s="171"/>
      <c r="AI647" s="171"/>
      <c r="AJ647" s="171"/>
      <c r="AK647" s="171"/>
      <c r="AL647" s="171"/>
      <c r="AM647" s="171"/>
    </row>
    <row r="648" spans="1:39" ht="13.5" customHeight="1" x14ac:dyDescent="0.2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71"/>
      <c r="AF648" s="171"/>
      <c r="AG648" s="171"/>
      <c r="AH648" s="171"/>
      <c r="AI648" s="171"/>
      <c r="AJ648" s="171"/>
      <c r="AK648" s="171"/>
      <c r="AL648" s="171"/>
      <c r="AM648" s="171"/>
    </row>
    <row r="649" spans="1:39" ht="13.5" customHeight="1" x14ac:dyDescent="0.2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  <c r="AF649" s="171"/>
      <c r="AG649" s="171"/>
      <c r="AH649" s="171"/>
      <c r="AI649" s="171"/>
      <c r="AJ649" s="171"/>
      <c r="AK649" s="171"/>
      <c r="AL649" s="171"/>
      <c r="AM649" s="171"/>
    </row>
    <row r="650" spans="1:39" ht="13.5" customHeight="1" x14ac:dyDescent="0.2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  <c r="AE650" s="171"/>
      <c r="AF650" s="171"/>
      <c r="AG650" s="171"/>
      <c r="AH650" s="171"/>
      <c r="AI650" s="171"/>
      <c r="AJ650" s="171"/>
      <c r="AK650" s="171"/>
      <c r="AL650" s="171"/>
      <c r="AM650" s="171"/>
    </row>
    <row r="651" spans="1:39" ht="13.5" customHeight="1" x14ac:dyDescent="0.2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/>
      <c r="Z651" s="171"/>
      <c r="AA651" s="171"/>
      <c r="AB651" s="171"/>
      <c r="AC651" s="171"/>
      <c r="AD651" s="171"/>
      <c r="AE651" s="171"/>
      <c r="AF651" s="171"/>
      <c r="AG651" s="171"/>
      <c r="AH651" s="171"/>
      <c r="AI651" s="171"/>
      <c r="AJ651" s="171"/>
      <c r="AK651" s="171"/>
      <c r="AL651" s="171"/>
      <c r="AM651" s="171"/>
    </row>
    <row r="652" spans="1:39" ht="13.5" customHeight="1" x14ac:dyDescent="0.2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  <c r="AE652" s="171"/>
      <c r="AF652" s="171"/>
      <c r="AG652" s="171"/>
      <c r="AH652" s="171"/>
      <c r="AI652" s="171"/>
      <c r="AJ652" s="171"/>
      <c r="AK652" s="171"/>
      <c r="AL652" s="171"/>
      <c r="AM652" s="171"/>
    </row>
    <row r="653" spans="1:39" ht="13.5" customHeight="1" x14ac:dyDescent="0.2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  <c r="AF653" s="171"/>
      <c r="AG653" s="171"/>
      <c r="AH653" s="171"/>
      <c r="AI653" s="171"/>
      <c r="AJ653" s="171"/>
      <c r="AK653" s="171"/>
      <c r="AL653" s="171"/>
      <c r="AM653" s="171"/>
    </row>
    <row r="654" spans="1:39" ht="13.5" customHeight="1" x14ac:dyDescent="0.2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  <c r="AE654" s="171"/>
      <c r="AF654" s="171"/>
      <c r="AG654" s="171"/>
      <c r="AH654" s="171"/>
      <c r="AI654" s="171"/>
      <c r="AJ654" s="171"/>
      <c r="AK654" s="171"/>
      <c r="AL654" s="171"/>
      <c r="AM654" s="171"/>
    </row>
    <row r="655" spans="1:39" ht="13.5" customHeight="1" x14ac:dyDescent="0.2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  <c r="Y655" s="171"/>
      <c r="Z655" s="171"/>
      <c r="AA655" s="171"/>
      <c r="AB655" s="171"/>
      <c r="AC655" s="171"/>
      <c r="AD655" s="171"/>
      <c r="AE655" s="171"/>
      <c r="AF655" s="171"/>
      <c r="AG655" s="171"/>
      <c r="AH655" s="171"/>
      <c r="AI655" s="171"/>
      <c r="AJ655" s="171"/>
      <c r="AK655" s="171"/>
      <c r="AL655" s="171"/>
      <c r="AM655" s="171"/>
    </row>
    <row r="656" spans="1:39" ht="13.5" customHeight="1" x14ac:dyDescent="0.2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  <c r="Y656" s="171"/>
      <c r="Z656" s="171"/>
      <c r="AA656" s="171"/>
      <c r="AB656" s="171"/>
      <c r="AC656" s="171"/>
      <c r="AD656" s="171"/>
      <c r="AE656" s="171"/>
      <c r="AF656" s="171"/>
      <c r="AG656" s="171"/>
      <c r="AH656" s="171"/>
      <c r="AI656" s="171"/>
      <c r="AJ656" s="171"/>
      <c r="AK656" s="171"/>
      <c r="AL656" s="171"/>
      <c r="AM656" s="171"/>
    </row>
    <row r="657" spans="1:39" ht="13.5" customHeight="1" x14ac:dyDescent="0.2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  <c r="Y657" s="171"/>
      <c r="Z657" s="171"/>
      <c r="AA657" s="171"/>
      <c r="AB657" s="171"/>
      <c r="AC657" s="171"/>
      <c r="AD657" s="171"/>
      <c r="AE657" s="171"/>
      <c r="AF657" s="171"/>
      <c r="AG657" s="171"/>
      <c r="AH657" s="171"/>
      <c r="AI657" s="171"/>
      <c r="AJ657" s="171"/>
      <c r="AK657" s="171"/>
      <c r="AL657" s="171"/>
      <c r="AM657" s="171"/>
    </row>
    <row r="658" spans="1:39" ht="13.5" customHeight="1" x14ac:dyDescent="0.2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  <c r="Y658" s="171"/>
      <c r="Z658" s="171"/>
      <c r="AA658" s="171"/>
      <c r="AB658" s="171"/>
      <c r="AC658" s="171"/>
      <c r="AD658" s="171"/>
      <c r="AE658" s="171"/>
      <c r="AF658" s="171"/>
      <c r="AG658" s="171"/>
      <c r="AH658" s="171"/>
      <c r="AI658" s="171"/>
      <c r="AJ658" s="171"/>
      <c r="AK658" s="171"/>
      <c r="AL658" s="171"/>
      <c r="AM658" s="171"/>
    </row>
    <row r="659" spans="1:39" ht="13.5" customHeight="1" x14ac:dyDescent="0.2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  <c r="Y659" s="171"/>
      <c r="Z659" s="171"/>
      <c r="AA659" s="171"/>
      <c r="AB659" s="171"/>
      <c r="AC659" s="171"/>
      <c r="AD659" s="171"/>
      <c r="AE659" s="171"/>
      <c r="AF659" s="171"/>
      <c r="AG659" s="171"/>
      <c r="AH659" s="171"/>
      <c r="AI659" s="171"/>
      <c r="AJ659" s="171"/>
      <c r="AK659" s="171"/>
      <c r="AL659" s="171"/>
      <c r="AM659" s="171"/>
    </row>
    <row r="660" spans="1:39" ht="13.5" customHeight="1" x14ac:dyDescent="0.2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  <c r="Y660" s="171"/>
      <c r="Z660" s="171"/>
      <c r="AA660" s="171"/>
      <c r="AB660" s="171"/>
      <c r="AC660" s="171"/>
      <c r="AD660" s="171"/>
      <c r="AE660" s="171"/>
      <c r="AF660" s="171"/>
      <c r="AG660" s="171"/>
      <c r="AH660" s="171"/>
      <c r="AI660" s="171"/>
      <c r="AJ660" s="171"/>
      <c r="AK660" s="171"/>
      <c r="AL660" s="171"/>
      <c r="AM660" s="171"/>
    </row>
    <row r="661" spans="1:39" ht="13.5" customHeight="1" x14ac:dyDescent="0.2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  <c r="Y661" s="171"/>
      <c r="Z661" s="171"/>
      <c r="AA661" s="171"/>
      <c r="AB661" s="171"/>
      <c r="AC661" s="171"/>
      <c r="AD661" s="171"/>
      <c r="AE661" s="171"/>
      <c r="AF661" s="171"/>
      <c r="AG661" s="171"/>
      <c r="AH661" s="171"/>
      <c r="AI661" s="171"/>
      <c r="AJ661" s="171"/>
      <c r="AK661" s="171"/>
      <c r="AL661" s="171"/>
      <c r="AM661" s="171"/>
    </row>
    <row r="662" spans="1:39" ht="13.5" customHeight="1" x14ac:dyDescent="0.2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  <c r="Y662" s="171"/>
      <c r="Z662" s="171"/>
      <c r="AA662" s="171"/>
      <c r="AB662" s="171"/>
      <c r="AC662" s="171"/>
      <c r="AD662" s="171"/>
      <c r="AE662" s="171"/>
      <c r="AF662" s="171"/>
      <c r="AG662" s="171"/>
      <c r="AH662" s="171"/>
      <c r="AI662" s="171"/>
      <c r="AJ662" s="171"/>
      <c r="AK662" s="171"/>
      <c r="AL662" s="171"/>
      <c r="AM662" s="171"/>
    </row>
    <row r="663" spans="1:39" ht="13.5" customHeight="1" x14ac:dyDescent="0.2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  <c r="Y663" s="171"/>
      <c r="Z663" s="171"/>
      <c r="AA663" s="171"/>
      <c r="AB663" s="171"/>
      <c r="AC663" s="171"/>
      <c r="AD663" s="171"/>
      <c r="AE663" s="171"/>
      <c r="AF663" s="171"/>
      <c r="AG663" s="171"/>
      <c r="AH663" s="171"/>
      <c r="AI663" s="171"/>
      <c r="AJ663" s="171"/>
      <c r="AK663" s="171"/>
      <c r="AL663" s="171"/>
      <c r="AM663" s="171"/>
    </row>
    <row r="664" spans="1:39" ht="13.5" customHeight="1" x14ac:dyDescent="0.2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  <c r="Y664" s="171"/>
      <c r="Z664" s="171"/>
      <c r="AA664" s="171"/>
      <c r="AB664" s="171"/>
      <c r="AC664" s="171"/>
      <c r="AD664" s="171"/>
      <c r="AE664" s="171"/>
      <c r="AF664" s="171"/>
      <c r="AG664" s="171"/>
      <c r="AH664" s="171"/>
      <c r="AI664" s="171"/>
      <c r="AJ664" s="171"/>
      <c r="AK664" s="171"/>
      <c r="AL664" s="171"/>
      <c r="AM664" s="171"/>
    </row>
    <row r="665" spans="1:39" ht="13.5" customHeight="1" x14ac:dyDescent="0.2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  <c r="Y665" s="171"/>
      <c r="Z665" s="171"/>
      <c r="AA665" s="171"/>
      <c r="AB665" s="171"/>
      <c r="AC665" s="171"/>
      <c r="AD665" s="171"/>
      <c r="AE665" s="171"/>
      <c r="AF665" s="171"/>
      <c r="AG665" s="171"/>
      <c r="AH665" s="171"/>
      <c r="AI665" s="171"/>
      <c r="AJ665" s="171"/>
      <c r="AK665" s="171"/>
      <c r="AL665" s="171"/>
      <c r="AM665" s="171"/>
    </row>
    <row r="666" spans="1:39" ht="13.5" customHeight="1" x14ac:dyDescent="0.2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  <c r="Y666" s="171"/>
      <c r="Z666" s="171"/>
      <c r="AA666" s="171"/>
      <c r="AB666" s="171"/>
      <c r="AC666" s="171"/>
      <c r="AD666" s="171"/>
      <c r="AE666" s="171"/>
      <c r="AF666" s="171"/>
      <c r="AG666" s="171"/>
      <c r="AH666" s="171"/>
      <c r="AI666" s="171"/>
      <c r="AJ666" s="171"/>
      <c r="AK666" s="171"/>
      <c r="AL666" s="171"/>
      <c r="AM666" s="171"/>
    </row>
    <row r="667" spans="1:39" ht="13.5" customHeight="1" x14ac:dyDescent="0.2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  <c r="Y667" s="171"/>
      <c r="Z667" s="171"/>
      <c r="AA667" s="171"/>
      <c r="AB667" s="171"/>
      <c r="AC667" s="171"/>
      <c r="AD667" s="171"/>
      <c r="AE667" s="171"/>
      <c r="AF667" s="171"/>
      <c r="AG667" s="171"/>
      <c r="AH667" s="171"/>
      <c r="AI667" s="171"/>
      <c r="AJ667" s="171"/>
      <c r="AK667" s="171"/>
      <c r="AL667" s="171"/>
      <c r="AM667" s="171"/>
    </row>
    <row r="668" spans="1:39" ht="13.5" customHeight="1" x14ac:dyDescent="0.2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  <c r="Y668" s="171"/>
      <c r="Z668" s="171"/>
      <c r="AA668" s="171"/>
      <c r="AB668" s="171"/>
      <c r="AC668" s="171"/>
      <c r="AD668" s="171"/>
      <c r="AE668" s="171"/>
      <c r="AF668" s="171"/>
      <c r="AG668" s="171"/>
      <c r="AH668" s="171"/>
      <c r="AI668" s="171"/>
      <c r="AJ668" s="171"/>
      <c r="AK668" s="171"/>
      <c r="AL668" s="171"/>
      <c r="AM668" s="171"/>
    </row>
    <row r="669" spans="1:39" ht="13.5" customHeight="1" x14ac:dyDescent="0.2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  <c r="Y669" s="171"/>
      <c r="Z669" s="171"/>
      <c r="AA669" s="171"/>
      <c r="AB669" s="171"/>
      <c r="AC669" s="171"/>
      <c r="AD669" s="171"/>
      <c r="AE669" s="171"/>
      <c r="AF669" s="171"/>
      <c r="AG669" s="171"/>
      <c r="AH669" s="171"/>
      <c r="AI669" s="171"/>
      <c r="AJ669" s="171"/>
      <c r="AK669" s="171"/>
      <c r="AL669" s="171"/>
      <c r="AM669" s="171"/>
    </row>
    <row r="670" spans="1:39" ht="13.5" customHeight="1" x14ac:dyDescent="0.2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  <c r="Y670" s="171"/>
      <c r="Z670" s="171"/>
      <c r="AA670" s="171"/>
      <c r="AB670" s="171"/>
      <c r="AC670" s="171"/>
      <c r="AD670" s="171"/>
      <c r="AE670" s="171"/>
      <c r="AF670" s="171"/>
      <c r="AG670" s="171"/>
      <c r="AH670" s="171"/>
      <c r="AI670" s="171"/>
      <c r="AJ670" s="171"/>
      <c r="AK670" s="171"/>
      <c r="AL670" s="171"/>
      <c r="AM670" s="171"/>
    </row>
    <row r="671" spans="1:39" ht="13.5" customHeight="1" x14ac:dyDescent="0.2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  <c r="Y671" s="171"/>
      <c r="Z671" s="171"/>
      <c r="AA671" s="171"/>
      <c r="AB671" s="171"/>
      <c r="AC671" s="171"/>
      <c r="AD671" s="171"/>
      <c r="AE671" s="171"/>
      <c r="AF671" s="171"/>
      <c r="AG671" s="171"/>
      <c r="AH671" s="171"/>
      <c r="AI671" s="171"/>
      <c r="AJ671" s="171"/>
      <c r="AK671" s="171"/>
      <c r="AL671" s="171"/>
      <c r="AM671" s="171"/>
    </row>
    <row r="672" spans="1:39" ht="13.5" customHeight="1" x14ac:dyDescent="0.2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  <c r="Y672" s="171"/>
      <c r="Z672" s="171"/>
      <c r="AA672" s="171"/>
      <c r="AB672" s="171"/>
      <c r="AC672" s="171"/>
      <c r="AD672" s="171"/>
      <c r="AE672" s="171"/>
      <c r="AF672" s="171"/>
      <c r="AG672" s="171"/>
      <c r="AH672" s="171"/>
      <c r="AI672" s="171"/>
      <c r="AJ672" s="171"/>
      <c r="AK672" s="171"/>
      <c r="AL672" s="171"/>
      <c r="AM672" s="171"/>
    </row>
    <row r="673" spans="1:39" ht="13.5" customHeight="1" x14ac:dyDescent="0.2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  <c r="Y673" s="171"/>
      <c r="Z673" s="171"/>
      <c r="AA673" s="171"/>
      <c r="AB673" s="171"/>
      <c r="AC673" s="171"/>
      <c r="AD673" s="171"/>
      <c r="AE673" s="171"/>
      <c r="AF673" s="171"/>
      <c r="AG673" s="171"/>
      <c r="AH673" s="171"/>
      <c r="AI673" s="171"/>
      <c r="AJ673" s="171"/>
      <c r="AK673" s="171"/>
      <c r="AL673" s="171"/>
      <c r="AM673" s="171"/>
    </row>
    <row r="674" spans="1:39" ht="13.5" customHeight="1" x14ac:dyDescent="0.2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  <c r="Y674" s="171"/>
      <c r="Z674" s="171"/>
      <c r="AA674" s="171"/>
      <c r="AB674" s="171"/>
      <c r="AC674" s="171"/>
      <c r="AD674" s="171"/>
      <c r="AE674" s="171"/>
      <c r="AF674" s="171"/>
      <c r="AG674" s="171"/>
      <c r="AH674" s="171"/>
      <c r="AI674" s="171"/>
      <c r="AJ674" s="171"/>
      <c r="AK674" s="171"/>
      <c r="AL674" s="171"/>
      <c r="AM674" s="171"/>
    </row>
    <row r="675" spans="1:39" ht="13.5" customHeight="1" x14ac:dyDescent="0.2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  <c r="Y675" s="171"/>
      <c r="Z675" s="171"/>
      <c r="AA675" s="171"/>
      <c r="AB675" s="171"/>
      <c r="AC675" s="171"/>
      <c r="AD675" s="171"/>
      <c r="AE675" s="171"/>
      <c r="AF675" s="171"/>
      <c r="AG675" s="171"/>
      <c r="AH675" s="171"/>
      <c r="AI675" s="171"/>
      <c r="AJ675" s="171"/>
      <c r="AK675" s="171"/>
      <c r="AL675" s="171"/>
      <c r="AM675" s="171"/>
    </row>
    <row r="676" spans="1:39" ht="13.5" customHeight="1" x14ac:dyDescent="0.2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  <c r="Y676" s="171"/>
      <c r="Z676" s="171"/>
      <c r="AA676" s="171"/>
      <c r="AB676" s="171"/>
      <c r="AC676" s="171"/>
      <c r="AD676" s="171"/>
      <c r="AE676" s="171"/>
      <c r="AF676" s="171"/>
      <c r="AG676" s="171"/>
      <c r="AH676" s="171"/>
      <c r="AI676" s="171"/>
      <c r="AJ676" s="171"/>
      <c r="AK676" s="171"/>
      <c r="AL676" s="171"/>
      <c r="AM676" s="171"/>
    </row>
    <row r="677" spans="1:39" ht="13.5" customHeight="1" x14ac:dyDescent="0.2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  <c r="Y677" s="171"/>
      <c r="Z677" s="171"/>
      <c r="AA677" s="171"/>
      <c r="AB677" s="171"/>
      <c r="AC677" s="171"/>
      <c r="AD677" s="171"/>
      <c r="AE677" s="171"/>
      <c r="AF677" s="171"/>
      <c r="AG677" s="171"/>
      <c r="AH677" s="171"/>
      <c r="AI677" s="171"/>
      <c r="AJ677" s="171"/>
      <c r="AK677" s="171"/>
      <c r="AL677" s="171"/>
      <c r="AM677" s="171"/>
    </row>
    <row r="678" spans="1:39" ht="13.5" customHeight="1" x14ac:dyDescent="0.2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  <c r="Y678" s="171"/>
      <c r="Z678" s="171"/>
      <c r="AA678" s="171"/>
      <c r="AB678" s="171"/>
      <c r="AC678" s="171"/>
      <c r="AD678" s="171"/>
      <c r="AE678" s="171"/>
      <c r="AF678" s="171"/>
      <c r="AG678" s="171"/>
      <c r="AH678" s="171"/>
      <c r="AI678" s="171"/>
      <c r="AJ678" s="171"/>
      <c r="AK678" s="171"/>
      <c r="AL678" s="171"/>
      <c r="AM678" s="171"/>
    </row>
    <row r="679" spans="1:39" ht="13.5" customHeight="1" x14ac:dyDescent="0.2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  <c r="Y679" s="171"/>
      <c r="Z679" s="171"/>
      <c r="AA679" s="171"/>
      <c r="AB679" s="171"/>
      <c r="AC679" s="171"/>
      <c r="AD679" s="171"/>
      <c r="AE679" s="171"/>
      <c r="AF679" s="171"/>
      <c r="AG679" s="171"/>
      <c r="AH679" s="171"/>
      <c r="AI679" s="171"/>
      <c r="AJ679" s="171"/>
      <c r="AK679" s="171"/>
      <c r="AL679" s="171"/>
      <c r="AM679" s="171"/>
    </row>
    <row r="680" spans="1:39" ht="13.5" customHeight="1" x14ac:dyDescent="0.2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  <c r="Y680" s="171"/>
      <c r="Z680" s="171"/>
      <c r="AA680" s="171"/>
      <c r="AB680" s="171"/>
      <c r="AC680" s="171"/>
      <c r="AD680" s="171"/>
      <c r="AE680" s="171"/>
      <c r="AF680" s="171"/>
      <c r="AG680" s="171"/>
      <c r="AH680" s="171"/>
      <c r="AI680" s="171"/>
      <c r="AJ680" s="171"/>
      <c r="AK680" s="171"/>
      <c r="AL680" s="171"/>
      <c r="AM680" s="171"/>
    </row>
    <row r="681" spans="1:39" ht="13.5" customHeight="1" x14ac:dyDescent="0.2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  <c r="Y681" s="171"/>
      <c r="Z681" s="171"/>
      <c r="AA681" s="171"/>
      <c r="AB681" s="171"/>
      <c r="AC681" s="171"/>
      <c r="AD681" s="171"/>
      <c r="AE681" s="171"/>
      <c r="AF681" s="171"/>
      <c r="AG681" s="171"/>
      <c r="AH681" s="171"/>
      <c r="AI681" s="171"/>
      <c r="AJ681" s="171"/>
      <c r="AK681" s="171"/>
      <c r="AL681" s="171"/>
      <c r="AM681" s="171"/>
    </row>
    <row r="682" spans="1:39" ht="13.5" customHeight="1" x14ac:dyDescent="0.2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  <c r="Y682" s="171"/>
      <c r="Z682" s="171"/>
      <c r="AA682" s="171"/>
      <c r="AB682" s="171"/>
      <c r="AC682" s="171"/>
      <c r="AD682" s="171"/>
      <c r="AE682" s="171"/>
      <c r="AF682" s="171"/>
      <c r="AG682" s="171"/>
      <c r="AH682" s="171"/>
      <c r="AI682" s="171"/>
      <c r="AJ682" s="171"/>
      <c r="AK682" s="171"/>
      <c r="AL682" s="171"/>
      <c r="AM682" s="171"/>
    </row>
    <row r="683" spans="1:39" ht="13.5" customHeight="1" x14ac:dyDescent="0.2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  <c r="Y683" s="171"/>
      <c r="Z683" s="171"/>
      <c r="AA683" s="171"/>
      <c r="AB683" s="171"/>
      <c r="AC683" s="171"/>
      <c r="AD683" s="171"/>
      <c r="AE683" s="171"/>
      <c r="AF683" s="171"/>
      <c r="AG683" s="171"/>
      <c r="AH683" s="171"/>
      <c r="AI683" s="171"/>
      <c r="AJ683" s="171"/>
      <c r="AK683" s="171"/>
      <c r="AL683" s="171"/>
      <c r="AM683" s="171"/>
    </row>
    <row r="684" spans="1:39" ht="13.5" customHeight="1" x14ac:dyDescent="0.2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  <c r="Y684" s="171"/>
      <c r="Z684" s="171"/>
      <c r="AA684" s="171"/>
      <c r="AB684" s="171"/>
      <c r="AC684" s="171"/>
      <c r="AD684" s="171"/>
      <c r="AE684" s="171"/>
      <c r="AF684" s="171"/>
      <c r="AG684" s="171"/>
      <c r="AH684" s="171"/>
      <c r="AI684" s="171"/>
      <c r="AJ684" s="171"/>
      <c r="AK684" s="171"/>
      <c r="AL684" s="171"/>
      <c r="AM684" s="171"/>
    </row>
    <row r="685" spans="1:39" ht="13.5" customHeight="1" x14ac:dyDescent="0.2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  <c r="Y685" s="171"/>
      <c r="Z685" s="171"/>
      <c r="AA685" s="171"/>
      <c r="AB685" s="171"/>
      <c r="AC685" s="171"/>
      <c r="AD685" s="171"/>
      <c r="AE685" s="171"/>
      <c r="AF685" s="171"/>
      <c r="AG685" s="171"/>
      <c r="AH685" s="171"/>
      <c r="AI685" s="171"/>
      <c r="AJ685" s="171"/>
      <c r="AK685" s="171"/>
      <c r="AL685" s="171"/>
      <c r="AM685" s="171"/>
    </row>
    <row r="686" spans="1:39" ht="13.5" customHeight="1" x14ac:dyDescent="0.2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  <c r="Y686" s="171"/>
      <c r="Z686" s="171"/>
      <c r="AA686" s="171"/>
      <c r="AB686" s="171"/>
      <c r="AC686" s="171"/>
      <c r="AD686" s="171"/>
      <c r="AE686" s="171"/>
      <c r="AF686" s="171"/>
      <c r="AG686" s="171"/>
      <c r="AH686" s="171"/>
      <c r="AI686" s="171"/>
      <c r="AJ686" s="171"/>
      <c r="AK686" s="171"/>
      <c r="AL686" s="171"/>
      <c r="AM686" s="171"/>
    </row>
    <row r="687" spans="1:39" ht="13.5" customHeight="1" x14ac:dyDescent="0.2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  <c r="Y687" s="171"/>
      <c r="Z687" s="171"/>
      <c r="AA687" s="171"/>
      <c r="AB687" s="171"/>
      <c r="AC687" s="171"/>
      <c r="AD687" s="171"/>
      <c r="AE687" s="171"/>
      <c r="AF687" s="171"/>
      <c r="AG687" s="171"/>
      <c r="AH687" s="171"/>
      <c r="AI687" s="171"/>
      <c r="AJ687" s="171"/>
      <c r="AK687" s="171"/>
      <c r="AL687" s="171"/>
      <c r="AM687" s="171"/>
    </row>
    <row r="688" spans="1:39" ht="13.5" customHeight="1" x14ac:dyDescent="0.2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  <c r="Y688" s="171"/>
      <c r="Z688" s="171"/>
      <c r="AA688" s="171"/>
      <c r="AB688" s="171"/>
      <c r="AC688" s="171"/>
      <c r="AD688" s="171"/>
      <c r="AE688" s="171"/>
      <c r="AF688" s="171"/>
      <c r="AG688" s="171"/>
      <c r="AH688" s="171"/>
      <c r="AI688" s="171"/>
      <c r="AJ688" s="171"/>
      <c r="AK688" s="171"/>
      <c r="AL688" s="171"/>
      <c r="AM688" s="171"/>
    </row>
    <row r="689" spans="1:39" ht="13.5" customHeight="1" x14ac:dyDescent="0.2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  <c r="Y689" s="171"/>
      <c r="Z689" s="171"/>
      <c r="AA689" s="171"/>
      <c r="AB689" s="171"/>
      <c r="AC689" s="171"/>
      <c r="AD689" s="171"/>
      <c r="AE689" s="171"/>
      <c r="AF689" s="171"/>
      <c r="AG689" s="171"/>
      <c r="AH689" s="171"/>
      <c r="AI689" s="171"/>
      <c r="AJ689" s="171"/>
      <c r="AK689" s="171"/>
      <c r="AL689" s="171"/>
      <c r="AM689" s="171"/>
    </row>
    <row r="690" spans="1:39" ht="13.5" customHeight="1" x14ac:dyDescent="0.2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  <c r="Y690" s="171"/>
      <c r="Z690" s="171"/>
      <c r="AA690" s="171"/>
      <c r="AB690" s="171"/>
      <c r="AC690" s="171"/>
      <c r="AD690" s="171"/>
      <c r="AE690" s="171"/>
      <c r="AF690" s="171"/>
      <c r="AG690" s="171"/>
      <c r="AH690" s="171"/>
      <c r="AI690" s="171"/>
      <c r="AJ690" s="171"/>
      <c r="AK690" s="171"/>
      <c r="AL690" s="171"/>
      <c r="AM690" s="171"/>
    </row>
    <row r="691" spans="1:39" ht="13.5" customHeight="1" x14ac:dyDescent="0.2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  <c r="Y691" s="171"/>
      <c r="Z691" s="171"/>
      <c r="AA691" s="171"/>
      <c r="AB691" s="171"/>
      <c r="AC691" s="171"/>
      <c r="AD691" s="171"/>
      <c r="AE691" s="171"/>
      <c r="AF691" s="171"/>
      <c r="AG691" s="171"/>
      <c r="AH691" s="171"/>
      <c r="AI691" s="171"/>
      <c r="AJ691" s="171"/>
      <c r="AK691" s="171"/>
      <c r="AL691" s="171"/>
      <c r="AM691" s="171"/>
    </row>
    <row r="692" spans="1:39" ht="13.5" customHeight="1" x14ac:dyDescent="0.2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  <c r="Y692" s="171"/>
      <c r="Z692" s="171"/>
      <c r="AA692" s="171"/>
      <c r="AB692" s="171"/>
      <c r="AC692" s="171"/>
      <c r="AD692" s="171"/>
      <c r="AE692" s="171"/>
      <c r="AF692" s="171"/>
      <c r="AG692" s="171"/>
      <c r="AH692" s="171"/>
      <c r="AI692" s="171"/>
      <c r="AJ692" s="171"/>
      <c r="AK692" s="171"/>
      <c r="AL692" s="171"/>
      <c r="AM692" s="171"/>
    </row>
    <row r="693" spans="1:39" ht="13.5" customHeight="1" x14ac:dyDescent="0.2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  <c r="Y693" s="171"/>
      <c r="Z693" s="171"/>
      <c r="AA693" s="171"/>
      <c r="AB693" s="171"/>
      <c r="AC693" s="171"/>
      <c r="AD693" s="171"/>
      <c r="AE693" s="171"/>
      <c r="AF693" s="171"/>
      <c r="AG693" s="171"/>
      <c r="AH693" s="171"/>
      <c r="AI693" s="171"/>
      <c r="AJ693" s="171"/>
      <c r="AK693" s="171"/>
      <c r="AL693" s="171"/>
      <c r="AM693" s="171"/>
    </row>
    <row r="694" spans="1:39" ht="13.5" customHeight="1" x14ac:dyDescent="0.2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  <c r="Y694" s="171"/>
      <c r="Z694" s="171"/>
      <c r="AA694" s="171"/>
      <c r="AB694" s="171"/>
      <c r="AC694" s="171"/>
      <c r="AD694" s="171"/>
      <c r="AE694" s="171"/>
      <c r="AF694" s="171"/>
      <c r="AG694" s="171"/>
      <c r="AH694" s="171"/>
      <c r="AI694" s="171"/>
      <c r="AJ694" s="171"/>
      <c r="AK694" s="171"/>
      <c r="AL694" s="171"/>
      <c r="AM694" s="171"/>
    </row>
    <row r="695" spans="1:39" ht="13.5" customHeight="1" x14ac:dyDescent="0.2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  <c r="Y695" s="171"/>
      <c r="Z695" s="171"/>
      <c r="AA695" s="171"/>
      <c r="AB695" s="171"/>
      <c r="AC695" s="171"/>
      <c r="AD695" s="171"/>
      <c r="AE695" s="171"/>
      <c r="AF695" s="171"/>
      <c r="AG695" s="171"/>
      <c r="AH695" s="171"/>
      <c r="AI695" s="171"/>
      <c r="AJ695" s="171"/>
      <c r="AK695" s="171"/>
      <c r="AL695" s="171"/>
      <c r="AM695" s="171"/>
    </row>
    <row r="696" spans="1:39" ht="13.5" customHeight="1" x14ac:dyDescent="0.2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  <c r="Y696" s="171"/>
      <c r="Z696" s="171"/>
      <c r="AA696" s="171"/>
      <c r="AB696" s="171"/>
      <c r="AC696" s="171"/>
      <c r="AD696" s="171"/>
      <c r="AE696" s="171"/>
      <c r="AF696" s="171"/>
      <c r="AG696" s="171"/>
      <c r="AH696" s="171"/>
      <c r="AI696" s="171"/>
      <c r="AJ696" s="171"/>
      <c r="AK696" s="171"/>
      <c r="AL696" s="171"/>
      <c r="AM696" s="171"/>
    </row>
    <row r="697" spans="1:39" ht="13.5" customHeight="1" x14ac:dyDescent="0.2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  <c r="Y697" s="171"/>
      <c r="Z697" s="171"/>
      <c r="AA697" s="171"/>
      <c r="AB697" s="171"/>
      <c r="AC697" s="171"/>
      <c r="AD697" s="171"/>
      <c r="AE697" s="171"/>
      <c r="AF697" s="171"/>
      <c r="AG697" s="171"/>
      <c r="AH697" s="171"/>
      <c r="AI697" s="171"/>
      <c r="AJ697" s="171"/>
      <c r="AK697" s="171"/>
      <c r="AL697" s="171"/>
      <c r="AM697" s="171"/>
    </row>
    <row r="698" spans="1:39" ht="13.5" customHeight="1" x14ac:dyDescent="0.2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  <c r="Y698" s="171"/>
      <c r="Z698" s="171"/>
      <c r="AA698" s="171"/>
      <c r="AB698" s="171"/>
      <c r="AC698" s="171"/>
      <c r="AD698" s="171"/>
      <c r="AE698" s="171"/>
      <c r="AF698" s="171"/>
      <c r="AG698" s="171"/>
      <c r="AH698" s="171"/>
      <c r="AI698" s="171"/>
      <c r="AJ698" s="171"/>
      <c r="AK698" s="171"/>
      <c r="AL698" s="171"/>
      <c r="AM698" s="171"/>
    </row>
    <row r="699" spans="1:39" ht="13.5" customHeight="1" x14ac:dyDescent="0.2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  <c r="Y699" s="171"/>
      <c r="Z699" s="171"/>
      <c r="AA699" s="171"/>
      <c r="AB699" s="171"/>
      <c r="AC699" s="171"/>
      <c r="AD699" s="171"/>
      <c r="AE699" s="171"/>
      <c r="AF699" s="171"/>
      <c r="AG699" s="171"/>
      <c r="AH699" s="171"/>
      <c r="AI699" s="171"/>
      <c r="AJ699" s="171"/>
      <c r="AK699" s="171"/>
      <c r="AL699" s="171"/>
      <c r="AM699" s="171"/>
    </row>
    <row r="700" spans="1:39" ht="13.5" customHeight="1" x14ac:dyDescent="0.2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  <c r="Y700" s="171"/>
      <c r="Z700" s="171"/>
      <c r="AA700" s="171"/>
      <c r="AB700" s="171"/>
      <c r="AC700" s="171"/>
      <c r="AD700" s="171"/>
      <c r="AE700" s="171"/>
      <c r="AF700" s="171"/>
      <c r="AG700" s="171"/>
      <c r="AH700" s="171"/>
      <c r="AI700" s="171"/>
      <c r="AJ700" s="171"/>
      <c r="AK700" s="171"/>
      <c r="AL700" s="171"/>
      <c r="AM700" s="171"/>
    </row>
    <row r="701" spans="1:39" ht="13.5" customHeight="1" x14ac:dyDescent="0.2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  <c r="Y701" s="171"/>
      <c r="Z701" s="171"/>
      <c r="AA701" s="171"/>
      <c r="AB701" s="171"/>
      <c r="AC701" s="171"/>
      <c r="AD701" s="171"/>
      <c r="AE701" s="171"/>
      <c r="AF701" s="171"/>
      <c r="AG701" s="171"/>
      <c r="AH701" s="171"/>
      <c r="AI701" s="171"/>
      <c r="AJ701" s="171"/>
      <c r="AK701" s="171"/>
      <c r="AL701" s="171"/>
      <c r="AM701" s="171"/>
    </row>
    <row r="702" spans="1:39" ht="13.5" customHeight="1" x14ac:dyDescent="0.2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  <c r="Y702" s="171"/>
      <c r="Z702" s="171"/>
      <c r="AA702" s="171"/>
      <c r="AB702" s="171"/>
      <c r="AC702" s="171"/>
      <c r="AD702" s="171"/>
      <c r="AE702" s="171"/>
      <c r="AF702" s="171"/>
      <c r="AG702" s="171"/>
      <c r="AH702" s="171"/>
      <c r="AI702" s="171"/>
      <c r="AJ702" s="171"/>
      <c r="AK702" s="171"/>
      <c r="AL702" s="171"/>
      <c r="AM702" s="171"/>
    </row>
    <row r="703" spans="1:39" ht="13.5" customHeight="1" x14ac:dyDescent="0.2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  <c r="Y703" s="171"/>
      <c r="Z703" s="171"/>
      <c r="AA703" s="171"/>
      <c r="AB703" s="171"/>
      <c r="AC703" s="171"/>
      <c r="AD703" s="171"/>
      <c r="AE703" s="171"/>
      <c r="AF703" s="171"/>
      <c r="AG703" s="171"/>
      <c r="AH703" s="171"/>
      <c r="AI703" s="171"/>
      <c r="AJ703" s="171"/>
      <c r="AK703" s="171"/>
      <c r="AL703" s="171"/>
      <c r="AM703" s="171"/>
    </row>
    <row r="704" spans="1:39" ht="13.5" customHeight="1" x14ac:dyDescent="0.2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  <c r="Y704" s="171"/>
      <c r="Z704" s="171"/>
      <c r="AA704" s="171"/>
      <c r="AB704" s="171"/>
      <c r="AC704" s="171"/>
      <c r="AD704" s="171"/>
      <c r="AE704" s="171"/>
      <c r="AF704" s="171"/>
      <c r="AG704" s="171"/>
      <c r="AH704" s="171"/>
      <c r="AI704" s="171"/>
      <c r="AJ704" s="171"/>
      <c r="AK704" s="171"/>
      <c r="AL704" s="171"/>
      <c r="AM704" s="171"/>
    </row>
    <row r="705" spans="1:39" ht="13.5" customHeight="1" x14ac:dyDescent="0.2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  <c r="Y705" s="171"/>
      <c r="Z705" s="171"/>
      <c r="AA705" s="171"/>
      <c r="AB705" s="171"/>
      <c r="AC705" s="171"/>
      <c r="AD705" s="171"/>
      <c r="AE705" s="171"/>
      <c r="AF705" s="171"/>
      <c r="AG705" s="171"/>
      <c r="AH705" s="171"/>
      <c r="AI705" s="171"/>
      <c r="AJ705" s="171"/>
      <c r="AK705" s="171"/>
      <c r="AL705" s="171"/>
      <c r="AM705" s="171"/>
    </row>
    <row r="706" spans="1:39" ht="13.5" customHeight="1" x14ac:dyDescent="0.2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1"/>
      <c r="AI706" s="171"/>
      <c r="AJ706" s="171"/>
      <c r="AK706" s="171"/>
      <c r="AL706" s="171"/>
      <c r="AM706" s="171"/>
    </row>
    <row r="707" spans="1:39" ht="13.5" customHeight="1" x14ac:dyDescent="0.2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  <c r="Y707" s="171"/>
      <c r="Z707" s="171"/>
      <c r="AA707" s="171"/>
      <c r="AB707" s="171"/>
      <c r="AC707" s="171"/>
      <c r="AD707" s="171"/>
      <c r="AE707" s="171"/>
      <c r="AF707" s="171"/>
      <c r="AG707" s="171"/>
      <c r="AH707" s="171"/>
      <c r="AI707" s="171"/>
      <c r="AJ707" s="171"/>
      <c r="AK707" s="171"/>
      <c r="AL707" s="171"/>
      <c r="AM707" s="171"/>
    </row>
    <row r="708" spans="1:39" ht="13.5" customHeight="1" x14ac:dyDescent="0.2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  <c r="Y708" s="171"/>
      <c r="Z708" s="171"/>
      <c r="AA708" s="171"/>
      <c r="AB708" s="171"/>
      <c r="AC708" s="171"/>
      <c r="AD708" s="171"/>
      <c r="AE708" s="171"/>
      <c r="AF708" s="171"/>
      <c r="AG708" s="171"/>
      <c r="AH708" s="171"/>
      <c r="AI708" s="171"/>
      <c r="AJ708" s="171"/>
      <c r="AK708" s="171"/>
      <c r="AL708" s="171"/>
      <c r="AM708" s="171"/>
    </row>
    <row r="709" spans="1:39" ht="13.5" customHeight="1" x14ac:dyDescent="0.2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  <c r="Y709" s="171"/>
      <c r="Z709" s="171"/>
      <c r="AA709" s="171"/>
      <c r="AB709" s="171"/>
      <c r="AC709" s="171"/>
      <c r="AD709" s="171"/>
      <c r="AE709" s="171"/>
      <c r="AF709" s="171"/>
      <c r="AG709" s="171"/>
      <c r="AH709" s="171"/>
      <c r="AI709" s="171"/>
      <c r="AJ709" s="171"/>
      <c r="AK709" s="171"/>
      <c r="AL709" s="171"/>
      <c r="AM709" s="171"/>
    </row>
    <row r="710" spans="1:39" ht="13.5" customHeight="1" x14ac:dyDescent="0.2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  <c r="Y710" s="171"/>
      <c r="Z710" s="171"/>
      <c r="AA710" s="171"/>
      <c r="AB710" s="171"/>
      <c r="AC710" s="171"/>
      <c r="AD710" s="171"/>
      <c r="AE710" s="171"/>
      <c r="AF710" s="171"/>
      <c r="AG710" s="171"/>
      <c r="AH710" s="171"/>
      <c r="AI710" s="171"/>
      <c r="AJ710" s="171"/>
      <c r="AK710" s="171"/>
      <c r="AL710" s="171"/>
      <c r="AM710" s="171"/>
    </row>
    <row r="711" spans="1:39" ht="13.5" customHeight="1" x14ac:dyDescent="0.2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  <c r="Y711" s="171"/>
      <c r="Z711" s="171"/>
      <c r="AA711" s="171"/>
      <c r="AB711" s="171"/>
      <c r="AC711" s="171"/>
      <c r="AD711" s="171"/>
      <c r="AE711" s="171"/>
      <c r="AF711" s="171"/>
      <c r="AG711" s="171"/>
      <c r="AH711" s="171"/>
      <c r="AI711" s="171"/>
      <c r="AJ711" s="171"/>
      <c r="AK711" s="171"/>
      <c r="AL711" s="171"/>
      <c r="AM711" s="171"/>
    </row>
    <row r="712" spans="1:39" ht="13.5" customHeight="1" x14ac:dyDescent="0.2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  <c r="Y712" s="171"/>
      <c r="Z712" s="171"/>
      <c r="AA712" s="171"/>
      <c r="AB712" s="171"/>
      <c r="AC712" s="171"/>
      <c r="AD712" s="171"/>
      <c r="AE712" s="171"/>
      <c r="AF712" s="171"/>
      <c r="AG712" s="171"/>
      <c r="AH712" s="171"/>
      <c r="AI712" s="171"/>
      <c r="AJ712" s="171"/>
      <c r="AK712" s="171"/>
      <c r="AL712" s="171"/>
      <c r="AM712" s="171"/>
    </row>
    <row r="713" spans="1:39" ht="13.5" customHeight="1" x14ac:dyDescent="0.2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  <c r="Y713" s="171"/>
      <c r="Z713" s="171"/>
      <c r="AA713" s="171"/>
      <c r="AB713" s="171"/>
      <c r="AC713" s="171"/>
      <c r="AD713" s="171"/>
      <c r="AE713" s="171"/>
      <c r="AF713" s="171"/>
      <c r="AG713" s="171"/>
      <c r="AH713" s="171"/>
      <c r="AI713" s="171"/>
      <c r="AJ713" s="171"/>
      <c r="AK713" s="171"/>
      <c r="AL713" s="171"/>
      <c r="AM713" s="171"/>
    </row>
    <row r="714" spans="1:39" ht="13.5" customHeight="1" x14ac:dyDescent="0.2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  <c r="Y714" s="171"/>
      <c r="Z714" s="171"/>
      <c r="AA714" s="171"/>
      <c r="AB714" s="171"/>
      <c r="AC714" s="171"/>
      <c r="AD714" s="171"/>
      <c r="AE714" s="171"/>
      <c r="AF714" s="171"/>
      <c r="AG714" s="171"/>
      <c r="AH714" s="171"/>
      <c r="AI714" s="171"/>
      <c r="AJ714" s="171"/>
      <c r="AK714" s="171"/>
      <c r="AL714" s="171"/>
      <c r="AM714" s="171"/>
    </row>
    <row r="715" spans="1:39" ht="13.5" customHeight="1" x14ac:dyDescent="0.2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  <c r="Y715" s="171"/>
      <c r="Z715" s="171"/>
      <c r="AA715" s="171"/>
      <c r="AB715" s="171"/>
      <c r="AC715" s="171"/>
      <c r="AD715" s="171"/>
      <c r="AE715" s="171"/>
      <c r="AF715" s="171"/>
      <c r="AG715" s="171"/>
      <c r="AH715" s="171"/>
      <c r="AI715" s="171"/>
      <c r="AJ715" s="171"/>
      <c r="AK715" s="171"/>
      <c r="AL715" s="171"/>
      <c r="AM715" s="171"/>
    </row>
    <row r="716" spans="1:39" ht="13.5" customHeight="1" x14ac:dyDescent="0.2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  <c r="Y716" s="171"/>
      <c r="Z716" s="171"/>
      <c r="AA716" s="171"/>
      <c r="AB716" s="171"/>
      <c r="AC716" s="171"/>
      <c r="AD716" s="171"/>
      <c r="AE716" s="171"/>
      <c r="AF716" s="171"/>
      <c r="AG716" s="171"/>
      <c r="AH716" s="171"/>
      <c r="AI716" s="171"/>
      <c r="AJ716" s="171"/>
      <c r="AK716" s="171"/>
      <c r="AL716" s="171"/>
      <c r="AM716" s="171"/>
    </row>
    <row r="717" spans="1:39" ht="13.5" customHeight="1" x14ac:dyDescent="0.2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  <c r="Y717" s="171"/>
      <c r="Z717" s="171"/>
      <c r="AA717" s="171"/>
      <c r="AB717" s="171"/>
      <c r="AC717" s="171"/>
      <c r="AD717" s="171"/>
      <c r="AE717" s="171"/>
      <c r="AF717" s="171"/>
      <c r="AG717" s="171"/>
      <c r="AH717" s="171"/>
      <c r="AI717" s="171"/>
      <c r="AJ717" s="171"/>
      <c r="AK717" s="171"/>
      <c r="AL717" s="171"/>
      <c r="AM717" s="171"/>
    </row>
    <row r="718" spans="1:39" ht="13.5" customHeight="1" x14ac:dyDescent="0.2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  <c r="Y718" s="171"/>
      <c r="Z718" s="171"/>
      <c r="AA718" s="171"/>
      <c r="AB718" s="171"/>
      <c r="AC718" s="171"/>
      <c r="AD718" s="171"/>
      <c r="AE718" s="171"/>
      <c r="AF718" s="171"/>
      <c r="AG718" s="171"/>
      <c r="AH718" s="171"/>
      <c r="AI718" s="171"/>
      <c r="AJ718" s="171"/>
      <c r="AK718" s="171"/>
      <c r="AL718" s="171"/>
      <c r="AM718" s="171"/>
    </row>
    <row r="719" spans="1:39" ht="13.5" customHeight="1" x14ac:dyDescent="0.2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  <c r="Y719" s="171"/>
      <c r="Z719" s="171"/>
      <c r="AA719" s="171"/>
      <c r="AB719" s="171"/>
      <c r="AC719" s="171"/>
      <c r="AD719" s="171"/>
      <c r="AE719" s="171"/>
      <c r="AF719" s="171"/>
      <c r="AG719" s="171"/>
      <c r="AH719" s="171"/>
      <c r="AI719" s="171"/>
      <c r="AJ719" s="171"/>
      <c r="AK719" s="171"/>
      <c r="AL719" s="171"/>
      <c r="AM719" s="171"/>
    </row>
    <row r="720" spans="1:39" ht="13.5" customHeight="1" x14ac:dyDescent="0.2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  <c r="Y720" s="171"/>
      <c r="Z720" s="171"/>
      <c r="AA720" s="171"/>
      <c r="AB720" s="171"/>
      <c r="AC720" s="171"/>
      <c r="AD720" s="171"/>
      <c r="AE720" s="171"/>
      <c r="AF720" s="171"/>
      <c r="AG720" s="171"/>
      <c r="AH720" s="171"/>
      <c r="AI720" s="171"/>
      <c r="AJ720" s="171"/>
      <c r="AK720" s="171"/>
      <c r="AL720" s="171"/>
      <c r="AM720" s="171"/>
    </row>
    <row r="721" spans="1:39" ht="13.5" customHeight="1" x14ac:dyDescent="0.2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  <c r="Y721" s="171"/>
      <c r="Z721" s="171"/>
      <c r="AA721" s="171"/>
      <c r="AB721" s="171"/>
      <c r="AC721" s="171"/>
      <c r="AD721" s="171"/>
      <c r="AE721" s="171"/>
      <c r="AF721" s="171"/>
      <c r="AG721" s="171"/>
      <c r="AH721" s="171"/>
      <c r="AI721" s="171"/>
      <c r="AJ721" s="171"/>
      <c r="AK721" s="171"/>
      <c r="AL721" s="171"/>
      <c r="AM721" s="171"/>
    </row>
    <row r="722" spans="1:39" ht="13.5" customHeight="1" x14ac:dyDescent="0.2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  <c r="Y722" s="171"/>
      <c r="Z722" s="171"/>
      <c r="AA722" s="171"/>
      <c r="AB722" s="171"/>
      <c r="AC722" s="171"/>
      <c r="AD722" s="171"/>
      <c r="AE722" s="171"/>
      <c r="AF722" s="171"/>
      <c r="AG722" s="171"/>
      <c r="AH722" s="171"/>
      <c r="AI722" s="171"/>
      <c r="AJ722" s="171"/>
      <c r="AK722" s="171"/>
      <c r="AL722" s="171"/>
      <c r="AM722" s="171"/>
    </row>
    <row r="723" spans="1:39" ht="13.5" customHeight="1" x14ac:dyDescent="0.2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  <c r="Y723" s="171"/>
      <c r="Z723" s="171"/>
      <c r="AA723" s="171"/>
      <c r="AB723" s="171"/>
      <c r="AC723" s="171"/>
      <c r="AD723" s="171"/>
      <c r="AE723" s="171"/>
      <c r="AF723" s="171"/>
      <c r="AG723" s="171"/>
      <c r="AH723" s="171"/>
      <c r="AI723" s="171"/>
      <c r="AJ723" s="171"/>
      <c r="AK723" s="171"/>
      <c r="AL723" s="171"/>
      <c r="AM723" s="171"/>
    </row>
    <row r="724" spans="1:39" ht="13.5" customHeight="1" x14ac:dyDescent="0.2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  <c r="Y724" s="171"/>
      <c r="Z724" s="171"/>
      <c r="AA724" s="171"/>
      <c r="AB724" s="171"/>
      <c r="AC724" s="171"/>
      <c r="AD724" s="171"/>
      <c r="AE724" s="171"/>
      <c r="AF724" s="171"/>
      <c r="AG724" s="171"/>
      <c r="AH724" s="171"/>
      <c r="AI724" s="171"/>
      <c r="AJ724" s="171"/>
      <c r="AK724" s="171"/>
      <c r="AL724" s="171"/>
      <c r="AM724" s="171"/>
    </row>
    <row r="725" spans="1:39" ht="13.5" customHeight="1" x14ac:dyDescent="0.2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  <c r="Y725" s="171"/>
      <c r="Z725" s="171"/>
      <c r="AA725" s="171"/>
      <c r="AB725" s="171"/>
      <c r="AC725" s="171"/>
      <c r="AD725" s="171"/>
      <c r="AE725" s="171"/>
      <c r="AF725" s="171"/>
      <c r="AG725" s="171"/>
      <c r="AH725" s="171"/>
      <c r="AI725" s="171"/>
      <c r="AJ725" s="171"/>
      <c r="AK725" s="171"/>
      <c r="AL725" s="171"/>
      <c r="AM725" s="171"/>
    </row>
    <row r="726" spans="1:39" ht="13.5" customHeight="1" x14ac:dyDescent="0.2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  <c r="Y726" s="171"/>
      <c r="Z726" s="171"/>
      <c r="AA726" s="171"/>
      <c r="AB726" s="171"/>
      <c r="AC726" s="171"/>
      <c r="AD726" s="171"/>
      <c r="AE726" s="171"/>
      <c r="AF726" s="171"/>
      <c r="AG726" s="171"/>
      <c r="AH726" s="171"/>
      <c r="AI726" s="171"/>
      <c r="AJ726" s="171"/>
      <c r="AK726" s="171"/>
      <c r="AL726" s="171"/>
      <c r="AM726" s="171"/>
    </row>
    <row r="727" spans="1:39" ht="13.5" customHeight="1" x14ac:dyDescent="0.2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  <c r="Y727" s="171"/>
      <c r="Z727" s="171"/>
      <c r="AA727" s="171"/>
      <c r="AB727" s="171"/>
      <c r="AC727" s="171"/>
      <c r="AD727" s="171"/>
      <c r="AE727" s="171"/>
      <c r="AF727" s="171"/>
      <c r="AG727" s="171"/>
      <c r="AH727" s="171"/>
      <c r="AI727" s="171"/>
      <c r="AJ727" s="171"/>
      <c r="AK727" s="171"/>
      <c r="AL727" s="171"/>
      <c r="AM727" s="171"/>
    </row>
    <row r="728" spans="1:39" ht="13.5" customHeight="1" x14ac:dyDescent="0.2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  <c r="Y728" s="171"/>
      <c r="Z728" s="171"/>
      <c r="AA728" s="171"/>
      <c r="AB728" s="171"/>
      <c r="AC728" s="171"/>
      <c r="AD728" s="171"/>
      <c r="AE728" s="171"/>
      <c r="AF728" s="171"/>
      <c r="AG728" s="171"/>
      <c r="AH728" s="171"/>
      <c r="AI728" s="171"/>
      <c r="AJ728" s="171"/>
      <c r="AK728" s="171"/>
      <c r="AL728" s="171"/>
      <c r="AM728" s="171"/>
    </row>
    <row r="729" spans="1:39" ht="13.5" customHeight="1" x14ac:dyDescent="0.2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  <c r="Y729" s="171"/>
      <c r="Z729" s="171"/>
      <c r="AA729" s="171"/>
      <c r="AB729" s="171"/>
      <c r="AC729" s="171"/>
      <c r="AD729" s="171"/>
      <c r="AE729" s="171"/>
      <c r="AF729" s="171"/>
      <c r="AG729" s="171"/>
      <c r="AH729" s="171"/>
      <c r="AI729" s="171"/>
      <c r="AJ729" s="171"/>
      <c r="AK729" s="171"/>
      <c r="AL729" s="171"/>
      <c r="AM729" s="171"/>
    </row>
    <row r="730" spans="1:39" ht="13.5" customHeight="1" x14ac:dyDescent="0.2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  <c r="Y730" s="171"/>
      <c r="Z730" s="171"/>
      <c r="AA730" s="171"/>
      <c r="AB730" s="171"/>
      <c r="AC730" s="171"/>
      <c r="AD730" s="171"/>
      <c r="AE730" s="171"/>
      <c r="AF730" s="171"/>
      <c r="AG730" s="171"/>
      <c r="AH730" s="171"/>
      <c r="AI730" s="171"/>
      <c r="AJ730" s="171"/>
      <c r="AK730" s="171"/>
      <c r="AL730" s="171"/>
      <c r="AM730" s="171"/>
    </row>
    <row r="731" spans="1:39" ht="13.5" customHeight="1" x14ac:dyDescent="0.2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  <c r="Y731" s="171"/>
      <c r="Z731" s="171"/>
      <c r="AA731" s="171"/>
      <c r="AB731" s="171"/>
      <c r="AC731" s="171"/>
      <c r="AD731" s="171"/>
      <c r="AE731" s="171"/>
      <c r="AF731" s="171"/>
      <c r="AG731" s="171"/>
      <c r="AH731" s="171"/>
      <c r="AI731" s="171"/>
      <c r="AJ731" s="171"/>
      <c r="AK731" s="171"/>
      <c r="AL731" s="171"/>
      <c r="AM731" s="171"/>
    </row>
    <row r="732" spans="1:39" ht="13.5" customHeight="1" x14ac:dyDescent="0.2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  <c r="Y732" s="171"/>
      <c r="Z732" s="171"/>
      <c r="AA732" s="171"/>
      <c r="AB732" s="171"/>
      <c r="AC732" s="171"/>
      <c r="AD732" s="171"/>
      <c r="AE732" s="171"/>
      <c r="AF732" s="171"/>
      <c r="AG732" s="171"/>
      <c r="AH732" s="171"/>
      <c r="AI732" s="171"/>
      <c r="AJ732" s="171"/>
      <c r="AK732" s="171"/>
      <c r="AL732" s="171"/>
      <c r="AM732" s="171"/>
    </row>
    <row r="733" spans="1:39" ht="13.5" customHeight="1" x14ac:dyDescent="0.2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  <c r="Y733" s="171"/>
      <c r="Z733" s="171"/>
      <c r="AA733" s="171"/>
      <c r="AB733" s="171"/>
      <c r="AC733" s="171"/>
      <c r="AD733" s="171"/>
      <c r="AE733" s="171"/>
      <c r="AF733" s="171"/>
      <c r="AG733" s="171"/>
      <c r="AH733" s="171"/>
      <c r="AI733" s="171"/>
      <c r="AJ733" s="171"/>
      <c r="AK733" s="171"/>
      <c r="AL733" s="171"/>
      <c r="AM733" s="171"/>
    </row>
    <row r="734" spans="1:39" ht="13.5" customHeight="1" x14ac:dyDescent="0.2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  <c r="Y734" s="171"/>
      <c r="Z734" s="171"/>
      <c r="AA734" s="171"/>
      <c r="AB734" s="171"/>
      <c r="AC734" s="171"/>
      <c r="AD734" s="171"/>
      <c r="AE734" s="171"/>
      <c r="AF734" s="171"/>
      <c r="AG734" s="171"/>
      <c r="AH734" s="171"/>
      <c r="AI734" s="171"/>
      <c r="AJ734" s="171"/>
      <c r="AK734" s="171"/>
      <c r="AL734" s="171"/>
      <c r="AM734" s="171"/>
    </row>
    <row r="735" spans="1:39" ht="13.5" customHeight="1" x14ac:dyDescent="0.2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  <c r="Y735" s="171"/>
      <c r="Z735" s="171"/>
      <c r="AA735" s="171"/>
      <c r="AB735" s="171"/>
      <c r="AC735" s="171"/>
      <c r="AD735" s="171"/>
      <c r="AE735" s="171"/>
      <c r="AF735" s="171"/>
      <c r="AG735" s="171"/>
      <c r="AH735" s="171"/>
      <c r="AI735" s="171"/>
      <c r="AJ735" s="171"/>
      <c r="AK735" s="171"/>
      <c r="AL735" s="171"/>
      <c r="AM735" s="171"/>
    </row>
    <row r="736" spans="1:39" ht="13.5" customHeight="1" x14ac:dyDescent="0.2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  <c r="Y736" s="171"/>
      <c r="Z736" s="171"/>
      <c r="AA736" s="171"/>
      <c r="AB736" s="171"/>
      <c r="AC736" s="171"/>
      <c r="AD736" s="171"/>
      <c r="AE736" s="171"/>
      <c r="AF736" s="171"/>
      <c r="AG736" s="171"/>
      <c r="AH736" s="171"/>
      <c r="AI736" s="171"/>
      <c r="AJ736" s="171"/>
      <c r="AK736" s="171"/>
      <c r="AL736" s="171"/>
      <c r="AM736" s="171"/>
    </row>
    <row r="737" spans="1:39" ht="13.5" customHeight="1" x14ac:dyDescent="0.2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  <c r="Y737" s="171"/>
      <c r="Z737" s="171"/>
      <c r="AA737" s="171"/>
      <c r="AB737" s="171"/>
      <c r="AC737" s="171"/>
      <c r="AD737" s="171"/>
      <c r="AE737" s="171"/>
      <c r="AF737" s="171"/>
      <c r="AG737" s="171"/>
      <c r="AH737" s="171"/>
      <c r="AI737" s="171"/>
      <c r="AJ737" s="171"/>
      <c r="AK737" s="171"/>
      <c r="AL737" s="171"/>
      <c r="AM737" s="171"/>
    </row>
    <row r="738" spans="1:39" ht="13.5" customHeight="1" x14ac:dyDescent="0.2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  <c r="Y738" s="171"/>
      <c r="Z738" s="171"/>
      <c r="AA738" s="171"/>
      <c r="AB738" s="171"/>
      <c r="AC738" s="171"/>
      <c r="AD738" s="171"/>
      <c r="AE738" s="171"/>
      <c r="AF738" s="171"/>
      <c r="AG738" s="171"/>
      <c r="AH738" s="171"/>
      <c r="AI738" s="171"/>
      <c r="AJ738" s="171"/>
      <c r="AK738" s="171"/>
      <c r="AL738" s="171"/>
      <c r="AM738" s="171"/>
    </row>
    <row r="739" spans="1:39" ht="13.5" customHeight="1" x14ac:dyDescent="0.2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  <c r="Y739" s="171"/>
      <c r="Z739" s="171"/>
      <c r="AA739" s="171"/>
      <c r="AB739" s="171"/>
      <c r="AC739" s="171"/>
      <c r="AD739" s="171"/>
      <c r="AE739" s="171"/>
      <c r="AF739" s="171"/>
      <c r="AG739" s="171"/>
      <c r="AH739" s="171"/>
      <c r="AI739" s="171"/>
      <c r="AJ739" s="171"/>
      <c r="AK739" s="171"/>
      <c r="AL739" s="171"/>
      <c r="AM739" s="171"/>
    </row>
    <row r="740" spans="1:39" ht="13.5" customHeight="1" x14ac:dyDescent="0.2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  <c r="Y740" s="171"/>
      <c r="Z740" s="171"/>
      <c r="AA740" s="171"/>
      <c r="AB740" s="171"/>
      <c r="AC740" s="171"/>
      <c r="AD740" s="171"/>
      <c r="AE740" s="171"/>
      <c r="AF740" s="171"/>
      <c r="AG740" s="171"/>
      <c r="AH740" s="171"/>
      <c r="AI740" s="171"/>
      <c r="AJ740" s="171"/>
      <c r="AK740" s="171"/>
      <c r="AL740" s="171"/>
      <c r="AM740" s="171"/>
    </row>
    <row r="741" spans="1:39" ht="13.5" customHeight="1" x14ac:dyDescent="0.2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  <c r="Y741" s="171"/>
      <c r="Z741" s="171"/>
      <c r="AA741" s="171"/>
      <c r="AB741" s="171"/>
      <c r="AC741" s="171"/>
      <c r="AD741" s="171"/>
      <c r="AE741" s="171"/>
      <c r="AF741" s="171"/>
      <c r="AG741" s="171"/>
      <c r="AH741" s="171"/>
      <c r="AI741" s="171"/>
      <c r="AJ741" s="171"/>
      <c r="AK741" s="171"/>
      <c r="AL741" s="171"/>
      <c r="AM741" s="171"/>
    </row>
    <row r="742" spans="1:39" ht="13.5" customHeight="1" x14ac:dyDescent="0.2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  <c r="Y742" s="171"/>
      <c r="Z742" s="171"/>
      <c r="AA742" s="171"/>
      <c r="AB742" s="171"/>
      <c r="AC742" s="171"/>
      <c r="AD742" s="171"/>
      <c r="AE742" s="171"/>
      <c r="AF742" s="171"/>
      <c r="AG742" s="171"/>
      <c r="AH742" s="171"/>
      <c r="AI742" s="171"/>
      <c r="AJ742" s="171"/>
      <c r="AK742" s="171"/>
      <c r="AL742" s="171"/>
      <c r="AM742" s="171"/>
    </row>
    <row r="743" spans="1:39" ht="13.5" customHeight="1" x14ac:dyDescent="0.2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  <c r="Y743" s="171"/>
      <c r="Z743" s="171"/>
      <c r="AA743" s="171"/>
      <c r="AB743" s="171"/>
      <c r="AC743" s="171"/>
      <c r="AD743" s="171"/>
      <c r="AE743" s="171"/>
      <c r="AF743" s="171"/>
      <c r="AG743" s="171"/>
      <c r="AH743" s="171"/>
      <c r="AI743" s="171"/>
      <c r="AJ743" s="171"/>
      <c r="AK743" s="171"/>
      <c r="AL743" s="171"/>
      <c r="AM743" s="171"/>
    </row>
    <row r="744" spans="1:39" ht="13.5" customHeight="1" x14ac:dyDescent="0.2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  <c r="Y744" s="171"/>
      <c r="Z744" s="171"/>
      <c r="AA744" s="171"/>
      <c r="AB744" s="171"/>
      <c r="AC744" s="171"/>
      <c r="AD744" s="171"/>
      <c r="AE744" s="171"/>
      <c r="AF744" s="171"/>
      <c r="AG744" s="171"/>
      <c r="AH744" s="171"/>
      <c r="AI744" s="171"/>
      <c r="AJ744" s="171"/>
      <c r="AK744" s="171"/>
      <c r="AL744" s="171"/>
      <c r="AM744" s="171"/>
    </row>
    <row r="745" spans="1:39" ht="13.5" customHeight="1" x14ac:dyDescent="0.2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  <c r="Y745" s="171"/>
      <c r="Z745" s="171"/>
      <c r="AA745" s="171"/>
      <c r="AB745" s="171"/>
      <c r="AC745" s="171"/>
      <c r="AD745" s="171"/>
      <c r="AE745" s="171"/>
      <c r="AF745" s="171"/>
      <c r="AG745" s="171"/>
      <c r="AH745" s="171"/>
      <c r="AI745" s="171"/>
      <c r="AJ745" s="171"/>
      <c r="AK745" s="171"/>
      <c r="AL745" s="171"/>
      <c r="AM745" s="171"/>
    </row>
    <row r="746" spans="1:39" ht="13.5" customHeight="1" x14ac:dyDescent="0.2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  <c r="Y746" s="171"/>
      <c r="Z746" s="171"/>
      <c r="AA746" s="171"/>
      <c r="AB746" s="171"/>
      <c r="AC746" s="171"/>
      <c r="AD746" s="171"/>
      <c r="AE746" s="171"/>
      <c r="AF746" s="171"/>
      <c r="AG746" s="171"/>
      <c r="AH746" s="171"/>
      <c r="AI746" s="171"/>
      <c r="AJ746" s="171"/>
      <c r="AK746" s="171"/>
      <c r="AL746" s="171"/>
      <c r="AM746" s="171"/>
    </row>
    <row r="747" spans="1:39" ht="13.5" customHeight="1" x14ac:dyDescent="0.2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  <c r="Y747" s="171"/>
      <c r="Z747" s="171"/>
      <c r="AA747" s="171"/>
      <c r="AB747" s="171"/>
      <c r="AC747" s="171"/>
      <c r="AD747" s="171"/>
      <c r="AE747" s="171"/>
      <c r="AF747" s="171"/>
      <c r="AG747" s="171"/>
      <c r="AH747" s="171"/>
      <c r="AI747" s="171"/>
      <c r="AJ747" s="171"/>
      <c r="AK747" s="171"/>
      <c r="AL747" s="171"/>
      <c r="AM747" s="171"/>
    </row>
    <row r="748" spans="1:39" ht="13.5" customHeight="1" x14ac:dyDescent="0.2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  <c r="Y748" s="171"/>
      <c r="Z748" s="171"/>
      <c r="AA748" s="171"/>
      <c r="AB748" s="171"/>
      <c r="AC748" s="171"/>
      <c r="AD748" s="171"/>
      <c r="AE748" s="171"/>
      <c r="AF748" s="171"/>
      <c r="AG748" s="171"/>
      <c r="AH748" s="171"/>
      <c r="AI748" s="171"/>
      <c r="AJ748" s="171"/>
      <c r="AK748" s="171"/>
      <c r="AL748" s="171"/>
      <c r="AM748" s="171"/>
    </row>
    <row r="749" spans="1:39" ht="13.5" customHeight="1" x14ac:dyDescent="0.2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  <c r="Y749" s="171"/>
      <c r="Z749" s="171"/>
      <c r="AA749" s="171"/>
      <c r="AB749" s="171"/>
      <c r="AC749" s="171"/>
      <c r="AD749" s="171"/>
      <c r="AE749" s="171"/>
      <c r="AF749" s="171"/>
      <c r="AG749" s="171"/>
      <c r="AH749" s="171"/>
      <c r="AI749" s="171"/>
      <c r="AJ749" s="171"/>
      <c r="AK749" s="171"/>
      <c r="AL749" s="171"/>
      <c r="AM749" s="171"/>
    </row>
    <row r="750" spans="1:39" ht="13.5" customHeight="1" x14ac:dyDescent="0.2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  <c r="Y750" s="171"/>
      <c r="Z750" s="171"/>
      <c r="AA750" s="171"/>
      <c r="AB750" s="171"/>
      <c r="AC750" s="171"/>
      <c r="AD750" s="171"/>
      <c r="AE750" s="171"/>
      <c r="AF750" s="171"/>
      <c r="AG750" s="171"/>
      <c r="AH750" s="171"/>
      <c r="AI750" s="171"/>
      <c r="AJ750" s="171"/>
      <c r="AK750" s="171"/>
      <c r="AL750" s="171"/>
      <c r="AM750" s="171"/>
    </row>
    <row r="751" spans="1:39" ht="13.5" customHeight="1" x14ac:dyDescent="0.2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  <c r="Y751" s="171"/>
      <c r="Z751" s="171"/>
      <c r="AA751" s="171"/>
      <c r="AB751" s="171"/>
      <c r="AC751" s="171"/>
      <c r="AD751" s="171"/>
      <c r="AE751" s="171"/>
      <c r="AF751" s="171"/>
      <c r="AG751" s="171"/>
      <c r="AH751" s="171"/>
      <c r="AI751" s="171"/>
      <c r="AJ751" s="171"/>
      <c r="AK751" s="171"/>
      <c r="AL751" s="171"/>
      <c r="AM751" s="171"/>
    </row>
    <row r="752" spans="1:39" ht="13.5" customHeight="1" x14ac:dyDescent="0.2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  <c r="Y752" s="171"/>
      <c r="Z752" s="171"/>
      <c r="AA752" s="171"/>
      <c r="AB752" s="171"/>
      <c r="AC752" s="171"/>
      <c r="AD752" s="171"/>
      <c r="AE752" s="171"/>
      <c r="AF752" s="171"/>
      <c r="AG752" s="171"/>
      <c r="AH752" s="171"/>
      <c r="AI752" s="171"/>
      <c r="AJ752" s="171"/>
      <c r="AK752" s="171"/>
      <c r="AL752" s="171"/>
      <c r="AM752" s="171"/>
    </row>
    <row r="753" spans="1:39" ht="13.5" customHeight="1" x14ac:dyDescent="0.2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  <c r="Y753" s="171"/>
      <c r="Z753" s="171"/>
      <c r="AA753" s="171"/>
      <c r="AB753" s="171"/>
      <c r="AC753" s="171"/>
      <c r="AD753" s="171"/>
      <c r="AE753" s="171"/>
      <c r="AF753" s="171"/>
      <c r="AG753" s="171"/>
      <c r="AH753" s="171"/>
      <c r="AI753" s="171"/>
      <c r="AJ753" s="171"/>
      <c r="AK753" s="171"/>
      <c r="AL753" s="171"/>
      <c r="AM753" s="171"/>
    </row>
    <row r="754" spans="1:39" ht="13.5" customHeight="1" x14ac:dyDescent="0.2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  <c r="Y754" s="171"/>
      <c r="Z754" s="171"/>
      <c r="AA754" s="171"/>
      <c r="AB754" s="171"/>
      <c r="AC754" s="171"/>
      <c r="AD754" s="171"/>
      <c r="AE754" s="171"/>
      <c r="AF754" s="171"/>
      <c r="AG754" s="171"/>
      <c r="AH754" s="171"/>
      <c r="AI754" s="171"/>
      <c r="AJ754" s="171"/>
      <c r="AK754" s="171"/>
      <c r="AL754" s="171"/>
      <c r="AM754" s="171"/>
    </row>
    <row r="755" spans="1:39" ht="13.5" customHeight="1" x14ac:dyDescent="0.2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  <c r="Y755" s="171"/>
      <c r="Z755" s="171"/>
      <c r="AA755" s="171"/>
      <c r="AB755" s="171"/>
      <c r="AC755" s="171"/>
      <c r="AD755" s="171"/>
      <c r="AE755" s="171"/>
      <c r="AF755" s="171"/>
      <c r="AG755" s="171"/>
      <c r="AH755" s="171"/>
      <c r="AI755" s="171"/>
      <c r="AJ755" s="171"/>
      <c r="AK755" s="171"/>
      <c r="AL755" s="171"/>
      <c r="AM755" s="171"/>
    </row>
    <row r="756" spans="1:39" ht="13.5" customHeight="1" x14ac:dyDescent="0.2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  <c r="Y756" s="171"/>
      <c r="Z756" s="171"/>
      <c r="AA756" s="171"/>
      <c r="AB756" s="171"/>
      <c r="AC756" s="171"/>
      <c r="AD756" s="171"/>
      <c r="AE756" s="171"/>
      <c r="AF756" s="171"/>
      <c r="AG756" s="171"/>
      <c r="AH756" s="171"/>
      <c r="AI756" s="171"/>
      <c r="AJ756" s="171"/>
      <c r="AK756" s="171"/>
      <c r="AL756" s="171"/>
      <c r="AM756" s="171"/>
    </row>
    <row r="757" spans="1:39" ht="13.5" customHeight="1" x14ac:dyDescent="0.2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  <c r="Y757" s="171"/>
      <c r="Z757" s="171"/>
      <c r="AA757" s="171"/>
      <c r="AB757" s="171"/>
      <c r="AC757" s="171"/>
      <c r="AD757" s="171"/>
      <c r="AE757" s="171"/>
      <c r="AF757" s="171"/>
      <c r="AG757" s="171"/>
      <c r="AH757" s="171"/>
      <c r="AI757" s="171"/>
      <c r="AJ757" s="171"/>
      <c r="AK757" s="171"/>
      <c r="AL757" s="171"/>
      <c r="AM757" s="171"/>
    </row>
    <row r="758" spans="1:39" ht="13.5" customHeight="1" x14ac:dyDescent="0.2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  <c r="Y758" s="171"/>
      <c r="Z758" s="171"/>
      <c r="AA758" s="171"/>
      <c r="AB758" s="171"/>
      <c r="AC758" s="171"/>
      <c r="AD758" s="171"/>
      <c r="AE758" s="171"/>
      <c r="AF758" s="171"/>
      <c r="AG758" s="171"/>
      <c r="AH758" s="171"/>
      <c r="AI758" s="171"/>
      <c r="AJ758" s="171"/>
      <c r="AK758" s="171"/>
      <c r="AL758" s="171"/>
      <c r="AM758" s="171"/>
    </row>
    <row r="759" spans="1:39" ht="13.5" customHeight="1" x14ac:dyDescent="0.2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  <c r="Y759" s="171"/>
      <c r="Z759" s="171"/>
      <c r="AA759" s="171"/>
      <c r="AB759" s="171"/>
      <c r="AC759" s="171"/>
      <c r="AD759" s="171"/>
      <c r="AE759" s="171"/>
      <c r="AF759" s="171"/>
      <c r="AG759" s="171"/>
      <c r="AH759" s="171"/>
      <c r="AI759" s="171"/>
      <c r="AJ759" s="171"/>
      <c r="AK759" s="171"/>
      <c r="AL759" s="171"/>
      <c r="AM759" s="171"/>
    </row>
    <row r="760" spans="1:39" ht="13.5" customHeight="1" x14ac:dyDescent="0.2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  <c r="Y760" s="171"/>
      <c r="Z760" s="171"/>
      <c r="AA760" s="171"/>
      <c r="AB760" s="171"/>
      <c r="AC760" s="171"/>
      <c r="AD760" s="171"/>
      <c r="AE760" s="171"/>
      <c r="AF760" s="171"/>
      <c r="AG760" s="171"/>
      <c r="AH760" s="171"/>
      <c r="AI760" s="171"/>
      <c r="AJ760" s="171"/>
      <c r="AK760" s="171"/>
      <c r="AL760" s="171"/>
      <c r="AM760" s="171"/>
    </row>
    <row r="761" spans="1:39" ht="13.5" customHeight="1" x14ac:dyDescent="0.2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  <c r="Y761" s="171"/>
      <c r="Z761" s="171"/>
      <c r="AA761" s="171"/>
      <c r="AB761" s="171"/>
      <c r="AC761" s="171"/>
      <c r="AD761" s="171"/>
      <c r="AE761" s="171"/>
      <c r="AF761" s="171"/>
      <c r="AG761" s="171"/>
      <c r="AH761" s="171"/>
      <c r="AI761" s="171"/>
      <c r="AJ761" s="171"/>
      <c r="AK761" s="171"/>
      <c r="AL761" s="171"/>
      <c r="AM761" s="171"/>
    </row>
    <row r="762" spans="1:39" ht="13.5" customHeight="1" x14ac:dyDescent="0.2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  <c r="Y762" s="171"/>
      <c r="Z762" s="171"/>
      <c r="AA762" s="171"/>
      <c r="AB762" s="171"/>
      <c r="AC762" s="171"/>
      <c r="AD762" s="171"/>
      <c r="AE762" s="171"/>
      <c r="AF762" s="171"/>
      <c r="AG762" s="171"/>
      <c r="AH762" s="171"/>
      <c r="AI762" s="171"/>
      <c r="AJ762" s="171"/>
      <c r="AK762" s="171"/>
      <c r="AL762" s="171"/>
      <c r="AM762" s="171"/>
    </row>
    <row r="763" spans="1:39" ht="13.5" customHeight="1" x14ac:dyDescent="0.2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  <c r="Y763" s="171"/>
      <c r="Z763" s="171"/>
      <c r="AA763" s="171"/>
      <c r="AB763" s="171"/>
      <c r="AC763" s="171"/>
      <c r="AD763" s="171"/>
      <c r="AE763" s="171"/>
      <c r="AF763" s="171"/>
      <c r="AG763" s="171"/>
      <c r="AH763" s="171"/>
      <c r="AI763" s="171"/>
      <c r="AJ763" s="171"/>
      <c r="AK763" s="171"/>
      <c r="AL763" s="171"/>
      <c r="AM763" s="171"/>
    </row>
    <row r="764" spans="1:39" ht="13.5" customHeight="1" x14ac:dyDescent="0.2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  <c r="Y764" s="171"/>
      <c r="Z764" s="171"/>
      <c r="AA764" s="171"/>
      <c r="AB764" s="171"/>
      <c r="AC764" s="171"/>
      <c r="AD764" s="171"/>
      <c r="AE764" s="171"/>
      <c r="AF764" s="171"/>
      <c r="AG764" s="171"/>
      <c r="AH764" s="171"/>
      <c r="AI764" s="171"/>
      <c r="AJ764" s="171"/>
      <c r="AK764" s="171"/>
      <c r="AL764" s="171"/>
      <c r="AM764" s="171"/>
    </row>
    <row r="765" spans="1:39" ht="13.5" customHeight="1" x14ac:dyDescent="0.2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  <c r="Y765" s="171"/>
      <c r="Z765" s="171"/>
      <c r="AA765" s="171"/>
      <c r="AB765" s="171"/>
      <c r="AC765" s="171"/>
      <c r="AD765" s="171"/>
      <c r="AE765" s="171"/>
      <c r="AF765" s="171"/>
      <c r="AG765" s="171"/>
      <c r="AH765" s="171"/>
      <c r="AI765" s="171"/>
      <c r="AJ765" s="171"/>
      <c r="AK765" s="171"/>
      <c r="AL765" s="171"/>
      <c r="AM765" s="171"/>
    </row>
    <row r="766" spans="1:39" ht="13.5" customHeight="1" x14ac:dyDescent="0.2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  <c r="Y766" s="171"/>
      <c r="Z766" s="171"/>
      <c r="AA766" s="171"/>
      <c r="AB766" s="171"/>
      <c r="AC766" s="171"/>
      <c r="AD766" s="171"/>
      <c r="AE766" s="171"/>
      <c r="AF766" s="171"/>
      <c r="AG766" s="171"/>
      <c r="AH766" s="171"/>
      <c r="AI766" s="171"/>
      <c r="AJ766" s="171"/>
      <c r="AK766" s="171"/>
      <c r="AL766" s="171"/>
      <c r="AM766" s="171"/>
    </row>
    <row r="767" spans="1:39" ht="13.5" customHeight="1" x14ac:dyDescent="0.2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  <c r="Y767" s="171"/>
      <c r="Z767" s="171"/>
      <c r="AA767" s="171"/>
      <c r="AB767" s="171"/>
      <c r="AC767" s="171"/>
      <c r="AD767" s="171"/>
      <c r="AE767" s="171"/>
      <c r="AF767" s="171"/>
      <c r="AG767" s="171"/>
      <c r="AH767" s="171"/>
      <c r="AI767" s="171"/>
      <c r="AJ767" s="171"/>
      <c r="AK767" s="171"/>
      <c r="AL767" s="171"/>
      <c r="AM767" s="171"/>
    </row>
    <row r="768" spans="1:39" ht="13.5" customHeight="1" x14ac:dyDescent="0.2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  <c r="Y768" s="171"/>
      <c r="Z768" s="171"/>
      <c r="AA768" s="171"/>
      <c r="AB768" s="171"/>
      <c r="AC768" s="171"/>
      <c r="AD768" s="171"/>
      <c r="AE768" s="171"/>
      <c r="AF768" s="171"/>
      <c r="AG768" s="171"/>
      <c r="AH768" s="171"/>
      <c r="AI768" s="171"/>
      <c r="AJ768" s="171"/>
      <c r="AK768" s="171"/>
      <c r="AL768" s="171"/>
      <c r="AM768" s="171"/>
    </row>
    <row r="769" spans="1:39" ht="13.5" customHeight="1" x14ac:dyDescent="0.2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  <c r="Y769" s="171"/>
      <c r="Z769" s="171"/>
      <c r="AA769" s="171"/>
      <c r="AB769" s="171"/>
      <c r="AC769" s="171"/>
      <c r="AD769" s="171"/>
      <c r="AE769" s="171"/>
      <c r="AF769" s="171"/>
      <c r="AG769" s="171"/>
      <c r="AH769" s="171"/>
      <c r="AI769" s="171"/>
      <c r="AJ769" s="171"/>
      <c r="AK769" s="171"/>
      <c r="AL769" s="171"/>
      <c r="AM769" s="171"/>
    </row>
    <row r="770" spans="1:39" ht="13.5" customHeight="1" x14ac:dyDescent="0.2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1"/>
      <c r="AI770" s="171"/>
      <c r="AJ770" s="171"/>
      <c r="AK770" s="171"/>
      <c r="AL770" s="171"/>
      <c r="AM770" s="171"/>
    </row>
    <row r="771" spans="1:39" ht="13.5" customHeight="1" x14ac:dyDescent="0.2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  <c r="Y771" s="171"/>
      <c r="Z771" s="171"/>
      <c r="AA771" s="171"/>
      <c r="AB771" s="171"/>
      <c r="AC771" s="171"/>
      <c r="AD771" s="171"/>
      <c r="AE771" s="171"/>
      <c r="AF771" s="171"/>
      <c r="AG771" s="171"/>
      <c r="AH771" s="171"/>
      <c r="AI771" s="171"/>
      <c r="AJ771" s="171"/>
      <c r="AK771" s="171"/>
      <c r="AL771" s="171"/>
      <c r="AM771" s="171"/>
    </row>
    <row r="772" spans="1:39" ht="13.5" customHeight="1" x14ac:dyDescent="0.2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  <c r="Y772" s="171"/>
      <c r="Z772" s="171"/>
      <c r="AA772" s="171"/>
      <c r="AB772" s="171"/>
      <c r="AC772" s="171"/>
      <c r="AD772" s="171"/>
      <c r="AE772" s="171"/>
      <c r="AF772" s="171"/>
      <c r="AG772" s="171"/>
      <c r="AH772" s="171"/>
      <c r="AI772" s="171"/>
      <c r="AJ772" s="171"/>
      <c r="AK772" s="171"/>
      <c r="AL772" s="171"/>
      <c r="AM772" s="171"/>
    </row>
    <row r="773" spans="1:39" ht="13.5" customHeight="1" x14ac:dyDescent="0.2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  <c r="Y773" s="171"/>
      <c r="Z773" s="171"/>
      <c r="AA773" s="171"/>
      <c r="AB773" s="171"/>
      <c r="AC773" s="171"/>
      <c r="AD773" s="171"/>
      <c r="AE773" s="171"/>
      <c r="AF773" s="171"/>
      <c r="AG773" s="171"/>
      <c r="AH773" s="171"/>
      <c r="AI773" s="171"/>
      <c r="AJ773" s="171"/>
      <c r="AK773" s="171"/>
      <c r="AL773" s="171"/>
      <c r="AM773" s="171"/>
    </row>
    <row r="774" spans="1:39" ht="13.5" customHeight="1" x14ac:dyDescent="0.2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  <c r="Y774" s="171"/>
      <c r="Z774" s="171"/>
      <c r="AA774" s="171"/>
      <c r="AB774" s="171"/>
      <c r="AC774" s="171"/>
      <c r="AD774" s="171"/>
      <c r="AE774" s="171"/>
      <c r="AF774" s="171"/>
      <c r="AG774" s="171"/>
      <c r="AH774" s="171"/>
      <c r="AI774" s="171"/>
      <c r="AJ774" s="171"/>
      <c r="AK774" s="171"/>
      <c r="AL774" s="171"/>
      <c r="AM774" s="171"/>
    </row>
    <row r="775" spans="1:39" ht="13.5" customHeight="1" x14ac:dyDescent="0.2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  <c r="Y775" s="171"/>
      <c r="Z775" s="171"/>
      <c r="AA775" s="171"/>
      <c r="AB775" s="171"/>
      <c r="AC775" s="171"/>
      <c r="AD775" s="171"/>
      <c r="AE775" s="171"/>
      <c r="AF775" s="171"/>
      <c r="AG775" s="171"/>
      <c r="AH775" s="171"/>
      <c r="AI775" s="171"/>
      <c r="AJ775" s="171"/>
      <c r="AK775" s="171"/>
      <c r="AL775" s="171"/>
      <c r="AM775" s="171"/>
    </row>
    <row r="776" spans="1:39" ht="13.5" customHeight="1" x14ac:dyDescent="0.2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  <c r="Y776" s="171"/>
      <c r="Z776" s="171"/>
      <c r="AA776" s="171"/>
      <c r="AB776" s="171"/>
      <c r="AC776" s="171"/>
      <c r="AD776" s="171"/>
      <c r="AE776" s="171"/>
      <c r="AF776" s="171"/>
      <c r="AG776" s="171"/>
      <c r="AH776" s="171"/>
      <c r="AI776" s="171"/>
      <c r="AJ776" s="171"/>
      <c r="AK776" s="171"/>
      <c r="AL776" s="171"/>
      <c r="AM776" s="171"/>
    </row>
    <row r="777" spans="1:39" ht="13.5" customHeight="1" x14ac:dyDescent="0.2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  <c r="Y777" s="171"/>
      <c r="Z777" s="171"/>
      <c r="AA777" s="171"/>
      <c r="AB777" s="171"/>
      <c r="AC777" s="171"/>
      <c r="AD777" s="171"/>
      <c r="AE777" s="171"/>
      <c r="AF777" s="171"/>
      <c r="AG777" s="171"/>
      <c r="AH777" s="171"/>
      <c r="AI777" s="171"/>
      <c r="AJ777" s="171"/>
      <c r="AK777" s="171"/>
      <c r="AL777" s="171"/>
      <c r="AM777" s="171"/>
    </row>
    <row r="778" spans="1:39" ht="13.5" customHeight="1" x14ac:dyDescent="0.2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  <c r="Y778" s="171"/>
      <c r="Z778" s="171"/>
      <c r="AA778" s="171"/>
      <c r="AB778" s="171"/>
      <c r="AC778" s="171"/>
      <c r="AD778" s="171"/>
      <c r="AE778" s="171"/>
      <c r="AF778" s="171"/>
      <c r="AG778" s="171"/>
      <c r="AH778" s="171"/>
      <c r="AI778" s="171"/>
      <c r="AJ778" s="171"/>
      <c r="AK778" s="171"/>
      <c r="AL778" s="171"/>
      <c r="AM778" s="171"/>
    </row>
    <row r="779" spans="1:39" ht="13.5" customHeight="1" x14ac:dyDescent="0.2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  <c r="Y779" s="171"/>
      <c r="Z779" s="171"/>
      <c r="AA779" s="171"/>
      <c r="AB779" s="171"/>
      <c r="AC779" s="171"/>
      <c r="AD779" s="171"/>
      <c r="AE779" s="171"/>
      <c r="AF779" s="171"/>
      <c r="AG779" s="171"/>
      <c r="AH779" s="171"/>
      <c r="AI779" s="171"/>
      <c r="AJ779" s="171"/>
      <c r="AK779" s="171"/>
      <c r="AL779" s="171"/>
      <c r="AM779" s="171"/>
    </row>
    <row r="780" spans="1:39" ht="13.5" customHeight="1" x14ac:dyDescent="0.2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  <c r="Y780" s="171"/>
      <c r="Z780" s="171"/>
      <c r="AA780" s="171"/>
      <c r="AB780" s="171"/>
      <c r="AC780" s="171"/>
      <c r="AD780" s="171"/>
      <c r="AE780" s="171"/>
      <c r="AF780" s="171"/>
      <c r="AG780" s="171"/>
      <c r="AH780" s="171"/>
      <c r="AI780" s="171"/>
      <c r="AJ780" s="171"/>
      <c r="AK780" s="171"/>
      <c r="AL780" s="171"/>
      <c r="AM780" s="171"/>
    </row>
    <row r="781" spans="1:39" ht="13.5" customHeight="1" x14ac:dyDescent="0.2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  <c r="Y781" s="171"/>
      <c r="Z781" s="171"/>
      <c r="AA781" s="171"/>
      <c r="AB781" s="171"/>
      <c r="AC781" s="171"/>
      <c r="AD781" s="171"/>
      <c r="AE781" s="171"/>
      <c r="AF781" s="171"/>
      <c r="AG781" s="171"/>
      <c r="AH781" s="171"/>
      <c r="AI781" s="171"/>
      <c r="AJ781" s="171"/>
      <c r="AK781" s="171"/>
      <c r="AL781" s="171"/>
      <c r="AM781" s="171"/>
    </row>
    <row r="782" spans="1:39" ht="13.5" customHeight="1" x14ac:dyDescent="0.2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  <c r="Y782" s="171"/>
      <c r="Z782" s="171"/>
      <c r="AA782" s="171"/>
      <c r="AB782" s="171"/>
      <c r="AC782" s="171"/>
      <c r="AD782" s="171"/>
      <c r="AE782" s="171"/>
      <c r="AF782" s="171"/>
      <c r="AG782" s="171"/>
      <c r="AH782" s="171"/>
      <c r="AI782" s="171"/>
      <c r="AJ782" s="171"/>
      <c r="AK782" s="171"/>
      <c r="AL782" s="171"/>
      <c r="AM782" s="171"/>
    </row>
    <row r="783" spans="1:39" ht="13.5" customHeight="1" x14ac:dyDescent="0.2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  <c r="Y783" s="171"/>
      <c r="Z783" s="171"/>
      <c r="AA783" s="171"/>
      <c r="AB783" s="171"/>
      <c r="AC783" s="171"/>
      <c r="AD783" s="171"/>
      <c r="AE783" s="171"/>
      <c r="AF783" s="171"/>
      <c r="AG783" s="171"/>
      <c r="AH783" s="171"/>
      <c r="AI783" s="171"/>
      <c r="AJ783" s="171"/>
      <c r="AK783" s="171"/>
      <c r="AL783" s="171"/>
      <c r="AM783" s="171"/>
    </row>
    <row r="784" spans="1:39" ht="13.5" customHeight="1" x14ac:dyDescent="0.2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  <c r="Y784" s="171"/>
      <c r="Z784" s="171"/>
      <c r="AA784" s="171"/>
      <c r="AB784" s="171"/>
      <c r="AC784" s="171"/>
      <c r="AD784" s="171"/>
      <c r="AE784" s="171"/>
      <c r="AF784" s="171"/>
      <c r="AG784" s="171"/>
      <c r="AH784" s="171"/>
      <c r="AI784" s="171"/>
      <c r="AJ784" s="171"/>
      <c r="AK784" s="171"/>
      <c r="AL784" s="171"/>
      <c r="AM784" s="171"/>
    </row>
    <row r="785" spans="1:39" ht="13.5" customHeight="1" x14ac:dyDescent="0.2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  <c r="Y785" s="171"/>
      <c r="Z785" s="171"/>
      <c r="AA785" s="171"/>
      <c r="AB785" s="171"/>
      <c r="AC785" s="171"/>
      <c r="AD785" s="171"/>
      <c r="AE785" s="171"/>
      <c r="AF785" s="171"/>
      <c r="AG785" s="171"/>
      <c r="AH785" s="171"/>
      <c r="AI785" s="171"/>
      <c r="AJ785" s="171"/>
      <c r="AK785" s="171"/>
      <c r="AL785" s="171"/>
      <c r="AM785" s="171"/>
    </row>
    <row r="786" spans="1:39" ht="13.5" customHeight="1" x14ac:dyDescent="0.2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  <c r="Y786" s="171"/>
      <c r="Z786" s="171"/>
      <c r="AA786" s="171"/>
      <c r="AB786" s="171"/>
      <c r="AC786" s="171"/>
      <c r="AD786" s="171"/>
      <c r="AE786" s="171"/>
      <c r="AF786" s="171"/>
      <c r="AG786" s="171"/>
      <c r="AH786" s="171"/>
      <c r="AI786" s="171"/>
      <c r="AJ786" s="171"/>
      <c r="AK786" s="171"/>
      <c r="AL786" s="171"/>
      <c r="AM786" s="171"/>
    </row>
    <row r="787" spans="1:39" ht="13.5" customHeight="1" x14ac:dyDescent="0.2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  <c r="Y787" s="171"/>
      <c r="Z787" s="171"/>
      <c r="AA787" s="171"/>
      <c r="AB787" s="171"/>
      <c r="AC787" s="171"/>
      <c r="AD787" s="171"/>
      <c r="AE787" s="171"/>
      <c r="AF787" s="171"/>
      <c r="AG787" s="171"/>
      <c r="AH787" s="171"/>
      <c r="AI787" s="171"/>
      <c r="AJ787" s="171"/>
      <c r="AK787" s="171"/>
      <c r="AL787" s="171"/>
      <c r="AM787" s="171"/>
    </row>
    <row r="788" spans="1:39" ht="13.5" customHeight="1" x14ac:dyDescent="0.2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  <c r="Y788" s="171"/>
      <c r="Z788" s="171"/>
      <c r="AA788" s="171"/>
      <c r="AB788" s="171"/>
      <c r="AC788" s="171"/>
      <c r="AD788" s="171"/>
      <c r="AE788" s="171"/>
      <c r="AF788" s="171"/>
      <c r="AG788" s="171"/>
      <c r="AH788" s="171"/>
      <c r="AI788" s="171"/>
      <c r="AJ788" s="171"/>
      <c r="AK788" s="171"/>
      <c r="AL788" s="171"/>
      <c r="AM788" s="171"/>
    </row>
    <row r="789" spans="1:39" ht="13.5" customHeight="1" x14ac:dyDescent="0.2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  <c r="Y789" s="171"/>
      <c r="Z789" s="171"/>
      <c r="AA789" s="171"/>
      <c r="AB789" s="171"/>
      <c r="AC789" s="171"/>
      <c r="AD789" s="171"/>
      <c r="AE789" s="171"/>
      <c r="AF789" s="171"/>
      <c r="AG789" s="171"/>
      <c r="AH789" s="171"/>
      <c r="AI789" s="171"/>
      <c r="AJ789" s="171"/>
      <c r="AK789" s="171"/>
      <c r="AL789" s="171"/>
      <c r="AM789" s="171"/>
    </row>
    <row r="790" spans="1:39" ht="13.5" customHeight="1" x14ac:dyDescent="0.2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  <c r="Y790" s="171"/>
      <c r="Z790" s="171"/>
      <c r="AA790" s="171"/>
      <c r="AB790" s="171"/>
      <c r="AC790" s="171"/>
      <c r="AD790" s="171"/>
      <c r="AE790" s="171"/>
      <c r="AF790" s="171"/>
      <c r="AG790" s="171"/>
      <c r="AH790" s="171"/>
      <c r="AI790" s="171"/>
      <c r="AJ790" s="171"/>
      <c r="AK790" s="171"/>
      <c r="AL790" s="171"/>
      <c r="AM790" s="171"/>
    </row>
    <row r="791" spans="1:39" ht="13.5" customHeight="1" x14ac:dyDescent="0.2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  <c r="Y791" s="171"/>
      <c r="Z791" s="171"/>
      <c r="AA791" s="171"/>
      <c r="AB791" s="171"/>
      <c r="AC791" s="171"/>
      <c r="AD791" s="171"/>
      <c r="AE791" s="171"/>
      <c r="AF791" s="171"/>
      <c r="AG791" s="171"/>
      <c r="AH791" s="171"/>
      <c r="AI791" s="171"/>
      <c r="AJ791" s="171"/>
      <c r="AK791" s="171"/>
      <c r="AL791" s="171"/>
      <c r="AM791" s="171"/>
    </row>
    <row r="792" spans="1:39" ht="13.5" customHeight="1" x14ac:dyDescent="0.2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  <c r="Y792" s="171"/>
      <c r="Z792" s="171"/>
      <c r="AA792" s="171"/>
      <c r="AB792" s="171"/>
      <c r="AC792" s="171"/>
      <c r="AD792" s="171"/>
      <c r="AE792" s="171"/>
      <c r="AF792" s="171"/>
      <c r="AG792" s="171"/>
      <c r="AH792" s="171"/>
      <c r="AI792" s="171"/>
      <c r="AJ792" s="171"/>
      <c r="AK792" s="171"/>
      <c r="AL792" s="171"/>
      <c r="AM792" s="171"/>
    </row>
    <row r="793" spans="1:39" ht="13.5" customHeight="1" x14ac:dyDescent="0.2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  <c r="Y793" s="171"/>
      <c r="Z793" s="171"/>
      <c r="AA793" s="171"/>
      <c r="AB793" s="171"/>
      <c r="AC793" s="171"/>
      <c r="AD793" s="171"/>
      <c r="AE793" s="171"/>
      <c r="AF793" s="171"/>
      <c r="AG793" s="171"/>
      <c r="AH793" s="171"/>
      <c r="AI793" s="171"/>
      <c r="AJ793" s="171"/>
      <c r="AK793" s="171"/>
      <c r="AL793" s="171"/>
      <c r="AM793" s="171"/>
    </row>
    <row r="794" spans="1:39" ht="13.5" customHeight="1" x14ac:dyDescent="0.2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  <c r="Y794" s="171"/>
      <c r="Z794" s="171"/>
      <c r="AA794" s="171"/>
      <c r="AB794" s="171"/>
      <c r="AC794" s="171"/>
      <c r="AD794" s="171"/>
      <c r="AE794" s="171"/>
      <c r="AF794" s="171"/>
      <c r="AG794" s="171"/>
      <c r="AH794" s="171"/>
      <c r="AI794" s="171"/>
      <c r="AJ794" s="171"/>
      <c r="AK794" s="171"/>
      <c r="AL794" s="171"/>
      <c r="AM794" s="171"/>
    </row>
    <row r="795" spans="1:39" ht="13.5" customHeight="1" x14ac:dyDescent="0.2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  <c r="Y795" s="171"/>
      <c r="Z795" s="171"/>
      <c r="AA795" s="171"/>
      <c r="AB795" s="171"/>
      <c r="AC795" s="171"/>
      <c r="AD795" s="171"/>
      <c r="AE795" s="171"/>
      <c r="AF795" s="171"/>
      <c r="AG795" s="171"/>
      <c r="AH795" s="171"/>
      <c r="AI795" s="171"/>
      <c r="AJ795" s="171"/>
      <c r="AK795" s="171"/>
      <c r="AL795" s="171"/>
      <c r="AM795" s="171"/>
    </row>
    <row r="796" spans="1:39" ht="13.5" customHeight="1" x14ac:dyDescent="0.2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  <c r="Y796" s="171"/>
      <c r="Z796" s="171"/>
      <c r="AA796" s="171"/>
      <c r="AB796" s="171"/>
      <c r="AC796" s="171"/>
      <c r="AD796" s="171"/>
      <c r="AE796" s="171"/>
      <c r="AF796" s="171"/>
      <c r="AG796" s="171"/>
      <c r="AH796" s="171"/>
      <c r="AI796" s="171"/>
      <c r="AJ796" s="171"/>
      <c r="AK796" s="171"/>
      <c r="AL796" s="171"/>
      <c r="AM796" s="171"/>
    </row>
    <row r="797" spans="1:39" ht="13.5" customHeight="1" x14ac:dyDescent="0.2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  <c r="Y797" s="171"/>
      <c r="Z797" s="171"/>
      <c r="AA797" s="171"/>
      <c r="AB797" s="171"/>
      <c r="AC797" s="171"/>
      <c r="AD797" s="171"/>
      <c r="AE797" s="171"/>
      <c r="AF797" s="171"/>
      <c r="AG797" s="171"/>
      <c r="AH797" s="171"/>
      <c r="AI797" s="171"/>
      <c r="AJ797" s="171"/>
      <c r="AK797" s="171"/>
      <c r="AL797" s="171"/>
      <c r="AM797" s="171"/>
    </row>
    <row r="798" spans="1:39" ht="13.5" customHeight="1" x14ac:dyDescent="0.2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  <c r="Y798" s="171"/>
      <c r="Z798" s="171"/>
      <c r="AA798" s="171"/>
      <c r="AB798" s="171"/>
      <c r="AC798" s="171"/>
      <c r="AD798" s="171"/>
      <c r="AE798" s="171"/>
      <c r="AF798" s="171"/>
      <c r="AG798" s="171"/>
      <c r="AH798" s="171"/>
      <c r="AI798" s="171"/>
      <c r="AJ798" s="171"/>
      <c r="AK798" s="171"/>
      <c r="AL798" s="171"/>
      <c r="AM798" s="171"/>
    </row>
    <row r="799" spans="1:39" ht="13.5" customHeight="1" x14ac:dyDescent="0.2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  <c r="Y799" s="171"/>
      <c r="Z799" s="171"/>
      <c r="AA799" s="171"/>
      <c r="AB799" s="171"/>
      <c r="AC799" s="171"/>
      <c r="AD799" s="171"/>
      <c r="AE799" s="171"/>
      <c r="AF799" s="171"/>
      <c r="AG799" s="171"/>
      <c r="AH799" s="171"/>
      <c r="AI799" s="171"/>
      <c r="AJ799" s="171"/>
      <c r="AK799" s="171"/>
      <c r="AL799" s="171"/>
      <c r="AM799" s="171"/>
    </row>
    <row r="800" spans="1:39" ht="13.5" customHeight="1" x14ac:dyDescent="0.2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  <c r="Y800" s="171"/>
      <c r="Z800" s="171"/>
      <c r="AA800" s="171"/>
      <c r="AB800" s="171"/>
      <c r="AC800" s="171"/>
      <c r="AD800" s="171"/>
      <c r="AE800" s="171"/>
      <c r="AF800" s="171"/>
      <c r="AG800" s="171"/>
      <c r="AH800" s="171"/>
      <c r="AI800" s="171"/>
      <c r="AJ800" s="171"/>
      <c r="AK800" s="171"/>
      <c r="AL800" s="171"/>
      <c r="AM800" s="171"/>
    </row>
    <row r="801" spans="1:39" ht="13.5" customHeight="1" x14ac:dyDescent="0.2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  <c r="Y801" s="171"/>
      <c r="Z801" s="171"/>
      <c r="AA801" s="171"/>
      <c r="AB801" s="171"/>
      <c r="AC801" s="171"/>
      <c r="AD801" s="171"/>
      <c r="AE801" s="171"/>
      <c r="AF801" s="171"/>
      <c r="AG801" s="171"/>
      <c r="AH801" s="171"/>
      <c r="AI801" s="171"/>
      <c r="AJ801" s="171"/>
      <c r="AK801" s="171"/>
      <c r="AL801" s="171"/>
      <c r="AM801" s="171"/>
    </row>
    <row r="802" spans="1:39" ht="13.5" customHeight="1" x14ac:dyDescent="0.2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  <c r="Y802" s="171"/>
      <c r="Z802" s="171"/>
      <c r="AA802" s="171"/>
      <c r="AB802" s="171"/>
      <c r="AC802" s="171"/>
      <c r="AD802" s="171"/>
      <c r="AE802" s="171"/>
      <c r="AF802" s="171"/>
      <c r="AG802" s="171"/>
      <c r="AH802" s="171"/>
      <c r="AI802" s="171"/>
      <c r="AJ802" s="171"/>
      <c r="AK802" s="171"/>
      <c r="AL802" s="171"/>
      <c r="AM802" s="171"/>
    </row>
    <row r="803" spans="1:39" ht="13.5" customHeight="1" x14ac:dyDescent="0.2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  <c r="Y803" s="171"/>
      <c r="Z803" s="171"/>
      <c r="AA803" s="171"/>
      <c r="AB803" s="171"/>
      <c r="AC803" s="171"/>
      <c r="AD803" s="171"/>
      <c r="AE803" s="171"/>
      <c r="AF803" s="171"/>
      <c r="AG803" s="171"/>
      <c r="AH803" s="171"/>
      <c r="AI803" s="171"/>
      <c r="AJ803" s="171"/>
      <c r="AK803" s="171"/>
      <c r="AL803" s="171"/>
      <c r="AM803" s="171"/>
    </row>
    <row r="804" spans="1:39" ht="13.5" customHeight="1" x14ac:dyDescent="0.2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  <c r="Y804" s="171"/>
      <c r="Z804" s="171"/>
      <c r="AA804" s="171"/>
      <c r="AB804" s="171"/>
      <c r="AC804" s="171"/>
      <c r="AD804" s="171"/>
      <c r="AE804" s="171"/>
      <c r="AF804" s="171"/>
      <c r="AG804" s="171"/>
      <c r="AH804" s="171"/>
      <c r="AI804" s="171"/>
      <c r="AJ804" s="171"/>
      <c r="AK804" s="171"/>
      <c r="AL804" s="171"/>
      <c r="AM804" s="171"/>
    </row>
    <row r="805" spans="1:39" ht="13.5" customHeight="1" x14ac:dyDescent="0.2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  <c r="Y805" s="171"/>
      <c r="Z805" s="171"/>
      <c r="AA805" s="171"/>
      <c r="AB805" s="171"/>
      <c r="AC805" s="171"/>
      <c r="AD805" s="171"/>
      <c r="AE805" s="171"/>
      <c r="AF805" s="171"/>
      <c r="AG805" s="171"/>
      <c r="AH805" s="171"/>
      <c r="AI805" s="171"/>
      <c r="AJ805" s="171"/>
      <c r="AK805" s="171"/>
      <c r="AL805" s="171"/>
      <c r="AM805" s="171"/>
    </row>
    <row r="806" spans="1:39" ht="13.5" customHeight="1" x14ac:dyDescent="0.2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  <c r="Y806" s="171"/>
      <c r="Z806" s="171"/>
      <c r="AA806" s="171"/>
      <c r="AB806" s="171"/>
      <c r="AC806" s="171"/>
      <c r="AD806" s="171"/>
      <c r="AE806" s="171"/>
      <c r="AF806" s="171"/>
      <c r="AG806" s="171"/>
      <c r="AH806" s="171"/>
      <c r="AI806" s="171"/>
      <c r="AJ806" s="171"/>
      <c r="AK806" s="171"/>
      <c r="AL806" s="171"/>
      <c r="AM806" s="171"/>
    </row>
    <row r="807" spans="1:39" ht="13.5" customHeight="1" x14ac:dyDescent="0.2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  <c r="Y807" s="171"/>
      <c r="Z807" s="171"/>
      <c r="AA807" s="171"/>
      <c r="AB807" s="171"/>
      <c r="AC807" s="171"/>
      <c r="AD807" s="171"/>
      <c r="AE807" s="171"/>
      <c r="AF807" s="171"/>
      <c r="AG807" s="171"/>
      <c r="AH807" s="171"/>
      <c r="AI807" s="171"/>
      <c r="AJ807" s="171"/>
      <c r="AK807" s="171"/>
      <c r="AL807" s="171"/>
      <c r="AM807" s="171"/>
    </row>
    <row r="808" spans="1:39" ht="13.5" customHeight="1" x14ac:dyDescent="0.2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  <c r="Y808" s="171"/>
      <c r="Z808" s="171"/>
      <c r="AA808" s="171"/>
      <c r="AB808" s="171"/>
      <c r="AC808" s="171"/>
      <c r="AD808" s="171"/>
      <c r="AE808" s="171"/>
      <c r="AF808" s="171"/>
      <c r="AG808" s="171"/>
      <c r="AH808" s="171"/>
      <c r="AI808" s="171"/>
      <c r="AJ808" s="171"/>
      <c r="AK808" s="171"/>
      <c r="AL808" s="171"/>
      <c r="AM808" s="171"/>
    </row>
    <row r="809" spans="1:39" ht="13.5" customHeight="1" x14ac:dyDescent="0.2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  <c r="Y809" s="171"/>
      <c r="Z809" s="171"/>
      <c r="AA809" s="171"/>
      <c r="AB809" s="171"/>
      <c r="AC809" s="171"/>
      <c r="AD809" s="171"/>
      <c r="AE809" s="171"/>
      <c r="AF809" s="171"/>
      <c r="AG809" s="171"/>
      <c r="AH809" s="171"/>
      <c r="AI809" s="171"/>
      <c r="AJ809" s="171"/>
      <c r="AK809" s="171"/>
      <c r="AL809" s="171"/>
      <c r="AM809" s="171"/>
    </row>
    <row r="810" spans="1:39" ht="13.5" customHeight="1" x14ac:dyDescent="0.2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  <c r="Y810" s="171"/>
      <c r="Z810" s="171"/>
      <c r="AA810" s="171"/>
      <c r="AB810" s="171"/>
      <c r="AC810" s="171"/>
      <c r="AD810" s="171"/>
      <c r="AE810" s="171"/>
      <c r="AF810" s="171"/>
      <c r="AG810" s="171"/>
      <c r="AH810" s="171"/>
      <c r="AI810" s="171"/>
      <c r="AJ810" s="171"/>
      <c r="AK810" s="171"/>
      <c r="AL810" s="171"/>
      <c r="AM810" s="171"/>
    </row>
    <row r="811" spans="1:39" ht="13.5" customHeight="1" x14ac:dyDescent="0.2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  <c r="Y811" s="171"/>
      <c r="Z811" s="171"/>
      <c r="AA811" s="171"/>
      <c r="AB811" s="171"/>
      <c r="AC811" s="171"/>
      <c r="AD811" s="171"/>
      <c r="AE811" s="171"/>
      <c r="AF811" s="171"/>
      <c r="AG811" s="171"/>
      <c r="AH811" s="171"/>
      <c r="AI811" s="171"/>
      <c r="AJ811" s="171"/>
      <c r="AK811" s="171"/>
      <c r="AL811" s="171"/>
      <c r="AM811" s="171"/>
    </row>
    <row r="812" spans="1:39" ht="13.5" customHeight="1" x14ac:dyDescent="0.2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  <c r="Y812" s="171"/>
      <c r="Z812" s="171"/>
      <c r="AA812" s="171"/>
      <c r="AB812" s="171"/>
      <c r="AC812" s="171"/>
      <c r="AD812" s="171"/>
      <c r="AE812" s="171"/>
      <c r="AF812" s="171"/>
      <c r="AG812" s="171"/>
      <c r="AH812" s="171"/>
      <c r="AI812" s="171"/>
      <c r="AJ812" s="171"/>
      <c r="AK812" s="171"/>
      <c r="AL812" s="171"/>
      <c r="AM812" s="171"/>
    </row>
    <row r="813" spans="1:39" ht="13.5" customHeight="1" x14ac:dyDescent="0.2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  <c r="Y813" s="171"/>
      <c r="Z813" s="171"/>
      <c r="AA813" s="171"/>
      <c r="AB813" s="171"/>
      <c r="AC813" s="171"/>
      <c r="AD813" s="171"/>
      <c r="AE813" s="171"/>
      <c r="AF813" s="171"/>
      <c r="AG813" s="171"/>
      <c r="AH813" s="171"/>
      <c r="AI813" s="171"/>
      <c r="AJ813" s="171"/>
      <c r="AK813" s="171"/>
      <c r="AL813" s="171"/>
      <c r="AM813" s="171"/>
    </row>
    <row r="814" spans="1:39" ht="13.5" customHeight="1" x14ac:dyDescent="0.2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  <c r="Y814" s="171"/>
      <c r="Z814" s="171"/>
      <c r="AA814" s="171"/>
      <c r="AB814" s="171"/>
      <c r="AC814" s="171"/>
      <c r="AD814" s="171"/>
      <c r="AE814" s="171"/>
      <c r="AF814" s="171"/>
      <c r="AG814" s="171"/>
      <c r="AH814" s="171"/>
      <c r="AI814" s="171"/>
      <c r="AJ814" s="171"/>
      <c r="AK814" s="171"/>
      <c r="AL814" s="171"/>
      <c r="AM814" s="171"/>
    </row>
    <row r="815" spans="1:39" ht="13.5" customHeight="1" x14ac:dyDescent="0.2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  <c r="Y815" s="171"/>
      <c r="Z815" s="171"/>
      <c r="AA815" s="171"/>
      <c r="AB815" s="171"/>
      <c r="AC815" s="171"/>
      <c r="AD815" s="171"/>
      <c r="AE815" s="171"/>
      <c r="AF815" s="171"/>
      <c r="AG815" s="171"/>
      <c r="AH815" s="171"/>
      <c r="AI815" s="171"/>
      <c r="AJ815" s="171"/>
      <c r="AK815" s="171"/>
      <c r="AL815" s="171"/>
      <c r="AM815" s="171"/>
    </row>
    <row r="816" spans="1:39" ht="13.5" customHeight="1" x14ac:dyDescent="0.2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  <c r="Y816" s="171"/>
      <c r="Z816" s="171"/>
      <c r="AA816" s="171"/>
      <c r="AB816" s="171"/>
      <c r="AC816" s="171"/>
      <c r="AD816" s="171"/>
      <c r="AE816" s="171"/>
      <c r="AF816" s="171"/>
      <c r="AG816" s="171"/>
      <c r="AH816" s="171"/>
      <c r="AI816" s="171"/>
      <c r="AJ816" s="171"/>
      <c r="AK816" s="171"/>
      <c r="AL816" s="171"/>
      <c r="AM816" s="171"/>
    </row>
    <row r="817" spans="1:39" ht="13.5" customHeight="1" x14ac:dyDescent="0.2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  <c r="Y817" s="171"/>
      <c r="Z817" s="171"/>
      <c r="AA817" s="171"/>
      <c r="AB817" s="171"/>
      <c r="AC817" s="171"/>
      <c r="AD817" s="171"/>
      <c r="AE817" s="171"/>
      <c r="AF817" s="171"/>
      <c r="AG817" s="171"/>
      <c r="AH817" s="171"/>
      <c r="AI817" s="171"/>
      <c r="AJ817" s="171"/>
      <c r="AK817" s="171"/>
      <c r="AL817" s="171"/>
      <c r="AM817" s="171"/>
    </row>
    <row r="818" spans="1:39" ht="13.5" customHeight="1" x14ac:dyDescent="0.2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  <c r="Y818" s="171"/>
      <c r="Z818" s="171"/>
      <c r="AA818" s="171"/>
      <c r="AB818" s="171"/>
      <c r="AC818" s="171"/>
      <c r="AD818" s="171"/>
      <c r="AE818" s="171"/>
      <c r="AF818" s="171"/>
      <c r="AG818" s="171"/>
      <c r="AH818" s="171"/>
      <c r="AI818" s="171"/>
      <c r="AJ818" s="171"/>
      <c r="AK818" s="171"/>
      <c r="AL818" s="171"/>
      <c r="AM818" s="171"/>
    </row>
    <row r="819" spans="1:39" ht="13.5" customHeight="1" x14ac:dyDescent="0.2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  <c r="Y819" s="171"/>
      <c r="Z819" s="171"/>
      <c r="AA819" s="171"/>
      <c r="AB819" s="171"/>
      <c r="AC819" s="171"/>
      <c r="AD819" s="171"/>
      <c r="AE819" s="171"/>
      <c r="AF819" s="171"/>
      <c r="AG819" s="171"/>
      <c r="AH819" s="171"/>
      <c r="AI819" s="171"/>
      <c r="AJ819" s="171"/>
      <c r="AK819" s="171"/>
      <c r="AL819" s="171"/>
      <c r="AM819" s="171"/>
    </row>
    <row r="820" spans="1:39" ht="13.5" customHeight="1" x14ac:dyDescent="0.2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  <c r="Y820" s="171"/>
      <c r="Z820" s="171"/>
      <c r="AA820" s="171"/>
      <c r="AB820" s="171"/>
      <c r="AC820" s="171"/>
      <c r="AD820" s="171"/>
      <c r="AE820" s="171"/>
      <c r="AF820" s="171"/>
      <c r="AG820" s="171"/>
      <c r="AH820" s="171"/>
      <c r="AI820" s="171"/>
      <c r="AJ820" s="171"/>
      <c r="AK820" s="171"/>
      <c r="AL820" s="171"/>
      <c r="AM820" s="171"/>
    </row>
    <row r="821" spans="1:39" ht="13.5" customHeight="1" x14ac:dyDescent="0.2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  <c r="Y821" s="171"/>
      <c r="Z821" s="171"/>
      <c r="AA821" s="171"/>
      <c r="AB821" s="171"/>
      <c r="AC821" s="171"/>
      <c r="AD821" s="171"/>
      <c r="AE821" s="171"/>
      <c r="AF821" s="171"/>
      <c r="AG821" s="171"/>
      <c r="AH821" s="171"/>
      <c r="AI821" s="171"/>
      <c r="AJ821" s="171"/>
      <c r="AK821" s="171"/>
      <c r="AL821" s="171"/>
      <c r="AM821" s="171"/>
    </row>
    <row r="822" spans="1:39" ht="13.5" customHeight="1" x14ac:dyDescent="0.2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  <c r="Y822" s="171"/>
      <c r="Z822" s="171"/>
      <c r="AA822" s="171"/>
      <c r="AB822" s="171"/>
      <c r="AC822" s="171"/>
      <c r="AD822" s="171"/>
      <c r="AE822" s="171"/>
      <c r="AF822" s="171"/>
      <c r="AG822" s="171"/>
      <c r="AH822" s="171"/>
      <c r="AI822" s="171"/>
      <c r="AJ822" s="171"/>
      <c r="AK822" s="171"/>
      <c r="AL822" s="171"/>
      <c r="AM822" s="171"/>
    </row>
    <row r="823" spans="1:39" ht="13.5" customHeight="1" x14ac:dyDescent="0.2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  <c r="Y823" s="171"/>
      <c r="Z823" s="171"/>
      <c r="AA823" s="171"/>
      <c r="AB823" s="171"/>
      <c r="AC823" s="171"/>
      <c r="AD823" s="171"/>
      <c r="AE823" s="171"/>
      <c r="AF823" s="171"/>
      <c r="AG823" s="171"/>
      <c r="AH823" s="171"/>
      <c r="AI823" s="171"/>
      <c r="AJ823" s="171"/>
      <c r="AK823" s="171"/>
      <c r="AL823" s="171"/>
      <c r="AM823" s="171"/>
    </row>
    <row r="824" spans="1:39" ht="13.5" customHeight="1" x14ac:dyDescent="0.2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  <c r="Y824" s="171"/>
      <c r="Z824" s="171"/>
      <c r="AA824" s="171"/>
      <c r="AB824" s="171"/>
      <c r="AC824" s="171"/>
      <c r="AD824" s="171"/>
      <c r="AE824" s="171"/>
      <c r="AF824" s="171"/>
      <c r="AG824" s="171"/>
      <c r="AH824" s="171"/>
      <c r="AI824" s="171"/>
      <c r="AJ824" s="171"/>
      <c r="AK824" s="171"/>
      <c r="AL824" s="171"/>
      <c r="AM824" s="171"/>
    </row>
    <row r="825" spans="1:39" ht="13.5" customHeight="1" x14ac:dyDescent="0.2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  <c r="Y825" s="171"/>
      <c r="Z825" s="171"/>
      <c r="AA825" s="171"/>
      <c r="AB825" s="171"/>
      <c r="AC825" s="171"/>
      <c r="AD825" s="171"/>
      <c r="AE825" s="171"/>
      <c r="AF825" s="171"/>
      <c r="AG825" s="171"/>
      <c r="AH825" s="171"/>
      <c r="AI825" s="171"/>
      <c r="AJ825" s="171"/>
      <c r="AK825" s="171"/>
      <c r="AL825" s="171"/>
      <c r="AM825" s="171"/>
    </row>
    <row r="826" spans="1:39" ht="13.5" customHeight="1" x14ac:dyDescent="0.2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  <c r="Y826" s="171"/>
      <c r="Z826" s="171"/>
      <c r="AA826" s="171"/>
      <c r="AB826" s="171"/>
      <c r="AC826" s="171"/>
      <c r="AD826" s="171"/>
      <c r="AE826" s="171"/>
      <c r="AF826" s="171"/>
      <c r="AG826" s="171"/>
      <c r="AH826" s="171"/>
      <c r="AI826" s="171"/>
      <c r="AJ826" s="171"/>
      <c r="AK826" s="171"/>
      <c r="AL826" s="171"/>
      <c r="AM826" s="171"/>
    </row>
    <row r="827" spans="1:39" ht="13.5" customHeight="1" x14ac:dyDescent="0.2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  <c r="Y827" s="171"/>
      <c r="Z827" s="171"/>
      <c r="AA827" s="171"/>
      <c r="AB827" s="171"/>
      <c r="AC827" s="171"/>
      <c r="AD827" s="171"/>
      <c r="AE827" s="171"/>
      <c r="AF827" s="171"/>
      <c r="AG827" s="171"/>
      <c r="AH827" s="171"/>
      <c r="AI827" s="171"/>
      <c r="AJ827" s="171"/>
      <c r="AK827" s="171"/>
      <c r="AL827" s="171"/>
      <c r="AM827" s="171"/>
    </row>
    <row r="828" spans="1:39" ht="13.5" customHeight="1" x14ac:dyDescent="0.2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  <c r="Y828" s="171"/>
      <c r="Z828" s="171"/>
      <c r="AA828" s="171"/>
      <c r="AB828" s="171"/>
      <c r="AC828" s="171"/>
      <c r="AD828" s="171"/>
      <c r="AE828" s="171"/>
      <c r="AF828" s="171"/>
      <c r="AG828" s="171"/>
      <c r="AH828" s="171"/>
      <c r="AI828" s="171"/>
      <c r="AJ828" s="171"/>
      <c r="AK828" s="171"/>
      <c r="AL828" s="171"/>
      <c r="AM828" s="171"/>
    </row>
    <row r="829" spans="1:39" ht="13.5" customHeight="1" x14ac:dyDescent="0.2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  <c r="Y829" s="171"/>
      <c r="Z829" s="171"/>
      <c r="AA829" s="171"/>
      <c r="AB829" s="171"/>
      <c r="AC829" s="171"/>
      <c r="AD829" s="171"/>
      <c r="AE829" s="171"/>
      <c r="AF829" s="171"/>
      <c r="AG829" s="171"/>
      <c r="AH829" s="171"/>
      <c r="AI829" s="171"/>
      <c r="AJ829" s="171"/>
      <c r="AK829" s="171"/>
      <c r="AL829" s="171"/>
      <c r="AM829" s="171"/>
    </row>
    <row r="830" spans="1:39" ht="13.5" customHeight="1" x14ac:dyDescent="0.2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  <c r="Y830" s="171"/>
      <c r="Z830" s="171"/>
      <c r="AA830" s="171"/>
      <c r="AB830" s="171"/>
      <c r="AC830" s="171"/>
      <c r="AD830" s="171"/>
      <c r="AE830" s="171"/>
      <c r="AF830" s="171"/>
      <c r="AG830" s="171"/>
      <c r="AH830" s="171"/>
      <c r="AI830" s="171"/>
      <c r="AJ830" s="171"/>
      <c r="AK830" s="171"/>
      <c r="AL830" s="171"/>
      <c r="AM830" s="171"/>
    </row>
    <row r="831" spans="1:39" ht="13.5" customHeight="1" x14ac:dyDescent="0.2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  <c r="Y831" s="171"/>
      <c r="Z831" s="171"/>
      <c r="AA831" s="171"/>
      <c r="AB831" s="171"/>
      <c r="AC831" s="171"/>
      <c r="AD831" s="171"/>
      <c r="AE831" s="171"/>
      <c r="AF831" s="171"/>
      <c r="AG831" s="171"/>
      <c r="AH831" s="171"/>
      <c r="AI831" s="171"/>
      <c r="AJ831" s="171"/>
      <c r="AK831" s="171"/>
      <c r="AL831" s="171"/>
      <c r="AM831" s="171"/>
    </row>
    <row r="832" spans="1:39" ht="13.5" customHeight="1" x14ac:dyDescent="0.2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  <c r="Y832" s="171"/>
      <c r="Z832" s="171"/>
      <c r="AA832" s="171"/>
      <c r="AB832" s="171"/>
      <c r="AC832" s="171"/>
      <c r="AD832" s="171"/>
      <c r="AE832" s="171"/>
      <c r="AF832" s="171"/>
      <c r="AG832" s="171"/>
      <c r="AH832" s="171"/>
      <c r="AI832" s="171"/>
      <c r="AJ832" s="171"/>
      <c r="AK832" s="171"/>
      <c r="AL832" s="171"/>
      <c r="AM832" s="171"/>
    </row>
    <row r="833" spans="1:39" ht="13.5" customHeight="1" x14ac:dyDescent="0.2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  <c r="Y833" s="171"/>
      <c r="Z833" s="171"/>
      <c r="AA833" s="171"/>
      <c r="AB833" s="171"/>
      <c r="AC833" s="171"/>
      <c r="AD833" s="171"/>
      <c r="AE833" s="171"/>
      <c r="AF833" s="171"/>
      <c r="AG833" s="171"/>
      <c r="AH833" s="171"/>
      <c r="AI833" s="171"/>
      <c r="AJ833" s="171"/>
      <c r="AK833" s="171"/>
      <c r="AL833" s="171"/>
      <c r="AM833" s="171"/>
    </row>
    <row r="834" spans="1:39" ht="13.5" customHeight="1" x14ac:dyDescent="0.2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  <c r="Y834" s="171"/>
      <c r="Z834" s="171"/>
      <c r="AA834" s="171"/>
      <c r="AB834" s="171"/>
      <c r="AC834" s="171"/>
      <c r="AD834" s="171"/>
      <c r="AE834" s="171"/>
      <c r="AF834" s="171"/>
      <c r="AG834" s="171"/>
      <c r="AH834" s="171"/>
      <c r="AI834" s="171"/>
      <c r="AJ834" s="171"/>
      <c r="AK834" s="171"/>
      <c r="AL834" s="171"/>
      <c r="AM834" s="171"/>
    </row>
    <row r="835" spans="1:39" ht="13.5" customHeight="1" x14ac:dyDescent="0.2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  <c r="Y835" s="171"/>
      <c r="Z835" s="171"/>
      <c r="AA835" s="171"/>
      <c r="AB835" s="171"/>
      <c r="AC835" s="171"/>
      <c r="AD835" s="171"/>
      <c r="AE835" s="171"/>
      <c r="AF835" s="171"/>
      <c r="AG835" s="171"/>
      <c r="AH835" s="171"/>
      <c r="AI835" s="171"/>
      <c r="AJ835" s="171"/>
      <c r="AK835" s="171"/>
      <c r="AL835" s="171"/>
      <c r="AM835" s="171"/>
    </row>
    <row r="836" spans="1:39" ht="13.5" customHeight="1" x14ac:dyDescent="0.2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  <c r="Y836" s="171"/>
      <c r="Z836" s="171"/>
      <c r="AA836" s="171"/>
      <c r="AB836" s="171"/>
      <c r="AC836" s="171"/>
      <c r="AD836" s="171"/>
      <c r="AE836" s="171"/>
      <c r="AF836" s="171"/>
      <c r="AG836" s="171"/>
      <c r="AH836" s="171"/>
      <c r="AI836" s="171"/>
      <c r="AJ836" s="171"/>
      <c r="AK836" s="171"/>
      <c r="AL836" s="171"/>
      <c r="AM836" s="171"/>
    </row>
    <row r="837" spans="1:39" ht="13.5" customHeight="1" x14ac:dyDescent="0.2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  <c r="Y837" s="171"/>
      <c r="Z837" s="171"/>
      <c r="AA837" s="171"/>
      <c r="AB837" s="171"/>
      <c r="AC837" s="171"/>
      <c r="AD837" s="171"/>
      <c r="AE837" s="171"/>
      <c r="AF837" s="171"/>
      <c r="AG837" s="171"/>
      <c r="AH837" s="171"/>
      <c r="AI837" s="171"/>
      <c r="AJ837" s="171"/>
      <c r="AK837" s="171"/>
      <c r="AL837" s="171"/>
      <c r="AM837" s="171"/>
    </row>
    <row r="838" spans="1:39" ht="13.5" customHeight="1" x14ac:dyDescent="0.2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  <c r="Y838" s="171"/>
      <c r="Z838" s="171"/>
      <c r="AA838" s="171"/>
      <c r="AB838" s="171"/>
      <c r="AC838" s="171"/>
      <c r="AD838" s="171"/>
      <c r="AE838" s="171"/>
      <c r="AF838" s="171"/>
      <c r="AG838" s="171"/>
      <c r="AH838" s="171"/>
      <c r="AI838" s="171"/>
      <c r="AJ838" s="171"/>
      <c r="AK838" s="171"/>
      <c r="AL838" s="171"/>
      <c r="AM838" s="171"/>
    </row>
    <row r="839" spans="1:39" ht="13.5" customHeight="1" x14ac:dyDescent="0.2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  <c r="Y839" s="171"/>
      <c r="Z839" s="171"/>
      <c r="AA839" s="171"/>
      <c r="AB839" s="171"/>
      <c r="AC839" s="171"/>
      <c r="AD839" s="171"/>
      <c r="AE839" s="171"/>
      <c r="AF839" s="171"/>
      <c r="AG839" s="171"/>
      <c r="AH839" s="171"/>
      <c r="AI839" s="171"/>
      <c r="AJ839" s="171"/>
      <c r="AK839" s="171"/>
      <c r="AL839" s="171"/>
      <c r="AM839" s="171"/>
    </row>
    <row r="840" spans="1:39" ht="13.5" customHeight="1" x14ac:dyDescent="0.2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  <c r="Y840" s="171"/>
      <c r="Z840" s="171"/>
      <c r="AA840" s="171"/>
      <c r="AB840" s="171"/>
      <c r="AC840" s="171"/>
      <c r="AD840" s="171"/>
      <c r="AE840" s="171"/>
      <c r="AF840" s="171"/>
      <c r="AG840" s="171"/>
      <c r="AH840" s="171"/>
      <c r="AI840" s="171"/>
      <c r="AJ840" s="171"/>
      <c r="AK840" s="171"/>
      <c r="AL840" s="171"/>
      <c r="AM840" s="171"/>
    </row>
    <row r="841" spans="1:39" ht="13.5" customHeight="1" x14ac:dyDescent="0.2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  <c r="Y841" s="171"/>
      <c r="Z841" s="171"/>
      <c r="AA841" s="171"/>
      <c r="AB841" s="171"/>
      <c r="AC841" s="171"/>
      <c r="AD841" s="171"/>
      <c r="AE841" s="171"/>
      <c r="AF841" s="171"/>
      <c r="AG841" s="171"/>
      <c r="AH841" s="171"/>
      <c r="AI841" s="171"/>
      <c r="AJ841" s="171"/>
      <c r="AK841" s="171"/>
      <c r="AL841" s="171"/>
      <c r="AM841" s="171"/>
    </row>
    <row r="842" spans="1:39" ht="13.5" customHeight="1" x14ac:dyDescent="0.2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  <c r="Y842" s="171"/>
      <c r="Z842" s="171"/>
      <c r="AA842" s="171"/>
      <c r="AB842" s="171"/>
      <c r="AC842" s="171"/>
      <c r="AD842" s="171"/>
      <c r="AE842" s="171"/>
      <c r="AF842" s="171"/>
      <c r="AG842" s="171"/>
      <c r="AH842" s="171"/>
      <c r="AI842" s="171"/>
      <c r="AJ842" s="171"/>
      <c r="AK842" s="171"/>
      <c r="AL842" s="171"/>
      <c r="AM842" s="171"/>
    </row>
    <row r="843" spans="1:39" ht="13.5" customHeight="1" x14ac:dyDescent="0.2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  <c r="Y843" s="171"/>
      <c r="Z843" s="171"/>
      <c r="AA843" s="171"/>
      <c r="AB843" s="171"/>
      <c r="AC843" s="171"/>
      <c r="AD843" s="171"/>
      <c r="AE843" s="171"/>
      <c r="AF843" s="171"/>
      <c r="AG843" s="171"/>
      <c r="AH843" s="171"/>
      <c r="AI843" s="171"/>
      <c r="AJ843" s="171"/>
      <c r="AK843" s="171"/>
      <c r="AL843" s="171"/>
      <c r="AM843" s="171"/>
    </row>
    <row r="844" spans="1:39" ht="13.5" customHeight="1" x14ac:dyDescent="0.2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  <c r="Y844" s="171"/>
      <c r="Z844" s="171"/>
      <c r="AA844" s="171"/>
      <c r="AB844" s="171"/>
      <c r="AC844" s="171"/>
      <c r="AD844" s="171"/>
      <c r="AE844" s="171"/>
      <c r="AF844" s="171"/>
      <c r="AG844" s="171"/>
      <c r="AH844" s="171"/>
      <c r="AI844" s="171"/>
      <c r="AJ844" s="171"/>
      <c r="AK844" s="171"/>
      <c r="AL844" s="171"/>
      <c r="AM844" s="171"/>
    </row>
    <row r="845" spans="1:39" ht="13.5" customHeight="1" x14ac:dyDescent="0.2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  <c r="Y845" s="171"/>
      <c r="Z845" s="171"/>
      <c r="AA845" s="171"/>
      <c r="AB845" s="171"/>
      <c r="AC845" s="171"/>
      <c r="AD845" s="171"/>
      <c r="AE845" s="171"/>
      <c r="AF845" s="171"/>
      <c r="AG845" s="171"/>
      <c r="AH845" s="171"/>
      <c r="AI845" s="171"/>
      <c r="AJ845" s="171"/>
      <c r="AK845" s="171"/>
      <c r="AL845" s="171"/>
      <c r="AM845" s="171"/>
    </row>
    <row r="846" spans="1:39" ht="13.5" customHeight="1" x14ac:dyDescent="0.2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  <c r="Y846" s="171"/>
      <c r="Z846" s="171"/>
      <c r="AA846" s="171"/>
      <c r="AB846" s="171"/>
      <c r="AC846" s="171"/>
      <c r="AD846" s="171"/>
      <c r="AE846" s="171"/>
      <c r="AF846" s="171"/>
      <c r="AG846" s="171"/>
      <c r="AH846" s="171"/>
      <c r="AI846" s="171"/>
      <c r="AJ846" s="171"/>
      <c r="AK846" s="171"/>
      <c r="AL846" s="171"/>
      <c r="AM846" s="171"/>
    </row>
    <row r="847" spans="1:39" ht="13.5" customHeight="1" x14ac:dyDescent="0.2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  <c r="Y847" s="171"/>
      <c r="Z847" s="171"/>
      <c r="AA847" s="171"/>
      <c r="AB847" s="171"/>
      <c r="AC847" s="171"/>
      <c r="AD847" s="171"/>
      <c r="AE847" s="171"/>
      <c r="AF847" s="171"/>
      <c r="AG847" s="171"/>
      <c r="AH847" s="171"/>
      <c r="AI847" s="171"/>
      <c r="AJ847" s="171"/>
      <c r="AK847" s="171"/>
      <c r="AL847" s="171"/>
      <c r="AM847" s="171"/>
    </row>
    <row r="848" spans="1:39" ht="13.5" customHeight="1" x14ac:dyDescent="0.2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  <c r="Y848" s="171"/>
      <c r="Z848" s="171"/>
      <c r="AA848" s="171"/>
      <c r="AB848" s="171"/>
      <c r="AC848" s="171"/>
      <c r="AD848" s="171"/>
      <c r="AE848" s="171"/>
      <c r="AF848" s="171"/>
      <c r="AG848" s="171"/>
      <c r="AH848" s="171"/>
      <c r="AI848" s="171"/>
      <c r="AJ848" s="171"/>
      <c r="AK848" s="171"/>
      <c r="AL848" s="171"/>
      <c r="AM848" s="171"/>
    </row>
    <row r="849" spans="1:39" ht="13.5" customHeight="1" x14ac:dyDescent="0.2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  <c r="Y849" s="171"/>
      <c r="Z849" s="171"/>
      <c r="AA849" s="171"/>
      <c r="AB849" s="171"/>
      <c r="AC849" s="171"/>
      <c r="AD849" s="171"/>
      <c r="AE849" s="171"/>
      <c r="AF849" s="171"/>
      <c r="AG849" s="171"/>
      <c r="AH849" s="171"/>
      <c r="AI849" s="171"/>
      <c r="AJ849" s="171"/>
      <c r="AK849" s="171"/>
      <c r="AL849" s="171"/>
      <c r="AM849" s="171"/>
    </row>
    <row r="850" spans="1:39" ht="13.5" customHeight="1" x14ac:dyDescent="0.2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  <c r="Y850" s="171"/>
      <c r="Z850" s="171"/>
      <c r="AA850" s="171"/>
      <c r="AB850" s="171"/>
      <c r="AC850" s="171"/>
      <c r="AD850" s="171"/>
      <c r="AE850" s="171"/>
      <c r="AF850" s="171"/>
      <c r="AG850" s="171"/>
      <c r="AH850" s="171"/>
      <c r="AI850" s="171"/>
      <c r="AJ850" s="171"/>
      <c r="AK850" s="171"/>
      <c r="AL850" s="171"/>
      <c r="AM850" s="171"/>
    </row>
    <row r="851" spans="1:39" ht="13.5" customHeight="1" x14ac:dyDescent="0.2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  <c r="Y851" s="171"/>
      <c r="Z851" s="171"/>
      <c r="AA851" s="171"/>
      <c r="AB851" s="171"/>
      <c r="AC851" s="171"/>
      <c r="AD851" s="171"/>
      <c r="AE851" s="171"/>
      <c r="AF851" s="171"/>
      <c r="AG851" s="171"/>
      <c r="AH851" s="171"/>
      <c r="AI851" s="171"/>
      <c r="AJ851" s="171"/>
      <c r="AK851" s="171"/>
      <c r="AL851" s="171"/>
      <c r="AM851" s="171"/>
    </row>
    <row r="852" spans="1:39" ht="13.5" customHeight="1" x14ac:dyDescent="0.2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  <c r="Y852" s="171"/>
      <c r="Z852" s="171"/>
      <c r="AA852" s="171"/>
      <c r="AB852" s="171"/>
      <c r="AC852" s="171"/>
      <c r="AD852" s="171"/>
      <c r="AE852" s="171"/>
      <c r="AF852" s="171"/>
      <c r="AG852" s="171"/>
      <c r="AH852" s="171"/>
      <c r="AI852" s="171"/>
      <c r="AJ852" s="171"/>
      <c r="AK852" s="171"/>
      <c r="AL852" s="171"/>
      <c r="AM852" s="171"/>
    </row>
    <row r="853" spans="1:39" ht="13.5" customHeight="1" x14ac:dyDescent="0.2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  <c r="Y853" s="171"/>
      <c r="Z853" s="171"/>
      <c r="AA853" s="171"/>
      <c r="AB853" s="171"/>
      <c r="AC853" s="171"/>
      <c r="AD853" s="171"/>
      <c r="AE853" s="171"/>
      <c r="AF853" s="171"/>
      <c r="AG853" s="171"/>
      <c r="AH853" s="171"/>
      <c r="AI853" s="171"/>
      <c r="AJ853" s="171"/>
      <c r="AK853" s="171"/>
      <c r="AL853" s="171"/>
      <c r="AM853" s="171"/>
    </row>
    <row r="854" spans="1:39" ht="13.5" customHeight="1" x14ac:dyDescent="0.2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  <c r="Y854" s="171"/>
      <c r="Z854" s="171"/>
      <c r="AA854" s="171"/>
      <c r="AB854" s="171"/>
      <c r="AC854" s="171"/>
      <c r="AD854" s="171"/>
      <c r="AE854" s="171"/>
      <c r="AF854" s="171"/>
      <c r="AG854" s="171"/>
      <c r="AH854" s="171"/>
      <c r="AI854" s="171"/>
      <c r="AJ854" s="171"/>
      <c r="AK854" s="171"/>
      <c r="AL854" s="171"/>
      <c r="AM854" s="171"/>
    </row>
    <row r="855" spans="1:39" ht="13.5" customHeight="1" x14ac:dyDescent="0.2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  <c r="Y855" s="171"/>
      <c r="Z855" s="171"/>
      <c r="AA855" s="171"/>
      <c r="AB855" s="171"/>
      <c r="AC855" s="171"/>
      <c r="AD855" s="171"/>
      <c r="AE855" s="171"/>
      <c r="AF855" s="171"/>
      <c r="AG855" s="171"/>
      <c r="AH855" s="171"/>
      <c r="AI855" s="171"/>
      <c r="AJ855" s="171"/>
      <c r="AK855" s="171"/>
      <c r="AL855" s="171"/>
      <c r="AM855" s="171"/>
    </row>
    <row r="856" spans="1:39" ht="13.5" customHeight="1" x14ac:dyDescent="0.2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  <c r="Y856" s="171"/>
      <c r="Z856" s="171"/>
      <c r="AA856" s="171"/>
      <c r="AB856" s="171"/>
      <c r="AC856" s="171"/>
      <c r="AD856" s="171"/>
      <c r="AE856" s="171"/>
      <c r="AF856" s="171"/>
      <c r="AG856" s="171"/>
      <c r="AH856" s="171"/>
      <c r="AI856" s="171"/>
      <c r="AJ856" s="171"/>
      <c r="AK856" s="171"/>
      <c r="AL856" s="171"/>
      <c r="AM856" s="171"/>
    </row>
    <row r="857" spans="1:39" ht="13.5" customHeight="1" x14ac:dyDescent="0.2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  <c r="Y857" s="171"/>
      <c r="Z857" s="171"/>
      <c r="AA857" s="171"/>
      <c r="AB857" s="171"/>
      <c r="AC857" s="171"/>
      <c r="AD857" s="171"/>
      <c r="AE857" s="171"/>
      <c r="AF857" s="171"/>
      <c r="AG857" s="171"/>
      <c r="AH857" s="171"/>
      <c r="AI857" s="171"/>
      <c r="AJ857" s="171"/>
      <c r="AK857" s="171"/>
      <c r="AL857" s="171"/>
      <c r="AM857" s="171"/>
    </row>
    <row r="858" spans="1:39" ht="13.5" customHeight="1" x14ac:dyDescent="0.2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  <c r="Y858" s="171"/>
      <c r="Z858" s="171"/>
      <c r="AA858" s="171"/>
      <c r="AB858" s="171"/>
      <c r="AC858" s="171"/>
      <c r="AD858" s="171"/>
      <c r="AE858" s="171"/>
      <c r="AF858" s="171"/>
      <c r="AG858" s="171"/>
      <c r="AH858" s="171"/>
      <c r="AI858" s="171"/>
      <c r="AJ858" s="171"/>
      <c r="AK858" s="171"/>
      <c r="AL858" s="171"/>
      <c r="AM858" s="171"/>
    </row>
    <row r="859" spans="1:39" ht="13.5" customHeight="1" x14ac:dyDescent="0.2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  <c r="Y859" s="171"/>
      <c r="Z859" s="171"/>
      <c r="AA859" s="171"/>
      <c r="AB859" s="171"/>
      <c r="AC859" s="171"/>
      <c r="AD859" s="171"/>
      <c r="AE859" s="171"/>
      <c r="AF859" s="171"/>
      <c r="AG859" s="171"/>
      <c r="AH859" s="171"/>
      <c r="AI859" s="171"/>
      <c r="AJ859" s="171"/>
      <c r="AK859" s="171"/>
      <c r="AL859" s="171"/>
      <c r="AM859" s="171"/>
    </row>
    <row r="860" spans="1:39" ht="13.5" customHeight="1" x14ac:dyDescent="0.2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  <c r="Y860" s="171"/>
      <c r="Z860" s="171"/>
      <c r="AA860" s="171"/>
      <c r="AB860" s="171"/>
      <c r="AC860" s="171"/>
      <c r="AD860" s="171"/>
      <c r="AE860" s="171"/>
      <c r="AF860" s="171"/>
      <c r="AG860" s="171"/>
      <c r="AH860" s="171"/>
      <c r="AI860" s="171"/>
      <c r="AJ860" s="171"/>
      <c r="AK860" s="171"/>
      <c r="AL860" s="171"/>
      <c r="AM860" s="171"/>
    </row>
    <row r="861" spans="1:39" ht="13.5" customHeight="1" x14ac:dyDescent="0.2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  <c r="Y861" s="171"/>
      <c r="Z861" s="171"/>
      <c r="AA861" s="171"/>
      <c r="AB861" s="171"/>
      <c r="AC861" s="171"/>
      <c r="AD861" s="171"/>
      <c r="AE861" s="171"/>
      <c r="AF861" s="171"/>
      <c r="AG861" s="171"/>
      <c r="AH861" s="171"/>
      <c r="AI861" s="171"/>
      <c r="AJ861" s="171"/>
      <c r="AK861" s="171"/>
      <c r="AL861" s="171"/>
      <c r="AM861" s="171"/>
    </row>
    <row r="862" spans="1:39" ht="13.5" customHeight="1" x14ac:dyDescent="0.2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  <c r="Y862" s="171"/>
      <c r="Z862" s="171"/>
      <c r="AA862" s="171"/>
      <c r="AB862" s="171"/>
      <c r="AC862" s="171"/>
      <c r="AD862" s="171"/>
      <c r="AE862" s="171"/>
      <c r="AF862" s="171"/>
      <c r="AG862" s="171"/>
      <c r="AH862" s="171"/>
      <c r="AI862" s="171"/>
      <c r="AJ862" s="171"/>
      <c r="AK862" s="171"/>
      <c r="AL862" s="171"/>
      <c r="AM862" s="171"/>
    </row>
    <row r="863" spans="1:39" ht="13.5" customHeight="1" x14ac:dyDescent="0.2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  <c r="Y863" s="171"/>
      <c r="Z863" s="171"/>
      <c r="AA863" s="171"/>
      <c r="AB863" s="171"/>
      <c r="AC863" s="171"/>
      <c r="AD863" s="171"/>
      <c r="AE863" s="171"/>
      <c r="AF863" s="171"/>
      <c r="AG863" s="171"/>
      <c r="AH863" s="171"/>
      <c r="AI863" s="171"/>
      <c r="AJ863" s="171"/>
      <c r="AK863" s="171"/>
      <c r="AL863" s="171"/>
      <c r="AM863" s="171"/>
    </row>
    <row r="864" spans="1:39" ht="13.5" customHeight="1" x14ac:dyDescent="0.2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  <c r="Y864" s="171"/>
      <c r="Z864" s="171"/>
      <c r="AA864" s="171"/>
      <c r="AB864" s="171"/>
      <c r="AC864" s="171"/>
      <c r="AD864" s="171"/>
      <c r="AE864" s="171"/>
      <c r="AF864" s="171"/>
      <c r="AG864" s="171"/>
      <c r="AH864" s="171"/>
      <c r="AI864" s="171"/>
      <c r="AJ864" s="171"/>
      <c r="AK864" s="171"/>
      <c r="AL864" s="171"/>
      <c r="AM864" s="171"/>
    </row>
    <row r="865" spans="1:39" ht="13.5" customHeight="1" x14ac:dyDescent="0.2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  <c r="Y865" s="171"/>
      <c r="Z865" s="171"/>
      <c r="AA865" s="171"/>
      <c r="AB865" s="171"/>
      <c r="AC865" s="171"/>
      <c r="AD865" s="171"/>
      <c r="AE865" s="171"/>
      <c r="AF865" s="171"/>
      <c r="AG865" s="171"/>
      <c r="AH865" s="171"/>
      <c r="AI865" s="171"/>
      <c r="AJ865" s="171"/>
      <c r="AK865" s="171"/>
      <c r="AL865" s="171"/>
      <c r="AM865" s="171"/>
    </row>
    <row r="866" spans="1:39" ht="13.5" customHeight="1" x14ac:dyDescent="0.2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  <c r="Y866" s="171"/>
      <c r="Z866" s="171"/>
      <c r="AA866" s="171"/>
      <c r="AB866" s="171"/>
      <c r="AC866" s="171"/>
      <c r="AD866" s="171"/>
      <c r="AE866" s="171"/>
      <c r="AF866" s="171"/>
      <c r="AG866" s="171"/>
      <c r="AH866" s="171"/>
      <c r="AI866" s="171"/>
      <c r="AJ866" s="171"/>
      <c r="AK866" s="171"/>
      <c r="AL866" s="171"/>
      <c r="AM866" s="171"/>
    </row>
    <row r="867" spans="1:39" ht="13.5" customHeight="1" x14ac:dyDescent="0.2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  <c r="Y867" s="171"/>
      <c r="Z867" s="171"/>
      <c r="AA867" s="171"/>
      <c r="AB867" s="171"/>
      <c r="AC867" s="171"/>
      <c r="AD867" s="171"/>
      <c r="AE867" s="171"/>
      <c r="AF867" s="171"/>
      <c r="AG867" s="171"/>
      <c r="AH867" s="171"/>
      <c r="AI867" s="171"/>
      <c r="AJ867" s="171"/>
      <c r="AK867" s="171"/>
      <c r="AL867" s="171"/>
      <c r="AM867" s="171"/>
    </row>
    <row r="868" spans="1:39" ht="13.5" customHeight="1" x14ac:dyDescent="0.2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  <c r="Y868" s="171"/>
      <c r="Z868" s="171"/>
      <c r="AA868" s="171"/>
      <c r="AB868" s="171"/>
      <c r="AC868" s="171"/>
      <c r="AD868" s="171"/>
      <c r="AE868" s="171"/>
      <c r="AF868" s="171"/>
      <c r="AG868" s="171"/>
      <c r="AH868" s="171"/>
      <c r="AI868" s="171"/>
      <c r="AJ868" s="171"/>
      <c r="AK868" s="171"/>
      <c r="AL868" s="171"/>
      <c r="AM868" s="171"/>
    </row>
    <row r="869" spans="1:39" ht="13.5" customHeight="1" x14ac:dyDescent="0.2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  <c r="Y869" s="171"/>
      <c r="Z869" s="171"/>
      <c r="AA869" s="171"/>
      <c r="AB869" s="171"/>
      <c r="AC869" s="171"/>
      <c r="AD869" s="171"/>
      <c r="AE869" s="171"/>
      <c r="AF869" s="171"/>
      <c r="AG869" s="171"/>
      <c r="AH869" s="171"/>
      <c r="AI869" s="171"/>
      <c r="AJ869" s="171"/>
      <c r="AK869" s="171"/>
      <c r="AL869" s="171"/>
      <c r="AM869" s="171"/>
    </row>
    <row r="870" spans="1:39" ht="13.5" customHeight="1" x14ac:dyDescent="0.2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  <c r="Y870" s="171"/>
      <c r="Z870" s="171"/>
      <c r="AA870" s="171"/>
      <c r="AB870" s="171"/>
      <c r="AC870" s="171"/>
      <c r="AD870" s="171"/>
      <c r="AE870" s="171"/>
      <c r="AF870" s="171"/>
      <c r="AG870" s="171"/>
      <c r="AH870" s="171"/>
      <c r="AI870" s="171"/>
      <c r="AJ870" s="171"/>
      <c r="AK870" s="171"/>
      <c r="AL870" s="171"/>
      <c r="AM870" s="171"/>
    </row>
    <row r="871" spans="1:39" ht="13.5" customHeight="1" x14ac:dyDescent="0.2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  <c r="Y871" s="171"/>
      <c r="Z871" s="171"/>
      <c r="AA871" s="171"/>
      <c r="AB871" s="171"/>
      <c r="AC871" s="171"/>
      <c r="AD871" s="171"/>
      <c r="AE871" s="171"/>
      <c r="AF871" s="171"/>
      <c r="AG871" s="171"/>
      <c r="AH871" s="171"/>
      <c r="AI871" s="171"/>
      <c r="AJ871" s="171"/>
      <c r="AK871" s="171"/>
      <c r="AL871" s="171"/>
      <c r="AM871" s="171"/>
    </row>
    <row r="872" spans="1:39" ht="13.5" customHeight="1" x14ac:dyDescent="0.2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  <c r="Y872" s="171"/>
      <c r="Z872" s="171"/>
      <c r="AA872" s="171"/>
      <c r="AB872" s="171"/>
      <c r="AC872" s="171"/>
      <c r="AD872" s="171"/>
      <c r="AE872" s="171"/>
      <c r="AF872" s="171"/>
      <c r="AG872" s="171"/>
      <c r="AH872" s="171"/>
      <c r="AI872" s="171"/>
      <c r="AJ872" s="171"/>
      <c r="AK872" s="171"/>
      <c r="AL872" s="171"/>
      <c r="AM872" s="171"/>
    </row>
    <row r="873" spans="1:39" ht="13.5" customHeight="1" x14ac:dyDescent="0.2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  <c r="Y873" s="171"/>
      <c r="Z873" s="171"/>
      <c r="AA873" s="171"/>
      <c r="AB873" s="171"/>
      <c r="AC873" s="171"/>
      <c r="AD873" s="171"/>
      <c r="AE873" s="171"/>
      <c r="AF873" s="171"/>
      <c r="AG873" s="171"/>
      <c r="AH873" s="171"/>
      <c r="AI873" s="171"/>
      <c r="AJ873" s="171"/>
      <c r="AK873" s="171"/>
      <c r="AL873" s="171"/>
      <c r="AM873" s="171"/>
    </row>
    <row r="874" spans="1:39" ht="13.5" customHeight="1" x14ac:dyDescent="0.2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  <c r="Y874" s="171"/>
      <c r="Z874" s="171"/>
      <c r="AA874" s="171"/>
      <c r="AB874" s="171"/>
      <c r="AC874" s="171"/>
      <c r="AD874" s="171"/>
      <c r="AE874" s="171"/>
      <c r="AF874" s="171"/>
      <c r="AG874" s="171"/>
      <c r="AH874" s="171"/>
      <c r="AI874" s="171"/>
      <c r="AJ874" s="171"/>
      <c r="AK874" s="171"/>
      <c r="AL874" s="171"/>
      <c r="AM874" s="171"/>
    </row>
    <row r="875" spans="1:39" ht="13.5" customHeight="1" x14ac:dyDescent="0.2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  <c r="Y875" s="171"/>
      <c r="Z875" s="171"/>
      <c r="AA875" s="171"/>
      <c r="AB875" s="171"/>
      <c r="AC875" s="171"/>
      <c r="AD875" s="171"/>
      <c r="AE875" s="171"/>
      <c r="AF875" s="171"/>
      <c r="AG875" s="171"/>
      <c r="AH875" s="171"/>
      <c r="AI875" s="171"/>
      <c r="AJ875" s="171"/>
      <c r="AK875" s="171"/>
      <c r="AL875" s="171"/>
      <c r="AM875" s="171"/>
    </row>
    <row r="876" spans="1:39" ht="13.5" customHeight="1" x14ac:dyDescent="0.2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  <c r="Y876" s="171"/>
      <c r="Z876" s="171"/>
      <c r="AA876" s="171"/>
      <c r="AB876" s="171"/>
      <c r="AC876" s="171"/>
      <c r="AD876" s="171"/>
      <c r="AE876" s="171"/>
      <c r="AF876" s="171"/>
      <c r="AG876" s="171"/>
      <c r="AH876" s="171"/>
      <c r="AI876" s="171"/>
      <c r="AJ876" s="171"/>
      <c r="AK876" s="171"/>
      <c r="AL876" s="171"/>
      <c r="AM876" s="171"/>
    </row>
    <row r="877" spans="1:39" ht="13.5" customHeight="1" x14ac:dyDescent="0.2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  <c r="Y877" s="171"/>
      <c r="Z877" s="171"/>
      <c r="AA877" s="171"/>
      <c r="AB877" s="171"/>
      <c r="AC877" s="171"/>
      <c r="AD877" s="171"/>
      <c r="AE877" s="171"/>
      <c r="AF877" s="171"/>
      <c r="AG877" s="171"/>
      <c r="AH877" s="171"/>
      <c r="AI877" s="171"/>
      <c r="AJ877" s="171"/>
      <c r="AK877" s="171"/>
      <c r="AL877" s="171"/>
      <c r="AM877" s="171"/>
    </row>
    <row r="878" spans="1:39" ht="13.5" customHeight="1" x14ac:dyDescent="0.2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  <c r="Y878" s="171"/>
      <c r="Z878" s="171"/>
      <c r="AA878" s="171"/>
      <c r="AB878" s="171"/>
      <c r="AC878" s="171"/>
      <c r="AD878" s="171"/>
      <c r="AE878" s="171"/>
      <c r="AF878" s="171"/>
      <c r="AG878" s="171"/>
      <c r="AH878" s="171"/>
      <c r="AI878" s="171"/>
      <c r="AJ878" s="171"/>
      <c r="AK878" s="171"/>
      <c r="AL878" s="171"/>
      <c r="AM878" s="171"/>
    </row>
    <row r="879" spans="1:39" ht="13.5" customHeight="1" x14ac:dyDescent="0.2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  <c r="Y879" s="171"/>
      <c r="Z879" s="171"/>
      <c r="AA879" s="171"/>
      <c r="AB879" s="171"/>
      <c r="AC879" s="171"/>
      <c r="AD879" s="171"/>
      <c r="AE879" s="171"/>
      <c r="AF879" s="171"/>
      <c r="AG879" s="171"/>
      <c r="AH879" s="171"/>
      <c r="AI879" s="171"/>
      <c r="AJ879" s="171"/>
      <c r="AK879" s="171"/>
      <c r="AL879" s="171"/>
      <c r="AM879" s="171"/>
    </row>
    <row r="880" spans="1:39" ht="13.5" customHeight="1" x14ac:dyDescent="0.2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  <c r="Y880" s="171"/>
      <c r="Z880" s="171"/>
      <c r="AA880" s="171"/>
      <c r="AB880" s="171"/>
      <c r="AC880" s="171"/>
      <c r="AD880" s="171"/>
      <c r="AE880" s="171"/>
      <c r="AF880" s="171"/>
      <c r="AG880" s="171"/>
      <c r="AH880" s="171"/>
      <c r="AI880" s="171"/>
      <c r="AJ880" s="171"/>
      <c r="AK880" s="171"/>
      <c r="AL880" s="171"/>
      <c r="AM880" s="171"/>
    </row>
    <row r="881" spans="1:39" ht="13.5" customHeight="1" x14ac:dyDescent="0.2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  <c r="Y881" s="171"/>
      <c r="Z881" s="171"/>
      <c r="AA881" s="171"/>
      <c r="AB881" s="171"/>
      <c r="AC881" s="171"/>
      <c r="AD881" s="171"/>
      <c r="AE881" s="171"/>
      <c r="AF881" s="171"/>
      <c r="AG881" s="171"/>
      <c r="AH881" s="171"/>
      <c r="AI881" s="171"/>
      <c r="AJ881" s="171"/>
      <c r="AK881" s="171"/>
      <c r="AL881" s="171"/>
      <c r="AM881" s="171"/>
    </row>
    <row r="882" spans="1:39" ht="13.5" customHeight="1" x14ac:dyDescent="0.2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  <c r="Y882" s="171"/>
      <c r="Z882" s="171"/>
      <c r="AA882" s="171"/>
      <c r="AB882" s="171"/>
      <c r="AC882" s="171"/>
      <c r="AD882" s="171"/>
      <c r="AE882" s="171"/>
      <c r="AF882" s="171"/>
      <c r="AG882" s="171"/>
      <c r="AH882" s="171"/>
      <c r="AI882" s="171"/>
      <c r="AJ882" s="171"/>
      <c r="AK882" s="171"/>
      <c r="AL882" s="171"/>
      <c r="AM882" s="171"/>
    </row>
    <row r="883" spans="1:39" ht="13.5" customHeight="1" x14ac:dyDescent="0.2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  <c r="Y883" s="171"/>
      <c r="Z883" s="171"/>
      <c r="AA883" s="171"/>
      <c r="AB883" s="171"/>
      <c r="AC883" s="171"/>
      <c r="AD883" s="171"/>
      <c r="AE883" s="171"/>
      <c r="AF883" s="171"/>
      <c r="AG883" s="171"/>
      <c r="AH883" s="171"/>
      <c r="AI883" s="171"/>
      <c r="AJ883" s="171"/>
      <c r="AK883" s="171"/>
      <c r="AL883" s="171"/>
      <c r="AM883" s="171"/>
    </row>
    <row r="884" spans="1:39" ht="13.5" customHeight="1" x14ac:dyDescent="0.2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  <c r="Y884" s="171"/>
      <c r="Z884" s="171"/>
      <c r="AA884" s="171"/>
      <c r="AB884" s="171"/>
      <c r="AC884" s="171"/>
      <c r="AD884" s="171"/>
      <c r="AE884" s="171"/>
      <c r="AF884" s="171"/>
      <c r="AG884" s="171"/>
      <c r="AH884" s="171"/>
      <c r="AI884" s="171"/>
      <c r="AJ884" s="171"/>
      <c r="AK884" s="171"/>
      <c r="AL884" s="171"/>
      <c r="AM884" s="171"/>
    </row>
    <row r="885" spans="1:39" ht="13.5" customHeight="1" x14ac:dyDescent="0.2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  <c r="Y885" s="171"/>
      <c r="Z885" s="171"/>
      <c r="AA885" s="171"/>
      <c r="AB885" s="171"/>
      <c r="AC885" s="171"/>
      <c r="AD885" s="171"/>
      <c r="AE885" s="171"/>
      <c r="AF885" s="171"/>
      <c r="AG885" s="171"/>
      <c r="AH885" s="171"/>
      <c r="AI885" s="171"/>
      <c r="AJ885" s="171"/>
      <c r="AK885" s="171"/>
      <c r="AL885" s="171"/>
      <c r="AM885" s="171"/>
    </row>
    <row r="886" spans="1:39" ht="13.5" customHeight="1" x14ac:dyDescent="0.2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  <c r="Y886" s="171"/>
      <c r="Z886" s="171"/>
      <c r="AA886" s="171"/>
      <c r="AB886" s="171"/>
      <c r="AC886" s="171"/>
      <c r="AD886" s="171"/>
      <c r="AE886" s="171"/>
      <c r="AF886" s="171"/>
      <c r="AG886" s="171"/>
      <c r="AH886" s="171"/>
      <c r="AI886" s="171"/>
      <c r="AJ886" s="171"/>
      <c r="AK886" s="171"/>
      <c r="AL886" s="171"/>
      <c r="AM886" s="171"/>
    </row>
    <row r="887" spans="1:39" ht="13.5" customHeight="1" x14ac:dyDescent="0.2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  <c r="Y887" s="171"/>
      <c r="Z887" s="171"/>
      <c r="AA887" s="171"/>
      <c r="AB887" s="171"/>
      <c r="AC887" s="171"/>
      <c r="AD887" s="171"/>
      <c r="AE887" s="171"/>
      <c r="AF887" s="171"/>
      <c r="AG887" s="171"/>
      <c r="AH887" s="171"/>
      <c r="AI887" s="171"/>
      <c r="AJ887" s="171"/>
      <c r="AK887" s="171"/>
      <c r="AL887" s="171"/>
      <c r="AM887" s="171"/>
    </row>
    <row r="888" spans="1:39" ht="13.5" customHeight="1" x14ac:dyDescent="0.2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  <c r="Y888" s="171"/>
      <c r="Z888" s="171"/>
      <c r="AA888" s="171"/>
      <c r="AB888" s="171"/>
      <c r="AC888" s="171"/>
      <c r="AD888" s="171"/>
      <c r="AE888" s="171"/>
      <c r="AF888" s="171"/>
      <c r="AG888" s="171"/>
      <c r="AH888" s="171"/>
      <c r="AI888" s="171"/>
      <c r="AJ888" s="171"/>
      <c r="AK888" s="171"/>
      <c r="AL888" s="171"/>
      <c r="AM888" s="171"/>
    </row>
    <row r="889" spans="1:39" ht="13.5" customHeight="1" x14ac:dyDescent="0.2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  <c r="Y889" s="171"/>
      <c r="Z889" s="171"/>
      <c r="AA889" s="171"/>
      <c r="AB889" s="171"/>
      <c r="AC889" s="171"/>
      <c r="AD889" s="171"/>
      <c r="AE889" s="171"/>
      <c r="AF889" s="171"/>
      <c r="AG889" s="171"/>
      <c r="AH889" s="171"/>
      <c r="AI889" s="171"/>
      <c r="AJ889" s="171"/>
      <c r="AK889" s="171"/>
      <c r="AL889" s="171"/>
      <c r="AM889" s="171"/>
    </row>
    <row r="890" spans="1:39" ht="13.5" customHeight="1" x14ac:dyDescent="0.2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  <c r="Y890" s="171"/>
      <c r="Z890" s="171"/>
      <c r="AA890" s="171"/>
      <c r="AB890" s="171"/>
      <c r="AC890" s="171"/>
      <c r="AD890" s="171"/>
      <c r="AE890" s="171"/>
      <c r="AF890" s="171"/>
      <c r="AG890" s="171"/>
      <c r="AH890" s="171"/>
      <c r="AI890" s="171"/>
      <c r="AJ890" s="171"/>
      <c r="AK890" s="171"/>
      <c r="AL890" s="171"/>
      <c r="AM890" s="171"/>
    </row>
    <row r="891" spans="1:39" ht="13.5" customHeight="1" x14ac:dyDescent="0.2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  <c r="Y891" s="171"/>
      <c r="Z891" s="171"/>
      <c r="AA891" s="171"/>
      <c r="AB891" s="171"/>
      <c r="AC891" s="171"/>
      <c r="AD891" s="171"/>
      <c r="AE891" s="171"/>
      <c r="AF891" s="171"/>
      <c r="AG891" s="171"/>
      <c r="AH891" s="171"/>
      <c r="AI891" s="171"/>
      <c r="AJ891" s="171"/>
      <c r="AK891" s="171"/>
      <c r="AL891" s="171"/>
      <c r="AM891" s="171"/>
    </row>
    <row r="892" spans="1:39" ht="13.5" customHeight="1" x14ac:dyDescent="0.2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  <c r="Y892" s="171"/>
      <c r="Z892" s="171"/>
      <c r="AA892" s="171"/>
      <c r="AB892" s="171"/>
      <c r="AC892" s="171"/>
      <c r="AD892" s="171"/>
      <c r="AE892" s="171"/>
      <c r="AF892" s="171"/>
      <c r="AG892" s="171"/>
      <c r="AH892" s="171"/>
      <c r="AI892" s="171"/>
      <c r="AJ892" s="171"/>
      <c r="AK892" s="171"/>
      <c r="AL892" s="171"/>
      <c r="AM892" s="171"/>
    </row>
    <row r="893" spans="1:39" ht="13.5" customHeight="1" x14ac:dyDescent="0.2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  <c r="Y893" s="171"/>
      <c r="Z893" s="171"/>
      <c r="AA893" s="171"/>
      <c r="AB893" s="171"/>
      <c r="AC893" s="171"/>
      <c r="AD893" s="171"/>
      <c r="AE893" s="171"/>
      <c r="AF893" s="171"/>
      <c r="AG893" s="171"/>
      <c r="AH893" s="171"/>
      <c r="AI893" s="171"/>
      <c r="AJ893" s="171"/>
      <c r="AK893" s="171"/>
      <c r="AL893" s="171"/>
      <c r="AM893" s="171"/>
    </row>
    <row r="894" spans="1:39" ht="13.5" customHeight="1" x14ac:dyDescent="0.2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  <c r="Y894" s="171"/>
      <c r="Z894" s="171"/>
      <c r="AA894" s="171"/>
      <c r="AB894" s="171"/>
      <c r="AC894" s="171"/>
      <c r="AD894" s="171"/>
      <c r="AE894" s="171"/>
      <c r="AF894" s="171"/>
      <c r="AG894" s="171"/>
      <c r="AH894" s="171"/>
      <c r="AI894" s="171"/>
      <c r="AJ894" s="171"/>
      <c r="AK894" s="171"/>
      <c r="AL894" s="171"/>
      <c r="AM894" s="171"/>
    </row>
    <row r="895" spans="1:39" ht="13.5" customHeight="1" x14ac:dyDescent="0.2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  <c r="Y895" s="171"/>
      <c r="Z895" s="171"/>
      <c r="AA895" s="171"/>
      <c r="AB895" s="171"/>
      <c r="AC895" s="171"/>
      <c r="AD895" s="171"/>
      <c r="AE895" s="171"/>
      <c r="AF895" s="171"/>
      <c r="AG895" s="171"/>
      <c r="AH895" s="171"/>
      <c r="AI895" s="171"/>
      <c r="AJ895" s="171"/>
      <c r="AK895" s="171"/>
      <c r="AL895" s="171"/>
      <c r="AM895" s="171"/>
    </row>
    <row r="896" spans="1:39" ht="13.5" customHeight="1" x14ac:dyDescent="0.2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  <c r="Y896" s="171"/>
      <c r="Z896" s="171"/>
      <c r="AA896" s="171"/>
      <c r="AB896" s="171"/>
      <c r="AC896" s="171"/>
      <c r="AD896" s="171"/>
      <c r="AE896" s="171"/>
      <c r="AF896" s="171"/>
      <c r="AG896" s="171"/>
      <c r="AH896" s="171"/>
      <c r="AI896" s="171"/>
      <c r="AJ896" s="171"/>
      <c r="AK896" s="171"/>
      <c r="AL896" s="171"/>
      <c r="AM896" s="171"/>
    </row>
    <row r="897" spans="1:39" ht="13.5" customHeight="1" x14ac:dyDescent="0.2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  <c r="Y897" s="171"/>
      <c r="Z897" s="171"/>
      <c r="AA897" s="171"/>
      <c r="AB897" s="171"/>
      <c r="AC897" s="171"/>
      <c r="AD897" s="171"/>
      <c r="AE897" s="171"/>
      <c r="AF897" s="171"/>
      <c r="AG897" s="171"/>
      <c r="AH897" s="171"/>
      <c r="AI897" s="171"/>
      <c r="AJ897" s="171"/>
      <c r="AK897" s="171"/>
      <c r="AL897" s="171"/>
      <c r="AM897" s="171"/>
    </row>
    <row r="898" spans="1:39" ht="13.5" customHeight="1" x14ac:dyDescent="0.2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  <c r="Y898" s="171"/>
      <c r="Z898" s="171"/>
      <c r="AA898" s="171"/>
      <c r="AB898" s="171"/>
      <c r="AC898" s="171"/>
      <c r="AD898" s="171"/>
      <c r="AE898" s="171"/>
      <c r="AF898" s="171"/>
      <c r="AG898" s="171"/>
      <c r="AH898" s="171"/>
      <c r="AI898" s="171"/>
      <c r="AJ898" s="171"/>
      <c r="AK898" s="171"/>
      <c r="AL898" s="171"/>
      <c r="AM898" s="171"/>
    </row>
    <row r="899" spans="1:39" ht="13.5" customHeight="1" x14ac:dyDescent="0.2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  <c r="Y899" s="171"/>
      <c r="Z899" s="171"/>
      <c r="AA899" s="171"/>
      <c r="AB899" s="171"/>
      <c r="AC899" s="171"/>
      <c r="AD899" s="171"/>
      <c r="AE899" s="171"/>
      <c r="AF899" s="171"/>
      <c r="AG899" s="171"/>
      <c r="AH899" s="171"/>
      <c r="AI899" s="171"/>
      <c r="AJ899" s="171"/>
      <c r="AK899" s="171"/>
      <c r="AL899" s="171"/>
      <c r="AM899" s="171"/>
    </row>
    <row r="900" spans="1:39" ht="13.5" customHeight="1" x14ac:dyDescent="0.2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  <c r="Y900" s="171"/>
      <c r="Z900" s="171"/>
      <c r="AA900" s="171"/>
      <c r="AB900" s="171"/>
      <c r="AC900" s="171"/>
      <c r="AD900" s="171"/>
      <c r="AE900" s="171"/>
      <c r="AF900" s="171"/>
      <c r="AG900" s="171"/>
      <c r="AH900" s="171"/>
      <c r="AI900" s="171"/>
      <c r="AJ900" s="171"/>
      <c r="AK900" s="171"/>
      <c r="AL900" s="171"/>
      <c r="AM900" s="171"/>
    </row>
    <row r="901" spans="1:39" ht="13.5" customHeight="1" x14ac:dyDescent="0.2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  <c r="Y901" s="171"/>
      <c r="Z901" s="171"/>
      <c r="AA901" s="171"/>
      <c r="AB901" s="171"/>
      <c r="AC901" s="171"/>
      <c r="AD901" s="171"/>
      <c r="AE901" s="171"/>
      <c r="AF901" s="171"/>
      <c r="AG901" s="171"/>
      <c r="AH901" s="171"/>
      <c r="AI901" s="171"/>
      <c r="AJ901" s="171"/>
      <c r="AK901" s="171"/>
      <c r="AL901" s="171"/>
      <c r="AM901" s="171"/>
    </row>
    <row r="902" spans="1:39" ht="13.5" customHeight="1" x14ac:dyDescent="0.2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  <c r="Y902" s="171"/>
      <c r="Z902" s="171"/>
      <c r="AA902" s="171"/>
      <c r="AB902" s="171"/>
      <c r="AC902" s="171"/>
      <c r="AD902" s="171"/>
      <c r="AE902" s="171"/>
      <c r="AF902" s="171"/>
      <c r="AG902" s="171"/>
      <c r="AH902" s="171"/>
      <c r="AI902" s="171"/>
      <c r="AJ902" s="171"/>
      <c r="AK902" s="171"/>
      <c r="AL902" s="171"/>
      <c r="AM902" s="171"/>
    </row>
    <row r="903" spans="1:39" ht="13.5" customHeight="1" x14ac:dyDescent="0.2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  <c r="Y903" s="171"/>
      <c r="Z903" s="171"/>
      <c r="AA903" s="171"/>
      <c r="AB903" s="171"/>
      <c r="AC903" s="171"/>
      <c r="AD903" s="171"/>
      <c r="AE903" s="171"/>
      <c r="AF903" s="171"/>
      <c r="AG903" s="171"/>
      <c r="AH903" s="171"/>
      <c r="AI903" s="171"/>
      <c r="AJ903" s="171"/>
      <c r="AK903" s="171"/>
      <c r="AL903" s="171"/>
      <c r="AM903" s="171"/>
    </row>
    <row r="904" spans="1:39" ht="13.5" customHeight="1" x14ac:dyDescent="0.2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  <c r="Y904" s="171"/>
      <c r="Z904" s="171"/>
      <c r="AA904" s="171"/>
      <c r="AB904" s="171"/>
      <c r="AC904" s="171"/>
      <c r="AD904" s="171"/>
      <c r="AE904" s="171"/>
      <c r="AF904" s="171"/>
      <c r="AG904" s="171"/>
      <c r="AH904" s="171"/>
      <c r="AI904" s="171"/>
      <c r="AJ904" s="171"/>
      <c r="AK904" s="171"/>
      <c r="AL904" s="171"/>
      <c r="AM904" s="171"/>
    </row>
    <row r="905" spans="1:39" ht="13.5" customHeight="1" x14ac:dyDescent="0.2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  <c r="Y905" s="171"/>
      <c r="Z905" s="171"/>
      <c r="AA905" s="171"/>
      <c r="AB905" s="171"/>
      <c r="AC905" s="171"/>
      <c r="AD905" s="171"/>
      <c r="AE905" s="171"/>
      <c r="AF905" s="171"/>
      <c r="AG905" s="171"/>
      <c r="AH905" s="171"/>
      <c r="AI905" s="171"/>
      <c r="AJ905" s="171"/>
      <c r="AK905" s="171"/>
      <c r="AL905" s="171"/>
      <c r="AM905" s="171"/>
    </row>
    <row r="906" spans="1:39" ht="13.5" customHeight="1" x14ac:dyDescent="0.2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  <c r="Y906" s="171"/>
      <c r="Z906" s="171"/>
      <c r="AA906" s="171"/>
      <c r="AB906" s="171"/>
      <c r="AC906" s="171"/>
      <c r="AD906" s="171"/>
      <c r="AE906" s="171"/>
      <c r="AF906" s="171"/>
      <c r="AG906" s="171"/>
      <c r="AH906" s="171"/>
      <c r="AI906" s="171"/>
      <c r="AJ906" s="171"/>
      <c r="AK906" s="171"/>
      <c r="AL906" s="171"/>
      <c r="AM906" s="171"/>
    </row>
    <row r="907" spans="1:39" ht="13.5" customHeight="1" x14ac:dyDescent="0.2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  <c r="Y907" s="171"/>
      <c r="Z907" s="171"/>
      <c r="AA907" s="171"/>
      <c r="AB907" s="171"/>
      <c r="AC907" s="171"/>
      <c r="AD907" s="171"/>
      <c r="AE907" s="171"/>
      <c r="AF907" s="171"/>
      <c r="AG907" s="171"/>
      <c r="AH907" s="171"/>
      <c r="AI907" s="171"/>
      <c r="AJ907" s="171"/>
      <c r="AK907" s="171"/>
      <c r="AL907" s="171"/>
      <c r="AM907" s="171"/>
    </row>
    <row r="908" spans="1:39" ht="13.5" customHeight="1" x14ac:dyDescent="0.2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  <c r="Y908" s="171"/>
      <c r="Z908" s="171"/>
      <c r="AA908" s="171"/>
      <c r="AB908" s="171"/>
      <c r="AC908" s="171"/>
      <c r="AD908" s="171"/>
      <c r="AE908" s="171"/>
      <c r="AF908" s="171"/>
      <c r="AG908" s="171"/>
      <c r="AH908" s="171"/>
      <c r="AI908" s="171"/>
      <c r="AJ908" s="171"/>
      <c r="AK908" s="171"/>
      <c r="AL908" s="171"/>
      <c r="AM908" s="171"/>
    </row>
    <row r="909" spans="1:39" ht="13.5" customHeight="1" x14ac:dyDescent="0.2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  <c r="Y909" s="171"/>
      <c r="Z909" s="171"/>
      <c r="AA909" s="171"/>
      <c r="AB909" s="171"/>
      <c r="AC909" s="171"/>
      <c r="AD909" s="171"/>
      <c r="AE909" s="171"/>
      <c r="AF909" s="171"/>
      <c r="AG909" s="171"/>
      <c r="AH909" s="171"/>
      <c r="AI909" s="171"/>
      <c r="AJ909" s="171"/>
      <c r="AK909" s="171"/>
      <c r="AL909" s="171"/>
      <c r="AM909" s="171"/>
    </row>
    <row r="910" spans="1:39" ht="13.5" customHeight="1" x14ac:dyDescent="0.2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  <c r="Y910" s="171"/>
      <c r="Z910" s="171"/>
      <c r="AA910" s="171"/>
      <c r="AB910" s="171"/>
      <c r="AC910" s="171"/>
      <c r="AD910" s="171"/>
      <c r="AE910" s="171"/>
      <c r="AF910" s="171"/>
      <c r="AG910" s="171"/>
      <c r="AH910" s="171"/>
      <c r="AI910" s="171"/>
      <c r="AJ910" s="171"/>
      <c r="AK910" s="171"/>
      <c r="AL910" s="171"/>
      <c r="AM910" s="171"/>
    </row>
    <row r="911" spans="1:39" ht="13.5" customHeight="1" x14ac:dyDescent="0.2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  <c r="Y911" s="171"/>
      <c r="Z911" s="171"/>
      <c r="AA911" s="171"/>
      <c r="AB911" s="171"/>
      <c r="AC911" s="171"/>
      <c r="AD911" s="171"/>
      <c r="AE911" s="171"/>
      <c r="AF911" s="171"/>
      <c r="AG911" s="171"/>
      <c r="AH911" s="171"/>
      <c r="AI911" s="171"/>
      <c r="AJ911" s="171"/>
      <c r="AK911" s="171"/>
      <c r="AL911" s="171"/>
      <c r="AM911" s="171"/>
    </row>
    <row r="912" spans="1:39" ht="13.5" customHeight="1" x14ac:dyDescent="0.2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  <c r="Y912" s="171"/>
      <c r="Z912" s="171"/>
      <c r="AA912" s="171"/>
      <c r="AB912" s="171"/>
      <c r="AC912" s="171"/>
      <c r="AD912" s="171"/>
      <c r="AE912" s="171"/>
      <c r="AF912" s="171"/>
      <c r="AG912" s="171"/>
      <c r="AH912" s="171"/>
      <c r="AI912" s="171"/>
      <c r="AJ912" s="171"/>
      <c r="AK912" s="171"/>
      <c r="AL912" s="171"/>
      <c r="AM912" s="171"/>
    </row>
    <row r="913" spans="1:39" ht="13.5" customHeight="1" x14ac:dyDescent="0.2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  <c r="Y913" s="171"/>
      <c r="Z913" s="171"/>
      <c r="AA913" s="171"/>
      <c r="AB913" s="171"/>
      <c r="AC913" s="171"/>
      <c r="AD913" s="171"/>
      <c r="AE913" s="171"/>
      <c r="AF913" s="171"/>
      <c r="AG913" s="171"/>
      <c r="AH913" s="171"/>
      <c r="AI913" s="171"/>
      <c r="AJ913" s="171"/>
      <c r="AK913" s="171"/>
      <c r="AL913" s="171"/>
      <c r="AM913" s="171"/>
    </row>
    <row r="914" spans="1:39" ht="13.5" customHeight="1" x14ac:dyDescent="0.2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  <c r="Y914" s="171"/>
      <c r="Z914" s="171"/>
      <c r="AA914" s="171"/>
      <c r="AB914" s="171"/>
      <c r="AC914" s="171"/>
      <c r="AD914" s="171"/>
      <c r="AE914" s="171"/>
      <c r="AF914" s="171"/>
      <c r="AG914" s="171"/>
      <c r="AH914" s="171"/>
      <c r="AI914" s="171"/>
      <c r="AJ914" s="171"/>
      <c r="AK914" s="171"/>
      <c r="AL914" s="171"/>
      <c r="AM914" s="171"/>
    </row>
    <row r="915" spans="1:39" ht="13.5" customHeight="1" x14ac:dyDescent="0.2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  <c r="Y915" s="171"/>
      <c r="Z915" s="171"/>
      <c r="AA915" s="171"/>
      <c r="AB915" s="171"/>
      <c r="AC915" s="171"/>
      <c r="AD915" s="171"/>
      <c r="AE915" s="171"/>
      <c r="AF915" s="171"/>
      <c r="AG915" s="171"/>
      <c r="AH915" s="171"/>
      <c r="AI915" s="171"/>
      <c r="AJ915" s="171"/>
      <c r="AK915" s="171"/>
      <c r="AL915" s="171"/>
      <c r="AM915" s="171"/>
    </row>
    <row r="916" spans="1:39" ht="13.5" customHeight="1" x14ac:dyDescent="0.2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  <c r="Y916" s="171"/>
      <c r="Z916" s="171"/>
      <c r="AA916" s="171"/>
      <c r="AB916" s="171"/>
      <c r="AC916" s="171"/>
      <c r="AD916" s="171"/>
      <c r="AE916" s="171"/>
      <c r="AF916" s="171"/>
      <c r="AG916" s="171"/>
      <c r="AH916" s="171"/>
      <c r="AI916" s="171"/>
      <c r="AJ916" s="171"/>
      <c r="AK916" s="171"/>
      <c r="AL916" s="171"/>
      <c r="AM916" s="171"/>
    </row>
    <row r="917" spans="1:39" ht="13.5" customHeight="1" x14ac:dyDescent="0.2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  <c r="Y917" s="171"/>
      <c r="Z917" s="171"/>
      <c r="AA917" s="171"/>
      <c r="AB917" s="171"/>
      <c r="AC917" s="171"/>
      <c r="AD917" s="171"/>
      <c r="AE917" s="171"/>
      <c r="AF917" s="171"/>
      <c r="AG917" s="171"/>
      <c r="AH917" s="171"/>
      <c r="AI917" s="171"/>
      <c r="AJ917" s="171"/>
      <c r="AK917" s="171"/>
      <c r="AL917" s="171"/>
      <c r="AM917" s="171"/>
    </row>
    <row r="918" spans="1:39" ht="13.5" customHeight="1" x14ac:dyDescent="0.2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  <c r="Y918" s="171"/>
      <c r="Z918" s="171"/>
      <c r="AA918" s="171"/>
      <c r="AB918" s="171"/>
      <c r="AC918" s="171"/>
      <c r="AD918" s="171"/>
      <c r="AE918" s="171"/>
      <c r="AF918" s="171"/>
      <c r="AG918" s="171"/>
      <c r="AH918" s="171"/>
      <c r="AI918" s="171"/>
      <c r="AJ918" s="171"/>
      <c r="AK918" s="171"/>
      <c r="AL918" s="171"/>
      <c r="AM918" s="171"/>
    </row>
    <row r="919" spans="1:39" ht="13.5" customHeight="1" x14ac:dyDescent="0.2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  <c r="Y919" s="171"/>
      <c r="Z919" s="171"/>
      <c r="AA919" s="171"/>
      <c r="AB919" s="171"/>
      <c r="AC919" s="171"/>
      <c r="AD919" s="171"/>
      <c r="AE919" s="171"/>
      <c r="AF919" s="171"/>
      <c r="AG919" s="171"/>
      <c r="AH919" s="171"/>
      <c r="AI919" s="171"/>
      <c r="AJ919" s="171"/>
      <c r="AK919" s="171"/>
      <c r="AL919" s="171"/>
      <c r="AM919" s="171"/>
    </row>
    <row r="920" spans="1:39" ht="13.5" customHeight="1" x14ac:dyDescent="0.2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  <c r="Y920" s="171"/>
      <c r="Z920" s="171"/>
      <c r="AA920" s="171"/>
      <c r="AB920" s="171"/>
      <c r="AC920" s="171"/>
      <c r="AD920" s="171"/>
      <c r="AE920" s="171"/>
      <c r="AF920" s="171"/>
      <c r="AG920" s="171"/>
      <c r="AH920" s="171"/>
      <c r="AI920" s="171"/>
      <c r="AJ920" s="171"/>
      <c r="AK920" s="171"/>
      <c r="AL920" s="171"/>
      <c r="AM920" s="171"/>
    </row>
    <row r="921" spans="1:39" ht="13.5" customHeight="1" x14ac:dyDescent="0.2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  <c r="Y921" s="171"/>
      <c r="Z921" s="171"/>
      <c r="AA921" s="171"/>
      <c r="AB921" s="171"/>
      <c r="AC921" s="171"/>
      <c r="AD921" s="171"/>
      <c r="AE921" s="171"/>
      <c r="AF921" s="171"/>
      <c r="AG921" s="171"/>
      <c r="AH921" s="171"/>
      <c r="AI921" s="171"/>
      <c r="AJ921" s="171"/>
      <c r="AK921" s="171"/>
      <c r="AL921" s="171"/>
      <c r="AM921" s="171"/>
    </row>
    <row r="922" spans="1:39" ht="13.5" customHeight="1" x14ac:dyDescent="0.2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  <c r="Y922" s="171"/>
      <c r="Z922" s="171"/>
      <c r="AA922" s="171"/>
      <c r="AB922" s="171"/>
      <c r="AC922" s="171"/>
      <c r="AD922" s="171"/>
      <c r="AE922" s="171"/>
      <c r="AF922" s="171"/>
      <c r="AG922" s="171"/>
      <c r="AH922" s="171"/>
      <c r="AI922" s="171"/>
      <c r="AJ922" s="171"/>
      <c r="AK922" s="171"/>
      <c r="AL922" s="171"/>
      <c r="AM922" s="171"/>
    </row>
    <row r="923" spans="1:39" ht="13.5" customHeight="1" x14ac:dyDescent="0.2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  <c r="Y923" s="171"/>
      <c r="Z923" s="171"/>
      <c r="AA923" s="171"/>
      <c r="AB923" s="171"/>
      <c r="AC923" s="171"/>
      <c r="AD923" s="171"/>
      <c r="AE923" s="171"/>
      <c r="AF923" s="171"/>
      <c r="AG923" s="171"/>
      <c r="AH923" s="171"/>
      <c r="AI923" s="171"/>
      <c r="AJ923" s="171"/>
      <c r="AK923" s="171"/>
      <c r="AL923" s="171"/>
      <c r="AM923" s="171"/>
    </row>
    <row r="924" spans="1:39" ht="13.5" customHeight="1" x14ac:dyDescent="0.2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  <c r="Y924" s="171"/>
      <c r="Z924" s="171"/>
      <c r="AA924" s="171"/>
      <c r="AB924" s="171"/>
      <c r="AC924" s="171"/>
      <c r="AD924" s="171"/>
      <c r="AE924" s="171"/>
      <c r="AF924" s="171"/>
      <c r="AG924" s="171"/>
      <c r="AH924" s="171"/>
      <c r="AI924" s="171"/>
      <c r="AJ924" s="171"/>
      <c r="AK924" s="171"/>
      <c r="AL924" s="171"/>
      <c r="AM924" s="171"/>
    </row>
    <row r="925" spans="1:39" ht="13.5" customHeight="1" x14ac:dyDescent="0.2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  <c r="Y925" s="171"/>
      <c r="Z925" s="171"/>
      <c r="AA925" s="171"/>
      <c r="AB925" s="171"/>
      <c r="AC925" s="171"/>
      <c r="AD925" s="171"/>
      <c r="AE925" s="171"/>
      <c r="AF925" s="171"/>
      <c r="AG925" s="171"/>
      <c r="AH925" s="171"/>
      <c r="AI925" s="171"/>
      <c r="AJ925" s="171"/>
      <c r="AK925" s="171"/>
      <c r="AL925" s="171"/>
      <c r="AM925" s="171"/>
    </row>
    <row r="926" spans="1:39" ht="13.5" customHeight="1" x14ac:dyDescent="0.2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  <c r="Y926" s="171"/>
      <c r="Z926" s="171"/>
      <c r="AA926" s="171"/>
      <c r="AB926" s="171"/>
      <c r="AC926" s="171"/>
      <c r="AD926" s="171"/>
      <c r="AE926" s="171"/>
      <c r="AF926" s="171"/>
      <c r="AG926" s="171"/>
      <c r="AH926" s="171"/>
      <c r="AI926" s="171"/>
      <c r="AJ926" s="171"/>
      <c r="AK926" s="171"/>
      <c r="AL926" s="171"/>
      <c r="AM926" s="171"/>
    </row>
    <row r="927" spans="1:39" ht="13.5" customHeight="1" x14ac:dyDescent="0.2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  <c r="Y927" s="171"/>
      <c r="Z927" s="171"/>
      <c r="AA927" s="171"/>
      <c r="AB927" s="171"/>
      <c r="AC927" s="171"/>
      <c r="AD927" s="171"/>
      <c r="AE927" s="171"/>
      <c r="AF927" s="171"/>
      <c r="AG927" s="171"/>
      <c r="AH927" s="171"/>
      <c r="AI927" s="171"/>
      <c r="AJ927" s="171"/>
      <c r="AK927" s="171"/>
      <c r="AL927" s="171"/>
      <c r="AM927" s="171"/>
    </row>
    <row r="928" spans="1:39" ht="13.5" customHeight="1" x14ac:dyDescent="0.2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  <c r="Y928" s="171"/>
      <c r="Z928" s="171"/>
      <c r="AA928" s="171"/>
      <c r="AB928" s="171"/>
      <c r="AC928" s="171"/>
      <c r="AD928" s="171"/>
      <c r="AE928" s="171"/>
      <c r="AF928" s="171"/>
      <c r="AG928" s="171"/>
      <c r="AH928" s="171"/>
      <c r="AI928" s="171"/>
      <c r="AJ928" s="171"/>
      <c r="AK928" s="171"/>
      <c r="AL928" s="171"/>
      <c r="AM928" s="171"/>
    </row>
    <row r="929" spans="1:39" ht="13.5" customHeight="1" x14ac:dyDescent="0.2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  <c r="Y929" s="171"/>
      <c r="Z929" s="171"/>
      <c r="AA929" s="171"/>
      <c r="AB929" s="171"/>
      <c r="AC929" s="171"/>
      <c r="AD929" s="171"/>
      <c r="AE929" s="171"/>
      <c r="AF929" s="171"/>
      <c r="AG929" s="171"/>
      <c r="AH929" s="171"/>
      <c r="AI929" s="171"/>
      <c r="AJ929" s="171"/>
      <c r="AK929" s="171"/>
      <c r="AL929" s="171"/>
      <c r="AM929" s="171"/>
    </row>
    <row r="930" spans="1:39" ht="13.5" customHeight="1" x14ac:dyDescent="0.2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  <c r="Y930" s="171"/>
      <c r="Z930" s="171"/>
      <c r="AA930" s="171"/>
      <c r="AB930" s="171"/>
      <c r="AC930" s="171"/>
      <c r="AD930" s="171"/>
      <c r="AE930" s="171"/>
      <c r="AF930" s="171"/>
      <c r="AG930" s="171"/>
      <c r="AH930" s="171"/>
      <c r="AI930" s="171"/>
      <c r="AJ930" s="171"/>
      <c r="AK930" s="171"/>
      <c r="AL930" s="171"/>
      <c r="AM930" s="171"/>
    </row>
    <row r="931" spans="1:39" ht="13.5" customHeight="1" x14ac:dyDescent="0.2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  <c r="Y931" s="171"/>
      <c r="Z931" s="171"/>
      <c r="AA931" s="171"/>
      <c r="AB931" s="171"/>
      <c r="AC931" s="171"/>
      <c r="AD931" s="171"/>
      <c r="AE931" s="171"/>
      <c r="AF931" s="171"/>
      <c r="AG931" s="171"/>
      <c r="AH931" s="171"/>
      <c r="AI931" s="171"/>
      <c r="AJ931" s="171"/>
      <c r="AK931" s="171"/>
      <c r="AL931" s="171"/>
      <c r="AM931" s="171"/>
    </row>
    <row r="932" spans="1:39" ht="13.5" customHeight="1" x14ac:dyDescent="0.2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  <c r="Y932" s="171"/>
      <c r="Z932" s="171"/>
      <c r="AA932" s="171"/>
      <c r="AB932" s="171"/>
      <c r="AC932" s="171"/>
      <c r="AD932" s="171"/>
      <c r="AE932" s="171"/>
      <c r="AF932" s="171"/>
      <c r="AG932" s="171"/>
      <c r="AH932" s="171"/>
      <c r="AI932" s="171"/>
      <c r="AJ932" s="171"/>
      <c r="AK932" s="171"/>
      <c r="AL932" s="171"/>
      <c r="AM932" s="171"/>
    </row>
    <row r="933" spans="1:39" ht="13.5" customHeight="1" x14ac:dyDescent="0.2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  <c r="Y933" s="171"/>
      <c r="Z933" s="171"/>
      <c r="AA933" s="171"/>
      <c r="AB933" s="171"/>
      <c r="AC933" s="171"/>
      <c r="AD933" s="171"/>
      <c r="AE933" s="171"/>
      <c r="AF933" s="171"/>
      <c r="AG933" s="171"/>
      <c r="AH933" s="171"/>
      <c r="AI933" s="171"/>
      <c r="AJ933" s="171"/>
      <c r="AK933" s="171"/>
      <c r="AL933" s="171"/>
      <c r="AM933" s="171"/>
    </row>
    <row r="934" spans="1:39" ht="13.5" customHeight="1" x14ac:dyDescent="0.2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  <c r="Y934" s="171"/>
      <c r="Z934" s="171"/>
      <c r="AA934" s="171"/>
      <c r="AB934" s="171"/>
      <c r="AC934" s="171"/>
      <c r="AD934" s="171"/>
      <c r="AE934" s="171"/>
      <c r="AF934" s="171"/>
      <c r="AG934" s="171"/>
      <c r="AH934" s="171"/>
      <c r="AI934" s="171"/>
      <c r="AJ934" s="171"/>
      <c r="AK934" s="171"/>
      <c r="AL934" s="171"/>
      <c r="AM934" s="171"/>
    </row>
    <row r="935" spans="1:39" ht="13.5" customHeight="1" x14ac:dyDescent="0.2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  <c r="Y935" s="171"/>
      <c r="Z935" s="171"/>
      <c r="AA935" s="171"/>
      <c r="AB935" s="171"/>
      <c r="AC935" s="171"/>
      <c r="AD935" s="171"/>
      <c r="AE935" s="171"/>
      <c r="AF935" s="171"/>
      <c r="AG935" s="171"/>
      <c r="AH935" s="171"/>
      <c r="AI935" s="171"/>
      <c r="AJ935" s="171"/>
      <c r="AK935" s="171"/>
      <c r="AL935" s="171"/>
      <c r="AM935" s="171"/>
    </row>
    <row r="936" spans="1:39" ht="13.5" customHeight="1" x14ac:dyDescent="0.2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  <c r="Y936" s="171"/>
      <c r="Z936" s="171"/>
      <c r="AA936" s="171"/>
      <c r="AB936" s="171"/>
      <c r="AC936" s="171"/>
      <c r="AD936" s="171"/>
      <c r="AE936" s="171"/>
      <c r="AF936" s="171"/>
      <c r="AG936" s="171"/>
      <c r="AH936" s="171"/>
      <c r="AI936" s="171"/>
      <c r="AJ936" s="171"/>
      <c r="AK936" s="171"/>
      <c r="AL936" s="171"/>
      <c r="AM936" s="171"/>
    </row>
    <row r="937" spans="1:39" ht="13.5" customHeight="1" x14ac:dyDescent="0.2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  <c r="Y937" s="171"/>
      <c r="Z937" s="171"/>
      <c r="AA937" s="171"/>
      <c r="AB937" s="171"/>
      <c r="AC937" s="171"/>
      <c r="AD937" s="171"/>
      <c r="AE937" s="171"/>
      <c r="AF937" s="171"/>
      <c r="AG937" s="171"/>
      <c r="AH937" s="171"/>
      <c r="AI937" s="171"/>
      <c r="AJ937" s="171"/>
      <c r="AK937" s="171"/>
      <c r="AL937" s="171"/>
      <c r="AM937" s="171"/>
    </row>
    <row r="938" spans="1:39" ht="13.5" customHeight="1" x14ac:dyDescent="0.2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  <c r="Y938" s="171"/>
      <c r="Z938" s="171"/>
      <c r="AA938" s="171"/>
      <c r="AB938" s="171"/>
      <c r="AC938" s="171"/>
      <c r="AD938" s="171"/>
      <c r="AE938" s="171"/>
      <c r="AF938" s="171"/>
      <c r="AG938" s="171"/>
      <c r="AH938" s="171"/>
      <c r="AI938" s="171"/>
      <c r="AJ938" s="171"/>
      <c r="AK938" s="171"/>
      <c r="AL938" s="171"/>
      <c r="AM938" s="171"/>
    </row>
    <row r="939" spans="1:39" ht="13.5" customHeight="1" x14ac:dyDescent="0.2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  <c r="Y939" s="171"/>
      <c r="Z939" s="171"/>
      <c r="AA939" s="171"/>
      <c r="AB939" s="171"/>
      <c r="AC939" s="171"/>
      <c r="AD939" s="171"/>
      <c r="AE939" s="171"/>
      <c r="AF939" s="171"/>
      <c r="AG939" s="171"/>
      <c r="AH939" s="171"/>
      <c r="AI939" s="171"/>
      <c r="AJ939" s="171"/>
      <c r="AK939" s="171"/>
      <c r="AL939" s="171"/>
      <c r="AM939" s="171"/>
    </row>
    <row r="940" spans="1:39" ht="13.5" customHeight="1" x14ac:dyDescent="0.2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  <c r="Y940" s="171"/>
      <c r="Z940" s="171"/>
      <c r="AA940" s="171"/>
      <c r="AB940" s="171"/>
      <c r="AC940" s="171"/>
      <c r="AD940" s="171"/>
      <c r="AE940" s="171"/>
      <c r="AF940" s="171"/>
      <c r="AG940" s="171"/>
      <c r="AH940" s="171"/>
      <c r="AI940" s="171"/>
      <c r="AJ940" s="171"/>
      <c r="AK940" s="171"/>
      <c r="AL940" s="171"/>
      <c r="AM940" s="171"/>
    </row>
    <row r="941" spans="1:39" ht="13.5" customHeight="1" x14ac:dyDescent="0.2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  <c r="Y941" s="171"/>
      <c r="Z941" s="171"/>
      <c r="AA941" s="171"/>
      <c r="AB941" s="171"/>
      <c r="AC941" s="171"/>
      <c r="AD941" s="171"/>
      <c r="AE941" s="171"/>
      <c r="AF941" s="171"/>
      <c r="AG941" s="171"/>
      <c r="AH941" s="171"/>
      <c r="AI941" s="171"/>
      <c r="AJ941" s="171"/>
      <c r="AK941" s="171"/>
      <c r="AL941" s="171"/>
      <c r="AM941" s="171"/>
    </row>
    <row r="942" spans="1:39" ht="13.5" customHeight="1" x14ac:dyDescent="0.2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  <c r="Y942" s="171"/>
      <c r="Z942" s="171"/>
      <c r="AA942" s="171"/>
      <c r="AB942" s="171"/>
      <c r="AC942" s="171"/>
      <c r="AD942" s="171"/>
      <c r="AE942" s="171"/>
      <c r="AF942" s="171"/>
      <c r="AG942" s="171"/>
      <c r="AH942" s="171"/>
      <c r="AI942" s="171"/>
      <c r="AJ942" s="171"/>
      <c r="AK942" s="171"/>
      <c r="AL942" s="171"/>
      <c r="AM942" s="171"/>
    </row>
    <row r="943" spans="1:39" ht="13.5" customHeight="1" x14ac:dyDescent="0.2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  <c r="Y943" s="171"/>
      <c r="Z943" s="171"/>
      <c r="AA943" s="171"/>
      <c r="AB943" s="171"/>
      <c r="AC943" s="171"/>
      <c r="AD943" s="171"/>
      <c r="AE943" s="171"/>
      <c r="AF943" s="171"/>
      <c r="AG943" s="171"/>
      <c r="AH943" s="171"/>
      <c r="AI943" s="171"/>
      <c r="AJ943" s="171"/>
      <c r="AK943" s="171"/>
      <c r="AL943" s="171"/>
      <c r="AM943" s="171"/>
    </row>
    <row r="944" spans="1:39" ht="13.5" customHeight="1" x14ac:dyDescent="0.2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  <c r="Y944" s="171"/>
      <c r="Z944" s="171"/>
      <c r="AA944" s="171"/>
      <c r="AB944" s="171"/>
      <c r="AC944" s="171"/>
      <c r="AD944" s="171"/>
      <c r="AE944" s="171"/>
      <c r="AF944" s="171"/>
      <c r="AG944" s="171"/>
      <c r="AH944" s="171"/>
      <c r="AI944" s="171"/>
      <c r="AJ944" s="171"/>
      <c r="AK944" s="171"/>
      <c r="AL944" s="171"/>
      <c r="AM944" s="171"/>
    </row>
    <row r="945" spans="1:39" ht="13.5" customHeight="1" x14ac:dyDescent="0.2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  <c r="Y945" s="171"/>
      <c r="Z945" s="171"/>
      <c r="AA945" s="171"/>
      <c r="AB945" s="171"/>
      <c r="AC945" s="171"/>
      <c r="AD945" s="171"/>
      <c r="AE945" s="171"/>
      <c r="AF945" s="171"/>
      <c r="AG945" s="171"/>
      <c r="AH945" s="171"/>
      <c r="AI945" s="171"/>
      <c r="AJ945" s="171"/>
      <c r="AK945" s="171"/>
      <c r="AL945" s="171"/>
      <c r="AM945" s="171"/>
    </row>
    <row r="946" spans="1:39" ht="13.5" customHeight="1" x14ac:dyDescent="0.2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  <c r="Y946" s="171"/>
      <c r="Z946" s="171"/>
      <c r="AA946" s="171"/>
      <c r="AB946" s="171"/>
      <c r="AC946" s="171"/>
      <c r="AD946" s="171"/>
      <c r="AE946" s="171"/>
      <c r="AF946" s="171"/>
      <c r="AG946" s="171"/>
      <c r="AH946" s="171"/>
      <c r="AI946" s="171"/>
      <c r="AJ946" s="171"/>
      <c r="AK946" s="171"/>
      <c r="AL946" s="171"/>
      <c r="AM946" s="171"/>
    </row>
    <row r="947" spans="1:39" ht="13.5" customHeight="1" x14ac:dyDescent="0.2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  <c r="Y947" s="171"/>
      <c r="Z947" s="171"/>
      <c r="AA947" s="171"/>
      <c r="AB947" s="171"/>
      <c r="AC947" s="171"/>
      <c r="AD947" s="171"/>
      <c r="AE947" s="171"/>
      <c r="AF947" s="171"/>
      <c r="AG947" s="171"/>
      <c r="AH947" s="171"/>
      <c r="AI947" s="171"/>
      <c r="AJ947" s="171"/>
      <c r="AK947" s="171"/>
      <c r="AL947" s="171"/>
      <c r="AM947" s="171"/>
    </row>
    <row r="948" spans="1:39" ht="13.5" customHeight="1" x14ac:dyDescent="0.2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  <c r="Y948" s="171"/>
      <c r="Z948" s="171"/>
      <c r="AA948" s="171"/>
      <c r="AB948" s="171"/>
      <c r="AC948" s="171"/>
      <c r="AD948" s="171"/>
      <c r="AE948" s="171"/>
      <c r="AF948" s="171"/>
      <c r="AG948" s="171"/>
      <c r="AH948" s="171"/>
      <c r="AI948" s="171"/>
      <c r="AJ948" s="171"/>
      <c r="AK948" s="171"/>
      <c r="AL948" s="171"/>
      <c r="AM948" s="171"/>
    </row>
    <row r="949" spans="1:39" ht="13.5" customHeight="1" x14ac:dyDescent="0.2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  <c r="Y949" s="171"/>
      <c r="Z949" s="171"/>
      <c r="AA949" s="171"/>
      <c r="AB949" s="171"/>
      <c r="AC949" s="171"/>
      <c r="AD949" s="171"/>
      <c r="AE949" s="171"/>
      <c r="AF949" s="171"/>
      <c r="AG949" s="171"/>
      <c r="AH949" s="171"/>
      <c r="AI949" s="171"/>
      <c r="AJ949" s="171"/>
      <c r="AK949" s="171"/>
      <c r="AL949" s="171"/>
      <c r="AM949" s="171"/>
    </row>
    <row r="950" spans="1:39" ht="13.5" customHeight="1" x14ac:dyDescent="0.2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  <c r="Y950" s="171"/>
      <c r="Z950" s="171"/>
      <c r="AA950" s="171"/>
      <c r="AB950" s="171"/>
      <c r="AC950" s="171"/>
      <c r="AD950" s="171"/>
      <c r="AE950" s="171"/>
      <c r="AF950" s="171"/>
      <c r="AG950" s="171"/>
      <c r="AH950" s="171"/>
      <c r="AI950" s="171"/>
      <c r="AJ950" s="171"/>
      <c r="AK950" s="171"/>
      <c r="AL950" s="171"/>
      <c r="AM950" s="171"/>
    </row>
    <row r="951" spans="1:39" ht="13.5" customHeight="1" x14ac:dyDescent="0.2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  <c r="Y951" s="171"/>
      <c r="Z951" s="171"/>
      <c r="AA951" s="171"/>
      <c r="AB951" s="171"/>
      <c r="AC951" s="171"/>
      <c r="AD951" s="171"/>
      <c r="AE951" s="171"/>
      <c r="AF951" s="171"/>
      <c r="AG951" s="171"/>
      <c r="AH951" s="171"/>
      <c r="AI951" s="171"/>
      <c r="AJ951" s="171"/>
      <c r="AK951" s="171"/>
      <c r="AL951" s="171"/>
      <c r="AM951" s="171"/>
    </row>
    <row r="952" spans="1:39" ht="13.5" customHeight="1" x14ac:dyDescent="0.2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  <c r="Y952" s="171"/>
      <c r="Z952" s="171"/>
      <c r="AA952" s="171"/>
      <c r="AB952" s="171"/>
      <c r="AC952" s="171"/>
      <c r="AD952" s="171"/>
      <c r="AE952" s="171"/>
      <c r="AF952" s="171"/>
      <c r="AG952" s="171"/>
      <c r="AH952" s="171"/>
      <c r="AI952" s="171"/>
      <c r="AJ952" s="171"/>
      <c r="AK952" s="171"/>
      <c r="AL952" s="171"/>
      <c r="AM952" s="171"/>
    </row>
    <row r="953" spans="1:39" ht="13.5" customHeight="1" x14ac:dyDescent="0.2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  <c r="Y953" s="171"/>
      <c r="Z953" s="171"/>
      <c r="AA953" s="171"/>
      <c r="AB953" s="171"/>
      <c r="AC953" s="171"/>
      <c r="AD953" s="171"/>
      <c r="AE953" s="171"/>
      <c r="AF953" s="171"/>
      <c r="AG953" s="171"/>
      <c r="AH953" s="171"/>
      <c r="AI953" s="171"/>
      <c r="AJ953" s="171"/>
      <c r="AK953" s="171"/>
      <c r="AL953" s="171"/>
      <c r="AM953" s="171"/>
    </row>
    <row r="954" spans="1:39" ht="13.5" customHeight="1" x14ac:dyDescent="0.2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  <c r="Y954" s="171"/>
      <c r="Z954" s="171"/>
      <c r="AA954" s="171"/>
      <c r="AB954" s="171"/>
      <c r="AC954" s="171"/>
      <c r="AD954" s="171"/>
      <c r="AE954" s="171"/>
      <c r="AF954" s="171"/>
      <c r="AG954" s="171"/>
      <c r="AH954" s="171"/>
      <c r="AI954" s="171"/>
      <c r="AJ954" s="171"/>
      <c r="AK954" s="171"/>
      <c r="AL954" s="171"/>
      <c r="AM954" s="171"/>
    </row>
    <row r="955" spans="1:39" ht="13.5" customHeight="1" x14ac:dyDescent="0.2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  <c r="Y955" s="171"/>
      <c r="Z955" s="171"/>
      <c r="AA955" s="171"/>
      <c r="AB955" s="171"/>
      <c r="AC955" s="171"/>
      <c r="AD955" s="171"/>
      <c r="AE955" s="171"/>
      <c r="AF955" s="171"/>
      <c r="AG955" s="171"/>
      <c r="AH955" s="171"/>
      <c r="AI955" s="171"/>
      <c r="AJ955" s="171"/>
      <c r="AK955" s="171"/>
      <c r="AL955" s="171"/>
      <c r="AM955" s="171"/>
    </row>
    <row r="956" spans="1:39" ht="13.5" customHeight="1" x14ac:dyDescent="0.2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  <c r="Y956" s="171"/>
      <c r="Z956" s="171"/>
      <c r="AA956" s="171"/>
      <c r="AB956" s="171"/>
      <c r="AC956" s="171"/>
      <c r="AD956" s="171"/>
      <c r="AE956" s="171"/>
      <c r="AF956" s="171"/>
      <c r="AG956" s="171"/>
      <c r="AH956" s="171"/>
      <c r="AI956" s="171"/>
      <c r="AJ956" s="171"/>
      <c r="AK956" s="171"/>
      <c r="AL956" s="171"/>
      <c r="AM956" s="171"/>
    </row>
    <row r="957" spans="1:39" ht="13.5" customHeight="1" x14ac:dyDescent="0.2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  <c r="Y957" s="171"/>
      <c r="Z957" s="171"/>
      <c r="AA957" s="171"/>
      <c r="AB957" s="171"/>
      <c r="AC957" s="171"/>
      <c r="AD957" s="171"/>
      <c r="AE957" s="171"/>
      <c r="AF957" s="171"/>
      <c r="AG957" s="171"/>
      <c r="AH957" s="171"/>
      <c r="AI957" s="171"/>
      <c r="AJ957" s="171"/>
      <c r="AK957" s="171"/>
      <c r="AL957" s="171"/>
      <c r="AM957" s="171"/>
    </row>
    <row r="958" spans="1:39" ht="13.5" customHeight="1" x14ac:dyDescent="0.2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  <c r="Y958" s="171"/>
      <c r="Z958" s="171"/>
      <c r="AA958" s="171"/>
      <c r="AB958" s="171"/>
      <c r="AC958" s="171"/>
      <c r="AD958" s="171"/>
      <c r="AE958" s="171"/>
      <c r="AF958" s="171"/>
      <c r="AG958" s="171"/>
      <c r="AH958" s="171"/>
      <c r="AI958" s="171"/>
      <c r="AJ958" s="171"/>
      <c r="AK958" s="171"/>
      <c r="AL958" s="171"/>
      <c r="AM958" s="171"/>
    </row>
    <row r="959" spans="1:39" ht="13.5" customHeight="1" x14ac:dyDescent="0.2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  <c r="Y959" s="171"/>
      <c r="Z959" s="171"/>
      <c r="AA959" s="171"/>
      <c r="AB959" s="171"/>
      <c r="AC959" s="171"/>
      <c r="AD959" s="171"/>
      <c r="AE959" s="171"/>
      <c r="AF959" s="171"/>
      <c r="AG959" s="171"/>
      <c r="AH959" s="171"/>
      <c r="AI959" s="171"/>
      <c r="AJ959" s="171"/>
      <c r="AK959" s="171"/>
      <c r="AL959" s="171"/>
      <c r="AM959" s="171"/>
    </row>
    <row r="960" spans="1:39" ht="13.5" customHeight="1" x14ac:dyDescent="0.2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  <c r="Y960" s="171"/>
      <c r="Z960" s="171"/>
      <c r="AA960" s="171"/>
      <c r="AB960" s="171"/>
      <c r="AC960" s="171"/>
      <c r="AD960" s="171"/>
      <c r="AE960" s="171"/>
      <c r="AF960" s="171"/>
      <c r="AG960" s="171"/>
      <c r="AH960" s="171"/>
      <c r="AI960" s="171"/>
      <c r="AJ960" s="171"/>
      <c r="AK960" s="171"/>
      <c r="AL960" s="171"/>
      <c r="AM960" s="171"/>
    </row>
    <row r="961" spans="1:39" ht="13.5" customHeight="1" x14ac:dyDescent="0.2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  <c r="Y961" s="171"/>
      <c r="Z961" s="171"/>
      <c r="AA961" s="171"/>
      <c r="AB961" s="171"/>
      <c r="AC961" s="171"/>
      <c r="AD961" s="171"/>
      <c r="AE961" s="171"/>
      <c r="AF961" s="171"/>
      <c r="AG961" s="171"/>
      <c r="AH961" s="171"/>
      <c r="AI961" s="171"/>
      <c r="AJ961" s="171"/>
      <c r="AK961" s="171"/>
      <c r="AL961" s="171"/>
      <c r="AM961" s="171"/>
    </row>
    <row r="962" spans="1:39" ht="13.5" customHeight="1" x14ac:dyDescent="0.2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  <c r="Y962" s="171"/>
      <c r="Z962" s="171"/>
      <c r="AA962" s="171"/>
      <c r="AB962" s="171"/>
      <c r="AC962" s="171"/>
      <c r="AD962" s="171"/>
      <c r="AE962" s="171"/>
      <c r="AF962" s="171"/>
      <c r="AG962" s="171"/>
      <c r="AH962" s="171"/>
      <c r="AI962" s="171"/>
      <c r="AJ962" s="171"/>
      <c r="AK962" s="171"/>
      <c r="AL962" s="171"/>
      <c r="AM962" s="171"/>
    </row>
    <row r="963" spans="1:39" ht="13.5" customHeight="1" x14ac:dyDescent="0.2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  <c r="Y963" s="171"/>
      <c r="Z963" s="171"/>
      <c r="AA963" s="171"/>
      <c r="AB963" s="171"/>
      <c r="AC963" s="171"/>
      <c r="AD963" s="171"/>
      <c r="AE963" s="171"/>
      <c r="AF963" s="171"/>
      <c r="AG963" s="171"/>
      <c r="AH963" s="171"/>
      <c r="AI963" s="171"/>
      <c r="AJ963" s="171"/>
      <c r="AK963" s="171"/>
      <c r="AL963" s="171"/>
      <c r="AM963" s="171"/>
    </row>
    <row r="964" spans="1:39" ht="13.5" customHeight="1" x14ac:dyDescent="0.2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  <c r="Y964" s="171"/>
      <c r="Z964" s="171"/>
      <c r="AA964" s="171"/>
      <c r="AB964" s="171"/>
      <c r="AC964" s="171"/>
      <c r="AD964" s="171"/>
      <c r="AE964" s="171"/>
      <c r="AF964" s="171"/>
      <c r="AG964" s="171"/>
      <c r="AH964" s="171"/>
      <c r="AI964" s="171"/>
      <c r="AJ964" s="171"/>
      <c r="AK964" s="171"/>
      <c r="AL964" s="171"/>
      <c r="AM964" s="171"/>
    </row>
    <row r="965" spans="1:39" ht="13.5" customHeight="1" x14ac:dyDescent="0.2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  <c r="Y965" s="171"/>
      <c r="Z965" s="171"/>
      <c r="AA965" s="171"/>
      <c r="AB965" s="171"/>
      <c r="AC965" s="171"/>
      <c r="AD965" s="171"/>
      <c r="AE965" s="171"/>
      <c r="AF965" s="171"/>
      <c r="AG965" s="171"/>
      <c r="AH965" s="171"/>
      <c r="AI965" s="171"/>
      <c r="AJ965" s="171"/>
      <c r="AK965" s="171"/>
      <c r="AL965" s="171"/>
      <c r="AM965" s="171"/>
    </row>
    <row r="966" spans="1:39" ht="13.5" customHeight="1" x14ac:dyDescent="0.2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  <c r="Y966" s="171"/>
      <c r="Z966" s="171"/>
      <c r="AA966" s="171"/>
      <c r="AB966" s="171"/>
      <c r="AC966" s="171"/>
      <c r="AD966" s="171"/>
      <c r="AE966" s="171"/>
      <c r="AF966" s="171"/>
      <c r="AG966" s="171"/>
      <c r="AH966" s="171"/>
      <c r="AI966" s="171"/>
      <c r="AJ966" s="171"/>
      <c r="AK966" s="171"/>
      <c r="AL966" s="171"/>
      <c r="AM966" s="171"/>
    </row>
    <row r="967" spans="1:39" ht="13.5" customHeight="1" x14ac:dyDescent="0.2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  <c r="Y967" s="171"/>
      <c r="Z967" s="171"/>
      <c r="AA967" s="171"/>
      <c r="AB967" s="171"/>
      <c r="AC967" s="171"/>
      <c r="AD967" s="171"/>
      <c r="AE967" s="171"/>
      <c r="AF967" s="171"/>
      <c r="AG967" s="171"/>
      <c r="AH967" s="171"/>
      <c r="AI967" s="171"/>
      <c r="AJ967" s="171"/>
      <c r="AK967" s="171"/>
      <c r="AL967" s="171"/>
      <c r="AM967" s="171"/>
    </row>
    <row r="968" spans="1:39" ht="13.5" customHeight="1" x14ac:dyDescent="0.2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  <c r="Y968" s="171"/>
      <c r="Z968" s="171"/>
      <c r="AA968" s="171"/>
      <c r="AB968" s="171"/>
      <c r="AC968" s="171"/>
      <c r="AD968" s="171"/>
      <c r="AE968" s="171"/>
      <c r="AF968" s="171"/>
      <c r="AG968" s="171"/>
      <c r="AH968" s="171"/>
      <c r="AI968" s="171"/>
      <c r="AJ968" s="171"/>
      <c r="AK968" s="171"/>
      <c r="AL968" s="171"/>
      <c r="AM968" s="171"/>
    </row>
    <row r="969" spans="1:39" ht="13.5" customHeight="1" x14ac:dyDescent="0.2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  <c r="Y969" s="171"/>
      <c r="Z969" s="171"/>
      <c r="AA969" s="171"/>
      <c r="AB969" s="171"/>
      <c r="AC969" s="171"/>
      <c r="AD969" s="171"/>
      <c r="AE969" s="171"/>
      <c r="AF969" s="171"/>
      <c r="AG969" s="171"/>
      <c r="AH969" s="171"/>
      <c r="AI969" s="171"/>
      <c r="AJ969" s="171"/>
      <c r="AK969" s="171"/>
      <c r="AL969" s="171"/>
      <c r="AM969" s="171"/>
    </row>
    <row r="970" spans="1:39" ht="13.5" customHeight="1" x14ac:dyDescent="0.2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  <c r="Y970" s="171"/>
      <c r="Z970" s="171"/>
      <c r="AA970" s="171"/>
      <c r="AB970" s="171"/>
      <c r="AC970" s="171"/>
      <c r="AD970" s="171"/>
      <c r="AE970" s="171"/>
      <c r="AF970" s="171"/>
      <c r="AG970" s="171"/>
      <c r="AH970" s="171"/>
      <c r="AI970" s="171"/>
      <c r="AJ970" s="171"/>
      <c r="AK970" s="171"/>
      <c r="AL970" s="171"/>
      <c r="AM970" s="171"/>
    </row>
    <row r="971" spans="1:39" ht="13.5" customHeight="1" x14ac:dyDescent="0.2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  <c r="Y971" s="171"/>
      <c r="Z971" s="171"/>
      <c r="AA971" s="171"/>
      <c r="AB971" s="171"/>
      <c r="AC971" s="171"/>
      <c r="AD971" s="171"/>
      <c r="AE971" s="171"/>
      <c r="AF971" s="171"/>
      <c r="AG971" s="171"/>
      <c r="AH971" s="171"/>
      <c r="AI971" s="171"/>
      <c r="AJ971" s="171"/>
      <c r="AK971" s="171"/>
      <c r="AL971" s="171"/>
      <c r="AM971" s="171"/>
    </row>
    <row r="972" spans="1:39" ht="13.5" customHeight="1" x14ac:dyDescent="0.2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  <c r="Y972" s="171"/>
      <c r="Z972" s="171"/>
      <c r="AA972" s="171"/>
      <c r="AB972" s="171"/>
      <c r="AC972" s="171"/>
      <c r="AD972" s="171"/>
      <c r="AE972" s="171"/>
      <c r="AF972" s="171"/>
      <c r="AG972" s="171"/>
      <c r="AH972" s="171"/>
      <c r="AI972" s="171"/>
      <c r="AJ972" s="171"/>
      <c r="AK972" s="171"/>
      <c r="AL972" s="171"/>
      <c r="AM972" s="171"/>
    </row>
    <row r="973" spans="1:39" ht="13.5" customHeight="1" x14ac:dyDescent="0.2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  <c r="Y973" s="171"/>
      <c r="Z973" s="171"/>
      <c r="AA973" s="171"/>
      <c r="AB973" s="171"/>
      <c r="AC973" s="171"/>
      <c r="AD973" s="171"/>
      <c r="AE973" s="171"/>
      <c r="AF973" s="171"/>
      <c r="AG973" s="171"/>
      <c r="AH973" s="171"/>
      <c r="AI973" s="171"/>
      <c r="AJ973" s="171"/>
      <c r="AK973" s="171"/>
      <c r="AL973" s="171"/>
      <c r="AM973" s="171"/>
    </row>
    <row r="974" spans="1:39" ht="13.5" customHeight="1" x14ac:dyDescent="0.2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  <c r="Y974" s="171"/>
      <c r="Z974" s="171"/>
      <c r="AA974" s="171"/>
      <c r="AB974" s="171"/>
      <c r="AC974" s="171"/>
      <c r="AD974" s="171"/>
      <c r="AE974" s="171"/>
      <c r="AF974" s="171"/>
      <c r="AG974" s="171"/>
      <c r="AH974" s="171"/>
      <c r="AI974" s="171"/>
      <c r="AJ974" s="171"/>
      <c r="AK974" s="171"/>
      <c r="AL974" s="171"/>
      <c r="AM974" s="171"/>
    </row>
    <row r="975" spans="1:39" ht="13.5" customHeight="1" x14ac:dyDescent="0.2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  <c r="Y975" s="171"/>
      <c r="Z975" s="171"/>
      <c r="AA975" s="171"/>
      <c r="AB975" s="171"/>
      <c r="AC975" s="171"/>
      <c r="AD975" s="171"/>
      <c r="AE975" s="171"/>
      <c r="AF975" s="171"/>
      <c r="AG975" s="171"/>
      <c r="AH975" s="171"/>
      <c r="AI975" s="171"/>
      <c r="AJ975" s="171"/>
      <c r="AK975" s="171"/>
      <c r="AL975" s="171"/>
      <c r="AM975" s="171"/>
    </row>
    <row r="976" spans="1:39" ht="13.5" customHeight="1" x14ac:dyDescent="0.2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  <c r="Y976" s="171"/>
      <c r="Z976" s="171"/>
      <c r="AA976" s="171"/>
      <c r="AB976" s="171"/>
      <c r="AC976" s="171"/>
      <c r="AD976" s="171"/>
      <c r="AE976" s="171"/>
      <c r="AF976" s="171"/>
      <c r="AG976" s="171"/>
      <c r="AH976" s="171"/>
      <c r="AI976" s="171"/>
      <c r="AJ976" s="171"/>
      <c r="AK976" s="171"/>
      <c r="AL976" s="171"/>
      <c r="AM976" s="171"/>
    </row>
    <row r="977" spans="1:39" ht="13.5" customHeight="1" x14ac:dyDescent="0.2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  <c r="Y977" s="171"/>
      <c r="Z977" s="171"/>
      <c r="AA977" s="171"/>
      <c r="AB977" s="171"/>
      <c r="AC977" s="171"/>
      <c r="AD977" s="171"/>
      <c r="AE977" s="171"/>
      <c r="AF977" s="171"/>
      <c r="AG977" s="171"/>
      <c r="AH977" s="171"/>
      <c r="AI977" s="171"/>
      <c r="AJ977" s="171"/>
      <c r="AK977" s="171"/>
      <c r="AL977" s="171"/>
      <c r="AM977" s="171"/>
    </row>
    <row r="978" spans="1:39" ht="13.5" customHeight="1" x14ac:dyDescent="0.2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  <c r="Y978" s="171"/>
      <c r="Z978" s="171"/>
      <c r="AA978" s="171"/>
      <c r="AB978" s="171"/>
      <c r="AC978" s="171"/>
      <c r="AD978" s="171"/>
      <c r="AE978" s="171"/>
      <c r="AF978" s="171"/>
      <c r="AG978" s="171"/>
      <c r="AH978" s="171"/>
      <c r="AI978" s="171"/>
      <c r="AJ978" s="171"/>
      <c r="AK978" s="171"/>
      <c r="AL978" s="171"/>
      <c r="AM978" s="171"/>
    </row>
    <row r="979" spans="1:39" ht="13.5" customHeight="1" x14ac:dyDescent="0.2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  <c r="Y979" s="171"/>
      <c r="Z979" s="171"/>
      <c r="AA979" s="171"/>
      <c r="AB979" s="171"/>
      <c r="AC979" s="171"/>
      <c r="AD979" s="171"/>
      <c r="AE979" s="171"/>
      <c r="AF979" s="171"/>
      <c r="AG979" s="171"/>
      <c r="AH979" s="171"/>
      <c r="AI979" s="171"/>
      <c r="AJ979" s="171"/>
      <c r="AK979" s="171"/>
      <c r="AL979" s="171"/>
      <c r="AM979" s="171"/>
    </row>
    <row r="980" spans="1:39" ht="13.5" customHeight="1" x14ac:dyDescent="0.2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  <c r="Y980" s="171"/>
      <c r="Z980" s="171"/>
      <c r="AA980" s="171"/>
      <c r="AB980" s="171"/>
      <c r="AC980" s="171"/>
      <c r="AD980" s="171"/>
      <c r="AE980" s="171"/>
      <c r="AF980" s="171"/>
      <c r="AG980" s="171"/>
      <c r="AH980" s="171"/>
      <c r="AI980" s="171"/>
      <c r="AJ980" s="171"/>
      <c r="AK980" s="171"/>
      <c r="AL980" s="171"/>
      <c r="AM980" s="171"/>
    </row>
    <row r="981" spans="1:39" ht="13.5" customHeight="1" x14ac:dyDescent="0.2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  <c r="Y981" s="171"/>
      <c r="Z981" s="171"/>
      <c r="AA981" s="171"/>
      <c r="AB981" s="171"/>
      <c r="AC981" s="171"/>
      <c r="AD981" s="171"/>
      <c r="AE981" s="171"/>
      <c r="AF981" s="171"/>
      <c r="AG981" s="171"/>
      <c r="AH981" s="171"/>
      <c r="AI981" s="171"/>
      <c r="AJ981" s="171"/>
      <c r="AK981" s="171"/>
      <c r="AL981" s="171"/>
      <c r="AM981" s="171"/>
    </row>
    <row r="982" spans="1:39" ht="13.5" customHeight="1" x14ac:dyDescent="0.2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  <c r="Y982" s="171"/>
      <c r="Z982" s="171"/>
      <c r="AA982" s="171"/>
      <c r="AB982" s="171"/>
      <c r="AC982" s="171"/>
      <c r="AD982" s="171"/>
      <c r="AE982" s="171"/>
      <c r="AF982" s="171"/>
      <c r="AG982" s="171"/>
      <c r="AH982" s="171"/>
      <c r="AI982" s="171"/>
      <c r="AJ982" s="171"/>
      <c r="AK982" s="171"/>
      <c r="AL982" s="171"/>
      <c r="AM982" s="171"/>
    </row>
    <row r="983" spans="1:39" ht="13.5" customHeight="1" x14ac:dyDescent="0.2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  <c r="Y983" s="171"/>
      <c r="Z983" s="171"/>
      <c r="AA983" s="171"/>
      <c r="AB983" s="171"/>
      <c r="AC983" s="171"/>
      <c r="AD983" s="171"/>
      <c r="AE983" s="171"/>
      <c r="AF983" s="171"/>
      <c r="AG983" s="171"/>
      <c r="AH983" s="171"/>
      <c r="AI983" s="171"/>
      <c r="AJ983" s="171"/>
      <c r="AK983" s="171"/>
      <c r="AL983" s="171"/>
      <c r="AM983" s="171"/>
    </row>
    <row r="984" spans="1:39" ht="13.5" customHeight="1" x14ac:dyDescent="0.2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  <c r="Y984" s="171"/>
      <c r="Z984" s="171"/>
      <c r="AA984" s="171"/>
      <c r="AB984" s="171"/>
      <c r="AC984" s="171"/>
      <c r="AD984" s="171"/>
      <c r="AE984" s="171"/>
      <c r="AF984" s="171"/>
      <c r="AG984" s="171"/>
      <c r="AH984" s="171"/>
      <c r="AI984" s="171"/>
      <c r="AJ984" s="171"/>
      <c r="AK984" s="171"/>
      <c r="AL984" s="171"/>
      <c r="AM984" s="171"/>
    </row>
    <row r="985" spans="1:39" ht="13.5" customHeight="1" x14ac:dyDescent="0.2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  <c r="Y985" s="171"/>
      <c r="Z985" s="171"/>
      <c r="AA985" s="171"/>
      <c r="AB985" s="171"/>
      <c r="AC985" s="171"/>
      <c r="AD985" s="171"/>
      <c r="AE985" s="171"/>
      <c r="AF985" s="171"/>
      <c r="AG985" s="171"/>
      <c r="AH985" s="171"/>
      <c r="AI985" s="171"/>
      <c r="AJ985" s="171"/>
      <c r="AK985" s="171"/>
      <c r="AL985" s="171"/>
      <c r="AM985" s="171"/>
    </row>
    <row r="986" spans="1:39" ht="13.5" customHeight="1" x14ac:dyDescent="0.2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  <c r="Y986" s="171"/>
      <c r="Z986" s="171"/>
      <c r="AA986" s="171"/>
      <c r="AB986" s="171"/>
      <c r="AC986" s="171"/>
      <c r="AD986" s="171"/>
      <c r="AE986" s="171"/>
      <c r="AF986" s="171"/>
      <c r="AG986" s="171"/>
      <c r="AH986" s="171"/>
      <c r="AI986" s="171"/>
      <c r="AJ986" s="171"/>
      <c r="AK986" s="171"/>
      <c r="AL986" s="171"/>
      <c r="AM986" s="171"/>
    </row>
    <row r="987" spans="1:39" ht="13.5" customHeight="1" x14ac:dyDescent="0.2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  <c r="Y987" s="171"/>
      <c r="Z987" s="171"/>
      <c r="AA987" s="171"/>
      <c r="AB987" s="171"/>
      <c r="AC987" s="171"/>
      <c r="AD987" s="171"/>
      <c r="AE987" s="171"/>
      <c r="AF987" s="171"/>
      <c r="AG987" s="171"/>
      <c r="AH987" s="171"/>
      <c r="AI987" s="171"/>
      <c r="AJ987" s="171"/>
      <c r="AK987" s="171"/>
      <c r="AL987" s="171"/>
      <c r="AM987" s="171"/>
    </row>
    <row r="988" spans="1:39" ht="13.5" customHeight="1" x14ac:dyDescent="0.2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  <c r="Y988" s="171"/>
      <c r="Z988" s="171"/>
      <c r="AA988" s="171"/>
      <c r="AB988" s="171"/>
      <c r="AC988" s="171"/>
      <c r="AD988" s="171"/>
      <c r="AE988" s="171"/>
      <c r="AF988" s="171"/>
      <c r="AG988" s="171"/>
      <c r="AH988" s="171"/>
      <c r="AI988" s="171"/>
      <c r="AJ988" s="171"/>
      <c r="AK988" s="171"/>
      <c r="AL988" s="171"/>
      <c r="AM988" s="171"/>
    </row>
    <row r="989" spans="1:39" ht="13.5" customHeight="1" x14ac:dyDescent="0.2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  <c r="Y989" s="171"/>
      <c r="Z989" s="171"/>
      <c r="AA989" s="171"/>
      <c r="AB989" s="171"/>
      <c r="AC989" s="171"/>
      <c r="AD989" s="171"/>
      <c r="AE989" s="171"/>
      <c r="AF989" s="171"/>
      <c r="AG989" s="171"/>
      <c r="AH989" s="171"/>
      <c r="AI989" s="171"/>
      <c r="AJ989" s="171"/>
      <c r="AK989" s="171"/>
      <c r="AL989" s="171"/>
      <c r="AM989" s="171"/>
    </row>
    <row r="990" spans="1:39" ht="13.5" customHeight="1" x14ac:dyDescent="0.2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  <c r="Y990" s="171"/>
      <c r="Z990" s="171"/>
      <c r="AA990" s="171"/>
      <c r="AB990" s="171"/>
      <c r="AC990" s="171"/>
      <c r="AD990" s="171"/>
      <c r="AE990" s="171"/>
      <c r="AF990" s="171"/>
      <c r="AG990" s="171"/>
      <c r="AH990" s="171"/>
      <c r="AI990" s="171"/>
      <c r="AJ990" s="171"/>
      <c r="AK990" s="171"/>
      <c r="AL990" s="171"/>
      <c r="AM990" s="171"/>
    </row>
    <row r="991" spans="1:39" ht="13.5" customHeight="1" x14ac:dyDescent="0.2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  <c r="Y991" s="171"/>
      <c r="Z991" s="171"/>
      <c r="AA991" s="171"/>
      <c r="AB991" s="171"/>
      <c r="AC991" s="171"/>
      <c r="AD991" s="171"/>
      <c r="AE991" s="171"/>
      <c r="AF991" s="171"/>
      <c r="AG991" s="171"/>
      <c r="AH991" s="171"/>
      <c r="AI991" s="171"/>
      <c r="AJ991" s="171"/>
      <c r="AK991" s="171"/>
      <c r="AL991" s="171"/>
      <c r="AM991" s="171"/>
    </row>
    <row r="992" spans="1:39" ht="13.5" customHeight="1" x14ac:dyDescent="0.2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  <c r="Y992" s="171"/>
      <c r="Z992" s="171"/>
      <c r="AA992" s="171"/>
      <c r="AB992" s="171"/>
      <c r="AC992" s="171"/>
      <c r="AD992" s="171"/>
      <c r="AE992" s="171"/>
      <c r="AF992" s="171"/>
      <c r="AG992" s="171"/>
      <c r="AH992" s="171"/>
      <c r="AI992" s="171"/>
      <c r="AJ992" s="171"/>
      <c r="AK992" s="171"/>
      <c r="AL992" s="171"/>
      <c r="AM992" s="171"/>
    </row>
    <row r="993" spans="1:39" ht="13.5" customHeight="1" x14ac:dyDescent="0.2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  <c r="Y993" s="171"/>
      <c r="Z993" s="171"/>
      <c r="AA993" s="171"/>
      <c r="AB993" s="171"/>
      <c r="AC993" s="171"/>
      <c r="AD993" s="171"/>
      <c r="AE993" s="171"/>
      <c r="AF993" s="171"/>
      <c r="AG993" s="171"/>
      <c r="AH993" s="171"/>
      <c r="AI993" s="171"/>
      <c r="AJ993" s="171"/>
      <c r="AK993" s="171"/>
      <c r="AL993" s="171"/>
      <c r="AM993" s="171"/>
    </row>
    <row r="994" spans="1:39" ht="13.5" customHeight="1" x14ac:dyDescent="0.2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  <c r="Y994" s="171"/>
      <c r="Z994" s="171"/>
      <c r="AA994" s="171"/>
      <c r="AB994" s="171"/>
      <c r="AC994" s="171"/>
      <c r="AD994" s="171"/>
      <c r="AE994" s="171"/>
      <c r="AF994" s="171"/>
      <c r="AG994" s="171"/>
      <c r="AH994" s="171"/>
      <c r="AI994" s="171"/>
      <c r="AJ994" s="171"/>
      <c r="AK994" s="171"/>
      <c r="AL994" s="171"/>
      <c r="AM994" s="171"/>
    </row>
    <row r="995" spans="1:39" ht="13.5" customHeight="1" x14ac:dyDescent="0.2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  <c r="Y995" s="171"/>
      <c r="Z995" s="171"/>
      <c r="AA995" s="171"/>
      <c r="AB995" s="171"/>
      <c r="AC995" s="171"/>
      <c r="AD995" s="171"/>
      <c r="AE995" s="171"/>
      <c r="AF995" s="171"/>
      <c r="AG995" s="171"/>
      <c r="AH995" s="171"/>
      <c r="AI995" s="171"/>
      <c r="AJ995" s="171"/>
      <c r="AK995" s="171"/>
      <c r="AL995" s="171"/>
      <c r="AM995" s="171"/>
    </row>
    <row r="996" spans="1:39" ht="13.5" customHeight="1" x14ac:dyDescent="0.2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  <c r="Y996" s="171"/>
      <c r="Z996" s="171"/>
      <c r="AA996" s="171"/>
      <c r="AB996" s="171"/>
      <c r="AC996" s="171"/>
      <c r="AD996" s="171"/>
      <c r="AE996" s="171"/>
      <c r="AF996" s="171"/>
      <c r="AG996" s="171"/>
      <c r="AH996" s="171"/>
      <c r="AI996" s="171"/>
      <c r="AJ996" s="171"/>
      <c r="AK996" s="171"/>
      <c r="AL996" s="171"/>
      <c r="AM996" s="171"/>
    </row>
    <row r="997" spans="1:39" ht="13.5" customHeight="1" x14ac:dyDescent="0.2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  <c r="Y997" s="171"/>
      <c r="Z997" s="171"/>
      <c r="AA997" s="171"/>
      <c r="AB997" s="171"/>
      <c r="AC997" s="171"/>
      <c r="AD997" s="171"/>
      <c r="AE997" s="171"/>
      <c r="AF997" s="171"/>
      <c r="AG997" s="171"/>
      <c r="AH997" s="171"/>
      <c r="AI997" s="171"/>
      <c r="AJ997" s="171"/>
      <c r="AK997" s="171"/>
      <c r="AL997" s="171"/>
      <c r="AM997" s="171"/>
    </row>
    <row r="998" spans="1:39" ht="13.5" customHeight="1" x14ac:dyDescent="0.2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  <c r="Y998" s="171"/>
      <c r="Z998" s="171"/>
      <c r="AA998" s="171"/>
      <c r="AB998" s="171"/>
      <c r="AC998" s="171"/>
      <c r="AD998" s="171"/>
      <c r="AE998" s="171"/>
      <c r="AF998" s="171"/>
      <c r="AG998" s="171"/>
      <c r="AH998" s="171"/>
      <c r="AI998" s="171"/>
      <c r="AJ998" s="171"/>
      <c r="AK998" s="171"/>
      <c r="AL998" s="171"/>
      <c r="AM998" s="171"/>
    </row>
    <row r="999" spans="1:39" ht="13.5" customHeight="1" x14ac:dyDescent="0.2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  <c r="Y999" s="171"/>
      <c r="Z999" s="171"/>
      <c r="AA999" s="171"/>
      <c r="AB999" s="171"/>
      <c r="AC999" s="171"/>
      <c r="AD999" s="171"/>
      <c r="AE999" s="171"/>
      <c r="AF999" s="171"/>
      <c r="AG999" s="171"/>
      <c r="AH999" s="171"/>
      <c r="AI999" s="171"/>
      <c r="AJ999" s="171"/>
      <c r="AK999" s="171"/>
      <c r="AL999" s="171"/>
      <c r="AM999" s="171"/>
    </row>
    <row r="1000" spans="1:39" ht="13.5" customHeight="1" x14ac:dyDescent="0.2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  <c r="Y1000" s="171"/>
      <c r="Z1000" s="171"/>
      <c r="AA1000" s="171"/>
      <c r="AB1000" s="171"/>
      <c r="AC1000" s="171"/>
      <c r="AD1000" s="171"/>
      <c r="AE1000" s="171"/>
      <c r="AF1000" s="171"/>
      <c r="AG1000" s="171"/>
      <c r="AH1000" s="171"/>
      <c r="AI1000" s="171"/>
      <c r="AJ1000" s="171"/>
      <c r="AK1000" s="171"/>
      <c r="AL1000" s="171"/>
      <c r="AM1000" s="171"/>
    </row>
  </sheetData>
  <mergeCells count="6">
    <mergeCell ref="E35:S35"/>
    <mergeCell ref="C4:S5"/>
    <mergeCell ref="B6:K6"/>
    <mergeCell ref="E8:S8"/>
    <mergeCell ref="E16:S16"/>
    <mergeCell ref="E29:S2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DEBT SUST MOD 11</vt:lpstr>
      <vt:lpstr>MEMO BOP detail</vt:lpstr>
      <vt:lpstr>ARA MOD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Tanner</dc:creator>
  <cp:lastModifiedBy>Nikita Kuznetsov</cp:lastModifiedBy>
  <dcterms:created xsi:type="dcterms:W3CDTF">2017-07-16T15:57:32Z</dcterms:created>
  <dcterms:modified xsi:type="dcterms:W3CDTF">2025-04-28T18:38:47Z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-1364289069</vt:i4>
  </property>
  <property fmtid="{D5CDD505-2E9C-101B-9397-08002B2CF9AE}" pid="3" name="_NewReviewCycle">
    <vt:lpwstr/>
  </property>
  <property fmtid="{D5CDD505-2E9C-101B-9397-08002B2CF9AE}" pid="4" name="_EmailSubject">
    <vt:lpwstr>Module 11 is ready to be looked at</vt:lpwstr>
  </property>
  <property fmtid="{D5CDD505-2E9C-101B-9397-08002B2CF9AE}" pid="5" name="_AuthorEmail">
    <vt:lpwstr>MKuzmanovic@imf.org</vt:lpwstr>
  </property>
  <property fmtid="{D5CDD505-2E9C-101B-9397-08002B2CF9AE}" pid="6" name="_AuthorEmailDisplayName">
    <vt:lpwstr>Kuzmanovic, Milana</vt:lpwstr>
  </property>
  <property fmtid="{D5CDD505-2E9C-101B-9397-08002B2CF9AE}" pid="7" name="_PreviousAdHocReviewCycleID">
    <vt:i4>-132808444</vt:i4>
  </property>
  <property fmtid="{D5CDD505-2E9C-101B-9397-08002B2CF9AE}" pid="8" name="_ReviewingToolsShownOnce">
    <vt:lpwstr/>
  </property>
</Properties>
</file>