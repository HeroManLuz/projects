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МКМЕІ\"/>
    </mc:Choice>
  </mc:AlternateContent>
  <xr:revisionPtr revIDLastSave="0" documentId="13_ncr:1_{6222EC17-A12A-44CA-AA0D-364EC1188A8A}" xr6:coauthVersionLast="47" xr6:coauthVersionMax="47" xr10:uidLastSave="{00000000-0000-0000-0000-000000000000}"/>
  <bookViews>
    <workbookView xWindow="-120" yWindow="-120" windowWidth="20730" windowHeight="11160" firstSheet="4" activeTab="9" xr2:uid="{35E61B03-62BB-4F7E-92E2-034DE0793CFC}"/>
  </bookViews>
  <sheets>
    <sheet name="Завдання 1" sheetId="1" r:id="rId1"/>
    <sheet name="Завдання 2" sheetId="2" r:id="rId2"/>
    <sheet name="Завдання 3" sheetId="3" r:id="rId3"/>
    <sheet name="Завдання 4" sheetId="4" r:id="rId4"/>
    <sheet name="Завдання 5" sheetId="5" r:id="rId5"/>
    <sheet name="Завдання 6" sheetId="6" r:id="rId6"/>
    <sheet name="Завдання 7" sheetId="7" r:id="rId7"/>
    <sheet name="Завдання 8" sheetId="8" r:id="rId8"/>
    <sheet name="Завдання 9" sheetId="9" r:id="rId9"/>
    <sheet name="Завдання 10" sheetId="10" r:id="rId10"/>
  </sheets>
  <definedNames>
    <definedName name="solver_adj" localSheetId="0" hidden="1">'Завдання 1'!$C$11:$C$14</definedName>
    <definedName name="solver_adj" localSheetId="9" hidden="1">'Завдання 10'!$G$3:$H$3</definedName>
    <definedName name="solver_adj" localSheetId="1" hidden="1">'Завдання 2'!$B$12:$C$12</definedName>
    <definedName name="solver_adj" localSheetId="2" hidden="1">'Завдання 3'!$B$5:$E$5</definedName>
    <definedName name="solver_adj" localSheetId="3" hidden="1">'Завдання 4'!$B$13:$F$17</definedName>
    <definedName name="solver_adj" localSheetId="4" hidden="1">'Завдання 5'!$B$10:$C$10</definedName>
    <definedName name="solver_adj" localSheetId="5" hidden="1">'Завдання 6'!$AB$6:$AB$23</definedName>
    <definedName name="solver_adj" localSheetId="6" hidden="1">'Завдання 7'!$B$10:$H$14</definedName>
    <definedName name="solver_adj" localSheetId="7" hidden="1">'Завдання 8'!$M$2</definedName>
    <definedName name="solver_adj" localSheetId="8" hidden="1">'Завдання 9'!$B$13:$H$19</definedName>
    <definedName name="solver_cvg" localSheetId="0" hidden="1">0.0001</definedName>
    <definedName name="solver_cvg" localSheetId="9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2</definedName>
    <definedName name="solver_drv" localSheetId="9" hidden="1">1</definedName>
    <definedName name="solver_drv" localSheetId="1" hidden="1">1</definedName>
    <definedName name="solver_drv" localSheetId="2" hidden="1">2</definedName>
    <definedName name="solver_drv" localSheetId="3" hidden="1">2</definedName>
    <definedName name="solver_drv" localSheetId="4" hidden="1">2</definedName>
    <definedName name="solver_drv" localSheetId="5" hidden="1">2</definedName>
    <definedName name="solver_drv" localSheetId="6" hidden="1">2</definedName>
    <definedName name="solver_drv" localSheetId="7" hidden="1">2</definedName>
    <definedName name="solver_drv" localSheetId="8" hidden="1">1</definedName>
    <definedName name="solver_eng" localSheetId="0" hidden="1">1</definedName>
    <definedName name="solver_eng" localSheetId="9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st" localSheetId="0" hidden="1">1</definedName>
    <definedName name="solver_est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9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0" hidden="1">'Завдання 1'!$C$11</definedName>
    <definedName name="solver_lhs1" localSheetId="9" hidden="1">'Завдання 10'!$G$3:$H$3</definedName>
    <definedName name="solver_lhs1" localSheetId="1" hidden="1">'Завдання 2'!$B$10</definedName>
    <definedName name="solver_lhs1" localSheetId="2" hidden="1">'Завдання 3'!$B$5</definedName>
    <definedName name="solver_lhs1" localSheetId="3" hidden="1">'Завдання 4'!$B$13:$F$17</definedName>
    <definedName name="solver_lhs1" localSheetId="4" hidden="1">'Завдання 5'!$B$10</definedName>
    <definedName name="solver_lhs1" localSheetId="5" hidden="1">'Завдання 6'!$AB$3</definedName>
    <definedName name="solver_lhs1" localSheetId="6" hidden="1">'Завдання 7'!$B$10:$H$14</definedName>
    <definedName name="solver_lhs1" localSheetId="7" hidden="1">'Завдання 8'!$M$2</definedName>
    <definedName name="solver_lhs1" localSheetId="8" hidden="1">'Завдання 9'!$B$13:$H$19</definedName>
    <definedName name="solver_lhs10" localSheetId="6" hidden="1">'Завдання 7'!$I$10</definedName>
    <definedName name="solver_lhs11" localSheetId="6" hidden="1">'Завдання 7'!$I$11</definedName>
    <definedName name="solver_lhs12" localSheetId="6" hidden="1">'Завдання 7'!$I$12</definedName>
    <definedName name="solver_lhs13" localSheetId="6" hidden="1">'Завдання 7'!$I$13</definedName>
    <definedName name="solver_lhs14" localSheetId="6" hidden="1">'Завдання 7'!$I$14</definedName>
    <definedName name="solver_lhs2" localSheetId="0" hidden="1">'Завдання 1'!$C$12</definedName>
    <definedName name="solver_lhs2" localSheetId="1" hidden="1">'Завдання 2'!$B$11</definedName>
    <definedName name="solver_lhs2" localSheetId="2" hidden="1">'Завдання 3'!$C$5</definedName>
    <definedName name="solver_lhs2" localSheetId="3" hidden="1">'Завдання 4'!$B$18:$F$18</definedName>
    <definedName name="solver_lhs2" localSheetId="4" hidden="1">'Завдання 5'!$B$10</definedName>
    <definedName name="solver_lhs2" localSheetId="5" hidden="1">'Завдання 6'!$AB$6:$AB$23</definedName>
    <definedName name="solver_lhs2" localSheetId="6" hidden="1">'Завдання 7'!$B$10:$H$14</definedName>
    <definedName name="solver_lhs2" localSheetId="7" hidden="1">'Завдання 8'!$M$2</definedName>
    <definedName name="solver_lhs2" localSheetId="8" hidden="1">'Завдання 9'!$B$13:$H$19</definedName>
    <definedName name="solver_lhs3" localSheetId="0" hidden="1">'Завдання 1'!$C$13</definedName>
    <definedName name="solver_lhs3" localSheetId="2" hidden="1">'Завдання 3'!$D$5</definedName>
    <definedName name="solver_lhs3" localSheetId="3" hidden="1">'Завдання 4'!$G$13:$G$17</definedName>
    <definedName name="solver_lhs3" localSheetId="4" hidden="1">'Завдання 5'!$C$10</definedName>
    <definedName name="solver_lhs3" localSheetId="5" hidden="1">'Завдання 6'!$Z$4</definedName>
    <definedName name="solver_lhs3" localSheetId="6" hidden="1">'Завдання 7'!$B$15</definedName>
    <definedName name="solver_lhs3" localSheetId="8" hidden="1">'Завдання 9'!$B$20:$H$20</definedName>
    <definedName name="solver_lhs4" localSheetId="0" hidden="1">'Завдання 1'!$C$14</definedName>
    <definedName name="solver_lhs4" localSheetId="2" hidden="1">'Завдання 3'!$E$5</definedName>
    <definedName name="solver_lhs4" localSheetId="3" hidden="1">'Завдання 4'!$G$13:$G$17</definedName>
    <definedName name="solver_lhs4" localSheetId="4" hidden="1">'Завдання 5'!$C$10</definedName>
    <definedName name="solver_lhs4" localSheetId="6" hidden="1">'Завдання 7'!$C$15</definedName>
    <definedName name="solver_lhs4" localSheetId="8" hidden="1">'Завдання 9'!$I$13:$I$19</definedName>
    <definedName name="solver_lhs5" localSheetId="0" hidden="1">'Завдання 1'!$F$15</definedName>
    <definedName name="solver_lhs5" localSheetId="2" hidden="1">'Завдання 3'!$F$7</definedName>
    <definedName name="solver_lhs5" localSheetId="4" hidden="1">'Завдання 5'!$E$3</definedName>
    <definedName name="solver_lhs5" localSheetId="6" hidden="1">'Завдання 7'!$D$15</definedName>
    <definedName name="solver_lhs6" localSheetId="4" hidden="1">'Завдання 5'!$E$4</definedName>
    <definedName name="solver_lhs6" localSheetId="6" hidden="1">'Завдання 7'!$E$15</definedName>
    <definedName name="solver_lhs7" localSheetId="4" hidden="1">'Завдання 5'!$E$5</definedName>
    <definedName name="solver_lhs7" localSheetId="6" hidden="1">'Завдання 7'!$F$15</definedName>
    <definedName name="solver_lhs8" localSheetId="4" hidden="1">'Завдання 5'!$E$6</definedName>
    <definedName name="solver_lhs8" localSheetId="6" hidden="1">'Завдання 7'!$G$15</definedName>
    <definedName name="solver_lhs9" localSheetId="6" hidden="1">'Завдання 7'!$H$15</definedName>
    <definedName name="solver_mip" localSheetId="0" hidden="1">2147483647</definedName>
    <definedName name="solver_mip" localSheetId="9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9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9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9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9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9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5</definedName>
    <definedName name="solver_num" localSheetId="9" hidden="1">1</definedName>
    <definedName name="solver_num" localSheetId="1" hidden="1">2</definedName>
    <definedName name="solver_num" localSheetId="2" hidden="1">5</definedName>
    <definedName name="solver_num" localSheetId="3" hidden="1">3</definedName>
    <definedName name="solver_num" localSheetId="4" hidden="1">8</definedName>
    <definedName name="solver_num" localSheetId="5" hidden="1">3</definedName>
    <definedName name="solver_num" localSheetId="6" hidden="1">14</definedName>
    <definedName name="solver_num" localSheetId="7" hidden="1">2</definedName>
    <definedName name="solver_num" localSheetId="8" hidden="1">4</definedName>
    <definedName name="solver_nwt" localSheetId="0" hidden="1">1</definedName>
    <definedName name="solver_nwt" localSheetId="9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'Завдання 1'!$D$16</definedName>
    <definedName name="solver_opt" localSheetId="9" hidden="1">'Завдання 10'!$E$27</definedName>
    <definedName name="solver_opt" localSheetId="1" hidden="1">'Завдання 2'!$B$13</definedName>
    <definedName name="solver_opt" localSheetId="2" hidden="1">'Завдання 3'!$F$8</definedName>
    <definedName name="solver_opt" localSheetId="3" hidden="1">'Завдання 4'!$J$18</definedName>
    <definedName name="solver_opt" localSheetId="4" hidden="1">'Завдання 5'!$B$12</definedName>
    <definedName name="solver_opt" localSheetId="5" hidden="1">'Завдання 6'!$AB$24</definedName>
    <definedName name="solver_opt" localSheetId="6" hidden="1">'Завдання 7'!$B$16</definedName>
    <definedName name="solver_opt" localSheetId="7" hidden="1">'Завдання 8'!$N$2</definedName>
    <definedName name="solver_opt" localSheetId="8" hidden="1">'Завдання 9'!$D$22</definedName>
    <definedName name="solver_pre" localSheetId="0" hidden="1">0.000001</definedName>
    <definedName name="solver_pre" localSheetId="9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2</definedName>
    <definedName name="solver_rbv" localSheetId="9" hidden="1">1</definedName>
    <definedName name="solver_rbv" localSheetId="1" hidden="1">1</definedName>
    <definedName name="solver_rbv" localSheetId="2" hidden="1">2</definedName>
    <definedName name="solver_rbv" localSheetId="3" hidden="1">2</definedName>
    <definedName name="solver_rbv" localSheetId="4" hidden="1">2</definedName>
    <definedName name="solver_rbv" localSheetId="5" hidden="1">2</definedName>
    <definedName name="solver_rbv" localSheetId="6" hidden="1">2</definedName>
    <definedName name="solver_rbv" localSheetId="7" hidden="1">2</definedName>
    <definedName name="solver_rbv" localSheetId="8" hidden="1">1</definedName>
    <definedName name="solver_rel1" localSheetId="0" hidden="1">1</definedName>
    <definedName name="solver_rel1" localSheetId="9" hidden="1">3</definedName>
    <definedName name="solver_rel1" localSheetId="1" hidden="1">1</definedName>
    <definedName name="solver_rel1" localSheetId="2" hidden="1">1</definedName>
    <definedName name="solver_rel1" localSheetId="3" hidden="1">4</definedName>
    <definedName name="solver_rel1" localSheetId="4" hidden="1">1</definedName>
    <definedName name="solver_rel1" localSheetId="5" hidden="1">1</definedName>
    <definedName name="solver_rel1" localSheetId="6" hidden="1">4</definedName>
    <definedName name="solver_rel1" localSheetId="7" hidden="1">1</definedName>
    <definedName name="solver_rel1" localSheetId="8" hidden="1">4</definedName>
    <definedName name="solver_rel10" localSheetId="6" hidden="1">1</definedName>
    <definedName name="solver_rel11" localSheetId="6" hidden="1">1</definedName>
    <definedName name="solver_rel12" localSheetId="6" hidden="1">1</definedName>
    <definedName name="solver_rel13" localSheetId="6" hidden="1">1</definedName>
    <definedName name="solver_rel14" localSheetId="6" hidden="1">1</definedName>
    <definedName name="solver_rel2" localSheetId="0" hidden="1">3</definedName>
    <definedName name="solver_rel2" localSheetId="1" hidden="1">1</definedName>
    <definedName name="solver_rel2" localSheetId="2" hidden="1">1</definedName>
    <definedName name="solver_rel2" localSheetId="3" hidden="1">2</definedName>
    <definedName name="solver_rel2" localSheetId="4" hidden="1">3</definedName>
    <definedName name="solver_rel2" localSheetId="5" hidden="1">1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3" localSheetId="0" hidden="1">1</definedName>
    <definedName name="solver_rel3" localSheetId="2" hidden="1">1</definedName>
    <definedName name="solver_rel3" localSheetId="3" hidden="1">2</definedName>
    <definedName name="solver_rel3" localSheetId="4" hidden="1">1</definedName>
    <definedName name="solver_rel3" localSheetId="5" hidden="1">2</definedName>
    <definedName name="solver_rel3" localSheetId="6" hidden="1">2</definedName>
    <definedName name="solver_rel3" localSheetId="8" hidden="1">2</definedName>
    <definedName name="solver_rel4" localSheetId="0" hidden="1">3</definedName>
    <definedName name="solver_rel4" localSheetId="2" hidden="1">1</definedName>
    <definedName name="solver_rel4" localSheetId="3" hidden="1">2</definedName>
    <definedName name="solver_rel4" localSheetId="4" hidden="1">3</definedName>
    <definedName name="solver_rel4" localSheetId="6" hidden="1">2</definedName>
    <definedName name="solver_rel4" localSheetId="8" hidden="1">2</definedName>
    <definedName name="solver_rel5" localSheetId="0" hidden="1">1</definedName>
    <definedName name="solver_rel5" localSheetId="2" hidden="1">1</definedName>
    <definedName name="solver_rel5" localSheetId="4" hidden="1">1</definedName>
    <definedName name="solver_rel5" localSheetId="6" hidden="1">2</definedName>
    <definedName name="solver_rel6" localSheetId="4" hidden="1">1</definedName>
    <definedName name="solver_rel6" localSheetId="6" hidden="1">2</definedName>
    <definedName name="solver_rel7" localSheetId="4" hidden="1">1</definedName>
    <definedName name="solver_rel7" localSheetId="6" hidden="1">2</definedName>
    <definedName name="solver_rel8" localSheetId="4" hidden="1">1</definedName>
    <definedName name="solver_rel8" localSheetId="6" hidden="1">2</definedName>
    <definedName name="solver_rel9" localSheetId="6" hidden="1">2</definedName>
    <definedName name="solver_rhs1" localSheetId="0" hidden="1">'Завдання 1'!$F$11</definedName>
    <definedName name="solver_rhs1" localSheetId="9" hidden="1">0</definedName>
    <definedName name="solver_rhs1" localSheetId="1" hidden="1">'Завдання 2'!$C$8</definedName>
    <definedName name="solver_rhs1" localSheetId="2" hidden="1">'Завдання 3'!$B$2</definedName>
    <definedName name="solver_rhs1" localSheetId="3" hidden="1">"целое"</definedName>
    <definedName name="solver_rhs1" localSheetId="4" hidden="1">'Завдання 5'!$B$9</definedName>
    <definedName name="solver_rhs1" localSheetId="5" hidden="1">'Завдання 6'!$Y$3</definedName>
    <definedName name="solver_rhs1" localSheetId="6" hidden="1">"целое"</definedName>
    <definedName name="solver_rhs1" localSheetId="7" hidden="1">'Завдання 8'!$M$19</definedName>
    <definedName name="solver_rhs1" localSheetId="8" hidden="1">"целое"</definedName>
    <definedName name="solver_rhs10" localSheetId="6" hidden="1">2</definedName>
    <definedName name="solver_rhs11" localSheetId="6" hidden="1">3</definedName>
    <definedName name="solver_rhs12" localSheetId="6" hidden="1">3</definedName>
    <definedName name="solver_rhs13" localSheetId="6" hidden="1">4</definedName>
    <definedName name="solver_rhs14" localSheetId="6" hidden="1">6</definedName>
    <definedName name="solver_rhs2" localSheetId="0" hidden="1">'Завдання 1'!$F$12</definedName>
    <definedName name="solver_rhs2" localSheetId="1" hidden="1">'Завдання 2'!$C$7</definedName>
    <definedName name="solver_rhs2" localSheetId="2" hidden="1">'Завдання 3'!$C$2</definedName>
    <definedName name="solver_rhs2" localSheetId="3" hidden="1">1</definedName>
    <definedName name="solver_rhs2" localSheetId="4" hidden="1">'Завдання 5'!$B$8</definedName>
    <definedName name="solver_rhs2" localSheetId="5" hidden="1">'Завдання 6'!$X$4</definedName>
    <definedName name="solver_rhs2" localSheetId="6" hidden="1">0</definedName>
    <definedName name="solver_rhs2" localSheetId="7" hidden="1">'Завдання 8'!$M$18</definedName>
    <definedName name="solver_rhs2" localSheetId="8" hidden="1">0</definedName>
    <definedName name="solver_rhs3" localSheetId="0" hidden="1">'Завдання 1'!$F$13</definedName>
    <definedName name="solver_rhs3" localSheetId="2" hidden="1">'Завдання 3'!$D$2</definedName>
    <definedName name="solver_rhs3" localSheetId="3" hidden="1">1</definedName>
    <definedName name="solver_rhs3" localSheetId="4" hidden="1">'Завдання 5'!$C$9</definedName>
    <definedName name="solver_rhs3" localSheetId="5" hidden="1">1</definedName>
    <definedName name="solver_rhs3" localSheetId="6" hidden="1">3</definedName>
    <definedName name="solver_rhs3" localSheetId="8" hidden="1">1</definedName>
    <definedName name="solver_rhs4" localSheetId="0" hidden="1">'Завдання 1'!$F$14</definedName>
    <definedName name="solver_rhs4" localSheetId="2" hidden="1">'Завдання 3'!$E$2</definedName>
    <definedName name="solver_rhs4" localSheetId="3" hidden="1">1</definedName>
    <definedName name="solver_rhs4" localSheetId="4" hidden="1">'Завдання 5'!$C$8</definedName>
    <definedName name="solver_rhs4" localSheetId="6" hidden="1">2</definedName>
    <definedName name="solver_rhs4" localSheetId="8" hidden="1">1</definedName>
    <definedName name="solver_rhs5" localSheetId="0" hidden="1">'Завдання 1'!$D$15</definedName>
    <definedName name="solver_rhs5" localSheetId="2" hidden="1">'Завдання 3'!$B$6</definedName>
    <definedName name="solver_rhs5" localSheetId="4" hidden="1">'Завдання 5'!$D$3</definedName>
    <definedName name="solver_rhs5" localSheetId="6" hidden="1">1</definedName>
    <definedName name="solver_rhs6" localSheetId="4" hidden="1">'Завдання 5'!$D$4</definedName>
    <definedName name="solver_rhs6" localSheetId="6" hidden="1">2</definedName>
    <definedName name="solver_rhs7" localSheetId="4" hidden="1">'Завдання 5'!$D$5</definedName>
    <definedName name="solver_rhs7" localSheetId="6" hidden="1">1</definedName>
    <definedName name="solver_rhs8" localSheetId="4" hidden="1">'Завдання 5'!$D$6</definedName>
    <definedName name="solver_rhs8" localSheetId="6" hidden="1">1</definedName>
    <definedName name="solver_rhs9" localSheetId="6" hidden="1">2</definedName>
    <definedName name="solver_rlx" localSheetId="0" hidden="1">2</definedName>
    <definedName name="solver_rlx" localSheetId="9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9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2</definedName>
    <definedName name="solver_scl" localSheetId="9" hidden="1">1</definedName>
    <definedName name="solver_scl" localSheetId="1" hidden="1">1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1</definedName>
    <definedName name="solver_sho" localSheetId="0" hidden="1">2</definedName>
    <definedName name="solver_sho" localSheetId="9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9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9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9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1</definedName>
    <definedName name="solver_typ" localSheetId="9" hidden="1">2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3</definedName>
    <definedName name="solver_typ" localSheetId="8" hidden="1">2</definedName>
    <definedName name="solver_val" localSheetId="0" hidden="1">0</definedName>
    <definedName name="solver_val" localSheetId="9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9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x">'Завдання 10'!$G$4</definedName>
    <definedName name="y">'Завдання 10'!$H$4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22" i="9"/>
  <c r="H20" i="9"/>
  <c r="G20" i="9"/>
  <c r="F20" i="9"/>
  <c r="E20" i="9"/>
  <c r="D20" i="9"/>
  <c r="C20" i="9"/>
  <c r="B20" i="9"/>
  <c r="I19" i="9"/>
  <c r="I18" i="9"/>
  <c r="I17" i="9"/>
  <c r="I16" i="9"/>
  <c r="I15" i="9"/>
  <c r="I14" i="9"/>
  <c r="I13" i="9"/>
  <c r="R4" i="8"/>
  <c r="Q4" i="8"/>
  <c r="Q3" i="8"/>
  <c r="R2" i="8"/>
  <c r="Q5" i="8" s="1"/>
  <c r="Q2" i="8"/>
  <c r="M8" i="8"/>
  <c r="M9" i="8" s="1"/>
  <c r="N2" i="8"/>
  <c r="J8" i="8"/>
  <c r="J9" i="8" s="1"/>
  <c r="K2" i="8"/>
  <c r="G8" i="8"/>
  <c r="G9" i="8" s="1"/>
  <c r="H2" i="8"/>
  <c r="D8" i="8"/>
  <c r="E8" i="8" s="1"/>
  <c r="E2" i="8"/>
  <c r="A8" i="8"/>
  <c r="B8" i="8" s="1"/>
  <c r="B2" i="8"/>
  <c r="I11" i="7"/>
  <c r="I12" i="7"/>
  <c r="I13" i="7"/>
  <c r="I14" i="7"/>
  <c r="I10" i="7"/>
  <c r="C15" i="7"/>
  <c r="D15" i="7"/>
  <c r="E15" i="7"/>
  <c r="F15" i="7"/>
  <c r="G15" i="7"/>
  <c r="H15" i="7"/>
  <c r="B15" i="7"/>
  <c r="B16" i="7"/>
  <c r="E58" i="6"/>
  <c r="AB24" i="6" s="1"/>
  <c r="N58" i="6"/>
  <c r="Z4" i="6"/>
  <c r="Y4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B33" i="6"/>
  <c r="C11" i="5"/>
  <c r="B11" i="5"/>
  <c r="B12" i="5" s="1"/>
  <c r="E6" i="5"/>
  <c r="E5" i="5"/>
  <c r="E4" i="5"/>
  <c r="E3" i="5"/>
  <c r="E27" i="10" l="1"/>
  <c r="N9" i="8"/>
  <c r="M10" i="8"/>
  <c r="N8" i="8"/>
  <c r="K9" i="8"/>
  <c r="J10" i="8"/>
  <c r="K8" i="8"/>
  <c r="H9" i="8"/>
  <c r="G10" i="8"/>
  <c r="H8" i="8"/>
  <c r="D9" i="8"/>
  <c r="A9" i="8"/>
  <c r="A10" i="8" s="1"/>
  <c r="A11" i="8" s="1"/>
  <c r="B57" i="6"/>
  <c r="S58" i="6"/>
  <c r="S57" i="6"/>
  <c r="R58" i="6"/>
  <c r="O57" i="6"/>
  <c r="G57" i="6"/>
  <c r="M58" i="6"/>
  <c r="R57" i="6"/>
  <c r="J57" i="6"/>
  <c r="J58" i="6"/>
  <c r="F58" i="6"/>
  <c r="P58" i="6"/>
  <c r="L58" i="6"/>
  <c r="H58" i="6"/>
  <c r="D58" i="6"/>
  <c r="P57" i="6"/>
  <c r="L57" i="6"/>
  <c r="H57" i="6"/>
  <c r="D57" i="6"/>
  <c r="Q57" i="6"/>
  <c r="M57" i="6"/>
  <c r="I57" i="6"/>
  <c r="E57" i="6"/>
  <c r="B58" i="6"/>
  <c r="K57" i="6"/>
  <c r="C57" i="6"/>
  <c r="Q58" i="6"/>
  <c r="I58" i="6"/>
  <c r="N57" i="6"/>
  <c r="F57" i="6"/>
  <c r="O58" i="6"/>
  <c r="K58" i="6"/>
  <c r="G58" i="6"/>
  <c r="C58" i="6"/>
  <c r="M11" i="8" l="1"/>
  <c r="N10" i="8"/>
  <c r="J11" i="8"/>
  <c r="K10" i="8"/>
  <c r="G11" i="8"/>
  <c r="H10" i="8"/>
  <c r="E9" i="8"/>
  <c r="D10" i="8"/>
  <c r="B10" i="8"/>
  <c r="B9" i="8"/>
  <c r="A12" i="8"/>
  <c r="B11" i="8"/>
  <c r="AB3" i="6"/>
  <c r="X3" i="6"/>
  <c r="X24" i="6"/>
  <c r="N11" i="8" l="1"/>
  <c r="M12" i="8"/>
  <c r="K11" i="8"/>
  <c r="J12" i="8"/>
  <c r="H11" i="8"/>
  <c r="G12" i="8"/>
  <c r="D11" i="8"/>
  <c r="E10" i="8"/>
  <c r="B12" i="8"/>
  <c r="A13" i="8"/>
  <c r="M13" i="8" l="1"/>
  <c r="N12" i="8"/>
  <c r="J13" i="8"/>
  <c r="K12" i="8"/>
  <c r="G13" i="8"/>
  <c r="H12" i="8"/>
  <c r="E11" i="8"/>
  <c r="D12" i="8"/>
  <c r="A14" i="8"/>
  <c r="B13" i="8"/>
  <c r="N13" i="8" l="1"/>
  <c r="M14" i="8"/>
  <c r="K13" i="8"/>
  <c r="J14" i="8"/>
  <c r="H13" i="8"/>
  <c r="G14" i="8"/>
  <c r="E12" i="8"/>
  <c r="D13" i="8"/>
  <c r="B14" i="8"/>
  <c r="A15" i="8"/>
  <c r="M15" i="8" l="1"/>
  <c r="N14" i="8"/>
  <c r="J15" i="8"/>
  <c r="K14" i="8"/>
  <c r="G15" i="8"/>
  <c r="H14" i="8"/>
  <c r="E13" i="8"/>
  <c r="D14" i="8"/>
  <c r="A16" i="8"/>
  <c r="B15" i="8"/>
  <c r="N15" i="8" l="1"/>
  <c r="M16" i="8"/>
  <c r="K15" i="8"/>
  <c r="J16" i="8"/>
  <c r="H15" i="8"/>
  <c r="G16" i="8"/>
  <c r="D15" i="8"/>
  <c r="E14" i="8"/>
  <c r="B16" i="8"/>
  <c r="A17" i="8"/>
  <c r="M17" i="8" l="1"/>
  <c r="N16" i="8"/>
  <c r="J17" i="8"/>
  <c r="K16" i="8"/>
  <c r="G17" i="8"/>
  <c r="H16" i="8"/>
  <c r="E15" i="8"/>
  <c r="D16" i="8"/>
  <c r="A18" i="8"/>
  <c r="B17" i="8"/>
  <c r="N17" i="8" l="1"/>
  <c r="M18" i="8"/>
  <c r="K17" i="8"/>
  <c r="J18" i="8"/>
  <c r="H17" i="8"/>
  <c r="G18" i="8"/>
  <c r="E16" i="8"/>
  <c r="D17" i="8"/>
  <c r="B18" i="8"/>
  <c r="A19" i="8"/>
  <c r="M19" i="8" l="1"/>
  <c r="N18" i="8"/>
  <c r="J19" i="8"/>
  <c r="K18" i="8"/>
  <c r="G19" i="8"/>
  <c r="H18" i="8"/>
  <c r="E17" i="8"/>
  <c r="D18" i="8"/>
  <c r="A20" i="8"/>
  <c r="B19" i="8"/>
  <c r="N19" i="8" l="1"/>
  <c r="M20" i="8"/>
  <c r="K19" i="8"/>
  <c r="J20" i="8"/>
  <c r="H19" i="8"/>
  <c r="G20" i="8"/>
  <c r="D19" i="8"/>
  <c r="E18" i="8"/>
  <c r="B20" i="8"/>
  <c r="A21" i="8"/>
  <c r="M21" i="8" l="1"/>
  <c r="N20" i="8"/>
  <c r="J21" i="8"/>
  <c r="K20" i="8"/>
  <c r="G21" i="8"/>
  <c r="H20" i="8"/>
  <c r="E19" i="8"/>
  <c r="D20" i="8"/>
  <c r="A22" i="8"/>
  <c r="B21" i="8"/>
  <c r="N21" i="8" l="1"/>
  <c r="M22" i="8"/>
  <c r="K21" i="8"/>
  <c r="J22" i="8"/>
  <c r="H21" i="8"/>
  <c r="G22" i="8"/>
  <c r="E20" i="8"/>
  <c r="D21" i="8"/>
  <c r="B22" i="8"/>
  <c r="A23" i="8"/>
  <c r="M23" i="8" l="1"/>
  <c r="N22" i="8"/>
  <c r="J23" i="8"/>
  <c r="K22" i="8"/>
  <c r="G23" i="8"/>
  <c r="H22" i="8"/>
  <c r="E21" i="8"/>
  <c r="D22" i="8"/>
  <c r="A24" i="8"/>
  <c r="B23" i="8"/>
  <c r="N23" i="8" l="1"/>
  <c r="M24" i="8"/>
  <c r="K23" i="8"/>
  <c r="J24" i="8"/>
  <c r="H23" i="8"/>
  <c r="G24" i="8"/>
  <c r="E22" i="8"/>
  <c r="D23" i="8"/>
  <c r="B24" i="8"/>
  <c r="A25" i="8"/>
  <c r="B25" i="8" s="1"/>
  <c r="M25" i="8" l="1"/>
  <c r="N25" i="8" s="1"/>
  <c r="N24" i="8"/>
  <c r="J25" i="8"/>
  <c r="K25" i="8" s="1"/>
  <c r="K24" i="8"/>
  <c r="G25" i="8"/>
  <c r="H25" i="8" s="1"/>
  <c r="H24" i="8"/>
  <c r="E23" i="8"/>
  <c r="D24" i="8"/>
  <c r="D25" i="8" l="1"/>
  <c r="E25" i="8" s="1"/>
  <c r="E24" i="8"/>
  <c r="G14" i="4" l="1"/>
  <c r="G15" i="4"/>
  <c r="G16" i="4"/>
  <c r="G17" i="4"/>
  <c r="G13" i="4"/>
  <c r="D18" i="4"/>
  <c r="E18" i="4"/>
  <c r="F18" i="4"/>
  <c r="C18" i="4"/>
  <c r="B18" i="4"/>
  <c r="J18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E7" i="3"/>
  <c r="E8" i="3" s="1"/>
  <c r="D7" i="3"/>
  <c r="D8" i="3" s="1"/>
  <c r="C7" i="3"/>
  <c r="C8" i="3" s="1"/>
  <c r="B7" i="3"/>
  <c r="B13" i="2"/>
  <c r="B11" i="2"/>
  <c r="B10" i="2"/>
  <c r="F14" i="1"/>
  <c r="F13" i="1"/>
  <c r="F12" i="1"/>
  <c r="F11" i="1"/>
  <c r="D16" i="1"/>
  <c r="F15" i="1"/>
  <c r="F6" i="1"/>
  <c r="D7" i="1"/>
  <c r="F4" i="1"/>
  <c r="F5" i="1"/>
  <c r="F3" i="1"/>
  <c r="F2" i="1"/>
  <c r="F7" i="3" l="1"/>
  <c r="B8" i="3"/>
  <c r="F8" i="3" s="1"/>
</calcChain>
</file>

<file path=xl/sharedStrings.xml><?xml version="1.0" encoding="utf-8"?>
<sst xmlns="http://schemas.openxmlformats.org/spreadsheetml/2006/main" count="326" uniqueCount="176">
  <si>
    <t>Засіб реклами</t>
  </si>
  <si>
    <t>Телебачення</t>
  </si>
  <si>
    <t>Радіо</t>
  </si>
  <si>
    <t>Інтернет</t>
  </si>
  <si>
    <t>Листівки</t>
  </si>
  <si>
    <t>Ефективність</t>
  </si>
  <si>
    <t>Кошти витрачені на рекламу</t>
  </si>
  <si>
    <t>Обмеження</t>
  </si>
  <si>
    <t>Бюджет</t>
  </si>
  <si>
    <t>&lt;=</t>
  </si>
  <si>
    <t>&gt;=</t>
  </si>
  <si>
    <t>&gt;=(від ТБ)</t>
  </si>
  <si>
    <t>-</t>
  </si>
  <si>
    <t>Цільова функція</t>
  </si>
  <si>
    <t>Instagram</t>
  </si>
  <si>
    <t>Telegram</t>
  </si>
  <si>
    <t>YouTube</t>
  </si>
  <si>
    <t>FaceBook</t>
  </si>
  <si>
    <t>&gt;=(від бюджету)</t>
  </si>
  <si>
    <t>&lt;=(Telegram)</t>
  </si>
  <si>
    <t>Верстати</t>
  </si>
  <si>
    <t>Характеристики</t>
  </si>
  <si>
    <t>А</t>
  </si>
  <si>
    <t>Б</t>
  </si>
  <si>
    <t>Ціна</t>
  </si>
  <si>
    <t>Площа, м.кв</t>
  </si>
  <si>
    <t>Продуктивність</t>
  </si>
  <si>
    <t>Оптимальний варіант</t>
  </si>
  <si>
    <t>Витрачені кошти</t>
  </si>
  <si>
    <t>Зайнята площа, м.кв.</t>
  </si>
  <si>
    <t>Кількість верстатів</t>
  </si>
  <si>
    <t>Компанія</t>
  </si>
  <si>
    <t>A</t>
  </si>
  <si>
    <t>B</t>
  </si>
  <si>
    <t>C</t>
  </si>
  <si>
    <t>D</t>
  </si>
  <si>
    <t>Усього</t>
  </si>
  <si>
    <t>Загальна кількість, шт.</t>
  </si>
  <si>
    <t>Рівноважна ціна, $</t>
  </si>
  <si>
    <t>Ціни через рік, $</t>
  </si>
  <si>
    <t>Кількість акцій, шт.</t>
  </si>
  <si>
    <t>Вартість М(бюджет), $</t>
  </si>
  <si>
    <t>Вартість, $</t>
  </si>
  <si>
    <t>Прибуток, $</t>
  </si>
  <si>
    <t>Регіон</t>
  </si>
  <si>
    <t>Агент</t>
  </si>
  <si>
    <t>В</t>
  </si>
  <si>
    <t>С</t>
  </si>
  <si>
    <t>E</t>
  </si>
  <si>
    <t>Купівельна спроможність</t>
  </si>
  <si>
    <t>Частка</t>
  </si>
  <si>
    <t xml:space="preserve">Ресурси </t>
  </si>
  <si>
    <t xml:space="preserve">Витрати ресурсів </t>
  </si>
  <si>
    <t xml:space="preserve">Запаси </t>
  </si>
  <si>
    <t>Всього</t>
  </si>
  <si>
    <t xml:space="preserve">Чорний хліб </t>
  </si>
  <si>
    <t xml:space="preserve">Батон </t>
  </si>
  <si>
    <t>Борошно</t>
  </si>
  <si>
    <t>Жири</t>
  </si>
  <si>
    <t>Цукор</t>
  </si>
  <si>
    <t>Фінанси</t>
  </si>
  <si>
    <t>Попит мінімальний</t>
  </si>
  <si>
    <t>Попит максимальний</t>
  </si>
  <si>
    <t>Кількість продукції</t>
  </si>
  <si>
    <t>Дохід, грн</t>
  </si>
  <si>
    <t>Ціни на акції S&amp;P 500</t>
  </si>
  <si>
    <t>Дата</t>
  </si>
  <si>
    <t>Apple</t>
  </si>
  <si>
    <t>Tesla</t>
  </si>
  <si>
    <t>Microsoft</t>
  </si>
  <si>
    <t>McDonald's</t>
  </si>
  <si>
    <t>J&amp;J</t>
  </si>
  <si>
    <t>Amazon</t>
  </si>
  <si>
    <t>Pfizer</t>
  </si>
  <si>
    <t>Nike</t>
  </si>
  <si>
    <t>Intel</t>
  </si>
  <si>
    <t>Coca Cola</t>
  </si>
  <si>
    <t>META</t>
  </si>
  <si>
    <t>NVIDIA</t>
  </si>
  <si>
    <t>AMD</t>
  </si>
  <si>
    <t>Visa</t>
  </si>
  <si>
    <t>MasterCard</t>
  </si>
  <si>
    <t>American Express</t>
  </si>
  <si>
    <t>Chevron</t>
  </si>
  <si>
    <t>Exxon</t>
  </si>
  <si>
    <t>01,11,2020</t>
  </si>
  <si>
    <t>01,12,2020</t>
  </si>
  <si>
    <t>01,01,2021</t>
  </si>
  <si>
    <t>01,02,2021</t>
  </si>
  <si>
    <t>01,03,2021</t>
  </si>
  <si>
    <t>01,04,2021</t>
  </si>
  <si>
    <t>01,05,2021</t>
  </si>
  <si>
    <t>01,06,2021</t>
  </si>
  <si>
    <t>01,07,2021</t>
  </si>
  <si>
    <t>01,08,2021</t>
  </si>
  <si>
    <t>01,09,2021</t>
  </si>
  <si>
    <t>01,10,2021</t>
  </si>
  <si>
    <t>01,11,2021</t>
  </si>
  <si>
    <t>01,12,2021</t>
  </si>
  <si>
    <t>01,01,2022</t>
  </si>
  <si>
    <t>01,02,2022</t>
  </si>
  <si>
    <t>01,03,2022</t>
  </si>
  <si>
    <t>01,04,2022</t>
  </si>
  <si>
    <t>01,05,2022</t>
  </si>
  <si>
    <t>01,06,2022</t>
  </si>
  <si>
    <t>01,07,2022</t>
  </si>
  <si>
    <t>01,08,2022</t>
  </si>
  <si>
    <t>01,09,2022</t>
  </si>
  <si>
    <t>01,10,2022</t>
  </si>
  <si>
    <t>За 2 роки:</t>
  </si>
  <si>
    <t>За останні 15 місяців:</t>
  </si>
  <si>
    <t>Оптимальний інвестиційний портфель за 2 роки</t>
  </si>
  <si>
    <t>Середній ризик</t>
  </si>
  <si>
    <t>Вага акції</t>
  </si>
  <si>
    <t>Акції</t>
  </si>
  <si>
    <t>Оптимальний інвестиційний портфель за 15 місяців</t>
  </si>
  <si>
    <t>Посада №1</t>
  </si>
  <si>
    <t>Посада №2</t>
  </si>
  <si>
    <t>Посада №3</t>
  </si>
  <si>
    <t>Посада №4</t>
  </si>
  <si>
    <t>Посада №5</t>
  </si>
  <si>
    <t>Посада №6</t>
  </si>
  <si>
    <t>Посада №7</t>
  </si>
  <si>
    <t>Всього претендентів</t>
  </si>
  <si>
    <t>Група А</t>
  </si>
  <si>
    <t>Група Б</t>
  </si>
  <si>
    <t>Група В</t>
  </si>
  <si>
    <t>Група Г</t>
  </si>
  <si>
    <t>Група Д</t>
  </si>
  <si>
    <t>Усього вакансій</t>
  </si>
  <si>
    <t>x</t>
  </si>
  <si>
    <t>f(x)</t>
  </si>
  <si>
    <t>Start</t>
  </si>
  <si>
    <t>Step</t>
  </si>
  <si>
    <t>Рівняння 1</t>
  </si>
  <si>
    <t>Рівняння 2</t>
  </si>
  <si>
    <t>Рівняння 3</t>
  </si>
  <si>
    <t>Сума розв'язків</t>
  </si>
  <si>
    <t>Розв'язки</t>
  </si>
  <si>
    <t>№</t>
  </si>
  <si>
    <t>Міста</t>
  </si>
  <si>
    <t>Обмеження:</t>
  </si>
  <si>
    <t>Найкоротший маршрут:</t>
  </si>
  <si>
    <t>Оптимальний маршрут</t>
  </si>
  <si>
    <t>Місто</t>
  </si>
  <si>
    <t>Відстань</t>
  </si>
  <si>
    <t>X</t>
  </si>
  <si>
    <t>Y</t>
  </si>
  <si>
    <t>M</t>
  </si>
  <si>
    <t>Київ</t>
  </si>
  <si>
    <t>Варшава</t>
  </si>
  <si>
    <t>Мінськ</t>
  </si>
  <si>
    <t>Москва</t>
  </si>
  <si>
    <t>Осло</t>
  </si>
  <si>
    <t>Копенгаген</t>
  </si>
  <si>
    <t>Брюссель</t>
  </si>
  <si>
    <t>Париж</t>
  </si>
  <si>
    <t>Мюнхен</t>
  </si>
  <si>
    <t>Берлін</t>
  </si>
  <si>
    <t>Відень</t>
  </si>
  <si>
    <t>Рига</t>
  </si>
  <si>
    <t>Лодзь</t>
  </si>
  <si>
    <t>Вільнюс</t>
  </si>
  <si>
    <t>Кишинів</t>
  </si>
  <si>
    <t>Будапешт</t>
  </si>
  <si>
    <t>Бухарест</t>
  </si>
  <si>
    <t>Афіни</t>
  </si>
  <si>
    <t>Косово</t>
  </si>
  <si>
    <t>Давос</t>
  </si>
  <si>
    <t>Лондон</t>
  </si>
  <si>
    <t>Йорк</t>
  </si>
  <si>
    <t>Рим</t>
  </si>
  <si>
    <t>Лісабон</t>
  </si>
  <si>
    <t>Мадрид</t>
  </si>
  <si>
    <t>Загальна відстань</t>
  </si>
  <si>
    <t>Координати нового сервісного центру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</si>
</sst>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[$₴-422]_-;\-* #,##0.00\ [$₴-422]_-;_-* &quot;-&quot;??\ [$₴-422]_-;_-@_-"/>
    <numFmt numFmtId="165" formatCode="[$$-409]#,##0.00"/>
    <numFmt numFmtId="166" formatCode="mm/yyyy"/>
    <numFmt numFmtId="169" formatCode="0.0%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" xfId="4" applyFont="1" applyBorder="1"/>
    <xf numFmtId="0" fontId="2" fillId="4" borderId="1" xfId="4" applyFont="1" applyBorder="1" applyAlignment="1">
      <alignment horizontal="center"/>
    </xf>
    <xf numFmtId="0" fontId="2" fillId="2" borderId="1" xfId="2" applyFont="1" applyBorder="1"/>
    <xf numFmtId="164" fontId="2" fillId="2" borderId="1" xfId="2" applyNumberFormat="1" applyFont="1" applyBorder="1"/>
    <xf numFmtId="9" fontId="2" fillId="2" borderId="1" xfId="2" applyNumberFormat="1" applyFont="1" applyBorder="1"/>
    <xf numFmtId="0" fontId="2" fillId="2" borderId="1" xfId="2" applyFont="1" applyBorder="1" applyAlignment="1">
      <alignment horizontal="center"/>
    </xf>
    <xf numFmtId="0" fontId="2" fillId="2" borderId="1" xfId="2" applyFont="1" applyBorder="1" applyAlignment="1">
      <alignment horizontal="center" vertical="center"/>
    </xf>
    <xf numFmtId="0" fontId="2" fillId="2" borderId="1" xfId="2" applyFont="1" applyBorder="1" applyAlignment="1">
      <alignment horizontal="center"/>
    </xf>
    <xf numFmtId="0" fontId="3" fillId="2" borderId="1" xfId="2" applyFont="1" applyBorder="1" applyAlignment="1">
      <alignment horizontal="center"/>
    </xf>
    <xf numFmtId="164" fontId="3" fillId="2" borderId="1" xfId="2" applyNumberFormat="1" applyFont="1" applyBorder="1" applyAlignment="1">
      <alignment horizontal="center"/>
    </xf>
    <xf numFmtId="164" fontId="3" fillId="2" borderId="1" xfId="2" applyNumberFormat="1" applyFont="1" applyBorder="1"/>
    <xf numFmtId="164" fontId="3" fillId="2" borderId="1" xfId="2" applyNumberFormat="1" applyFont="1" applyBorder="1" applyAlignment="1"/>
    <xf numFmtId="0" fontId="2" fillId="2" borderId="1" xfId="2" applyFont="1" applyBorder="1" applyAlignment="1">
      <alignment horizontal="left"/>
    </xf>
    <xf numFmtId="9" fontId="2" fillId="2" borderId="1" xfId="2" applyNumberFormat="1" applyFont="1" applyBorder="1" applyAlignment="1">
      <alignment horizontal="right" vertical="center"/>
    </xf>
    <xf numFmtId="0" fontId="2" fillId="0" borderId="0" xfId="0" applyFont="1"/>
    <xf numFmtId="0" fontId="2" fillId="5" borderId="1" xfId="0" applyFont="1" applyFill="1" applyBorder="1" applyAlignment="1">
      <alignment horizontal="center"/>
    </xf>
    <xf numFmtId="165" fontId="2" fillId="2" borderId="1" xfId="2" applyNumberFormat="1" applyFont="1" applyBorder="1" applyAlignment="1">
      <alignment horizontal="center"/>
    </xf>
    <xf numFmtId="0" fontId="2" fillId="2" borderId="1" xfId="2" applyFont="1" applyBorder="1" applyAlignment="1">
      <alignment vertical="center" wrapText="1"/>
    </xf>
    <xf numFmtId="165" fontId="2" fillId="2" borderId="1" xfId="2" applyNumberFormat="1" applyFont="1" applyBorder="1"/>
    <xf numFmtId="165" fontId="2" fillId="2" borderId="2" xfId="2" applyNumberFormat="1" applyFont="1" applyBorder="1" applyAlignment="1">
      <alignment horizontal="center"/>
    </xf>
    <xf numFmtId="165" fontId="2" fillId="2" borderId="3" xfId="2" applyNumberFormat="1" applyFont="1" applyBorder="1" applyAlignment="1">
      <alignment horizontal="center"/>
    </xf>
    <xf numFmtId="0" fontId="3" fillId="2" borderId="1" xfId="2" applyFont="1" applyBorder="1"/>
    <xf numFmtId="165" fontId="3" fillId="2" borderId="2" xfId="2" applyNumberFormat="1" applyFont="1" applyBorder="1" applyAlignment="1">
      <alignment horizontal="center"/>
    </xf>
    <xf numFmtId="165" fontId="3" fillId="2" borderId="3" xfId="2" applyNumberFormat="1" applyFont="1" applyBorder="1" applyAlignment="1">
      <alignment horizontal="center"/>
    </xf>
    <xf numFmtId="0" fontId="2" fillId="4" borderId="1" xfId="4" applyFont="1" applyBorder="1" applyAlignment="1">
      <alignment horizontal="center" vertical="center"/>
    </xf>
    <xf numFmtId="0" fontId="2" fillId="2" borderId="1" xfId="2" applyFont="1" applyBorder="1" applyAlignment="1">
      <alignment horizontal="left" vertical="center" wrapText="1"/>
    </xf>
    <xf numFmtId="0" fontId="2" fillId="2" borderId="1" xfId="2" applyFont="1" applyBorder="1" applyAlignment="1">
      <alignment horizontal="right" vertical="center"/>
    </xf>
    <xf numFmtId="2" fontId="2" fillId="2" borderId="1" xfId="2" applyNumberFormat="1" applyFont="1" applyBorder="1" applyAlignment="1">
      <alignment horizontal="center" vertical="center"/>
    </xf>
    <xf numFmtId="2" fontId="2" fillId="2" borderId="1" xfId="2" applyNumberFormat="1" applyFont="1" applyBorder="1" applyAlignment="1">
      <alignment horizontal="right" vertical="center"/>
    </xf>
    <xf numFmtId="0" fontId="2" fillId="2" borderId="2" xfId="2" applyFont="1" applyBorder="1" applyAlignment="1">
      <alignment horizontal="center" vertical="center"/>
    </xf>
    <xf numFmtId="0" fontId="2" fillId="2" borderId="4" xfId="2" applyFont="1" applyBorder="1" applyAlignment="1">
      <alignment horizontal="center" vertical="center"/>
    </xf>
    <xf numFmtId="0" fontId="2" fillId="2" borderId="3" xfId="2" applyFont="1" applyBorder="1" applyAlignment="1">
      <alignment horizontal="center" vertical="center"/>
    </xf>
    <xf numFmtId="0" fontId="3" fillId="2" borderId="1" xfId="2" applyFont="1" applyBorder="1" applyAlignment="1">
      <alignment horizontal="left" vertical="center" wrapText="1"/>
    </xf>
    <xf numFmtId="0" fontId="3" fillId="2" borderId="1" xfId="2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6" fillId="0" borderId="0" xfId="0" applyFont="1"/>
    <xf numFmtId="0" fontId="2" fillId="2" borderId="1" xfId="2" applyFont="1" applyBorder="1" applyAlignment="1">
      <alignment vertical="center"/>
    </xf>
    <xf numFmtId="0" fontId="2" fillId="4" borderId="1" xfId="4" applyFont="1" applyBorder="1" applyAlignment="1">
      <alignment horizontal="center"/>
    </xf>
    <xf numFmtId="49" fontId="2" fillId="4" borderId="1" xfId="4" applyNumberFormat="1" applyFont="1" applyBorder="1" applyAlignment="1">
      <alignment horizontal="center" vertical="center"/>
    </xf>
    <xf numFmtId="0" fontId="3" fillId="2" borderId="1" xfId="2" applyFont="1" applyBorder="1" applyAlignment="1">
      <alignment horizontal="center" vertical="center"/>
    </xf>
    <xf numFmtId="0" fontId="2" fillId="4" borderId="1" xfId="4" applyFont="1" applyBorder="1" applyAlignment="1">
      <alignment horizontal="center" vertical="center"/>
    </xf>
    <xf numFmtId="2" fontId="2" fillId="2" borderId="1" xfId="2" applyNumberFormat="1" applyFont="1" applyBorder="1" applyAlignment="1">
      <alignment horizontal="center"/>
    </xf>
    <xf numFmtId="2" fontId="2" fillId="2" borderId="2" xfId="2" applyNumberFormat="1" applyFont="1" applyBorder="1" applyAlignment="1">
      <alignment horizontal="center"/>
    </xf>
    <xf numFmtId="2" fontId="2" fillId="2" borderId="3" xfId="2" applyNumberFormat="1" applyFont="1" applyBorder="1" applyAlignment="1">
      <alignment horizontal="center"/>
    </xf>
    <xf numFmtId="0" fontId="3" fillId="2" borderId="1" xfId="2" applyFont="1" applyBorder="1" applyAlignment="1">
      <alignment vertical="center"/>
    </xf>
    <xf numFmtId="2" fontId="3" fillId="2" borderId="2" xfId="2" applyNumberFormat="1" applyFont="1" applyBorder="1" applyAlignment="1">
      <alignment horizontal="center"/>
    </xf>
    <xf numFmtId="2" fontId="3" fillId="2" borderId="4" xfId="2" applyNumberFormat="1" applyFont="1" applyBorder="1" applyAlignment="1">
      <alignment horizontal="center"/>
    </xf>
    <xf numFmtId="2" fontId="3" fillId="2" borderId="3" xfId="2" applyNumberFormat="1" applyFont="1" applyBorder="1" applyAlignment="1">
      <alignment horizontal="center"/>
    </xf>
    <xf numFmtId="0" fontId="2" fillId="4" borderId="1" xfId="4" applyFont="1" applyBorder="1" applyAlignment="1">
      <alignment horizontal="center" vertical="center" wrapText="1"/>
    </xf>
    <xf numFmtId="0" fontId="2" fillId="2" borderId="1" xfId="2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6" fontId="3" fillId="2" borderId="1" xfId="2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9" fontId="2" fillId="7" borderId="1" xfId="1" applyNumberFormat="1" applyFont="1" applyFill="1" applyBorder="1" applyAlignment="1">
      <alignment horizontal="center" vertical="center"/>
    </xf>
    <xf numFmtId="10" fontId="2" fillId="7" borderId="1" xfId="1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2" fillId="0" borderId="1" xfId="1" applyNumberFormat="1" applyFont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66" fontId="3" fillId="2" borderId="5" xfId="2" applyNumberFormat="1" applyFont="1" applyBorder="1" applyAlignment="1">
      <alignment horizontal="center" vertical="center"/>
    </xf>
    <xf numFmtId="166" fontId="4" fillId="7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49" fontId="3" fillId="2" borderId="1" xfId="2" applyNumberFormat="1" applyFont="1" applyBorder="1" applyAlignment="1">
      <alignment horizontal="center" vertical="center"/>
    </xf>
    <xf numFmtId="49" fontId="3" fillId="2" borderId="1" xfId="2" applyNumberFormat="1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/>
    </xf>
    <xf numFmtId="0" fontId="2" fillId="4" borderId="1" xfId="4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4" borderId="2" xfId="4" applyFont="1" applyBorder="1" applyAlignment="1">
      <alignment horizontal="center"/>
    </xf>
    <xf numFmtId="0" fontId="2" fillId="4" borderId="4" xfId="4" applyFont="1" applyBorder="1" applyAlignment="1">
      <alignment horizontal="center"/>
    </xf>
    <xf numFmtId="0" fontId="2" fillId="4" borderId="3" xfId="4" applyFont="1" applyBorder="1" applyAlignment="1">
      <alignment horizontal="center"/>
    </xf>
    <xf numFmtId="2" fontId="2" fillId="2" borderId="1" xfId="2" applyNumberFormat="1" applyFont="1" applyBorder="1"/>
    <xf numFmtId="0" fontId="4" fillId="0" borderId="0" xfId="0" applyFont="1"/>
    <xf numFmtId="2" fontId="4" fillId="0" borderId="1" xfId="0" applyNumberFormat="1" applyFont="1" applyBorder="1"/>
    <xf numFmtId="2" fontId="4" fillId="11" borderId="1" xfId="0" applyNumberFormat="1" applyFont="1" applyFill="1" applyBorder="1"/>
    <xf numFmtId="2" fontId="4" fillId="7" borderId="1" xfId="0" applyNumberFormat="1" applyFont="1" applyFill="1" applyBorder="1"/>
    <xf numFmtId="0" fontId="3" fillId="2" borderId="3" xfId="2" applyFont="1" applyBorder="1" applyAlignment="1">
      <alignment horizontal="center"/>
    </xf>
    <xf numFmtId="2" fontId="3" fillId="3" borderId="1" xfId="3" applyNumberFormat="1" applyFont="1" applyBorder="1" applyAlignment="1">
      <alignment horizontal="center"/>
    </xf>
    <xf numFmtId="0" fontId="3" fillId="0" borderId="0" xfId="0" applyFont="1"/>
    <xf numFmtId="0" fontId="8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0" borderId="0" xfId="0" applyFont="1" applyFill="1" applyBorder="1"/>
    <xf numFmtId="0" fontId="6" fillId="0" borderId="0" xfId="0" applyFont="1" applyFill="1" applyBorder="1"/>
    <xf numFmtId="2" fontId="6" fillId="0" borderId="0" xfId="0" applyNumberFormat="1" applyFont="1" applyFill="1" applyBorder="1"/>
    <xf numFmtId="2" fontId="2" fillId="0" borderId="0" xfId="0" applyNumberFormat="1" applyFont="1"/>
    <xf numFmtId="0" fontId="2" fillId="0" borderId="0" xfId="0" applyFont="1" applyFill="1"/>
    <xf numFmtId="2" fontId="2" fillId="11" borderId="1" xfId="2" applyNumberFormat="1" applyFont="1" applyFill="1" applyBorder="1"/>
    <xf numFmtId="0" fontId="3" fillId="4" borderId="1" xfId="4" applyFont="1" applyBorder="1" applyAlignment="1">
      <alignment horizontal="center"/>
    </xf>
    <xf numFmtId="2" fontId="3" fillId="4" borderId="1" xfId="4" applyNumberFormat="1" applyFont="1" applyBorder="1"/>
    <xf numFmtId="0" fontId="2" fillId="4" borderId="1" xfId="4" applyFont="1" applyBorder="1" applyAlignment="1">
      <alignment horizontal="center" wrapText="1"/>
    </xf>
    <xf numFmtId="0" fontId="2" fillId="4" borderId="1" xfId="4" applyFont="1" applyBorder="1" applyAlignment="1">
      <alignment vertical="center"/>
    </xf>
  </cellXfs>
  <cellStyles count="5">
    <cellStyle name="20% — акцент4" xfId="2" builtinId="42"/>
    <cellStyle name="40% — акцент4" xfId="3" builtinId="43"/>
    <cellStyle name="60% — акцент4" xfId="4" builtinId="44"/>
    <cellStyle name="Обычный" xfId="0" builtinId="0"/>
    <cellStyle name="Процентный" xfId="1" builtinId="5"/>
  </cellStyles>
  <dxfs count="2"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A21C-A629-4CAE-BE8A-ECBF439F3F7D}">
  <dimension ref="A1:F16"/>
  <sheetViews>
    <sheetView workbookViewId="0">
      <selection activeCell="A10" sqref="A10:F16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23.85546875" customWidth="1"/>
    <col min="4" max="4" width="16.28515625" bestFit="1" customWidth="1"/>
    <col min="5" max="5" width="6.85546875" bestFit="1" customWidth="1"/>
    <col min="6" max="6" width="16.28515625" bestFit="1" customWidth="1"/>
  </cols>
  <sheetData>
    <row r="1" spans="1:6" ht="30" x14ac:dyDescent="0.25">
      <c r="A1" s="96" t="s">
        <v>0</v>
      </c>
      <c r="B1" s="96" t="s">
        <v>5</v>
      </c>
      <c r="C1" s="95" t="s">
        <v>6</v>
      </c>
      <c r="D1" s="51" t="s">
        <v>7</v>
      </c>
      <c r="E1" s="51"/>
      <c r="F1" s="51"/>
    </row>
    <row r="2" spans="1:6" x14ac:dyDescent="0.25">
      <c r="A2" s="5" t="s">
        <v>1</v>
      </c>
      <c r="B2" s="6">
        <v>10</v>
      </c>
      <c r="C2" s="6">
        <v>595000</v>
      </c>
      <c r="D2" s="5" t="s">
        <v>9</v>
      </c>
      <c r="E2" s="7">
        <v>0.35</v>
      </c>
      <c r="F2" s="6">
        <f>D6*E2</f>
        <v>595000</v>
      </c>
    </row>
    <row r="3" spans="1:6" x14ac:dyDescent="0.25">
      <c r="A3" s="5" t="s">
        <v>2</v>
      </c>
      <c r="B3" s="6">
        <v>3</v>
      </c>
      <c r="C3" s="6">
        <v>297500</v>
      </c>
      <c r="D3" s="5" t="s">
        <v>11</v>
      </c>
      <c r="E3" s="7">
        <v>0.5</v>
      </c>
      <c r="F3" s="6">
        <f>F2*E3</f>
        <v>297500</v>
      </c>
    </row>
    <row r="4" spans="1:6" x14ac:dyDescent="0.25">
      <c r="A4" s="5" t="s">
        <v>3</v>
      </c>
      <c r="B4" s="6">
        <v>7</v>
      </c>
      <c r="C4" s="6">
        <v>552500</v>
      </c>
      <c r="D4" s="8" t="s">
        <v>12</v>
      </c>
      <c r="E4" s="9" t="s">
        <v>12</v>
      </c>
      <c r="F4" s="6">
        <f>D6-SUM(F2,F3,F5)</f>
        <v>552500</v>
      </c>
    </row>
    <row r="5" spans="1:6" x14ac:dyDescent="0.25">
      <c r="A5" s="5" t="s">
        <v>4</v>
      </c>
      <c r="B5" s="6">
        <v>4</v>
      </c>
      <c r="C5" s="6">
        <v>255000</v>
      </c>
      <c r="D5" s="5" t="s">
        <v>10</v>
      </c>
      <c r="E5" s="7">
        <v>0.15</v>
      </c>
      <c r="F5" s="6">
        <f>D6*E5</f>
        <v>255000</v>
      </c>
    </row>
    <row r="6" spans="1:6" x14ac:dyDescent="0.25">
      <c r="A6" s="11" t="s">
        <v>8</v>
      </c>
      <c r="B6" s="11"/>
      <c r="C6" s="11"/>
      <c r="D6" s="12">
        <v>1700000</v>
      </c>
      <c r="E6" s="12"/>
      <c r="F6" s="13">
        <f>SUM(C2:C5)</f>
        <v>1700000</v>
      </c>
    </row>
    <row r="7" spans="1:6" x14ac:dyDescent="0.25">
      <c r="A7" s="11" t="s">
        <v>13</v>
      </c>
      <c r="B7" s="11"/>
      <c r="C7" s="11"/>
      <c r="D7" s="14">
        <f>SUMPRODUCT(B2:B5,C2:C5)</f>
        <v>11730000</v>
      </c>
      <c r="E7" s="14"/>
      <c r="F7" s="14"/>
    </row>
    <row r="10" spans="1:6" ht="30" x14ac:dyDescent="0.25">
      <c r="A10" s="3" t="s">
        <v>0</v>
      </c>
      <c r="B10" s="3" t="s">
        <v>5</v>
      </c>
      <c r="C10" s="95" t="s">
        <v>6</v>
      </c>
      <c r="D10" s="43" t="s">
        <v>7</v>
      </c>
      <c r="E10" s="43"/>
      <c r="F10" s="43"/>
    </row>
    <row r="11" spans="1:6" x14ac:dyDescent="0.25">
      <c r="A11" s="5" t="s">
        <v>14</v>
      </c>
      <c r="B11" s="6">
        <v>10</v>
      </c>
      <c r="C11" s="6">
        <v>0</v>
      </c>
      <c r="D11" s="5" t="s">
        <v>9</v>
      </c>
      <c r="E11" s="7">
        <v>0.25</v>
      </c>
      <c r="F11" s="6">
        <f>D15*E11</f>
        <v>87500</v>
      </c>
    </row>
    <row r="12" spans="1:6" x14ac:dyDescent="0.25">
      <c r="A12" s="5" t="s">
        <v>15</v>
      </c>
      <c r="B12" s="6">
        <v>24</v>
      </c>
      <c r="C12" s="6">
        <v>227500</v>
      </c>
      <c r="D12" s="5" t="s">
        <v>18</v>
      </c>
      <c r="E12" s="7">
        <v>0.3</v>
      </c>
      <c r="F12" s="6">
        <f>D15*E12</f>
        <v>105000</v>
      </c>
    </row>
    <row r="13" spans="1:6" x14ac:dyDescent="0.25">
      <c r="A13" s="5" t="s">
        <v>16</v>
      </c>
      <c r="B13" s="6">
        <v>20</v>
      </c>
      <c r="C13" s="6">
        <v>0</v>
      </c>
      <c r="D13" s="15" t="s">
        <v>19</v>
      </c>
      <c r="E13" s="16">
        <v>0.5</v>
      </c>
      <c r="F13" s="6">
        <f>F12*E13</f>
        <v>52500</v>
      </c>
    </row>
    <row r="14" spans="1:6" x14ac:dyDescent="0.25">
      <c r="A14" s="5" t="s">
        <v>17</v>
      </c>
      <c r="B14" s="6">
        <v>14</v>
      </c>
      <c r="C14" s="6">
        <v>122499.99999999999</v>
      </c>
      <c r="D14" s="5" t="s">
        <v>10</v>
      </c>
      <c r="E14" s="7">
        <v>0.35</v>
      </c>
      <c r="F14" s="6">
        <f>D15*E14</f>
        <v>122499.99999999999</v>
      </c>
    </row>
    <row r="15" spans="1:6" x14ac:dyDescent="0.25">
      <c r="A15" s="11" t="s">
        <v>8</v>
      </c>
      <c r="B15" s="11"/>
      <c r="C15" s="11"/>
      <c r="D15" s="12">
        <v>350000</v>
      </c>
      <c r="E15" s="12"/>
      <c r="F15" s="13">
        <f>SUM(C11:C14)</f>
        <v>350000</v>
      </c>
    </row>
    <row r="16" spans="1:6" x14ac:dyDescent="0.25">
      <c r="A16" s="11" t="s">
        <v>13</v>
      </c>
      <c r="B16" s="11"/>
      <c r="C16" s="11"/>
      <c r="D16" s="14">
        <f>SUMPRODUCT(B11:B14,C11:C14)</f>
        <v>7175000</v>
      </c>
      <c r="E16" s="14"/>
      <c r="F16" s="14"/>
    </row>
  </sheetData>
  <mergeCells count="10">
    <mergeCell ref="A15:C15"/>
    <mergeCell ref="D15:E15"/>
    <mergeCell ref="A16:C16"/>
    <mergeCell ref="D16:F16"/>
    <mergeCell ref="A6:C6"/>
    <mergeCell ref="D1:F1"/>
    <mergeCell ref="D6:E6"/>
    <mergeCell ref="A7:C7"/>
    <mergeCell ref="D7:F7"/>
    <mergeCell ref="D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9FB-AFC3-4746-9FAB-01F87EE4FE55}">
  <dimension ref="A1:C13"/>
  <sheetViews>
    <sheetView workbookViewId="0">
      <selection sqref="A1:C13"/>
    </sheetView>
  </sheetViews>
  <sheetFormatPr defaultRowHeight="15" x14ac:dyDescent="0.25"/>
  <cols>
    <col min="1" max="1" width="20.42578125" bestFit="1" customWidth="1"/>
    <col min="3" max="3" width="10" bestFit="1" customWidth="1"/>
  </cols>
  <sheetData>
    <row r="1" spans="1:3" x14ac:dyDescent="0.25">
      <c r="A1" s="17"/>
      <c r="B1" s="4" t="s">
        <v>20</v>
      </c>
      <c r="C1" s="4"/>
    </row>
    <row r="2" spans="1:3" x14ac:dyDescent="0.25">
      <c r="A2" s="3" t="s">
        <v>21</v>
      </c>
      <c r="B2" s="18" t="s">
        <v>22</v>
      </c>
      <c r="C2" s="18" t="s">
        <v>23</v>
      </c>
    </row>
    <row r="3" spans="1:3" x14ac:dyDescent="0.25">
      <c r="A3" s="5" t="s">
        <v>24</v>
      </c>
      <c r="B3" s="19">
        <v>5000</v>
      </c>
      <c r="C3" s="19">
        <v>2000</v>
      </c>
    </row>
    <row r="4" spans="1:3" x14ac:dyDescent="0.25">
      <c r="A4" s="5" t="s">
        <v>25</v>
      </c>
      <c r="B4" s="8">
        <v>8</v>
      </c>
      <c r="C4" s="8">
        <v>4</v>
      </c>
    </row>
    <row r="5" spans="1:3" x14ac:dyDescent="0.25">
      <c r="A5" s="20" t="s">
        <v>26</v>
      </c>
      <c r="B5" s="9">
        <v>7000</v>
      </c>
      <c r="C5" s="9">
        <v>3000</v>
      </c>
    </row>
    <row r="6" spans="1:3" x14ac:dyDescent="0.25">
      <c r="A6" s="11" t="s">
        <v>7</v>
      </c>
      <c r="B6" s="11"/>
      <c r="C6" s="11"/>
    </row>
    <row r="7" spans="1:3" x14ac:dyDescent="0.25">
      <c r="A7" s="5" t="s">
        <v>25</v>
      </c>
      <c r="B7" s="8" t="s">
        <v>9</v>
      </c>
      <c r="C7" s="8">
        <v>36</v>
      </c>
    </row>
    <row r="8" spans="1:3" x14ac:dyDescent="0.25">
      <c r="A8" s="5" t="s">
        <v>8</v>
      </c>
      <c r="B8" s="8" t="s">
        <v>9</v>
      </c>
      <c r="C8" s="21">
        <v>20000</v>
      </c>
    </row>
    <row r="9" spans="1:3" x14ac:dyDescent="0.25">
      <c r="A9" s="11" t="s">
        <v>27</v>
      </c>
      <c r="B9" s="11"/>
      <c r="C9" s="11"/>
    </row>
    <row r="10" spans="1:3" x14ac:dyDescent="0.25">
      <c r="A10" s="5" t="s">
        <v>28</v>
      </c>
      <c r="B10" s="22">
        <f>SUMPRODUCT(B12:C12,B3:C3)</f>
        <v>20000</v>
      </c>
      <c r="C10" s="23"/>
    </row>
    <row r="11" spans="1:3" x14ac:dyDescent="0.25">
      <c r="A11" s="5" t="s">
        <v>29</v>
      </c>
      <c r="B11" s="10">
        <f>SUMPRODUCT(B12:C12,B4:C4)</f>
        <v>35.999999999999993</v>
      </c>
      <c r="C11" s="10"/>
    </row>
    <row r="12" spans="1:3" x14ac:dyDescent="0.25">
      <c r="A12" s="5" t="s">
        <v>30</v>
      </c>
      <c r="B12" s="8">
        <v>2.0000000000000018</v>
      </c>
      <c r="C12" s="8">
        <v>4.9999999999999947</v>
      </c>
    </row>
    <row r="13" spans="1:3" x14ac:dyDescent="0.25">
      <c r="A13" s="24" t="s">
        <v>13</v>
      </c>
      <c r="B13" s="25">
        <f>SUMPRODUCT(B12:C12,B5:C5)</f>
        <v>28999.999999999996</v>
      </c>
      <c r="C13" s="26"/>
    </row>
  </sheetData>
  <mergeCells count="6">
    <mergeCell ref="B1:C1"/>
    <mergeCell ref="A6:C6"/>
    <mergeCell ref="A9:C9"/>
    <mergeCell ref="B10:C10"/>
    <mergeCell ref="B11:C11"/>
    <mergeCell ref="B13:C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6E1B-3294-439E-924D-C9C7562EE3E6}">
  <dimension ref="A1:F8"/>
  <sheetViews>
    <sheetView workbookViewId="0">
      <selection sqref="A1:F8"/>
    </sheetView>
  </sheetViews>
  <sheetFormatPr defaultRowHeight="15" x14ac:dyDescent="0.25"/>
  <cols>
    <col min="1" max="1" width="25.7109375" customWidth="1"/>
    <col min="2" max="2" width="18.5703125" customWidth="1"/>
  </cols>
  <sheetData>
    <row r="1" spans="1:6" x14ac:dyDescent="0.25">
      <c r="A1" s="3" t="s">
        <v>31</v>
      </c>
      <c r="B1" s="27" t="s">
        <v>32</v>
      </c>
      <c r="C1" s="27" t="s">
        <v>33</v>
      </c>
      <c r="D1" s="27" t="s">
        <v>34</v>
      </c>
      <c r="E1" s="27" t="s">
        <v>35</v>
      </c>
      <c r="F1" s="27" t="s">
        <v>36</v>
      </c>
    </row>
    <row r="2" spans="1:6" ht="44.25" customHeight="1" x14ac:dyDescent="0.25">
      <c r="A2" s="28" t="s">
        <v>37</v>
      </c>
      <c r="B2" s="9">
        <v>25000</v>
      </c>
      <c r="C2" s="9">
        <v>75000</v>
      </c>
      <c r="D2" s="9">
        <v>50000</v>
      </c>
      <c r="E2" s="9">
        <v>10000</v>
      </c>
      <c r="F2" s="29"/>
    </row>
    <row r="3" spans="1:6" ht="36" customHeight="1" x14ac:dyDescent="0.25">
      <c r="A3" s="28" t="s">
        <v>38</v>
      </c>
      <c r="B3" s="30">
        <v>12.5</v>
      </c>
      <c r="C3" s="30">
        <v>8</v>
      </c>
      <c r="D3" s="30">
        <v>6.35</v>
      </c>
      <c r="E3" s="30">
        <v>20</v>
      </c>
      <c r="F3" s="31"/>
    </row>
    <row r="4" spans="1:6" ht="36" customHeight="1" x14ac:dyDescent="0.25">
      <c r="A4" s="28" t="s">
        <v>39</v>
      </c>
      <c r="B4" s="30">
        <v>18</v>
      </c>
      <c r="C4" s="30">
        <v>5</v>
      </c>
      <c r="D4" s="30">
        <v>7</v>
      </c>
      <c r="E4" s="30">
        <v>21</v>
      </c>
      <c r="F4" s="31"/>
    </row>
    <row r="5" spans="1:6" ht="41.25" customHeight="1" x14ac:dyDescent="0.25">
      <c r="A5" s="28" t="s">
        <v>40</v>
      </c>
      <c r="B5" s="8">
        <v>25000</v>
      </c>
      <c r="C5" s="8">
        <v>0</v>
      </c>
      <c r="D5" s="8">
        <v>50000.000000000015</v>
      </c>
      <c r="E5" s="8">
        <v>6000</v>
      </c>
      <c r="F5" s="5"/>
    </row>
    <row r="6" spans="1:6" ht="31.5" customHeight="1" x14ac:dyDescent="0.25">
      <c r="A6" s="28" t="s">
        <v>41</v>
      </c>
      <c r="B6" s="32">
        <v>750000</v>
      </c>
      <c r="C6" s="33"/>
      <c r="D6" s="33"/>
      <c r="E6" s="34"/>
      <c r="F6" s="5"/>
    </row>
    <row r="7" spans="1:6" x14ac:dyDescent="0.25">
      <c r="A7" s="35" t="s">
        <v>42</v>
      </c>
      <c r="B7" s="36">
        <f>B5*B3</f>
        <v>312500</v>
      </c>
      <c r="C7" s="36">
        <f>C5*C3</f>
        <v>0</v>
      </c>
      <c r="D7" s="36">
        <f>D5*D3</f>
        <v>317500.00000000006</v>
      </c>
      <c r="E7" s="36">
        <f>E5*E3</f>
        <v>120000</v>
      </c>
      <c r="F7" s="36">
        <f>SUM(B7:E7)</f>
        <v>750000</v>
      </c>
    </row>
    <row r="8" spans="1:6" x14ac:dyDescent="0.25">
      <c r="A8" s="35" t="s">
        <v>43</v>
      </c>
      <c r="B8" s="36">
        <f>B5*B4-B7</f>
        <v>137500</v>
      </c>
      <c r="C8" s="36">
        <f>C5*C4-C7</f>
        <v>0</v>
      </c>
      <c r="D8" s="36">
        <f t="shared" ref="D8:E8" si="0">D5*D4-D7</f>
        <v>32500.000000000058</v>
      </c>
      <c r="E8" s="36">
        <f t="shared" si="0"/>
        <v>6000</v>
      </c>
      <c r="F8" s="36">
        <f>SUM(B8:E8)</f>
        <v>176000.00000000006</v>
      </c>
    </row>
  </sheetData>
  <mergeCells count="1">
    <mergeCell ref="B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7E9E-C7D7-4D65-B525-0F0759B721AB}">
  <dimension ref="A1:M18"/>
  <sheetViews>
    <sheetView workbookViewId="0">
      <selection activeCell="I12" sqref="I12:J18"/>
    </sheetView>
  </sheetViews>
  <sheetFormatPr defaultRowHeight="15" x14ac:dyDescent="0.25"/>
  <cols>
    <col min="1" max="1" width="12.7109375" style="17" customWidth="1"/>
    <col min="2" max="8" width="9.140625" style="17"/>
    <col min="9" max="9" width="17.7109375" style="17" bestFit="1" customWidth="1"/>
    <col min="10" max="16384" width="9.140625" style="17"/>
  </cols>
  <sheetData>
    <row r="1" spans="1:13" x14ac:dyDescent="0.25">
      <c r="A1" s="15" t="s">
        <v>44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H1" s="5" t="s">
        <v>45</v>
      </c>
      <c r="I1" s="8" t="s">
        <v>22</v>
      </c>
      <c r="J1" s="8" t="s">
        <v>46</v>
      </c>
      <c r="K1" s="8" t="s">
        <v>47</v>
      </c>
      <c r="L1" s="8" t="s">
        <v>35</v>
      </c>
      <c r="M1" s="8" t="s">
        <v>48</v>
      </c>
    </row>
    <row r="2" spans="1:13" ht="45" x14ac:dyDescent="0.25">
      <c r="A2" s="28" t="s">
        <v>49</v>
      </c>
      <c r="B2" s="9">
        <v>54000</v>
      </c>
      <c r="C2" s="9">
        <v>23000</v>
      </c>
      <c r="D2" s="9">
        <v>36000</v>
      </c>
      <c r="E2" s="9">
        <v>41000</v>
      </c>
      <c r="F2" s="9">
        <v>26000</v>
      </c>
      <c r="H2" s="39" t="s">
        <v>50</v>
      </c>
      <c r="I2" s="9">
        <v>0.68</v>
      </c>
      <c r="J2" s="9">
        <v>0.59</v>
      </c>
      <c r="K2" s="9">
        <v>0.48</v>
      </c>
      <c r="L2" s="9">
        <v>0.47</v>
      </c>
      <c r="M2" s="9">
        <v>0.28999999999999998</v>
      </c>
    </row>
    <row r="4" spans="1:13" x14ac:dyDescent="0.25">
      <c r="B4" s="40" t="s">
        <v>44</v>
      </c>
      <c r="C4" s="8">
        <v>1</v>
      </c>
      <c r="D4" s="8">
        <v>2</v>
      </c>
      <c r="E4" s="8">
        <v>3</v>
      </c>
      <c r="F4" s="8">
        <v>4</v>
      </c>
      <c r="G4" s="8">
        <v>5</v>
      </c>
    </row>
    <row r="5" spans="1:13" x14ac:dyDescent="0.25">
      <c r="A5" s="40" t="s">
        <v>45</v>
      </c>
      <c r="B5" s="27"/>
      <c r="C5" s="9">
        <v>54000</v>
      </c>
      <c r="D5" s="9">
        <v>23000</v>
      </c>
      <c r="E5" s="9">
        <v>36000</v>
      </c>
      <c r="F5" s="9">
        <v>41000</v>
      </c>
      <c r="G5" s="9">
        <v>26000</v>
      </c>
    </row>
    <row r="6" spans="1:13" x14ac:dyDescent="0.25">
      <c r="A6" s="9" t="s">
        <v>32</v>
      </c>
      <c r="B6" s="9">
        <v>0.68</v>
      </c>
      <c r="C6" s="8">
        <f>$C$5*B6</f>
        <v>36720</v>
      </c>
      <c r="D6" s="8">
        <f>$D$5*B6</f>
        <v>15640.000000000002</v>
      </c>
      <c r="E6" s="8">
        <f>$E$5*B6</f>
        <v>24480</v>
      </c>
      <c r="F6" s="8">
        <f>$F$5*B6</f>
        <v>27880.000000000004</v>
      </c>
      <c r="G6" s="8">
        <f>$G$5*B6</f>
        <v>17680</v>
      </c>
    </row>
    <row r="7" spans="1:13" x14ac:dyDescent="0.25">
      <c r="A7" s="9" t="s">
        <v>33</v>
      </c>
      <c r="B7" s="9">
        <v>0.59</v>
      </c>
      <c r="C7" s="8">
        <f t="shared" ref="C7:C10" si="0">$C$5*B7</f>
        <v>31860</v>
      </c>
      <c r="D7" s="8">
        <f t="shared" ref="D7:D10" si="1">$D$5*B7</f>
        <v>13570</v>
      </c>
      <c r="E7" s="8">
        <f t="shared" ref="E7:E10" si="2">$E$5*B7</f>
        <v>21240</v>
      </c>
      <c r="F7" s="8">
        <f t="shared" ref="F7:F10" si="3">$F$5*B7</f>
        <v>24190</v>
      </c>
      <c r="G7" s="8">
        <f t="shared" ref="G7:G10" si="4">$G$5*B7</f>
        <v>15340</v>
      </c>
    </row>
    <row r="8" spans="1:13" x14ac:dyDescent="0.25">
      <c r="A8" s="9" t="s">
        <v>34</v>
      </c>
      <c r="B8" s="9">
        <v>0.48</v>
      </c>
      <c r="C8" s="8">
        <f t="shared" si="0"/>
        <v>25920</v>
      </c>
      <c r="D8" s="8">
        <f t="shared" si="1"/>
        <v>11040</v>
      </c>
      <c r="E8" s="8">
        <f t="shared" si="2"/>
        <v>17280</v>
      </c>
      <c r="F8" s="8">
        <f t="shared" si="3"/>
        <v>19680</v>
      </c>
      <c r="G8" s="8">
        <f t="shared" si="4"/>
        <v>12480</v>
      </c>
    </row>
    <row r="9" spans="1:13" x14ac:dyDescent="0.25">
      <c r="A9" s="9" t="s">
        <v>35</v>
      </c>
      <c r="B9" s="9">
        <v>0.47</v>
      </c>
      <c r="C9" s="8">
        <f t="shared" si="0"/>
        <v>25380</v>
      </c>
      <c r="D9" s="8">
        <f t="shared" si="1"/>
        <v>10810</v>
      </c>
      <c r="E9" s="8">
        <f t="shared" si="2"/>
        <v>16920</v>
      </c>
      <c r="F9" s="8">
        <f t="shared" si="3"/>
        <v>19270</v>
      </c>
      <c r="G9" s="8">
        <f t="shared" si="4"/>
        <v>12220</v>
      </c>
    </row>
    <row r="10" spans="1:13" x14ac:dyDescent="0.25">
      <c r="A10" s="9" t="s">
        <v>48</v>
      </c>
      <c r="B10" s="9">
        <v>0.28999999999999998</v>
      </c>
      <c r="C10" s="8">
        <f t="shared" si="0"/>
        <v>15659.999999999998</v>
      </c>
      <c r="D10" s="8">
        <f t="shared" si="1"/>
        <v>6669.9999999999991</v>
      </c>
      <c r="E10" s="8">
        <f t="shared" si="2"/>
        <v>10440</v>
      </c>
      <c r="F10" s="8">
        <f t="shared" si="3"/>
        <v>11890</v>
      </c>
      <c r="G10" s="8">
        <f t="shared" si="4"/>
        <v>7539.9999999999991</v>
      </c>
    </row>
    <row r="12" spans="1:13" x14ac:dyDescent="0.25">
      <c r="B12" s="41">
        <v>1</v>
      </c>
      <c r="C12" s="41">
        <v>2</v>
      </c>
      <c r="D12" s="41">
        <v>3</v>
      </c>
      <c r="E12" s="41">
        <v>4</v>
      </c>
      <c r="F12" s="41">
        <v>5</v>
      </c>
      <c r="I12" s="27" t="s">
        <v>44</v>
      </c>
      <c r="J12" s="27" t="s">
        <v>45</v>
      </c>
    </row>
    <row r="13" spans="1:13" x14ac:dyDescent="0.25">
      <c r="A13" s="27" t="s">
        <v>32</v>
      </c>
      <c r="B13" s="36">
        <v>1</v>
      </c>
      <c r="C13" s="8">
        <v>0</v>
      </c>
      <c r="D13" s="8">
        <v>0</v>
      </c>
      <c r="E13" s="8">
        <v>0</v>
      </c>
      <c r="F13" s="8">
        <v>0</v>
      </c>
      <c r="G13" s="38">
        <f>SUM(B13:F13)</f>
        <v>1</v>
      </c>
      <c r="I13" s="9">
        <v>1</v>
      </c>
      <c r="J13" s="9" t="s">
        <v>32</v>
      </c>
    </row>
    <row r="14" spans="1:13" x14ac:dyDescent="0.25">
      <c r="A14" s="27" t="s">
        <v>33</v>
      </c>
      <c r="B14" s="8">
        <v>0</v>
      </c>
      <c r="C14" s="8">
        <v>0</v>
      </c>
      <c r="D14" s="8">
        <v>0</v>
      </c>
      <c r="E14" s="36">
        <v>1</v>
      </c>
      <c r="F14" s="8">
        <v>0</v>
      </c>
      <c r="G14" s="38">
        <f t="shared" ref="G14:G17" si="5">SUM(B14:F14)</f>
        <v>1</v>
      </c>
      <c r="I14" s="9">
        <v>2</v>
      </c>
      <c r="J14" s="9" t="s">
        <v>48</v>
      </c>
    </row>
    <row r="15" spans="1:13" x14ac:dyDescent="0.25">
      <c r="A15" s="27" t="s">
        <v>34</v>
      </c>
      <c r="B15" s="8">
        <v>0</v>
      </c>
      <c r="C15" s="8">
        <v>0</v>
      </c>
      <c r="D15" s="36">
        <v>1</v>
      </c>
      <c r="E15" s="8">
        <v>0</v>
      </c>
      <c r="F15" s="8">
        <v>0</v>
      </c>
      <c r="G15" s="38">
        <f t="shared" si="5"/>
        <v>1</v>
      </c>
      <c r="I15" s="9">
        <v>3</v>
      </c>
      <c r="J15" s="9" t="s">
        <v>34</v>
      </c>
    </row>
    <row r="16" spans="1:13" x14ac:dyDescent="0.25">
      <c r="A16" s="27" t="s">
        <v>35</v>
      </c>
      <c r="B16" s="8">
        <v>0</v>
      </c>
      <c r="C16" s="8">
        <v>0</v>
      </c>
      <c r="D16" s="8">
        <v>0</v>
      </c>
      <c r="E16" s="8">
        <v>0</v>
      </c>
      <c r="F16" s="36">
        <v>1</v>
      </c>
      <c r="G16" s="38">
        <f t="shared" si="5"/>
        <v>1</v>
      </c>
      <c r="I16" s="9">
        <v>4</v>
      </c>
      <c r="J16" s="9" t="s">
        <v>33</v>
      </c>
    </row>
    <row r="17" spans="1:10" x14ac:dyDescent="0.25">
      <c r="A17" s="27" t="s">
        <v>48</v>
      </c>
      <c r="B17" s="8">
        <v>0</v>
      </c>
      <c r="C17" s="36">
        <v>1</v>
      </c>
      <c r="D17" s="8">
        <v>0</v>
      </c>
      <c r="E17" s="8">
        <v>0</v>
      </c>
      <c r="F17" s="8">
        <v>0</v>
      </c>
      <c r="G17" s="38">
        <f t="shared" si="5"/>
        <v>1</v>
      </c>
      <c r="I17" s="9">
        <v>5</v>
      </c>
      <c r="J17" s="9" t="s">
        <v>35</v>
      </c>
    </row>
    <row r="18" spans="1:10" x14ac:dyDescent="0.25">
      <c r="A18" s="38"/>
      <c r="B18" s="38">
        <f>SUM(B13:B17)</f>
        <v>1</v>
      </c>
      <c r="C18" s="38">
        <f>SUM(C13:C17)</f>
        <v>1</v>
      </c>
      <c r="D18" s="38">
        <f t="shared" ref="D18:F18" si="6">SUM(D13:D17)</f>
        <v>1</v>
      </c>
      <c r="E18" s="38">
        <f t="shared" si="6"/>
        <v>1</v>
      </c>
      <c r="F18" s="38">
        <f t="shared" si="6"/>
        <v>1</v>
      </c>
      <c r="I18" s="42" t="s">
        <v>13</v>
      </c>
      <c r="J18" s="36">
        <f>SUMPRODUCT(C6:G10,B13:F17)</f>
        <v>97080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F182-9A6B-4F82-9ACC-F44F1D6B44CC}">
  <dimension ref="A1:F18"/>
  <sheetViews>
    <sheetView workbookViewId="0">
      <selection sqref="A1:E12"/>
    </sheetView>
  </sheetViews>
  <sheetFormatPr defaultRowHeight="15" x14ac:dyDescent="0.25"/>
  <cols>
    <col min="1" max="1" width="20.7109375" bestFit="1" customWidth="1"/>
    <col min="2" max="2" width="13.5703125" bestFit="1" customWidth="1"/>
    <col min="3" max="3" width="7.28515625" bestFit="1" customWidth="1"/>
    <col min="4" max="4" width="8.28515625" bestFit="1" customWidth="1"/>
  </cols>
  <sheetData>
    <row r="1" spans="1:6" x14ac:dyDescent="0.25">
      <c r="A1" s="43" t="s">
        <v>51</v>
      </c>
      <c r="B1" s="43" t="s">
        <v>52</v>
      </c>
      <c r="C1" s="43"/>
      <c r="D1" s="43" t="s">
        <v>53</v>
      </c>
      <c r="E1" s="43" t="s">
        <v>54</v>
      </c>
      <c r="F1" s="17"/>
    </row>
    <row r="2" spans="1:6" x14ac:dyDescent="0.25">
      <c r="A2" s="43"/>
      <c r="B2" s="27" t="s">
        <v>55</v>
      </c>
      <c r="C2" s="27" t="s">
        <v>56</v>
      </c>
      <c r="D2" s="43"/>
      <c r="E2" s="43"/>
      <c r="F2" s="17"/>
    </row>
    <row r="3" spans="1:6" x14ac:dyDescent="0.25">
      <c r="A3" s="39" t="s">
        <v>57</v>
      </c>
      <c r="B3" s="8">
        <v>0.64</v>
      </c>
      <c r="C3" s="8">
        <v>0.51</v>
      </c>
      <c r="D3" s="44">
        <v>120</v>
      </c>
      <c r="E3" s="44">
        <f>B3*$B$10+C3*$C$10</f>
        <v>102.33636363846965</v>
      </c>
      <c r="F3" s="17"/>
    </row>
    <row r="4" spans="1:6" x14ac:dyDescent="0.25">
      <c r="A4" s="39" t="s">
        <v>58</v>
      </c>
      <c r="B4" s="8">
        <v>7.0000000000000007E-2</v>
      </c>
      <c r="C4" s="8">
        <v>0.08</v>
      </c>
      <c r="D4" s="44">
        <v>70</v>
      </c>
      <c r="E4" s="44">
        <f t="shared" ref="E4:E6" si="0">B4*$B$10+C4*$C$10</f>
        <v>13.372727272957619</v>
      </c>
      <c r="F4" s="17"/>
    </row>
    <row r="5" spans="1:6" x14ac:dyDescent="0.25">
      <c r="A5" s="39" t="s">
        <v>59</v>
      </c>
      <c r="B5" s="8">
        <v>0.21</v>
      </c>
      <c r="C5" s="8">
        <v>0.67</v>
      </c>
      <c r="D5" s="44">
        <v>100</v>
      </c>
      <c r="E5" s="44">
        <f t="shared" si="0"/>
        <v>78.818181818872858</v>
      </c>
      <c r="F5" s="17"/>
    </row>
    <row r="6" spans="1:6" x14ac:dyDescent="0.25">
      <c r="A6" s="39" t="s">
        <v>60</v>
      </c>
      <c r="B6" s="8">
        <v>0.22</v>
      </c>
      <c r="C6" s="8">
        <v>0.34</v>
      </c>
      <c r="D6" s="44">
        <v>50</v>
      </c>
      <c r="E6" s="44">
        <f t="shared" si="0"/>
        <v>50.000000000723944</v>
      </c>
      <c r="F6" s="17"/>
    </row>
    <row r="7" spans="1:6" x14ac:dyDescent="0.25">
      <c r="A7" s="39" t="s">
        <v>24</v>
      </c>
      <c r="B7" s="8">
        <v>3.25</v>
      </c>
      <c r="C7" s="8">
        <v>4.21</v>
      </c>
      <c r="D7" s="8"/>
      <c r="E7" s="5"/>
      <c r="F7" s="17"/>
    </row>
    <row r="8" spans="1:6" x14ac:dyDescent="0.25">
      <c r="A8" s="39" t="s">
        <v>61</v>
      </c>
      <c r="B8" s="8">
        <v>60</v>
      </c>
      <c r="C8" s="8">
        <v>90</v>
      </c>
      <c r="D8" s="8"/>
      <c r="E8" s="5"/>
      <c r="F8" s="17"/>
    </row>
    <row r="9" spans="1:6" x14ac:dyDescent="0.25">
      <c r="A9" s="39" t="s">
        <v>62</v>
      </c>
      <c r="B9" s="8">
        <v>160</v>
      </c>
      <c r="C9" s="8">
        <v>130</v>
      </c>
      <c r="D9" s="8"/>
      <c r="E9" s="5"/>
      <c r="F9" s="17"/>
    </row>
    <row r="10" spans="1:6" x14ac:dyDescent="0.25">
      <c r="A10" s="39" t="s">
        <v>63</v>
      </c>
      <c r="B10" s="44">
        <v>88.181818185108824</v>
      </c>
      <c r="C10" s="8">
        <v>90</v>
      </c>
      <c r="D10" s="5"/>
      <c r="E10" s="5"/>
      <c r="F10" s="17"/>
    </row>
    <row r="11" spans="1:6" x14ac:dyDescent="0.25">
      <c r="A11" s="39" t="s">
        <v>64</v>
      </c>
      <c r="B11" s="44">
        <f>B7*B10</f>
        <v>286.5909091016037</v>
      </c>
      <c r="C11" s="8">
        <f>C7*C10</f>
        <v>378.9</v>
      </c>
      <c r="D11" s="5"/>
      <c r="E11" s="5"/>
      <c r="F11" s="17"/>
    </row>
    <row r="12" spans="1:6" x14ac:dyDescent="0.25">
      <c r="A12" s="47" t="s">
        <v>13</v>
      </c>
      <c r="B12" s="48">
        <f>SUM(B11:C11)</f>
        <v>665.49090910160362</v>
      </c>
      <c r="C12" s="49"/>
      <c r="D12" s="49"/>
      <c r="E12" s="50"/>
      <c r="F12" s="17"/>
    </row>
    <row r="13" spans="1:6" x14ac:dyDescent="0.25">
      <c r="A13" s="17"/>
      <c r="B13" s="17"/>
      <c r="C13" s="17"/>
      <c r="D13" s="17"/>
      <c r="E13" s="17"/>
      <c r="F13" s="17"/>
    </row>
    <row r="14" spans="1:6" x14ac:dyDescent="0.25">
      <c r="A14" s="17"/>
      <c r="B14" s="17"/>
      <c r="C14" s="17"/>
      <c r="D14" s="17"/>
      <c r="E14" s="17"/>
      <c r="F14" s="17"/>
    </row>
    <row r="15" spans="1:6" x14ac:dyDescent="0.25">
      <c r="A15" s="17"/>
      <c r="B15" s="17"/>
      <c r="C15" s="17"/>
      <c r="D15" s="17"/>
      <c r="E15" s="17"/>
      <c r="F15" s="17"/>
    </row>
    <row r="16" spans="1:6" x14ac:dyDescent="0.25">
      <c r="A16" s="17"/>
      <c r="B16" s="17"/>
      <c r="C16" s="17"/>
      <c r="D16" s="17"/>
      <c r="E16" s="17"/>
      <c r="F16" s="17"/>
    </row>
    <row r="17" spans="1:6" x14ac:dyDescent="0.25">
      <c r="A17" s="17"/>
      <c r="B17" s="17"/>
      <c r="C17" s="17"/>
      <c r="D17" s="17"/>
      <c r="E17" s="17"/>
      <c r="F17" s="17"/>
    </row>
    <row r="18" spans="1:6" x14ac:dyDescent="0.25">
      <c r="A18" s="17"/>
      <c r="B18" s="17"/>
      <c r="C18" s="17"/>
      <c r="D18" s="17"/>
      <c r="E18" s="17"/>
      <c r="F18" s="17"/>
    </row>
  </sheetData>
  <mergeCells count="5">
    <mergeCell ref="A1:A2"/>
    <mergeCell ref="B1:C1"/>
    <mergeCell ref="D1:D2"/>
    <mergeCell ref="E1:E2"/>
    <mergeCell ref="B12:E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3DC7-E8DA-4BAC-A841-05C5C92CAA46}">
  <dimension ref="A1:AB58"/>
  <sheetViews>
    <sheetView topLeftCell="M4" workbookViewId="0">
      <selection activeCell="AA1" sqref="AA1:AB24"/>
    </sheetView>
  </sheetViews>
  <sheetFormatPr defaultRowHeight="15" x14ac:dyDescent="0.25"/>
  <cols>
    <col min="1" max="1" width="11.28515625" style="63" bestFit="1" customWidth="1"/>
    <col min="2" max="2" width="7.85546875" style="63" bestFit="1" customWidth="1"/>
    <col min="3" max="5" width="9.140625" style="63"/>
    <col min="6" max="6" width="12.7109375" style="63" bestFit="1" customWidth="1"/>
    <col min="7" max="11" width="9.140625" style="63"/>
    <col min="12" max="12" width="12.7109375" style="63" bestFit="1" customWidth="1"/>
    <col min="13" max="13" width="11.5703125" style="63" bestFit="1" customWidth="1"/>
    <col min="14" max="15" width="9.140625" style="63"/>
    <col min="16" max="16" width="18.5703125" style="63" bestFit="1" customWidth="1"/>
    <col min="17" max="22" width="9.140625" style="63"/>
    <col min="23" max="23" width="16.85546875" style="63" bestFit="1" customWidth="1"/>
    <col min="24" max="24" width="10.28515625" style="63" bestFit="1" customWidth="1"/>
    <col min="25" max="26" width="9.140625" style="63"/>
    <col min="27" max="27" width="16.85546875" style="63" bestFit="1" customWidth="1"/>
    <col min="28" max="29" width="9.140625" style="63"/>
    <col min="30" max="30" width="10.140625" style="63" bestFit="1" customWidth="1"/>
    <col min="31" max="16384" width="9.140625" style="63"/>
  </cols>
  <sheetData>
    <row r="1" spans="1:28" ht="46.5" customHeight="1" x14ac:dyDescent="0.25">
      <c r="A1" s="43" t="s">
        <v>65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W1" s="51" t="s">
        <v>111</v>
      </c>
      <c r="X1" s="51"/>
      <c r="AA1" s="51" t="s">
        <v>115</v>
      </c>
      <c r="AB1" s="51"/>
    </row>
    <row r="2" spans="1:28" x14ac:dyDescent="0.25">
      <c r="A2" s="42" t="s">
        <v>66</v>
      </c>
      <c r="B2" s="42" t="s">
        <v>67</v>
      </c>
      <c r="C2" s="42" t="s">
        <v>72</v>
      </c>
      <c r="D2" s="42" t="s">
        <v>68</v>
      </c>
      <c r="E2" s="42" t="s">
        <v>75</v>
      </c>
      <c r="F2" s="42" t="s">
        <v>69</v>
      </c>
      <c r="G2" s="42" t="s">
        <v>76</v>
      </c>
      <c r="H2" s="42" t="s">
        <v>77</v>
      </c>
      <c r="I2" s="42" t="s">
        <v>78</v>
      </c>
      <c r="J2" s="42" t="s">
        <v>79</v>
      </c>
      <c r="K2" s="42" t="s">
        <v>80</v>
      </c>
      <c r="L2" s="42" t="s">
        <v>81</v>
      </c>
      <c r="M2" s="42" t="s">
        <v>70</v>
      </c>
      <c r="N2" s="42" t="s">
        <v>71</v>
      </c>
      <c r="O2" s="42" t="s">
        <v>74</v>
      </c>
      <c r="P2" s="42" t="s">
        <v>82</v>
      </c>
      <c r="Q2" s="42" t="s">
        <v>83</v>
      </c>
      <c r="R2" s="42" t="s">
        <v>84</v>
      </c>
      <c r="S2" s="42" t="s">
        <v>73</v>
      </c>
      <c r="W2" s="52" t="s">
        <v>7</v>
      </c>
      <c r="X2" s="52"/>
      <c r="AA2" s="53" t="s">
        <v>7</v>
      </c>
      <c r="AB2" s="53"/>
    </row>
    <row r="3" spans="1:28" ht="15.75" x14ac:dyDescent="0.25">
      <c r="A3" s="54">
        <v>44105</v>
      </c>
      <c r="B3" s="2">
        <v>119.05</v>
      </c>
      <c r="C3" s="2">
        <v>158.4</v>
      </c>
      <c r="D3" s="2">
        <v>189.2</v>
      </c>
      <c r="E3" s="2">
        <v>48.35</v>
      </c>
      <c r="F3" s="2">
        <v>214.07</v>
      </c>
      <c r="G3" s="2">
        <v>51.6</v>
      </c>
      <c r="H3" s="2">
        <v>276.97000000000003</v>
      </c>
      <c r="I3" s="2">
        <v>134.01</v>
      </c>
      <c r="J3" s="2">
        <v>92.66</v>
      </c>
      <c r="K3" s="2">
        <v>210.35</v>
      </c>
      <c r="L3" s="2">
        <v>336.51</v>
      </c>
      <c r="M3" s="2">
        <v>217.44</v>
      </c>
      <c r="N3" s="2">
        <v>144.68</v>
      </c>
      <c r="O3" s="2">
        <v>134.69999999999999</v>
      </c>
      <c r="P3" s="2">
        <v>118.59</v>
      </c>
      <c r="Q3" s="2">
        <v>87.18</v>
      </c>
      <c r="R3" s="2">
        <v>38.130000000000003</v>
      </c>
      <c r="S3" s="2">
        <v>38.31</v>
      </c>
      <c r="W3" s="55" t="s">
        <v>112</v>
      </c>
      <c r="X3" s="56">
        <f>_xlfn.STDEV.S(B57*X6,C57*X7,D57*X8,E57*X9,F57*X10,G57*X11,H57*X12,I57*X13,J57*X14,K57*X15,L57*X16,M57*X17,N57*X18,O57*X19,P57*X20,Q57*X21,R57*X22,S57*X23)</f>
        <v>1.8763289533530108E-2</v>
      </c>
      <c r="Y3" s="64">
        <v>0.1</v>
      </c>
      <c r="AA3" s="55" t="s">
        <v>112</v>
      </c>
      <c r="AB3" s="57">
        <f>_xlfn.STDEV.S(B58*AB6,C58*AB7,D58*AB8,E58*AB9,F58*AB10,G58*AB11,H58*AB12,I58*AB13,J58*AB14,K58*AB15,L58*AB16,M58*AB17,N58*AB18,O58*AB19,P58*AB20,Q58*AB21,R58*AB22,S58*AB23)</f>
        <v>1.9066573080962573E-2</v>
      </c>
    </row>
    <row r="4" spans="1:28" x14ac:dyDescent="0.25">
      <c r="A4" s="54">
        <v>44136</v>
      </c>
      <c r="B4" s="2">
        <v>132.69</v>
      </c>
      <c r="C4" s="2">
        <v>162.85</v>
      </c>
      <c r="D4" s="2">
        <v>235.22</v>
      </c>
      <c r="E4" s="2">
        <v>49.82</v>
      </c>
      <c r="F4" s="2">
        <v>222.42</v>
      </c>
      <c r="G4" s="2">
        <v>54.84</v>
      </c>
      <c r="H4" s="2">
        <v>273.16000000000003</v>
      </c>
      <c r="I4" s="2">
        <v>130.55000000000001</v>
      </c>
      <c r="J4" s="2">
        <v>91.71</v>
      </c>
      <c r="K4" s="2">
        <v>218.73</v>
      </c>
      <c r="L4" s="2">
        <v>356.94</v>
      </c>
      <c r="M4" s="2">
        <v>214.58</v>
      </c>
      <c r="N4" s="2">
        <v>157.38</v>
      </c>
      <c r="O4" s="2">
        <v>141.47</v>
      </c>
      <c r="P4" s="2">
        <v>120.91</v>
      </c>
      <c r="Q4" s="2">
        <v>84.45</v>
      </c>
      <c r="R4" s="2">
        <v>41.22</v>
      </c>
      <c r="S4" s="2">
        <v>36.81</v>
      </c>
      <c r="W4" s="58" t="s">
        <v>113</v>
      </c>
      <c r="X4" s="56">
        <v>7.0000000000000007E-2</v>
      </c>
      <c r="Y4" s="65">
        <f>SUM(X6:X23)</f>
        <v>1</v>
      </c>
      <c r="Z4" s="66">
        <f>SUM(AB6:AB23)</f>
        <v>1</v>
      </c>
      <c r="AA4" s="58" t="s">
        <v>113</v>
      </c>
      <c r="AB4" s="56">
        <v>7.0000000000000007E-2</v>
      </c>
    </row>
    <row r="5" spans="1:28" x14ac:dyDescent="0.25">
      <c r="A5" s="54">
        <v>44166</v>
      </c>
      <c r="B5" s="2">
        <v>131.96</v>
      </c>
      <c r="C5" s="2">
        <v>160.31</v>
      </c>
      <c r="D5" s="2">
        <v>264.51</v>
      </c>
      <c r="E5" s="2">
        <v>55.51</v>
      </c>
      <c r="F5" s="2">
        <v>231.96</v>
      </c>
      <c r="G5" s="2">
        <v>48.15</v>
      </c>
      <c r="H5" s="2">
        <v>258.33</v>
      </c>
      <c r="I5" s="2">
        <v>129.9</v>
      </c>
      <c r="J5" s="2">
        <v>85.64</v>
      </c>
      <c r="K5" s="2">
        <v>193.25</v>
      </c>
      <c r="L5" s="2">
        <v>316.29000000000002</v>
      </c>
      <c r="M5" s="2">
        <v>207.84</v>
      </c>
      <c r="N5" s="2">
        <v>163.13</v>
      </c>
      <c r="O5" s="2">
        <v>133.59</v>
      </c>
      <c r="P5" s="2">
        <v>116.26</v>
      </c>
      <c r="Q5" s="2">
        <v>85.2</v>
      </c>
      <c r="R5" s="2">
        <v>44.84</v>
      </c>
      <c r="S5" s="2">
        <v>35.9</v>
      </c>
      <c r="W5" s="52" t="s">
        <v>114</v>
      </c>
      <c r="X5" s="52"/>
      <c r="AA5" s="52" t="s">
        <v>114</v>
      </c>
      <c r="AB5" s="52"/>
    </row>
    <row r="6" spans="1:28" x14ac:dyDescent="0.25">
      <c r="A6" s="54">
        <v>44197</v>
      </c>
      <c r="B6" s="2">
        <v>121.26</v>
      </c>
      <c r="C6" s="2">
        <v>154.65</v>
      </c>
      <c r="D6" s="2">
        <v>225.17</v>
      </c>
      <c r="E6" s="2">
        <v>60.78</v>
      </c>
      <c r="F6" s="2">
        <v>232.38</v>
      </c>
      <c r="G6" s="2">
        <v>48.99</v>
      </c>
      <c r="H6" s="2">
        <v>257.62</v>
      </c>
      <c r="I6" s="2">
        <v>137.15</v>
      </c>
      <c r="J6" s="2">
        <v>84.51</v>
      </c>
      <c r="K6" s="2">
        <v>212.39</v>
      </c>
      <c r="L6" s="2">
        <v>353.85</v>
      </c>
      <c r="M6" s="2">
        <v>206.14</v>
      </c>
      <c r="N6" s="2">
        <v>158.46</v>
      </c>
      <c r="O6" s="2">
        <v>134.78</v>
      </c>
      <c r="P6" s="2">
        <v>135.26</v>
      </c>
      <c r="Q6" s="2">
        <v>100</v>
      </c>
      <c r="R6" s="2">
        <v>54.37</v>
      </c>
      <c r="S6" s="2">
        <v>33.49</v>
      </c>
      <c r="W6" s="9" t="s">
        <v>67</v>
      </c>
      <c r="X6" s="59">
        <v>7.0000000000000007E-2</v>
      </c>
      <c r="AA6" s="9" t="s">
        <v>67</v>
      </c>
      <c r="AB6" s="59">
        <v>7.0000000000000007E-2</v>
      </c>
    </row>
    <row r="7" spans="1:28" x14ac:dyDescent="0.25">
      <c r="A7" s="54">
        <v>44228</v>
      </c>
      <c r="B7" s="2">
        <v>122.15</v>
      </c>
      <c r="C7" s="2">
        <v>154.69999999999999</v>
      </c>
      <c r="D7" s="2">
        <v>222.64</v>
      </c>
      <c r="E7" s="2">
        <v>64</v>
      </c>
      <c r="F7" s="2">
        <v>235.77</v>
      </c>
      <c r="G7" s="2">
        <v>52.71</v>
      </c>
      <c r="H7" s="2">
        <v>294.52999999999997</v>
      </c>
      <c r="I7" s="2">
        <v>133.47999999999999</v>
      </c>
      <c r="J7" s="2">
        <v>78.5</v>
      </c>
      <c r="K7" s="2">
        <v>211.73</v>
      </c>
      <c r="L7" s="2">
        <v>356.05</v>
      </c>
      <c r="M7" s="2">
        <v>224.14</v>
      </c>
      <c r="N7" s="2">
        <v>164.35</v>
      </c>
      <c r="O7" s="2">
        <v>132.88999999999999</v>
      </c>
      <c r="P7" s="2">
        <v>141.44</v>
      </c>
      <c r="Q7" s="2">
        <v>104.79</v>
      </c>
      <c r="R7" s="2">
        <v>55.83</v>
      </c>
      <c r="S7" s="2">
        <v>36.229999999999997</v>
      </c>
      <c r="W7" s="9" t="s">
        <v>72</v>
      </c>
      <c r="X7" s="59">
        <v>7.0000000000000007E-2</v>
      </c>
      <c r="AA7" s="9" t="s">
        <v>72</v>
      </c>
      <c r="AB7" s="59">
        <v>7.0000000000000007E-2</v>
      </c>
    </row>
    <row r="8" spans="1:28" x14ac:dyDescent="0.25">
      <c r="A8" s="54">
        <v>44256</v>
      </c>
      <c r="B8" s="2">
        <v>131.46</v>
      </c>
      <c r="C8" s="2">
        <v>173.37</v>
      </c>
      <c r="D8" s="2">
        <v>236.48</v>
      </c>
      <c r="E8" s="2">
        <v>57.53</v>
      </c>
      <c r="F8" s="2">
        <v>252.18</v>
      </c>
      <c r="G8" s="2">
        <v>53.98</v>
      </c>
      <c r="H8" s="2">
        <v>325.08</v>
      </c>
      <c r="I8" s="2">
        <v>150.09</v>
      </c>
      <c r="J8" s="2">
        <v>81.62</v>
      </c>
      <c r="K8" s="2">
        <v>233.56</v>
      </c>
      <c r="L8" s="2">
        <v>382.06</v>
      </c>
      <c r="M8" s="2">
        <v>236.08</v>
      </c>
      <c r="N8" s="2">
        <v>162.72999999999999</v>
      </c>
      <c r="O8" s="2">
        <v>132.62</v>
      </c>
      <c r="P8" s="2">
        <v>153.35</v>
      </c>
      <c r="Q8" s="2">
        <v>103.07</v>
      </c>
      <c r="R8" s="2">
        <v>57.24</v>
      </c>
      <c r="S8" s="2">
        <v>38.65</v>
      </c>
      <c r="W8" s="9" t="s">
        <v>68</v>
      </c>
      <c r="X8" s="59">
        <v>7.0000000000000007E-2</v>
      </c>
      <c r="AA8" s="9" t="s">
        <v>68</v>
      </c>
      <c r="AB8" s="59">
        <v>7.0000000000000007E-2</v>
      </c>
    </row>
    <row r="9" spans="1:28" x14ac:dyDescent="0.25">
      <c r="A9" s="54">
        <v>44287</v>
      </c>
      <c r="B9" s="2">
        <v>124.61</v>
      </c>
      <c r="C9" s="2">
        <v>161.15</v>
      </c>
      <c r="D9" s="2">
        <v>208.41</v>
      </c>
      <c r="E9" s="2">
        <v>57.12</v>
      </c>
      <c r="F9" s="2">
        <v>249.68</v>
      </c>
      <c r="G9" s="2">
        <v>55.29</v>
      </c>
      <c r="H9" s="2">
        <v>328.73</v>
      </c>
      <c r="I9" s="2">
        <v>162.44</v>
      </c>
      <c r="J9" s="2">
        <v>80.08</v>
      </c>
      <c r="K9" s="2">
        <v>227.3</v>
      </c>
      <c r="L9" s="2">
        <v>360.58</v>
      </c>
      <c r="M9" s="2">
        <v>233.89</v>
      </c>
      <c r="N9" s="2">
        <v>169.25</v>
      </c>
      <c r="O9" s="2">
        <v>136.46</v>
      </c>
      <c r="P9" s="2">
        <v>160.13</v>
      </c>
      <c r="Q9" s="2">
        <v>103.79</v>
      </c>
      <c r="R9" s="2">
        <v>58.37</v>
      </c>
      <c r="S9" s="2">
        <v>38.729999999999997</v>
      </c>
      <c r="W9" s="9" t="s">
        <v>75</v>
      </c>
      <c r="X9" s="59">
        <v>0</v>
      </c>
      <c r="AA9" s="9" t="s">
        <v>75</v>
      </c>
      <c r="AB9" s="59">
        <v>7.0000000000000007E-2</v>
      </c>
    </row>
    <row r="10" spans="1:28" x14ac:dyDescent="0.25">
      <c r="A10" s="54">
        <v>44317</v>
      </c>
      <c r="B10" s="2">
        <v>136.96</v>
      </c>
      <c r="C10" s="2">
        <v>172.01</v>
      </c>
      <c r="D10" s="2">
        <v>226.57</v>
      </c>
      <c r="E10" s="2">
        <v>56.14</v>
      </c>
      <c r="F10" s="2">
        <v>270.89999999999998</v>
      </c>
      <c r="G10" s="2">
        <v>54.11</v>
      </c>
      <c r="H10" s="2">
        <v>347.71</v>
      </c>
      <c r="I10" s="2">
        <v>200.03</v>
      </c>
      <c r="J10" s="2">
        <v>93.93</v>
      </c>
      <c r="K10" s="2">
        <v>233.82</v>
      </c>
      <c r="L10" s="2">
        <v>365.09</v>
      </c>
      <c r="M10" s="2">
        <v>230.99</v>
      </c>
      <c r="N10" s="2">
        <v>164.74</v>
      </c>
      <c r="O10" s="2">
        <v>154.49</v>
      </c>
      <c r="P10" s="2">
        <v>165.23</v>
      </c>
      <c r="Q10" s="2">
        <v>104.74</v>
      </c>
      <c r="R10" s="2">
        <v>63.08</v>
      </c>
      <c r="S10" s="2">
        <v>39.159999999999997</v>
      </c>
      <c r="W10" s="9" t="s">
        <v>69</v>
      </c>
      <c r="X10" s="59">
        <v>7.0000000000000007E-2</v>
      </c>
      <c r="AA10" s="9" t="s">
        <v>69</v>
      </c>
      <c r="AB10" s="59">
        <v>7.0000000000000007E-2</v>
      </c>
    </row>
    <row r="11" spans="1:28" x14ac:dyDescent="0.25">
      <c r="A11" s="54">
        <v>44348</v>
      </c>
      <c r="B11" s="2">
        <v>145.86000000000001</v>
      </c>
      <c r="C11" s="2">
        <v>166.38</v>
      </c>
      <c r="D11" s="2">
        <v>229.07</v>
      </c>
      <c r="E11" s="2">
        <v>53.72</v>
      </c>
      <c r="F11" s="2">
        <v>284.91000000000003</v>
      </c>
      <c r="G11" s="2">
        <v>57.03</v>
      </c>
      <c r="H11" s="2">
        <v>356.3</v>
      </c>
      <c r="I11" s="2">
        <v>194.99</v>
      </c>
      <c r="J11" s="2">
        <v>106.19</v>
      </c>
      <c r="K11" s="2">
        <v>246.39</v>
      </c>
      <c r="L11" s="2">
        <v>385.94</v>
      </c>
      <c r="M11" s="2">
        <v>242.71</v>
      </c>
      <c r="N11" s="2">
        <v>172.2</v>
      </c>
      <c r="O11" s="2">
        <v>167.51</v>
      </c>
      <c r="P11" s="2">
        <v>170.53</v>
      </c>
      <c r="Q11" s="2">
        <v>101.81</v>
      </c>
      <c r="R11" s="2">
        <v>57.57</v>
      </c>
      <c r="S11" s="2">
        <v>42.81</v>
      </c>
      <c r="W11" s="9" t="s">
        <v>76</v>
      </c>
      <c r="X11" s="59">
        <v>7.0000000000000007E-2</v>
      </c>
      <c r="AA11" s="9" t="s">
        <v>76</v>
      </c>
      <c r="AB11" s="59">
        <v>7.0000000000000007E-2</v>
      </c>
    </row>
    <row r="12" spans="1:28" x14ac:dyDescent="0.25">
      <c r="A12" s="54">
        <v>44378</v>
      </c>
      <c r="B12" s="2">
        <v>151.83000000000001</v>
      </c>
      <c r="C12" s="2">
        <v>173.54</v>
      </c>
      <c r="D12" s="2">
        <v>245.24</v>
      </c>
      <c r="E12" s="2">
        <v>54.06</v>
      </c>
      <c r="F12" s="2">
        <v>301.88</v>
      </c>
      <c r="G12" s="2">
        <v>56.31</v>
      </c>
      <c r="H12" s="2">
        <v>379.38</v>
      </c>
      <c r="I12" s="2">
        <v>223.85</v>
      </c>
      <c r="J12" s="2">
        <v>110.72</v>
      </c>
      <c r="K12" s="2">
        <v>229.1</v>
      </c>
      <c r="L12" s="2">
        <v>346.23</v>
      </c>
      <c r="M12" s="2">
        <v>237.46</v>
      </c>
      <c r="N12" s="2">
        <v>173.13</v>
      </c>
      <c r="O12" s="2">
        <v>164.74</v>
      </c>
      <c r="P12" s="2">
        <v>165.96</v>
      </c>
      <c r="Q12" s="2">
        <v>96.77</v>
      </c>
      <c r="R12" s="2">
        <v>54.52</v>
      </c>
      <c r="S12" s="2">
        <v>46.07</v>
      </c>
      <c r="W12" s="9" t="s">
        <v>77</v>
      </c>
      <c r="X12" s="59">
        <v>0</v>
      </c>
      <c r="AA12" s="9" t="s">
        <v>77</v>
      </c>
      <c r="AB12" s="59">
        <v>0</v>
      </c>
    </row>
    <row r="13" spans="1:28" x14ac:dyDescent="0.25">
      <c r="A13" s="54">
        <v>44409</v>
      </c>
      <c r="B13" s="2">
        <v>141.5</v>
      </c>
      <c r="C13" s="2">
        <v>164.25</v>
      </c>
      <c r="D13" s="2">
        <v>258.49</v>
      </c>
      <c r="E13" s="2">
        <v>53.28</v>
      </c>
      <c r="F13" s="2">
        <v>281.92</v>
      </c>
      <c r="G13" s="2">
        <v>52.47</v>
      </c>
      <c r="H13" s="2">
        <v>339.39</v>
      </c>
      <c r="I13" s="2">
        <v>207.16</v>
      </c>
      <c r="J13" s="2">
        <v>102.9</v>
      </c>
      <c r="K13" s="2">
        <v>222.75</v>
      </c>
      <c r="L13" s="2">
        <v>347.68</v>
      </c>
      <c r="M13" s="2">
        <v>241.11</v>
      </c>
      <c r="N13" s="2">
        <v>161.5</v>
      </c>
      <c r="O13" s="2">
        <v>145.22999999999999</v>
      </c>
      <c r="P13" s="2">
        <v>167.53</v>
      </c>
      <c r="Q13" s="2">
        <v>101.45</v>
      </c>
      <c r="R13" s="2">
        <v>58.82</v>
      </c>
      <c r="S13" s="2">
        <v>43.01</v>
      </c>
      <c r="W13" s="9" t="s">
        <v>78</v>
      </c>
      <c r="X13" s="59">
        <v>7.0000000000000007E-2</v>
      </c>
      <c r="AA13" s="9" t="s">
        <v>78</v>
      </c>
      <c r="AB13" s="59">
        <v>0</v>
      </c>
    </row>
    <row r="14" spans="1:28" x14ac:dyDescent="0.25">
      <c r="A14" s="54">
        <v>44440</v>
      </c>
      <c r="B14" s="2">
        <v>149.80000000000001</v>
      </c>
      <c r="C14" s="2">
        <v>168.62</v>
      </c>
      <c r="D14" s="2">
        <v>371.33</v>
      </c>
      <c r="E14" s="2">
        <v>49</v>
      </c>
      <c r="F14" s="2">
        <v>331.62</v>
      </c>
      <c r="G14" s="2">
        <v>56.37</v>
      </c>
      <c r="H14" s="2">
        <v>323.57</v>
      </c>
      <c r="I14" s="2">
        <v>255.67</v>
      </c>
      <c r="J14" s="2">
        <v>120.23</v>
      </c>
      <c r="K14" s="2">
        <v>211.77</v>
      </c>
      <c r="L14" s="2">
        <v>335.52</v>
      </c>
      <c r="M14" s="2">
        <v>245.55</v>
      </c>
      <c r="N14" s="2">
        <v>162.88</v>
      </c>
      <c r="O14" s="2">
        <v>167.29</v>
      </c>
      <c r="P14" s="2">
        <v>173.78</v>
      </c>
      <c r="Q14" s="2">
        <v>114.49</v>
      </c>
      <c r="R14" s="2">
        <v>64.47</v>
      </c>
      <c r="S14" s="2">
        <v>43.74</v>
      </c>
      <c r="W14" s="9" t="s">
        <v>79</v>
      </c>
      <c r="X14" s="59">
        <v>0</v>
      </c>
      <c r="AA14" s="9" t="s">
        <v>79</v>
      </c>
      <c r="AB14" s="59">
        <v>0</v>
      </c>
    </row>
    <row r="15" spans="1:28" x14ac:dyDescent="0.25">
      <c r="A15" s="54">
        <v>44470</v>
      </c>
      <c r="B15" s="2">
        <v>165.3</v>
      </c>
      <c r="C15" s="2">
        <v>175.35</v>
      </c>
      <c r="D15" s="2">
        <v>381.59</v>
      </c>
      <c r="E15" s="2">
        <v>49.2</v>
      </c>
      <c r="F15" s="2">
        <v>330.59</v>
      </c>
      <c r="G15" s="2">
        <v>52.45</v>
      </c>
      <c r="H15" s="2">
        <v>324.45999999999998</v>
      </c>
      <c r="I15" s="2">
        <v>326.76</v>
      </c>
      <c r="J15" s="2">
        <v>158.37</v>
      </c>
      <c r="K15" s="2">
        <v>193.77</v>
      </c>
      <c r="L15" s="2">
        <v>314.92</v>
      </c>
      <c r="M15" s="2">
        <v>244.6</v>
      </c>
      <c r="N15" s="2">
        <v>155.93</v>
      </c>
      <c r="O15" s="2">
        <v>169.24</v>
      </c>
      <c r="P15" s="2">
        <v>152.30000000000001</v>
      </c>
      <c r="Q15" s="2">
        <v>112.87</v>
      </c>
      <c r="R15" s="2">
        <v>59.84</v>
      </c>
      <c r="S15" s="2">
        <v>53.73</v>
      </c>
      <c r="W15" s="9" t="s">
        <v>80</v>
      </c>
      <c r="X15" s="59">
        <v>7.0000000000000007E-2</v>
      </c>
      <c r="AA15" s="9" t="s">
        <v>80</v>
      </c>
      <c r="AB15" s="59">
        <v>7.0000000000000007E-2</v>
      </c>
    </row>
    <row r="16" spans="1:28" x14ac:dyDescent="0.25">
      <c r="A16" s="54">
        <v>44501</v>
      </c>
      <c r="B16" s="2">
        <v>177.57</v>
      </c>
      <c r="C16" s="2">
        <v>166.72</v>
      </c>
      <c r="D16" s="2">
        <v>352.26</v>
      </c>
      <c r="E16" s="2">
        <v>51.5</v>
      </c>
      <c r="F16" s="2">
        <v>336.32</v>
      </c>
      <c r="G16" s="2">
        <v>59.21</v>
      </c>
      <c r="H16" s="2">
        <v>336.35</v>
      </c>
      <c r="I16" s="2">
        <v>294.11</v>
      </c>
      <c r="J16" s="2">
        <v>143.9</v>
      </c>
      <c r="K16" s="2">
        <v>216.71</v>
      </c>
      <c r="L16" s="2">
        <v>359.32</v>
      </c>
      <c r="M16" s="2">
        <v>268.07</v>
      </c>
      <c r="N16" s="2">
        <v>171.07</v>
      </c>
      <c r="O16" s="2">
        <v>166.67</v>
      </c>
      <c r="P16" s="2">
        <v>163.6</v>
      </c>
      <c r="Q16" s="2">
        <v>117.35</v>
      </c>
      <c r="R16" s="2">
        <v>61.19</v>
      </c>
      <c r="S16" s="2">
        <v>59.05</v>
      </c>
      <c r="W16" s="9" t="s">
        <v>81</v>
      </c>
      <c r="X16" s="59">
        <v>7.0000000000000007E-2</v>
      </c>
      <c r="AA16" s="9" t="s">
        <v>81</v>
      </c>
      <c r="AB16" s="59">
        <v>7.0000000000000007E-2</v>
      </c>
    </row>
    <row r="17" spans="1:28" x14ac:dyDescent="0.25">
      <c r="A17" s="54">
        <v>44531</v>
      </c>
      <c r="B17" s="2">
        <v>174.78</v>
      </c>
      <c r="C17" s="2">
        <v>149.57</v>
      </c>
      <c r="D17" s="2">
        <v>312.24</v>
      </c>
      <c r="E17" s="2">
        <v>48.82</v>
      </c>
      <c r="F17" s="2">
        <v>310.98</v>
      </c>
      <c r="G17" s="2">
        <v>61.01</v>
      </c>
      <c r="H17" s="2">
        <v>313.26</v>
      </c>
      <c r="I17" s="2">
        <v>244.86</v>
      </c>
      <c r="J17" s="2">
        <v>114.25</v>
      </c>
      <c r="K17" s="2">
        <v>226.17</v>
      </c>
      <c r="L17" s="2">
        <v>386.38</v>
      </c>
      <c r="M17" s="2">
        <v>259.45</v>
      </c>
      <c r="N17" s="2">
        <v>172.29</v>
      </c>
      <c r="O17" s="2">
        <v>148.07</v>
      </c>
      <c r="P17" s="2">
        <v>179.82</v>
      </c>
      <c r="Q17" s="2">
        <v>131.33000000000001</v>
      </c>
      <c r="R17" s="2">
        <v>75.959999999999994</v>
      </c>
      <c r="S17" s="2">
        <v>52.69</v>
      </c>
      <c r="W17" s="9" t="s">
        <v>70</v>
      </c>
      <c r="X17" s="59">
        <v>7.0000000000000007E-2</v>
      </c>
      <c r="AA17" s="9" t="s">
        <v>70</v>
      </c>
      <c r="AB17" s="59">
        <v>7.0000000000000007E-2</v>
      </c>
    </row>
    <row r="18" spans="1:28" x14ac:dyDescent="0.25">
      <c r="A18" s="54">
        <v>44562</v>
      </c>
      <c r="B18" s="2">
        <v>165.12</v>
      </c>
      <c r="C18" s="2">
        <v>153.56</v>
      </c>
      <c r="D18" s="2">
        <v>290.14</v>
      </c>
      <c r="E18" s="2">
        <v>47.7</v>
      </c>
      <c r="F18" s="2">
        <v>298.79000000000002</v>
      </c>
      <c r="G18" s="2">
        <v>62.24</v>
      </c>
      <c r="H18" s="2">
        <v>211.03</v>
      </c>
      <c r="I18" s="2">
        <v>243.85</v>
      </c>
      <c r="J18" s="2">
        <v>123.34</v>
      </c>
      <c r="K18" s="2">
        <v>216.12</v>
      </c>
      <c r="L18" s="2">
        <v>360.82</v>
      </c>
      <c r="M18" s="2">
        <v>244.77</v>
      </c>
      <c r="N18" s="2">
        <v>164.57</v>
      </c>
      <c r="O18" s="2">
        <v>136.55000000000001</v>
      </c>
      <c r="P18" s="2">
        <v>194.54</v>
      </c>
      <c r="Q18" s="2">
        <v>144</v>
      </c>
      <c r="R18" s="2">
        <v>78.42</v>
      </c>
      <c r="S18" s="2">
        <v>46.94</v>
      </c>
      <c r="W18" s="9" t="s">
        <v>71</v>
      </c>
      <c r="X18" s="59">
        <v>7.0000000000000007E-2</v>
      </c>
      <c r="AA18" s="9" t="s">
        <v>71</v>
      </c>
      <c r="AB18" s="59">
        <v>7.0000000000000007E-2</v>
      </c>
    </row>
    <row r="19" spans="1:28" x14ac:dyDescent="0.25">
      <c r="A19" s="54">
        <v>44593</v>
      </c>
      <c r="B19" s="2">
        <v>174.61</v>
      </c>
      <c r="C19" s="2">
        <v>163</v>
      </c>
      <c r="D19" s="2">
        <v>359.2</v>
      </c>
      <c r="E19" s="2">
        <v>49.56</v>
      </c>
      <c r="F19" s="2">
        <v>308.31</v>
      </c>
      <c r="G19" s="2">
        <v>62</v>
      </c>
      <c r="H19" s="2">
        <v>222.36</v>
      </c>
      <c r="I19" s="2">
        <v>272.86</v>
      </c>
      <c r="J19" s="2">
        <v>109.34</v>
      </c>
      <c r="K19" s="2">
        <v>221.77</v>
      </c>
      <c r="L19" s="2">
        <v>357.38</v>
      </c>
      <c r="M19" s="2">
        <v>247.28</v>
      </c>
      <c r="N19" s="2">
        <v>177.23</v>
      </c>
      <c r="O19" s="2">
        <v>134.56</v>
      </c>
      <c r="P19" s="2">
        <v>187</v>
      </c>
      <c r="Q19" s="2">
        <v>162.83000000000001</v>
      </c>
      <c r="R19" s="2">
        <v>82.59</v>
      </c>
      <c r="S19" s="2">
        <v>51.77</v>
      </c>
      <c r="W19" s="9" t="s">
        <v>74</v>
      </c>
      <c r="X19" s="59">
        <v>1.9999999999999636E-2</v>
      </c>
      <c r="AA19" s="9" t="s">
        <v>74</v>
      </c>
      <c r="AB19" s="59">
        <v>1.9999999999999657E-2</v>
      </c>
    </row>
    <row r="20" spans="1:28" x14ac:dyDescent="0.25">
      <c r="A20" s="54">
        <v>44621</v>
      </c>
      <c r="B20" s="2">
        <v>157.65</v>
      </c>
      <c r="C20" s="2">
        <v>124.28</v>
      </c>
      <c r="D20" s="2">
        <v>290.25</v>
      </c>
      <c r="E20" s="2">
        <v>43.59</v>
      </c>
      <c r="F20" s="2">
        <v>277.52</v>
      </c>
      <c r="G20" s="2">
        <v>64.61</v>
      </c>
      <c r="H20" s="2">
        <v>200.47</v>
      </c>
      <c r="I20" s="2">
        <v>185.47</v>
      </c>
      <c r="J20" s="2">
        <v>85.52</v>
      </c>
      <c r="K20" s="2">
        <v>213.13</v>
      </c>
      <c r="L20" s="2">
        <v>363.38</v>
      </c>
      <c r="M20" s="2">
        <v>249.16</v>
      </c>
      <c r="N20" s="2">
        <v>180.46</v>
      </c>
      <c r="O20" s="2">
        <v>124.7</v>
      </c>
      <c r="P20" s="2">
        <v>174.71</v>
      </c>
      <c r="Q20" s="2">
        <v>156.66999999999999</v>
      </c>
      <c r="R20" s="2">
        <v>85.25</v>
      </c>
      <c r="S20" s="2">
        <v>49.07</v>
      </c>
      <c r="W20" s="9" t="s">
        <v>82</v>
      </c>
      <c r="X20" s="59">
        <v>7.0000000000000007E-2</v>
      </c>
      <c r="AA20" s="9" t="s">
        <v>82</v>
      </c>
      <c r="AB20" s="59">
        <v>7.0000000000000007E-2</v>
      </c>
    </row>
    <row r="21" spans="1:28" x14ac:dyDescent="0.25">
      <c r="A21" s="54">
        <v>44652</v>
      </c>
      <c r="B21" s="2">
        <v>148.84</v>
      </c>
      <c r="C21" s="2">
        <v>120.21</v>
      </c>
      <c r="D21" s="2">
        <v>252.75</v>
      </c>
      <c r="E21" s="2">
        <v>44.42</v>
      </c>
      <c r="F21" s="2">
        <v>271.87</v>
      </c>
      <c r="G21" s="2">
        <v>63.38</v>
      </c>
      <c r="H21" s="2">
        <v>193.64</v>
      </c>
      <c r="I21" s="2">
        <v>186.72</v>
      </c>
      <c r="J21" s="2">
        <v>101.86</v>
      </c>
      <c r="K21" s="2">
        <v>212.17</v>
      </c>
      <c r="L21" s="2">
        <v>357.87</v>
      </c>
      <c r="M21" s="2">
        <v>252.21</v>
      </c>
      <c r="N21" s="2">
        <v>179.53</v>
      </c>
      <c r="O21" s="2">
        <v>118.85</v>
      </c>
      <c r="P21" s="2">
        <v>168.82</v>
      </c>
      <c r="Q21" s="2">
        <v>174.66</v>
      </c>
      <c r="R21" s="2">
        <v>96</v>
      </c>
      <c r="S21" s="2">
        <v>53.04</v>
      </c>
      <c r="W21" s="9" t="s">
        <v>83</v>
      </c>
      <c r="X21" s="59">
        <v>7.0000000000000007E-2</v>
      </c>
      <c r="AA21" s="9" t="s">
        <v>83</v>
      </c>
      <c r="AB21" s="59">
        <v>7.0000000000000007E-2</v>
      </c>
    </row>
    <row r="22" spans="1:28" x14ac:dyDescent="0.25">
      <c r="A22" s="54">
        <v>44682</v>
      </c>
      <c r="B22" s="2">
        <v>136.72</v>
      </c>
      <c r="C22" s="2">
        <v>106.21</v>
      </c>
      <c r="D22" s="2">
        <v>224.47</v>
      </c>
      <c r="E22" s="2">
        <v>37.409999999999997</v>
      </c>
      <c r="F22" s="2">
        <v>256.83</v>
      </c>
      <c r="G22" s="2">
        <v>62.91</v>
      </c>
      <c r="H22" s="2">
        <v>161.25</v>
      </c>
      <c r="I22" s="2">
        <v>151.59</v>
      </c>
      <c r="J22" s="2">
        <v>76.47</v>
      </c>
      <c r="K22" s="2">
        <v>196.89</v>
      </c>
      <c r="L22" s="2">
        <v>315.48</v>
      </c>
      <c r="M22" s="2">
        <v>246.88</v>
      </c>
      <c r="N22" s="2">
        <v>177.51</v>
      </c>
      <c r="O22" s="2">
        <v>102.2</v>
      </c>
      <c r="P22" s="2">
        <v>138.62</v>
      </c>
      <c r="Q22" s="2">
        <v>144.78</v>
      </c>
      <c r="R22" s="2">
        <v>85.64</v>
      </c>
      <c r="S22" s="2">
        <v>52.43</v>
      </c>
      <c r="W22" s="9" t="s">
        <v>84</v>
      </c>
      <c r="X22" s="59">
        <v>7.0000000000000007E-2</v>
      </c>
      <c r="AA22" s="9" t="s">
        <v>84</v>
      </c>
      <c r="AB22" s="59">
        <v>7.0000000000000007E-2</v>
      </c>
    </row>
    <row r="23" spans="1:28" x14ac:dyDescent="0.25">
      <c r="A23" s="54">
        <v>44713</v>
      </c>
      <c r="B23" s="2">
        <v>162.51</v>
      </c>
      <c r="C23" s="2">
        <v>134.94999999999999</v>
      </c>
      <c r="D23" s="2">
        <v>297.14999999999998</v>
      </c>
      <c r="E23" s="2">
        <v>36.31</v>
      </c>
      <c r="F23" s="2">
        <v>280.56</v>
      </c>
      <c r="G23" s="2">
        <v>64.17</v>
      </c>
      <c r="H23" s="2">
        <v>159.1</v>
      </c>
      <c r="I23" s="2">
        <v>181.63</v>
      </c>
      <c r="J23" s="2">
        <v>94.47</v>
      </c>
      <c r="K23" s="2">
        <v>212.11</v>
      </c>
      <c r="L23" s="2">
        <v>353.79</v>
      </c>
      <c r="M23" s="2">
        <v>263.37</v>
      </c>
      <c r="N23" s="2">
        <v>174.52</v>
      </c>
      <c r="O23" s="2">
        <v>114.92</v>
      </c>
      <c r="P23" s="2">
        <v>154.02000000000001</v>
      </c>
      <c r="Q23" s="2">
        <v>163.78</v>
      </c>
      <c r="R23" s="2">
        <v>96.93</v>
      </c>
      <c r="S23" s="2">
        <v>50.51</v>
      </c>
      <c r="W23" s="9" t="s">
        <v>73</v>
      </c>
      <c r="X23" s="59">
        <v>7.0000000000000007E-2</v>
      </c>
      <c r="AA23" s="9" t="s">
        <v>73</v>
      </c>
      <c r="AB23" s="59">
        <v>7.0000000000000007E-2</v>
      </c>
    </row>
    <row r="24" spans="1:28" x14ac:dyDescent="0.25">
      <c r="A24" s="54">
        <v>44743</v>
      </c>
      <c r="B24" s="2">
        <v>157.22</v>
      </c>
      <c r="C24" s="2">
        <v>126.77</v>
      </c>
      <c r="D24" s="2">
        <v>275.61</v>
      </c>
      <c r="E24" s="2">
        <v>31.92</v>
      </c>
      <c r="F24" s="2">
        <v>261.47000000000003</v>
      </c>
      <c r="G24" s="2">
        <v>61.71</v>
      </c>
      <c r="H24" s="2">
        <v>162.93</v>
      </c>
      <c r="I24" s="2">
        <v>150.94</v>
      </c>
      <c r="J24" s="2">
        <v>84.87</v>
      </c>
      <c r="K24" s="2">
        <v>198.71</v>
      </c>
      <c r="L24" s="2">
        <v>324.37</v>
      </c>
      <c r="M24" s="2">
        <v>252.28</v>
      </c>
      <c r="N24" s="2">
        <v>161.34</v>
      </c>
      <c r="O24" s="2">
        <v>106.45</v>
      </c>
      <c r="P24" s="2">
        <v>152</v>
      </c>
      <c r="Q24" s="2">
        <v>158.06</v>
      </c>
      <c r="R24" s="2">
        <v>95.59</v>
      </c>
      <c r="S24" s="2">
        <v>45.23</v>
      </c>
      <c r="W24" s="27" t="s">
        <v>13</v>
      </c>
      <c r="X24" s="60">
        <f>B57*X6+C57*X7+D57*X8+E57*X9+F57*X10+G57*X11+H57*X12+I57*X13+J57*X14+K57*X15+L57*X16+M57*X17+N57*X18+O57*X19+P57*X20+Q57*X21+R57*X22+S57*X23</f>
        <v>-3.4596255952631813E-2</v>
      </c>
      <c r="AA24" s="27" t="s">
        <v>13</v>
      </c>
      <c r="AB24" s="60">
        <f>B58*AB6+C58*AB7+D58*AB8+E58*AB9+F58*AB10+G58*AB11+H58*AB12+I58*AB13+J58*AB14+K58*AB15+L58*AB16+M58*AB17+N58*AB18+O58*AB19+P58*AB20+Q58*AB21+R58*AB22+S58*AB23</f>
        <v>-0.21144831916261367</v>
      </c>
    </row>
    <row r="25" spans="1:28" x14ac:dyDescent="0.25">
      <c r="A25" s="54">
        <v>44774</v>
      </c>
      <c r="B25" s="2">
        <v>138.19999999999999</v>
      </c>
      <c r="C25" s="2">
        <v>113</v>
      </c>
      <c r="D25" s="2">
        <v>265.25</v>
      </c>
      <c r="E25" s="2">
        <v>25.77</v>
      </c>
      <c r="F25" s="2">
        <v>232.9</v>
      </c>
      <c r="G25" s="2">
        <v>56.02</v>
      </c>
      <c r="H25" s="2">
        <v>135.68</v>
      </c>
      <c r="I25" s="2">
        <v>121.39</v>
      </c>
      <c r="J25" s="2">
        <v>63.36</v>
      </c>
      <c r="K25" s="2">
        <v>177.65</v>
      </c>
      <c r="L25" s="2">
        <v>284.33999999999997</v>
      </c>
      <c r="M25" s="2">
        <v>230.74</v>
      </c>
      <c r="N25" s="2">
        <v>163.36000000000001</v>
      </c>
      <c r="O25" s="2">
        <v>83.12</v>
      </c>
      <c r="P25" s="2">
        <v>134.91</v>
      </c>
      <c r="Q25" s="2">
        <v>143.66999999999999</v>
      </c>
      <c r="R25" s="2">
        <v>87.31</v>
      </c>
      <c r="S25" s="2">
        <v>43.76</v>
      </c>
    </row>
    <row r="26" spans="1:28" x14ac:dyDescent="0.25">
      <c r="A26" s="54">
        <v>44805</v>
      </c>
      <c r="B26" s="2">
        <v>152.34</v>
      </c>
      <c r="C26" s="2">
        <v>120.6</v>
      </c>
      <c r="D26" s="2">
        <v>222.41</v>
      </c>
      <c r="E26" s="2">
        <v>27.41</v>
      </c>
      <c r="F26" s="2">
        <v>250.66</v>
      </c>
      <c r="G26" s="2">
        <v>58.95</v>
      </c>
      <c r="H26" s="2">
        <v>137.51</v>
      </c>
      <c r="I26" s="2">
        <v>132.61000000000001</v>
      </c>
      <c r="J26" s="2">
        <v>61.47</v>
      </c>
      <c r="K26" s="2">
        <v>194.38</v>
      </c>
      <c r="L26" s="2">
        <v>311.41000000000003</v>
      </c>
      <c r="M26" s="2">
        <v>255.73</v>
      </c>
      <c r="N26" s="2">
        <v>170.71</v>
      </c>
      <c r="O26" s="2">
        <v>91.72</v>
      </c>
      <c r="P26" s="2">
        <v>147.02000000000001</v>
      </c>
      <c r="Q26" s="2">
        <v>174.93</v>
      </c>
      <c r="R26" s="2">
        <v>105.88</v>
      </c>
      <c r="S26" s="2">
        <v>45.59</v>
      </c>
    </row>
    <row r="27" spans="1:28" x14ac:dyDescent="0.25">
      <c r="A27" s="61">
        <v>44835</v>
      </c>
      <c r="B27" s="2">
        <v>138.21</v>
      </c>
      <c r="C27" s="2">
        <v>113.01</v>
      </c>
      <c r="D27" s="2">
        <v>189.21</v>
      </c>
      <c r="E27" s="2">
        <v>27.42</v>
      </c>
      <c r="F27" s="2">
        <v>214.08</v>
      </c>
      <c r="G27" s="2">
        <v>51.61</v>
      </c>
      <c r="H27" s="2">
        <v>161.26</v>
      </c>
      <c r="I27" s="2">
        <v>121.4</v>
      </c>
      <c r="J27" s="2">
        <v>63.37</v>
      </c>
      <c r="K27" s="2">
        <v>177.66</v>
      </c>
      <c r="L27" s="2">
        <v>284.35000000000002</v>
      </c>
      <c r="M27" s="2">
        <v>230.75</v>
      </c>
      <c r="N27" s="2">
        <v>163.37</v>
      </c>
      <c r="O27" s="2">
        <v>83.13</v>
      </c>
      <c r="P27" s="2">
        <v>134.91999999999999</v>
      </c>
      <c r="Q27" s="2">
        <v>143.68</v>
      </c>
      <c r="R27" s="2">
        <v>87.32</v>
      </c>
      <c r="S27" s="2">
        <v>43.77</v>
      </c>
    </row>
    <row r="28" spans="1:28" ht="15.75" x14ac:dyDescent="0.25">
      <c r="A28" s="62"/>
      <c r="B28" s="67"/>
      <c r="C28" s="67"/>
      <c r="D28" s="67"/>
      <c r="E28" s="67"/>
      <c r="F28" s="67"/>
      <c r="G28" s="67"/>
      <c r="H28" s="68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spans="1:28" ht="15.75" x14ac:dyDescent="0.25">
      <c r="A29" s="62"/>
      <c r="B29" s="67"/>
      <c r="C29" s="67"/>
      <c r="D29" s="67"/>
      <c r="E29" s="67"/>
      <c r="F29" s="67"/>
      <c r="G29" s="67"/>
      <c r="H29" s="68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1" spans="1:28" x14ac:dyDescent="0.25">
      <c r="A31" s="43" t="s">
        <v>65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</row>
    <row r="32" spans="1:28" x14ac:dyDescent="0.25">
      <c r="A32" s="42" t="s">
        <v>66</v>
      </c>
      <c r="B32" s="42" t="s">
        <v>67</v>
      </c>
      <c r="C32" s="42" t="s">
        <v>72</v>
      </c>
      <c r="D32" s="42" t="s">
        <v>68</v>
      </c>
      <c r="E32" s="42" t="s">
        <v>75</v>
      </c>
      <c r="F32" s="42" t="s">
        <v>69</v>
      </c>
      <c r="G32" s="42" t="s">
        <v>76</v>
      </c>
      <c r="H32" s="42" t="s">
        <v>77</v>
      </c>
      <c r="I32" s="42" t="s">
        <v>78</v>
      </c>
      <c r="J32" s="42" t="s">
        <v>79</v>
      </c>
      <c r="K32" s="42" t="s">
        <v>80</v>
      </c>
      <c r="L32" s="42" t="s">
        <v>81</v>
      </c>
      <c r="M32" s="42" t="s">
        <v>70</v>
      </c>
      <c r="N32" s="42" t="s">
        <v>71</v>
      </c>
      <c r="O32" s="42" t="s">
        <v>74</v>
      </c>
      <c r="P32" s="42" t="s">
        <v>82</v>
      </c>
      <c r="Q32" s="42" t="s">
        <v>83</v>
      </c>
      <c r="R32" s="42" t="s">
        <v>84</v>
      </c>
      <c r="S32" s="42" t="s">
        <v>73</v>
      </c>
    </row>
    <row r="33" spans="1:19" x14ac:dyDescent="0.25">
      <c r="A33" s="54" t="s">
        <v>85</v>
      </c>
      <c r="B33" s="71">
        <f>(B4-B3)/B4</f>
        <v>0.10279599065490995</v>
      </c>
      <c r="C33" s="71">
        <f t="shared" ref="C33:S33" si="0">(C4-C3)/C4</f>
        <v>2.732575990175001E-2</v>
      </c>
      <c r="D33" s="71">
        <f t="shared" si="0"/>
        <v>0.19564662868803678</v>
      </c>
      <c r="E33" s="71">
        <f t="shared" si="0"/>
        <v>2.9506222400642289E-2</v>
      </c>
      <c r="F33" s="71">
        <f t="shared" si="0"/>
        <v>3.754158798669182E-2</v>
      </c>
      <c r="G33" s="71">
        <f t="shared" si="0"/>
        <v>5.9080962800875304E-2</v>
      </c>
      <c r="H33" s="71">
        <f t="shared" si="0"/>
        <v>-1.3947869380582815E-2</v>
      </c>
      <c r="I33" s="71">
        <f t="shared" si="0"/>
        <v>-2.6503255457678891E-2</v>
      </c>
      <c r="J33" s="71">
        <f t="shared" si="0"/>
        <v>-1.0358739504961323E-2</v>
      </c>
      <c r="K33" s="71">
        <f t="shared" si="0"/>
        <v>3.8312074246788258E-2</v>
      </c>
      <c r="L33" s="71">
        <f t="shared" si="0"/>
        <v>5.7236510337871929E-2</v>
      </c>
      <c r="M33" s="71">
        <f t="shared" si="0"/>
        <v>-1.33283623823282E-2</v>
      </c>
      <c r="N33" s="71">
        <f t="shared" si="0"/>
        <v>8.0696403609098924E-2</v>
      </c>
      <c r="O33" s="71">
        <f t="shared" si="0"/>
        <v>4.7854668834381921E-2</v>
      </c>
      <c r="P33" s="71">
        <f t="shared" si="0"/>
        <v>1.9187825655446144E-2</v>
      </c>
      <c r="Q33" s="71">
        <f t="shared" si="0"/>
        <v>-3.2326820603907687E-2</v>
      </c>
      <c r="R33" s="71">
        <f t="shared" si="0"/>
        <v>7.496360989810763E-2</v>
      </c>
      <c r="S33" s="71">
        <f t="shared" si="0"/>
        <v>-4.0749796251018745E-2</v>
      </c>
    </row>
    <row r="34" spans="1:19" x14ac:dyDescent="0.25">
      <c r="A34" s="54" t="s">
        <v>86</v>
      </c>
      <c r="B34" s="71">
        <f t="shared" ref="B34:B56" si="1">(B5-B4)/B5</f>
        <v>-5.5319793876931625E-3</v>
      </c>
      <c r="C34" s="71">
        <f t="shared" ref="C34:S34" si="2">(C5-C4)/C5</f>
        <v>-1.5844301665522999E-2</v>
      </c>
      <c r="D34" s="71">
        <f t="shared" si="2"/>
        <v>0.11073305357075344</v>
      </c>
      <c r="E34" s="71">
        <f t="shared" si="2"/>
        <v>0.10250405332372542</v>
      </c>
      <c r="F34" s="71">
        <f t="shared" si="2"/>
        <v>4.1127780651836608E-2</v>
      </c>
      <c r="G34" s="71">
        <f t="shared" si="2"/>
        <v>-0.13894080996884745</v>
      </c>
      <c r="H34" s="71">
        <f t="shared" si="2"/>
        <v>-5.7407192350869204E-2</v>
      </c>
      <c r="I34" s="71">
        <f t="shared" si="2"/>
        <v>-5.0038491147036618E-3</v>
      </c>
      <c r="J34" s="71">
        <f t="shared" si="2"/>
        <v>-7.0878094348435228E-2</v>
      </c>
      <c r="K34" s="71">
        <f t="shared" si="2"/>
        <v>-0.13184993531694691</v>
      </c>
      <c r="L34" s="71">
        <f t="shared" si="2"/>
        <v>-0.1285212937494071</v>
      </c>
      <c r="M34" s="71">
        <f t="shared" si="2"/>
        <v>-3.2428791377983109E-2</v>
      </c>
      <c r="N34" s="71">
        <f t="shared" si="2"/>
        <v>3.5247961748298903E-2</v>
      </c>
      <c r="O34" s="71">
        <f t="shared" si="2"/>
        <v>-5.8986451081667751E-2</v>
      </c>
      <c r="P34" s="71">
        <f t="shared" si="2"/>
        <v>-3.9996559435747391E-2</v>
      </c>
      <c r="Q34" s="71">
        <f t="shared" si="2"/>
        <v>8.8028169014084511E-3</v>
      </c>
      <c r="R34" s="71">
        <f t="shared" si="2"/>
        <v>8.0731489741302509E-2</v>
      </c>
      <c r="S34" s="71">
        <f t="shared" si="2"/>
        <v>-2.5348189415041886E-2</v>
      </c>
    </row>
    <row r="35" spans="1:19" x14ac:dyDescent="0.25">
      <c r="A35" s="54" t="s">
        <v>87</v>
      </c>
      <c r="B35" s="71">
        <f t="shared" si="1"/>
        <v>-8.8240145142668661E-2</v>
      </c>
      <c r="C35" s="71">
        <f t="shared" ref="C35:S35" si="3">(C6-C5)/C6</f>
        <v>-3.6598771419333959E-2</v>
      </c>
      <c r="D35" s="71">
        <f t="shared" si="3"/>
        <v>-0.17471243949016302</v>
      </c>
      <c r="E35" s="71">
        <f t="shared" si="3"/>
        <v>8.6706153339914493E-2</v>
      </c>
      <c r="F35" s="71">
        <f t="shared" si="3"/>
        <v>1.8073844564936205E-3</v>
      </c>
      <c r="G35" s="71">
        <f t="shared" si="3"/>
        <v>1.7146356399265227E-2</v>
      </c>
      <c r="H35" s="71">
        <f t="shared" si="3"/>
        <v>-2.7559972051858532E-3</v>
      </c>
      <c r="I35" s="71">
        <f t="shared" si="3"/>
        <v>5.2861830113014943E-2</v>
      </c>
      <c r="J35" s="71">
        <f t="shared" si="3"/>
        <v>-1.3371198674712996E-2</v>
      </c>
      <c r="K35" s="71">
        <f t="shared" si="3"/>
        <v>9.0117237158058236E-2</v>
      </c>
      <c r="L35" s="71">
        <f t="shared" si="3"/>
        <v>0.10614667231877914</v>
      </c>
      <c r="M35" s="71">
        <f t="shared" si="3"/>
        <v>-8.2468225477831426E-3</v>
      </c>
      <c r="N35" s="71">
        <f t="shared" si="3"/>
        <v>-2.9471159914173845E-2</v>
      </c>
      <c r="O35" s="71">
        <f t="shared" si="3"/>
        <v>8.8292031458673224E-3</v>
      </c>
      <c r="P35" s="71">
        <f t="shared" si="3"/>
        <v>0.1404702055300901</v>
      </c>
      <c r="Q35" s="71">
        <f t="shared" si="3"/>
        <v>0.14799999999999996</v>
      </c>
      <c r="R35" s="71">
        <f t="shared" si="3"/>
        <v>0.17528048556189066</v>
      </c>
      <c r="S35" s="71">
        <f t="shared" si="3"/>
        <v>-7.1961779635712042E-2</v>
      </c>
    </row>
    <row r="36" spans="1:19" x14ac:dyDescent="0.25">
      <c r="A36" s="54" t="s">
        <v>88</v>
      </c>
      <c r="B36" s="71">
        <f t="shared" si="1"/>
        <v>7.2861236185018463E-3</v>
      </c>
      <c r="C36" s="71">
        <f t="shared" ref="C36:S36" si="4">(C7-C6)/C7</f>
        <v>3.2320620555903652E-4</v>
      </c>
      <c r="D36" s="71">
        <f t="shared" si="4"/>
        <v>-1.1363636363636369E-2</v>
      </c>
      <c r="E36" s="71">
        <f t="shared" si="4"/>
        <v>5.0312499999999982E-2</v>
      </c>
      <c r="F36" s="71">
        <f t="shared" si="4"/>
        <v>1.4378419646265491E-2</v>
      </c>
      <c r="G36" s="71">
        <f t="shared" si="4"/>
        <v>7.0574843483209998E-2</v>
      </c>
      <c r="H36" s="71">
        <f t="shared" si="4"/>
        <v>0.125318303738159</v>
      </c>
      <c r="I36" s="71">
        <f t="shared" si="4"/>
        <v>-2.7494755768654601E-2</v>
      </c>
      <c r="J36" s="71">
        <f t="shared" si="4"/>
        <v>-7.6560509554140191E-2</v>
      </c>
      <c r="K36" s="71">
        <f t="shared" si="4"/>
        <v>-3.1171775374297297E-3</v>
      </c>
      <c r="L36" s="71">
        <f t="shared" si="4"/>
        <v>6.1789074568178309E-3</v>
      </c>
      <c r="M36" s="71">
        <f t="shared" si="4"/>
        <v>8.0306951012759892E-2</v>
      </c>
      <c r="N36" s="71">
        <f t="shared" si="4"/>
        <v>3.5838150289017261E-2</v>
      </c>
      <c r="O36" s="71">
        <f t="shared" si="4"/>
        <v>-1.4222289111295168E-2</v>
      </c>
      <c r="P36" s="71">
        <f t="shared" si="4"/>
        <v>4.3693438914027195E-2</v>
      </c>
      <c r="Q36" s="71">
        <f t="shared" si="4"/>
        <v>4.5710468556159997E-2</v>
      </c>
      <c r="R36" s="71">
        <f t="shared" si="4"/>
        <v>2.6150814974028318E-2</v>
      </c>
      <c r="S36" s="71">
        <f t="shared" si="4"/>
        <v>7.5627932652497801E-2</v>
      </c>
    </row>
    <row r="37" spans="1:19" x14ac:dyDescent="0.25">
      <c r="A37" s="54" t="s">
        <v>89</v>
      </c>
      <c r="B37" s="71">
        <f t="shared" si="1"/>
        <v>7.0820021299254535E-2</v>
      </c>
      <c r="C37" s="71">
        <f t="shared" ref="C37:S52" si="5">(C8-C7)/C8</f>
        <v>0.10768875814731509</v>
      </c>
      <c r="D37" s="71">
        <f t="shared" si="5"/>
        <v>5.8525033829499341E-2</v>
      </c>
      <c r="E37" s="71">
        <f t="shared" si="5"/>
        <v>-0.11246306274986961</v>
      </c>
      <c r="F37" s="71">
        <f t="shared" si="5"/>
        <v>6.5072567213894816E-2</v>
      </c>
      <c r="G37" s="71">
        <f t="shared" si="5"/>
        <v>2.3527232308262248E-2</v>
      </c>
      <c r="H37" s="71">
        <f t="shared" si="5"/>
        <v>9.3976867232681227E-2</v>
      </c>
      <c r="I37" s="71">
        <f t="shared" si="5"/>
        <v>0.11066693317342936</v>
      </c>
      <c r="J37" s="71">
        <f t="shared" si="5"/>
        <v>3.8225925018377904E-2</v>
      </c>
      <c r="K37" s="71">
        <f t="shared" si="5"/>
        <v>9.3466346977222184E-2</v>
      </c>
      <c r="L37" s="71">
        <f t="shared" si="5"/>
        <v>6.8078312306967467E-2</v>
      </c>
      <c r="M37" s="71">
        <f t="shared" si="5"/>
        <v>5.0576075906472492E-2</v>
      </c>
      <c r="N37" s="71">
        <f t="shared" si="5"/>
        <v>-9.9551404166410909E-3</v>
      </c>
      <c r="O37" s="71">
        <f t="shared" si="5"/>
        <v>-2.0358920223192715E-3</v>
      </c>
      <c r="P37" s="71">
        <f t="shared" si="5"/>
        <v>7.7665471144440806E-2</v>
      </c>
      <c r="Q37" s="71">
        <f t="shared" si="5"/>
        <v>-1.6687687979043495E-2</v>
      </c>
      <c r="R37" s="71">
        <f t="shared" si="5"/>
        <v>2.4633123689727528E-2</v>
      </c>
      <c r="S37" s="71">
        <f t="shared" si="5"/>
        <v>6.2613195342820227E-2</v>
      </c>
    </row>
    <row r="38" spans="1:19" x14ac:dyDescent="0.25">
      <c r="A38" s="54" t="s">
        <v>90</v>
      </c>
      <c r="B38" s="71">
        <f t="shared" si="1"/>
        <v>-5.4971511114677865E-2</v>
      </c>
      <c r="C38" s="71">
        <f t="shared" ref="C38:Q38" si="6">(C9-C8)/C9</f>
        <v>-7.5829972075705854E-2</v>
      </c>
      <c r="D38" s="71">
        <f t="shared" si="6"/>
        <v>-0.1346864353917758</v>
      </c>
      <c r="E38" s="71">
        <f t="shared" si="6"/>
        <v>-7.1778711484594485E-3</v>
      </c>
      <c r="F38" s="71">
        <f t="shared" si="6"/>
        <v>-1.0012816404998398E-2</v>
      </c>
      <c r="G38" s="71">
        <f t="shared" si="6"/>
        <v>2.369325375293909E-2</v>
      </c>
      <c r="H38" s="71">
        <f t="shared" si="6"/>
        <v>1.1103337085145968E-2</v>
      </c>
      <c r="I38" s="71">
        <f t="shared" si="6"/>
        <v>7.6028071903472022E-2</v>
      </c>
      <c r="J38" s="71">
        <f t="shared" si="6"/>
        <v>-1.9230769230769308E-2</v>
      </c>
      <c r="K38" s="71">
        <f t="shared" si="6"/>
        <v>-2.7540695116585967E-2</v>
      </c>
      <c r="L38" s="71">
        <f t="shared" si="6"/>
        <v>-5.9570691663431194E-2</v>
      </c>
      <c r="M38" s="71">
        <f t="shared" si="6"/>
        <v>-9.3633759459576145E-3</v>
      </c>
      <c r="N38" s="71">
        <f t="shared" si="6"/>
        <v>3.8522895125553971E-2</v>
      </c>
      <c r="O38" s="71">
        <f t="shared" si="6"/>
        <v>2.8140114319214444E-2</v>
      </c>
      <c r="P38" s="71">
        <f t="shared" si="6"/>
        <v>4.2340598263910581E-2</v>
      </c>
      <c r="Q38" s="71">
        <f t="shared" si="6"/>
        <v>6.9370844975432415E-3</v>
      </c>
      <c r="R38" s="71">
        <f t="shared" si="5"/>
        <v>1.9359259893780977E-2</v>
      </c>
      <c r="S38" s="71">
        <f t="shared" si="5"/>
        <v>2.0655822359927265E-3</v>
      </c>
    </row>
    <row r="39" spans="1:19" x14ac:dyDescent="0.25">
      <c r="A39" s="54" t="s">
        <v>91</v>
      </c>
      <c r="B39" s="71">
        <f t="shared" si="1"/>
        <v>9.0172313084112207E-2</v>
      </c>
      <c r="C39" s="71">
        <f t="shared" si="5"/>
        <v>6.3135864193942126E-2</v>
      </c>
      <c r="D39" s="71">
        <f t="shared" si="5"/>
        <v>8.0151829456680049E-2</v>
      </c>
      <c r="E39" s="71">
        <f t="shared" si="5"/>
        <v>-1.7456359102244332E-2</v>
      </c>
      <c r="F39" s="71">
        <f t="shared" si="5"/>
        <v>7.8331487633813118E-2</v>
      </c>
      <c r="G39" s="71">
        <f t="shared" si="5"/>
        <v>-2.180742931066346E-2</v>
      </c>
      <c r="H39" s="71">
        <f t="shared" si="5"/>
        <v>5.4585717983376844E-2</v>
      </c>
      <c r="I39" s="71">
        <f t="shared" si="5"/>
        <v>0.18792181172824077</v>
      </c>
      <c r="J39" s="71">
        <f t="shared" si="5"/>
        <v>0.1474502288938572</v>
      </c>
      <c r="K39" s="71">
        <f t="shared" si="5"/>
        <v>2.7884697630655982E-2</v>
      </c>
      <c r="L39" s="71">
        <f t="shared" si="5"/>
        <v>1.2353118409159361E-2</v>
      </c>
      <c r="M39" s="71">
        <f t="shared" si="5"/>
        <v>-1.2554656045716166E-2</v>
      </c>
      <c r="N39" s="71">
        <f t="shared" si="5"/>
        <v>-2.7376472016510809E-2</v>
      </c>
      <c r="O39" s="71">
        <f t="shared" si="5"/>
        <v>0.11670658295035277</v>
      </c>
      <c r="P39" s="71">
        <f t="shared" si="5"/>
        <v>3.0866065484476152E-2</v>
      </c>
      <c r="Q39" s="71">
        <f t="shared" si="5"/>
        <v>9.0700782890967037E-3</v>
      </c>
      <c r="R39" s="71">
        <f t="shared" si="5"/>
        <v>7.4667089410272683E-2</v>
      </c>
      <c r="S39" s="71">
        <f t="shared" si="5"/>
        <v>1.0980592441266592E-2</v>
      </c>
    </row>
    <row r="40" spans="1:19" x14ac:dyDescent="0.25">
      <c r="A40" s="54" t="s">
        <v>92</v>
      </c>
      <c r="B40" s="71">
        <f t="shared" si="1"/>
        <v>6.1017413958590463E-2</v>
      </c>
      <c r="C40" s="71">
        <f t="shared" si="5"/>
        <v>-3.3838201706935904E-2</v>
      </c>
      <c r="D40" s="71">
        <f t="shared" si="5"/>
        <v>1.0913694503863447E-2</v>
      </c>
      <c r="E40" s="71">
        <f t="shared" si="5"/>
        <v>-4.5048399106478065E-2</v>
      </c>
      <c r="F40" s="71">
        <f t="shared" si="5"/>
        <v>4.9173423186269515E-2</v>
      </c>
      <c r="G40" s="71">
        <f t="shared" si="5"/>
        <v>5.1201122216377376E-2</v>
      </c>
      <c r="H40" s="71">
        <f t="shared" si="5"/>
        <v>2.4108896996912803E-2</v>
      </c>
      <c r="I40" s="71">
        <f t="shared" si="5"/>
        <v>-2.5847479357915749E-2</v>
      </c>
      <c r="J40" s="71">
        <f t="shared" si="5"/>
        <v>0.11545343252660317</v>
      </c>
      <c r="K40" s="71">
        <f t="shared" si="5"/>
        <v>5.1016680871788601E-2</v>
      </c>
      <c r="L40" s="71">
        <f t="shared" si="5"/>
        <v>5.4023941545317984E-2</v>
      </c>
      <c r="M40" s="71">
        <f t="shared" si="5"/>
        <v>4.828808042519879E-2</v>
      </c>
      <c r="N40" s="71">
        <f t="shared" si="5"/>
        <v>4.3321718931474913E-2</v>
      </c>
      <c r="O40" s="71">
        <f t="shared" si="5"/>
        <v>7.772670288340984E-2</v>
      </c>
      <c r="P40" s="71">
        <f t="shared" si="5"/>
        <v>3.1079575441271396E-2</v>
      </c>
      <c r="Q40" s="71">
        <f t="shared" si="5"/>
        <v>-2.8779098320400674E-2</v>
      </c>
      <c r="R40" s="71">
        <f t="shared" si="5"/>
        <v>-9.5709570957095674E-2</v>
      </c>
      <c r="S40" s="71">
        <f t="shared" si="5"/>
        <v>8.5260453165148464E-2</v>
      </c>
    </row>
    <row r="41" spans="1:19" x14ac:dyDescent="0.25">
      <c r="A41" s="54" t="s">
        <v>93</v>
      </c>
      <c r="B41" s="71">
        <f t="shared" si="1"/>
        <v>3.9320292432325619E-2</v>
      </c>
      <c r="C41" s="71">
        <f t="shared" si="5"/>
        <v>4.1258499481387559E-2</v>
      </c>
      <c r="D41" s="71">
        <f t="shared" si="5"/>
        <v>6.5935410210406192E-2</v>
      </c>
      <c r="E41" s="71">
        <f t="shared" si="5"/>
        <v>6.2893081761006917E-3</v>
      </c>
      <c r="F41" s="71">
        <f t="shared" si="5"/>
        <v>5.6214389823770937E-2</v>
      </c>
      <c r="G41" s="71">
        <f t="shared" si="5"/>
        <v>-1.2786361214704294E-2</v>
      </c>
      <c r="H41" s="71">
        <f t="shared" si="5"/>
        <v>6.0836101006905965E-2</v>
      </c>
      <c r="I41" s="71">
        <f t="shared" si="5"/>
        <v>0.12892561983471068</v>
      </c>
      <c r="J41" s="71">
        <f t="shared" si="5"/>
        <v>4.0914017341040471E-2</v>
      </c>
      <c r="K41" s="71">
        <f t="shared" si="5"/>
        <v>-7.546922741161062E-2</v>
      </c>
      <c r="L41" s="71">
        <f t="shared" si="5"/>
        <v>-0.1146925454177858</v>
      </c>
      <c r="M41" s="71">
        <f t="shared" si="5"/>
        <v>-2.2108986776720289E-2</v>
      </c>
      <c r="N41" s="71">
        <f t="shared" si="5"/>
        <v>5.3716860162883774E-3</v>
      </c>
      <c r="O41" s="71">
        <f t="shared" si="5"/>
        <v>-1.6814374165351351E-2</v>
      </c>
      <c r="P41" s="71">
        <f t="shared" si="5"/>
        <v>-2.7536755844781834E-2</v>
      </c>
      <c r="Q41" s="71">
        <f t="shared" si="5"/>
        <v>-5.2082256897798974E-2</v>
      </c>
      <c r="R41" s="71">
        <f t="shared" si="5"/>
        <v>-5.5942773294203905E-2</v>
      </c>
      <c r="S41" s="71">
        <f t="shared" si="5"/>
        <v>7.0761884089429086E-2</v>
      </c>
    </row>
    <row r="42" spans="1:19" x14ac:dyDescent="0.25">
      <c r="A42" s="54" t="s">
        <v>94</v>
      </c>
      <c r="B42" s="71">
        <f t="shared" si="1"/>
        <v>-7.3003533568904683E-2</v>
      </c>
      <c r="C42" s="71">
        <f t="shared" si="5"/>
        <v>-5.6560121765601171E-2</v>
      </c>
      <c r="D42" s="71">
        <f t="shared" si="5"/>
        <v>5.1259236334094162E-2</v>
      </c>
      <c r="E42" s="71">
        <f t="shared" si="5"/>
        <v>-1.463963963963966E-2</v>
      </c>
      <c r="F42" s="71">
        <f t="shared" si="5"/>
        <v>-7.0800227014755884E-2</v>
      </c>
      <c r="G42" s="71">
        <f t="shared" si="5"/>
        <v>-7.3184676958261932E-2</v>
      </c>
      <c r="H42" s="71">
        <f t="shared" si="5"/>
        <v>-0.11782904623000091</v>
      </c>
      <c r="I42" s="71">
        <f t="shared" si="5"/>
        <v>-8.0565746283066217E-2</v>
      </c>
      <c r="J42" s="71">
        <f t="shared" si="5"/>
        <v>-7.5996112730806531E-2</v>
      </c>
      <c r="K42" s="71">
        <f t="shared" si="5"/>
        <v>-2.8507295173961816E-2</v>
      </c>
      <c r="L42" s="71">
        <f t="shared" si="5"/>
        <v>4.1705016106764513E-3</v>
      </c>
      <c r="M42" s="71">
        <f t="shared" si="5"/>
        <v>1.5138318609763201E-2</v>
      </c>
      <c r="N42" s="71">
        <f t="shared" si="5"/>
        <v>-7.2012383900928761E-2</v>
      </c>
      <c r="O42" s="71">
        <f t="shared" si="5"/>
        <v>-0.13433863526819542</v>
      </c>
      <c r="P42" s="71">
        <f t="shared" si="5"/>
        <v>9.3714558586521415E-3</v>
      </c>
      <c r="Q42" s="71">
        <f t="shared" si="5"/>
        <v>4.6131099063578186E-2</v>
      </c>
      <c r="R42" s="71">
        <f t="shared" si="5"/>
        <v>7.3104386263175739E-2</v>
      </c>
      <c r="S42" s="71">
        <f t="shared" si="5"/>
        <v>-7.1146245059288599E-2</v>
      </c>
    </row>
    <row r="43" spans="1:19" x14ac:dyDescent="0.25">
      <c r="A43" s="54" t="s">
        <v>95</v>
      </c>
      <c r="B43" s="71">
        <f t="shared" si="1"/>
        <v>5.5407209612817164E-2</v>
      </c>
      <c r="C43" s="71">
        <f t="shared" si="5"/>
        <v>2.5916261416202138E-2</v>
      </c>
      <c r="D43" s="71">
        <f t="shared" si="5"/>
        <v>0.30388064524816194</v>
      </c>
      <c r="E43" s="71">
        <f t="shared" si="5"/>
        <v>-8.7346938775510224E-2</v>
      </c>
      <c r="F43" s="71">
        <f t="shared" si="5"/>
        <v>0.14987033351426327</v>
      </c>
      <c r="G43" s="71">
        <f t="shared" si="5"/>
        <v>6.9185737094199021E-2</v>
      </c>
      <c r="H43" s="71">
        <f t="shared" si="5"/>
        <v>-4.889204808851251E-2</v>
      </c>
      <c r="I43" s="71">
        <f t="shared" si="5"/>
        <v>0.18973677005514919</v>
      </c>
      <c r="J43" s="71">
        <f t="shared" si="5"/>
        <v>0.1441403975713216</v>
      </c>
      <c r="K43" s="71">
        <f t="shared" si="5"/>
        <v>-5.1848703782405386E-2</v>
      </c>
      <c r="L43" s="71">
        <f t="shared" si="5"/>
        <v>-3.6242250834525591E-2</v>
      </c>
      <c r="M43" s="71">
        <f t="shared" si="5"/>
        <v>1.8081857055589484E-2</v>
      </c>
      <c r="N43" s="71">
        <f t="shared" si="5"/>
        <v>8.4724950884086173E-3</v>
      </c>
      <c r="O43" s="71">
        <f t="shared" si="5"/>
        <v>0.13186681810030487</v>
      </c>
      <c r="P43" s="71">
        <f t="shared" si="5"/>
        <v>3.5965013235124868E-2</v>
      </c>
      <c r="Q43" s="71">
        <f t="shared" si="5"/>
        <v>0.11389641016682674</v>
      </c>
      <c r="R43" s="71">
        <f t="shared" si="5"/>
        <v>8.7637660927563185E-2</v>
      </c>
      <c r="S43" s="71">
        <f t="shared" si="5"/>
        <v>1.6689529035208137E-2</v>
      </c>
    </row>
    <row r="44" spans="1:19" x14ac:dyDescent="0.25">
      <c r="A44" s="54" t="s">
        <v>96</v>
      </c>
      <c r="B44" s="71">
        <f t="shared" si="1"/>
        <v>9.3768905021173618E-2</v>
      </c>
      <c r="C44" s="71">
        <f t="shared" si="5"/>
        <v>3.8380382092956883E-2</v>
      </c>
      <c r="D44" s="71">
        <f t="shared" si="5"/>
        <v>2.6887497051809511E-2</v>
      </c>
      <c r="E44" s="71">
        <f t="shared" si="5"/>
        <v>4.0650406504065617E-3</v>
      </c>
      <c r="F44" s="71">
        <f t="shared" si="5"/>
        <v>-3.1156417314499216E-3</v>
      </c>
      <c r="G44" s="71">
        <f t="shared" si="5"/>
        <v>-7.4737845567206751E-2</v>
      </c>
      <c r="H44" s="71">
        <f t="shared" si="5"/>
        <v>2.7430191703137104E-3</v>
      </c>
      <c r="I44" s="71">
        <f t="shared" si="5"/>
        <v>0.21756028889704984</v>
      </c>
      <c r="J44" s="71">
        <f t="shared" si="5"/>
        <v>0.2408284397297468</v>
      </c>
      <c r="K44" s="71">
        <f t="shared" si="5"/>
        <v>-9.2893636785880168E-2</v>
      </c>
      <c r="L44" s="71">
        <f t="shared" si="5"/>
        <v>-6.5413438333544918E-2</v>
      </c>
      <c r="M44" s="71">
        <f t="shared" si="5"/>
        <v>-3.8838920686836346E-3</v>
      </c>
      <c r="N44" s="71">
        <f t="shared" si="5"/>
        <v>-4.4571281985506243E-2</v>
      </c>
      <c r="O44" s="71">
        <f t="shared" si="5"/>
        <v>1.1522098794611304E-2</v>
      </c>
      <c r="P44" s="71">
        <f t="shared" si="5"/>
        <v>-0.14103742613263287</v>
      </c>
      <c r="Q44" s="71">
        <f t="shared" si="5"/>
        <v>-1.4352795251173832E-2</v>
      </c>
      <c r="R44" s="71">
        <f t="shared" si="5"/>
        <v>-7.7372994652406338E-2</v>
      </c>
      <c r="S44" s="71">
        <f t="shared" si="5"/>
        <v>0.18592964824120595</v>
      </c>
    </row>
    <row r="45" spans="1:19" x14ac:dyDescent="0.25">
      <c r="A45" s="54" t="s">
        <v>97</v>
      </c>
      <c r="B45" s="71">
        <f t="shared" si="1"/>
        <v>6.9099510052373608E-2</v>
      </c>
      <c r="C45" s="71">
        <f t="shared" si="5"/>
        <v>-5.1763435700575788E-2</v>
      </c>
      <c r="D45" s="71">
        <f t="shared" si="5"/>
        <v>-8.3262363027309327E-2</v>
      </c>
      <c r="E45" s="71">
        <f t="shared" si="5"/>
        <v>4.466019417475723E-2</v>
      </c>
      <c r="F45" s="71">
        <f t="shared" si="5"/>
        <v>1.7037345385347343E-2</v>
      </c>
      <c r="G45" s="71">
        <f t="shared" si="5"/>
        <v>0.11416990373247758</v>
      </c>
      <c r="H45" s="71">
        <f t="shared" si="5"/>
        <v>3.5350081760071483E-2</v>
      </c>
      <c r="I45" s="71">
        <f t="shared" si="5"/>
        <v>-0.11101288633504462</v>
      </c>
      <c r="J45" s="71">
        <f t="shared" si="5"/>
        <v>-0.10055594162612924</v>
      </c>
      <c r="K45" s="71">
        <f t="shared" si="5"/>
        <v>0.10585575192653776</v>
      </c>
      <c r="L45" s="71">
        <f t="shared" si="5"/>
        <v>0.12356673717021034</v>
      </c>
      <c r="M45" s="71">
        <f t="shared" si="5"/>
        <v>8.755175886895214E-2</v>
      </c>
      <c r="N45" s="71">
        <f t="shared" si="5"/>
        <v>8.8501782895890502E-2</v>
      </c>
      <c r="O45" s="71">
        <f t="shared" si="5"/>
        <v>-1.5419691606168007E-2</v>
      </c>
      <c r="P45" s="71">
        <f t="shared" si="5"/>
        <v>6.9070904645476675E-2</v>
      </c>
      <c r="Q45" s="71">
        <f t="shared" si="5"/>
        <v>3.8176395398380823E-2</v>
      </c>
      <c r="R45" s="71">
        <f t="shared" si="5"/>
        <v>2.2062428501389023E-2</v>
      </c>
      <c r="S45" s="71">
        <f t="shared" si="5"/>
        <v>9.0093141405588495E-2</v>
      </c>
    </row>
    <row r="46" spans="1:19" x14ac:dyDescent="0.25">
      <c r="A46" s="54" t="s">
        <v>98</v>
      </c>
      <c r="B46" s="71">
        <f t="shared" si="1"/>
        <v>-1.5962924819773384E-2</v>
      </c>
      <c r="C46" s="71">
        <f t="shared" si="5"/>
        <v>-0.11466203115598052</v>
      </c>
      <c r="D46" s="71">
        <f t="shared" si="5"/>
        <v>-0.12817063797079165</v>
      </c>
      <c r="E46" s="71">
        <f t="shared" si="5"/>
        <v>-5.4895534616960256E-2</v>
      </c>
      <c r="F46" s="71">
        <f t="shared" si="5"/>
        <v>-8.1484339828927818E-2</v>
      </c>
      <c r="G46" s="71">
        <f t="shared" si="5"/>
        <v>2.9503360104900789E-2</v>
      </c>
      <c r="H46" s="71">
        <f t="shared" si="5"/>
        <v>-7.3708740343484749E-2</v>
      </c>
      <c r="I46" s="71">
        <f t="shared" si="5"/>
        <v>-0.20113534264477659</v>
      </c>
      <c r="J46" s="71">
        <f t="shared" si="5"/>
        <v>-0.25951859956236328</v>
      </c>
      <c r="K46" s="71">
        <f t="shared" si="5"/>
        <v>4.1826944333908031E-2</v>
      </c>
      <c r="L46" s="71">
        <f t="shared" si="5"/>
        <v>7.0034680884103737E-2</v>
      </c>
      <c r="M46" s="71">
        <f t="shared" si="5"/>
        <v>-3.3224127962998673E-2</v>
      </c>
      <c r="N46" s="71">
        <f t="shared" si="5"/>
        <v>7.0810842184688546E-3</v>
      </c>
      <c r="O46" s="71">
        <f t="shared" si="5"/>
        <v>-0.12561626257851013</v>
      </c>
      <c r="P46" s="71">
        <f t="shared" si="5"/>
        <v>9.0201312423534644E-2</v>
      </c>
      <c r="Q46" s="71">
        <f t="shared" si="5"/>
        <v>0.10644940226909325</v>
      </c>
      <c r="R46" s="71">
        <f t="shared" si="5"/>
        <v>0.19444444444444442</v>
      </c>
      <c r="S46" s="71">
        <f t="shared" si="5"/>
        <v>-0.1207060163218827</v>
      </c>
    </row>
    <row r="47" spans="1:19" x14ac:dyDescent="0.25">
      <c r="A47" s="54" t="s">
        <v>99</v>
      </c>
      <c r="B47" s="71">
        <f t="shared" si="1"/>
        <v>-5.8502906976744165E-2</v>
      </c>
      <c r="C47" s="71">
        <f t="shared" si="5"/>
        <v>2.5983328991925039E-2</v>
      </c>
      <c r="D47" s="71">
        <f t="shared" si="5"/>
        <v>-7.617012476735377E-2</v>
      </c>
      <c r="E47" s="71">
        <f t="shared" si="5"/>
        <v>-2.3480083857442293E-2</v>
      </c>
      <c r="F47" s="71">
        <f t="shared" si="5"/>
        <v>-4.0797884802034862E-2</v>
      </c>
      <c r="G47" s="71">
        <f t="shared" si="5"/>
        <v>1.9762210796915231E-2</v>
      </c>
      <c r="H47" s="71">
        <f t="shared" si="5"/>
        <v>-0.4844334928683125</v>
      </c>
      <c r="I47" s="71">
        <f t="shared" si="5"/>
        <v>-4.1418905064589681E-3</v>
      </c>
      <c r="J47" s="71">
        <f t="shared" si="5"/>
        <v>7.3698718988162826E-2</v>
      </c>
      <c r="K47" s="71">
        <f t="shared" si="5"/>
        <v>-4.6501943364797252E-2</v>
      </c>
      <c r="L47" s="71">
        <f t="shared" si="5"/>
        <v>-7.0838645307909773E-2</v>
      </c>
      <c r="M47" s="71">
        <f t="shared" si="5"/>
        <v>-5.9974670098459686E-2</v>
      </c>
      <c r="N47" s="71">
        <f t="shared" si="5"/>
        <v>-4.691012942820684E-2</v>
      </c>
      <c r="O47" s="71">
        <f t="shared" si="5"/>
        <v>-8.4364701574514686E-2</v>
      </c>
      <c r="P47" s="71">
        <f t="shared" si="5"/>
        <v>7.5665672869332776E-2</v>
      </c>
      <c r="Q47" s="71">
        <f t="shared" si="5"/>
        <v>8.7986111111111029E-2</v>
      </c>
      <c r="R47" s="71">
        <f t="shared" si="5"/>
        <v>3.1369548584544861E-2</v>
      </c>
      <c r="S47" s="71">
        <f t="shared" si="5"/>
        <v>-0.12249680443118875</v>
      </c>
    </row>
    <row r="48" spans="1:19" x14ac:dyDescent="0.25">
      <c r="A48" s="54" t="s">
        <v>100</v>
      </c>
      <c r="B48" s="71">
        <f t="shared" si="1"/>
        <v>5.4349693602886481E-2</v>
      </c>
      <c r="C48" s="71">
        <f t="shared" si="5"/>
        <v>5.7914110429447836E-2</v>
      </c>
      <c r="D48" s="71">
        <f t="shared" si="5"/>
        <v>0.19226057906458799</v>
      </c>
      <c r="E48" s="71">
        <f t="shared" si="5"/>
        <v>3.7530266343825655E-2</v>
      </c>
      <c r="F48" s="71">
        <f t="shared" si="5"/>
        <v>3.0878012390126761E-2</v>
      </c>
      <c r="G48" s="71">
        <f t="shared" si="5"/>
        <v>-3.870967741935516E-3</v>
      </c>
      <c r="H48" s="71">
        <f t="shared" si="5"/>
        <v>5.0953408886490428E-2</v>
      </c>
      <c r="I48" s="71">
        <f t="shared" si="5"/>
        <v>0.10631825844755559</v>
      </c>
      <c r="J48" s="71">
        <f t="shared" si="5"/>
        <v>-0.12804097311139565</v>
      </c>
      <c r="K48" s="71">
        <f t="shared" si="5"/>
        <v>2.5476845380349035E-2</v>
      </c>
      <c r="L48" s="71">
        <f t="shared" si="5"/>
        <v>-9.6256085958923206E-3</v>
      </c>
      <c r="M48" s="71">
        <f t="shared" si="5"/>
        <v>1.0150436751860203E-2</v>
      </c>
      <c r="N48" s="71">
        <f t="shared" si="5"/>
        <v>7.143260170400044E-2</v>
      </c>
      <c r="O48" s="71">
        <f t="shared" si="5"/>
        <v>-1.4788941736028604E-2</v>
      </c>
      <c r="P48" s="71">
        <f t="shared" si="5"/>
        <v>-4.0320855614973221E-2</v>
      </c>
      <c r="Q48" s="71">
        <f t="shared" si="5"/>
        <v>0.1156420806976602</v>
      </c>
      <c r="R48" s="71">
        <f t="shared" si="5"/>
        <v>5.0490374137304776E-2</v>
      </c>
      <c r="S48" s="71">
        <f t="shared" si="5"/>
        <v>9.3297276414912214E-2</v>
      </c>
    </row>
    <row r="49" spans="1:19" x14ac:dyDescent="0.25">
      <c r="A49" s="54" t="s">
        <v>101</v>
      </c>
      <c r="B49" s="71">
        <f t="shared" si="1"/>
        <v>-0.10758008246114815</v>
      </c>
      <c r="C49" s="71">
        <f t="shared" si="5"/>
        <v>-0.31155455423237849</v>
      </c>
      <c r="D49" s="71">
        <f t="shared" si="5"/>
        <v>-0.23755383290267007</v>
      </c>
      <c r="E49" s="71">
        <f t="shared" si="5"/>
        <v>-0.13695801789401235</v>
      </c>
      <c r="F49" s="71">
        <f t="shared" si="5"/>
        <v>-0.11094695877774582</v>
      </c>
      <c r="G49" s="71">
        <f t="shared" si="5"/>
        <v>4.0396223494815038E-2</v>
      </c>
      <c r="H49" s="71">
        <f t="shared" si="5"/>
        <v>-0.10919339552052684</v>
      </c>
      <c r="I49" s="71">
        <f t="shared" si="5"/>
        <v>-0.4711813231250338</v>
      </c>
      <c r="J49" s="71">
        <f t="shared" si="5"/>
        <v>-0.27853133769878402</v>
      </c>
      <c r="K49" s="71">
        <f t="shared" si="5"/>
        <v>-4.0538638389715269E-2</v>
      </c>
      <c r="L49" s="71">
        <f t="shared" si="5"/>
        <v>1.6511640706698222E-2</v>
      </c>
      <c r="M49" s="71">
        <f t="shared" si="5"/>
        <v>7.5453523840102567E-3</v>
      </c>
      <c r="N49" s="71">
        <f t="shared" si="5"/>
        <v>1.7898703313753841E-2</v>
      </c>
      <c r="O49" s="71">
        <f t="shared" si="5"/>
        <v>-7.9069767441860464E-2</v>
      </c>
      <c r="P49" s="71">
        <f t="shared" si="5"/>
        <v>-7.0345143380458997E-2</v>
      </c>
      <c r="Q49" s="71">
        <f t="shared" si="5"/>
        <v>-3.9318312376332584E-2</v>
      </c>
      <c r="R49" s="71">
        <f t="shared" si="5"/>
        <v>3.1202346041055679E-2</v>
      </c>
      <c r="S49" s="71">
        <f t="shared" si="5"/>
        <v>-5.5023435907886747E-2</v>
      </c>
    </row>
    <row r="50" spans="1:19" x14ac:dyDescent="0.25">
      <c r="A50" s="54" t="s">
        <v>102</v>
      </c>
      <c r="B50" s="71">
        <f t="shared" si="1"/>
        <v>-5.919107766729375E-2</v>
      </c>
      <c r="C50" s="71">
        <f t="shared" si="5"/>
        <v>-3.3857416188337139E-2</v>
      </c>
      <c r="D50" s="71">
        <f t="shared" si="5"/>
        <v>-0.14836795252225518</v>
      </c>
      <c r="E50" s="71">
        <f t="shared" si="5"/>
        <v>1.8685276902296225E-2</v>
      </c>
      <c r="F50" s="71">
        <f t="shared" si="5"/>
        <v>-2.0781991392945072E-2</v>
      </c>
      <c r="G50" s="71">
        <f t="shared" si="5"/>
        <v>-1.9406752918901812E-2</v>
      </c>
      <c r="H50" s="71">
        <f t="shared" si="5"/>
        <v>-3.5271638091303514E-2</v>
      </c>
      <c r="I50" s="71">
        <f t="shared" si="5"/>
        <v>6.6945158526135386E-3</v>
      </c>
      <c r="J50" s="71">
        <f t="shared" si="5"/>
        <v>0.16041625760848227</v>
      </c>
      <c r="K50" s="71">
        <f t="shared" si="5"/>
        <v>-4.5246736107838435E-3</v>
      </c>
      <c r="L50" s="71">
        <f t="shared" si="5"/>
        <v>-1.5396652415681647E-2</v>
      </c>
      <c r="M50" s="71">
        <f t="shared" si="5"/>
        <v>1.2093097022322712E-2</v>
      </c>
      <c r="N50" s="71">
        <f t="shared" si="5"/>
        <v>-5.1801927254498236E-3</v>
      </c>
      <c r="O50" s="71">
        <f t="shared" si="5"/>
        <v>-4.9221708035338735E-2</v>
      </c>
      <c r="P50" s="71">
        <f t="shared" si="5"/>
        <v>-3.4889231133752016E-2</v>
      </c>
      <c r="Q50" s="71">
        <f t="shared" si="5"/>
        <v>0.10300011450818738</v>
      </c>
      <c r="R50" s="71">
        <f t="shared" si="5"/>
        <v>0.11197916666666667</v>
      </c>
      <c r="S50" s="71">
        <f t="shared" si="5"/>
        <v>7.4849170437405715E-2</v>
      </c>
    </row>
    <row r="51" spans="1:19" x14ac:dyDescent="0.25">
      <c r="A51" s="54" t="s">
        <v>103</v>
      </c>
      <c r="B51" s="71">
        <f t="shared" si="1"/>
        <v>-8.8648332358104182E-2</v>
      </c>
      <c r="C51" s="71">
        <f t="shared" si="5"/>
        <v>-0.13181433010074381</v>
      </c>
      <c r="D51" s="71">
        <f t="shared" si="5"/>
        <v>-0.1259856550986769</v>
      </c>
      <c r="E51" s="71">
        <f t="shared" si="5"/>
        <v>-0.1873830526597168</v>
      </c>
      <c r="F51" s="71">
        <f t="shared" si="5"/>
        <v>-5.8560137055639998E-2</v>
      </c>
      <c r="G51" s="71">
        <f t="shared" si="5"/>
        <v>-7.4709903036084243E-3</v>
      </c>
      <c r="H51" s="71">
        <f t="shared" si="5"/>
        <v>-0.20086821705426347</v>
      </c>
      <c r="I51" s="71">
        <f t="shared" si="5"/>
        <v>-0.2317435187017613</v>
      </c>
      <c r="J51" s="71">
        <f t="shared" si="5"/>
        <v>-0.33202563096639204</v>
      </c>
      <c r="K51" s="71">
        <f t="shared" si="5"/>
        <v>-7.7606785514754445E-2</v>
      </c>
      <c r="L51" s="71">
        <f t="shared" si="5"/>
        <v>-0.1343666793457588</v>
      </c>
      <c r="M51" s="71">
        <f t="shared" si="5"/>
        <v>-2.1589436163318262E-2</v>
      </c>
      <c r="N51" s="71">
        <f t="shared" si="5"/>
        <v>-1.137964058362915E-2</v>
      </c>
      <c r="O51" s="71">
        <f t="shared" si="5"/>
        <v>-0.16291585127201558</v>
      </c>
      <c r="P51" s="71">
        <f t="shared" si="5"/>
        <v>-0.2178617804068676</v>
      </c>
      <c r="Q51" s="71">
        <f t="shared" si="5"/>
        <v>-0.20638209697472024</v>
      </c>
      <c r="R51" s="71">
        <f t="shared" si="5"/>
        <v>-0.12097150864082204</v>
      </c>
      <c r="S51" s="71">
        <f t="shared" si="5"/>
        <v>-1.1634560366202544E-2</v>
      </c>
    </row>
    <row r="52" spans="1:19" x14ac:dyDescent="0.25">
      <c r="A52" s="54" t="s">
        <v>104</v>
      </c>
      <c r="B52" s="71">
        <f t="shared" si="1"/>
        <v>0.15869792628145957</v>
      </c>
      <c r="C52" s="71">
        <f t="shared" si="5"/>
        <v>0.21296776583919969</v>
      </c>
      <c r="D52" s="71">
        <f t="shared" si="5"/>
        <v>0.24459027427225302</v>
      </c>
      <c r="E52" s="71">
        <f t="shared" si="5"/>
        <v>-3.0294684659873155E-2</v>
      </c>
      <c r="F52" s="71">
        <f t="shared" si="5"/>
        <v>8.4580838323353363E-2</v>
      </c>
      <c r="G52" s="71">
        <f t="shared" si="5"/>
        <v>1.9635343618513403E-2</v>
      </c>
      <c r="H52" s="71">
        <f t="shared" si="5"/>
        <v>-1.3513513513513549E-2</v>
      </c>
      <c r="I52" s="71">
        <f t="shared" si="5"/>
        <v>0.16539117987116661</v>
      </c>
      <c r="J52" s="71">
        <f t="shared" si="5"/>
        <v>0.19053667831057478</v>
      </c>
      <c r="K52" s="71">
        <f t="shared" si="5"/>
        <v>7.1755221347414203E-2</v>
      </c>
      <c r="L52" s="71">
        <f t="shared" si="5"/>
        <v>0.10828457559569236</v>
      </c>
      <c r="M52" s="71">
        <f t="shared" si="5"/>
        <v>6.2611535102707255E-2</v>
      </c>
      <c r="N52" s="71">
        <f t="shared" si="5"/>
        <v>-1.713270685308263E-2</v>
      </c>
      <c r="O52" s="71">
        <f t="shared" si="5"/>
        <v>0.11068569439610162</v>
      </c>
      <c r="P52" s="71">
        <f t="shared" si="5"/>
        <v>9.998701467341907E-2</v>
      </c>
      <c r="Q52" s="71">
        <f t="shared" si="5"/>
        <v>0.11600928074245939</v>
      </c>
      <c r="R52" s="71">
        <f t="shared" ref="C52:S56" si="7">(R23-R22)/R23</f>
        <v>0.11647580728360678</v>
      </c>
      <c r="S52" s="71">
        <f t="shared" si="7"/>
        <v>-3.8012274797069923E-2</v>
      </c>
    </row>
    <row r="53" spans="1:19" x14ac:dyDescent="0.25">
      <c r="A53" s="54" t="s">
        <v>105</v>
      </c>
      <c r="B53" s="71">
        <f t="shared" si="1"/>
        <v>-3.3647118687189871E-2</v>
      </c>
      <c r="C53" s="71">
        <f t="shared" si="7"/>
        <v>-6.4526307485998205E-2</v>
      </c>
      <c r="D53" s="71">
        <f t="shared" si="7"/>
        <v>-7.8153913138129832E-2</v>
      </c>
      <c r="E53" s="71">
        <f t="shared" si="7"/>
        <v>-0.137531328320802</v>
      </c>
      <c r="F53" s="71">
        <f t="shared" si="7"/>
        <v>-7.301028798714948E-2</v>
      </c>
      <c r="G53" s="71">
        <f t="shared" si="7"/>
        <v>-3.9863879436071961E-2</v>
      </c>
      <c r="H53" s="71">
        <f t="shared" si="7"/>
        <v>2.3507027557847004E-2</v>
      </c>
      <c r="I53" s="71">
        <f t="shared" si="7"/>
        <v>-0.20332582483105868</v>
      </c>
      <c r="J53" s="71">
        <f t="shared" si="7"/>
        <v>-0.113114174620007</v>
      </c>
      <c r="K53" s="71">
        <f t="shared" si="7"/>
        <v>-6.7434955462734661E-2</v>
      </c>
      <c r="L53" s="71">
        <f t="shared" si="7"/>
        <v>-9.0698893239202188E-2</v>
      </c>
      <c r="M53" s="71">
        <f t="shared" si="7"/>
        <v>-4.3959093071190752E-2</v>
      </c>
      <c r="N53" s="71">
        <f t="shared" si="7"/>
        <v>-8.1690839221519818E-2</v>
      </c>
      <c r="O53" s="71">
        <f t="shared" si="7"/>
        <v>-7.9567872240488474E-2</v>
      </c>
      <c r="P53" s="71">
        <f t="shared" si="7"/>
        <v>-1.3289473684210594E-2</v>
      </c>
      <c r="Q53" s="71">
        <f t="shared" si="7"/>
        <v>-3.6188789067442738E-2</v>
      </c>
      <c r="R53" s="71">
        <f t="shared" si="7"/>
        <v>-1.4018202740872511E-2</v>
      </c>
      <c r="S53" s="71">
        <f t="shared" si="7"/>
        <v>-0.11673667919522444</v>
      </c>
    </row>
    <row r="54" spans="1:19" x14ac:dyDescent="0.25">
      <c r="A54" s="54" t="s">
        <v>106</v>
      </c>
      <c r="B54" s="71">
        <f t="shared" si="1"/>
        <v>-0.13762662807525333</v>
      </c>
      <c r="C54" s="71">
        <f t="shared" si="7"/>
        <v>-0.12185840707964599</v>
      </c>
      <c r="D54" s="71">
        <f t="shared" si="7"/>
        <v>-3.9057492931197035E-2</v>
      </c>
      <c r="E54" s="71">
        <f t="shared" si="7"/>
        <v>-0.23864959254947621</v>
      </c>
      <c r="F54" s="71">
        <f t="shared" si="7"/>
        <v>-0.12267067410905977</v>
      </c>
      <c r="G54" s="71">
        <f t="shared" si="7"/>
        <v>-0.10157086754730449</v>
      </c>
      <c r="H54" s="71">
        <f t="shared" si="7"/>
        <v>-0.20084021226415094</v>
      </c>
      <c r="I54" s="71">
        <f t="shared" si="7"/>
        <v>-0.24343026608452095</v>
      </c>
      <c r="J54" s="71">
        <f t="shared" si="7"/>
        <v>-0.33948863636363646</v>
      </c>
      <c r="K54" s="71">
        <f t="shared" si="7"/>
        <v>-0.11854770616380525</v>
      </c>
      <c r="L54" s="71">
        <f t="shared" si="7"/>
        <v>-0.140782162200183</v>
      </c>
      <c r="M54" s="71">
        <f t="shared" si="7"/>
        <v>-9.3351824564444796E-2</v>
      </c>
      <c r="N54" s="71">
        <f t="shared" si="7"/>
        <v>1.2365328109696438E-2</v>
      </c>
      <c r="O54" s="71">
        <f t="shared" si="7"/>
        <v>-0.2806785370548604</v>
      </c>
      <c r="P54" s="71">
        <f t="shared" si="7"/>
        <v>-0.12667704395522944</v>
      </c>
      <c r="Q54" s="71">
        <f t="shared" si="7"/>
        <v>-0.10016008909306059</v>
      </c>
      <c r="R54" s="71">
        <f t="shared" si="7"/>
        <v>-9.4834497766578874E-2</v>
      </c>
      <c r="S54" s="71">
        <f t="shared" si="7"/>
        <v>-3.3592321755027396E-2</v>
      </c>
    </row>
    <row r="55" spans="1:19" x14ac:dyDescent="0.25">
      <c r="A55" s="54" t="s">
        <v>107</v>
      </c>
      <c r="B55" s="71">
        <f t="shared" si="1"/>
        <v>9.281869502428787E-2</v>
      </c>
      <c r="C55" s="71">
        <f t="shared" si="7"/>
        <v>6.3018242122719684E-2</v>
      </c>
      <c r="D55" s="71">
        <f t="shared" si="7"/>
        <v>-0.19261723843352369</v>
      </c>
      <c r="E55" s="71">
        <f t="shared" si="7"/>
        <v>5.9832178037212719E-2</v>
      </c>
      <c r="F55" s="71">
        <f t="shared" si="7"/>
        <v>7.0852948216707859E-2</v>
      </c>
      <c r="G55" s="71">
        <f t="shared" si="7"/>
        <v>4.9703138252756567E-2</v>
      </c>
      <c r="H55" s="71">
        <f t="shared" si="7"/>
        <v>1.330812304559657E-2</v>
      </c>
      <c r="I55" s="71">
        <f t="shared" si="7"/>
        <v>8.4609003845863895E-2</v>
      </c>
      <c r="J55" s="71">
        <f t="shared" si="7"/>
        <v>-3.07467057101025E-2</v>
      </c>
      <c r="K55" s="71">
        <f t="shared" si="7"/>
        <v>8.6068525568474066E-2</v>
      </c>
      <c r="L55" s="71">
        <f t="shared" si="7"/>
        <v>8.692720208085819E-2</v>
      </c>
      <c r="M55" s="71">
        <f t="shared" si="7"/>
        <v>9.7720251828099874E-2</v>
      </c>
      <c r="N55" s="71">
        <f t="shared" si="7"/>
        <v>4.3055474196004882E-2</v>
      </c>
      <c r="O55" s="71">
        <f t="shared" si="7"/>
        <v>9.3763628434365393E-2</v>
      </c>
      <c r="P55" s="71">
        <f t="shared" si="7"/>
        <v>8.2369745612841883E-2</v>
      </c>
      <c r="Q55" s="71">
        <f t="shared" si="7"/>
        <v>0.17870005144915119</v>
      </c>
      <c r="R55" s="71">
        <f t="shared" si="7"/>
        <v>0.17538723082735166</v>
      </c>
      <c r="S55" s="71">
        <f t="shared" si="7"/>
        <v>4.0140381662645434E-2</v>
      </c>
    </row>
    <row r="56" spans="1:19" x14ac:dyDescent="0.25">
      <c r="A56" s="54" t="s">
        <v>108</v>
      </c>
      <c r="B56" s="71">
        <f t="shared" si="1"/>
        <v>-0.1022357282396353</v>
      </c>
      <c r="C56" s="71">
        <f t="shared" si="7"/>
        <v>-6.7162198035571968E-2</v>
      </c>
      <c r="D56" s="71">
        <f t="shared" si="7"/>
        <v>-0.1754664129802864</v>
      </c>
      <c r="E56" s="71">
        <f t="shared" si="7"/>
        <v>3.646973012400278E-4</v>
      </c>
      <c r="F56" s="71">
        <f t="shared" si="7"/>
        <v>-0.17087070254110603</v>
      </c>
      <c r="G56" s="71">
        <f t="shared" si="7"/>
        <v>-0.14222049990311961</v>
      </c>
      <c r="H56" s="71">
        <f t="shared" si="7"/>
        <v>0.14727768820538262</v>
      </c>
      <c r="I56" s="71">
        <f t="shared" si="7"/>
        <v>-9.2339373970346028E-2</v>
      </c>
      <c r="J56" s="71">
        <f t="shared" si="7"/>
        <v>2.9982641628530829E-2</v>
      </c>
      <c r="K56" s="71">
        <f t="shared" si="7"/>
        <v>-9.4112349431498363E-2</v>
      </c>
      <c r="L56" s="71">
        <f t="shared" si="7"/>
        <v>-9.5164410058027074E-2</v>
      </c>
      <c r="M56" s="71">
        <f t="shared" si="7"/>
        <v>-0.10825568797399779</v>
      </c>
      <c r="N56" s="71">
        <f t="shared" si="7"/>
        <v>-4.4928689477872333E-2</v>
      </c>
      <c r="O56" s="71">
        <f t="shared" si="7"/>
        <v>-0.10333213039817159</v>
      </c>
      <c r="P56" s="71">
        <f t="shared" si="7"/>
        <v>-8.9682774977764779E-2</v>
      </c>
      <c r="Q56" s="71">
        <f t="shared" si="7"/>
        <v>-0.21749721603563474</v>
      </c>
      <c r="R56" s="71">
        <f t="shared" si="7"/>
        <v>-0.21255153458543294</v>
      </c>
      <c r="S56" s="71">
        <f t="shared" si="7"/>
        <v>-4.1580991546721499E-2</v>
      </c>
    </row>
    <row r="57" spans="1:19" x14ac:dyDescent="0.25">
      <c r="A57" s="69" t="s">
        <v>109</v>
      </c>
      <c r="B57" s="71">
        <f>SUM(B33:B56)</f>
        <v>7.0412126143606465E-2</v>
      </c>
      <c r="C57" s="71">
        <f t="shared" ref="C57:R57" si="8">SUM(C33:C56)</f>
        <v>-0.45195786978992669</v>
      </c>
      <c r="D57" s="71">
        <f>SUM(D33:D56)</f>
        <v>-0.26478425278762319</v>
      </c>
      <c r="E57" s="71">
        <f t="shared" si="8"/>
        <v>-0.65286867443036312</v>
      </c>
      <c r="F57" s="71">
        <f t="shared" si="8"/>
        <v>-6.6185143216978617E-2</v>
      </c>
      <c r="G57" s="71">
        <f t="shared" si="8"/>
        <v>-4.8281392815118812E-2</v>
      </c>
      <c r="H57" s="71">
        <f t="shared" si="8"/>
        <v>-0.71559279024182332</v>
      </c>
      <c r="I57" s="71">
        <f t="shared" si="8"/>
        <v>-0.3970112284587537</v>
      </c>
      <c r="J57" s="71">
        <f t="shared" si="8"/>
        <v>-0.66677068608593792</v>
      </c>
      <c r="K57" s="71">
        <f t="shared" si="8"/>
        <v>-0.22871339762171333</v>
      </c>
      <c r="L57" s="71">
        <f t="shared" si="8"/>
        <v>-0.24780047073819639</v>
      </c>
      <c r="M57" s="71">
        <f t="shared" si="8"/>
        <v>2.7793987988154162E-2</v>
      </c>
      <c r="N57" s="71">
        <f t="shared" si="8"/>
        <v>9.7197648722434596E-2</v>
      </c>
      <c r="O57" s="71">
        <f t="shared" si="8"/>
        <v>-0.59427759372817623</v>
      </c>
      <c r="P57" s="71">
        <f t="shared" si="8"/>
        <v>4.6297255185625635E-2</v>
      </c>
      <c r="Q57" s="71">
        <f t="shared" si="8"/>
        <v>0.38073623105114107</v>
      </c>
      <c r="R57" s="71">
        <f t="shared" si="8"/>
        <v>0.69853818420880054</v>
      </c>
      <c r="S57" s="71">
        <f>SUM(S33:S56)</f>
        <v>5.931969244185549E-2</v>
      </c>
    </row>
    <row r="58" spans="1:19" ht="42.75" x14ac:dyDescent="0.25">
      <c r="A58" s="70" t="s">
        <v>110</v>
      </c>
      <c r="B58" s="71">
        <f>SUM(B42:B56)</f>
        <v>-0.15225639325904849</v>
      </c>
      <c r="C58" s="71">
        <f t="shared" ref="C58:R58" si="9">SUM(C42:C56)</f>
        <v>-0.52957871085238184</v>
      </c>
      <c r="D58" s="71">
        <f t="shared" si="9"/>
        <v>-0.46592739180128717</v>
      </c>
      <c r="E58" s="71">
        <f>SUM(E42:E56)</f>
        <v>-0.74604121956369451</v>
      </c>
      <c r="F58" s="71">
        <f t="shared" si="9"/>
        <v>-0.39981936741101609</v>
      </c>
      <c r="G58" s="71">
        <f t="shared" si="9"/>
        <v>-0.11997056328183286</v>
      </c>
      <c r="H58" s="71">
        <f t="shared" si="9"/>
        <v>-1.0114109553483672</v>
      </c>
      <c r="I58" s="71">
        <f t="shared" si="9"/>
        <v>-0.86856615551266847</v>
      </c>
      <c r="J58" s="71">
        <f t="shared" si="9"/>
        <v>-0.81841497855279755</v>
      </c>
      <c r="K58" s="71">
        <f t="shared" si="9"/>
        <v>-0.29153339912365345</v>
      </c>
      <c r="L58" s="71">
        <f t="shared" si="9"/>
        <v>-0.24903340228248599</v>
      </c>
      <c r="M58" s="71">
        <f t="shared" si="9"/>
        <v>-5.3346124279788465E-2</v>
      </c>
      <c r="N58" s="71">
        <f>SUM(N42:N56)</f>
        <v>-7.4998394649972044E-2</v>
      </c>
      <c r="O58" s="71">
        <f t="shared" si="9"/>
        <v>-0.78147585948076881</v>
      </c>
      <c r="P58" s="71">
        <f t="shared" si="9"/>
        <v>-0.27147260996750749</v>
      </c>
      <c r="Q58" s="71">
        <f t="shared" si="9"/>
        <v>0.2920916466080834</v>
      </c>
      <c r="R58" s="71">
        <f t="shared" si="9"/>
        <v>0.37440465529098998</v>
      </c>
      <c r="S58" s="71">
        <f>SUM(S42:S56)</f>
        <v>-0.10993018218352667</v>
      </c>
    </row>
  </sheetData>
  <mergeCells count="8">
    <mergeCell ref="AA1:AB1"/>
    <mergeCell ref="AA2:AB2"/>
    <mergeCell ref="AA5:AB5"/>
    <mergeCell ref="A1:S1"/>
    <mergeCell ref="A31:S31"/>
    <mergeCell ref="W1:X1"/>
    <mergeCell ref="W2:X2"/>
    <mergeCell ref="W5:X5"/>
  </mergeCells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9319-2B21-4C4B-9E3B-24F6CB5CF05C}">
  <dimension ref="A1:I16"/>
  <sheetViews>
    <sheetView workbookViewId="0">
      <selection activeCell="A9" sqref="A9:I16"/>
    </sheetView>
  </sheetViews>
  <sheetFormatPr defaultRowHeight="15" x14ac:dyDescent="0.25"/>
  <cols>
    <col min="1" max="1" width="16.5703125" style="17" bestFit="1" customWidth="1"/>
    <col min="2" max="16384" width="9.140625" style="17"/>
  </cols>
  <sheetData>
    <row r="1" spans="1:9" ht="45" x14ac:dyDescent="0.25">
      <c r="B1" s="72" t="s">
        <v>116</v>
      </c>
      <c r="C1" s="72" t="s">
        <v>117</v>
      </c>
      <c r="D1" s="72" t="s">
        <v>118</v>
      </c>
      <c r="E1" s="72" t="s">
        <v>119</v>
      </c>
      <c r="F1" s="72" t="s">
        <v>120</v>
      </c>
      <c r="G1" s="72" t="s">
        <v>121</v>
      </c>
      <c r="H1" s="72" t="s">
        <v>122</v>
      </c>
      <c r="I1" s="72" t="s">
        <v>123</v>
      </c>
    </row>
    <row r="2" spans="1:9" x14ac:dyDescent="0.25">
      <c r="A2" s="3" t="s">
        <v>124</v>
      </c>
      <c r="B2" s="9">
        <v>4</v>
      </c>
      <c r="C2" s="9">
        <v>4</v>
      </c>
      <c r="D2" s="9">
        <v>7</v>
      </c>
      <c r="E2" s="9">
        <v>5</v>
      </c>
      <c r="F2" s="9">
        <v>7</v>
      </c>
      <c r="G2" s="9">
        <v>4</v>
      </c>
      <c r="H2" s="9">
        <v>3</v>
      </c>
      <c r="I2" s="42">
        <v>2</v>
      </c>
    </row>
    <row r="3" spans="1:9" x14ac:dyDescent="0.25">
      <c r="A3" s="3" t="s">
        <v>125</v>
      </c>
      <c r="B3" s="9">
        <v>2</v>
      </c>
      <c r="C3" s="9">
        <v>5</v>
      </c>
      <c r="D3" s="9">
        <v>6</v>
      </c>
      <c r="E3" s="9">
        <v>4</v>
      </c>
      <c r="F3" s="9">
        <v>6</v>
      </c>
      <c r="G3" s="9">
        <v>4</v>
      </c>
      <c r="H3" s="9">
        <v>2</v>
      </c>
      <c r="I3" s="42">
        <v>3</v>
      </c>
    </row>
    <row r="4" spans="1:9" x14ac:dyDescent="0.25">
      <c r="A4" s="3" t="s">
        <v>126</v>
      </c>
      <c r="B4" s="9">
        <v>3</v>
      </c>
      <c r="C4" s="9">
        <v>4</v>
      </c>
      <c r="D4" s="9">
        <v>5</v>
      </c>
      <c r="E4" s="9">
        <v>6</v>
      </c>
      <c r="F4" s="9">
        <v>5</v>
      </c>
      <c r="G4" s="9">
        <v>4</v>
      </c>
      <c r="H4" s="9">
        <v>3</v>
      </c>
      <c r="I4" s="42">
        <v>3</v>
      </c>
    </row>
    <row r="5" spans="1:9" x14ac:dyDescent="0.25">
      <c r="A5" s="3" t="s">
        <v>127</v>
      </c>
      <c r="B5" s="9">
        <v>4</v>
      </c>
      <c r="C5" s="9">
        <v>3</v>
      </c>
      <c r="D5" s="9">
        <v>4</v>
      </c>
      <c r="E5" s="9">
        <v>4</v>
      </c>
      <c r="F5" s="9">
        <v>4</v>
      </c>
      <c r="G5" s="9">
        <v>4</v>
      </c>
      <c r="H5" s="9">
        <v>4</v>
      </c>
      <c r="I5" s="42">
        <v>4</v>
      </c>
    </row>
    <row r="6" spans="1:9" x14ac:dyDescent="0.25">
      <c r="A6" s="3" t="s">
        <v>128</v>
      </c>
      <c r="B6" s="9">
        <v>5</v>
      </c>
      <c r="C6" s="9">
        <v>4</v>
      </c>
      <c r="D6" s="9">
        <v>3</v>
      </c>
      <c r="E6" s="9">
        <v>2</v>
      </c>
      <c r="F6" s="9">
        <v>4</v>
      </c>
      <c r="G6" s="9">
        <v>4</v>
      </c>
      <c r="H6" s="9">
        <v>5</v>
      </c>
      <c r="I6" s="42">
        <v>6</v>
      </c>
    </row>
    <row r="7" spans="1:9" x14ac:dyDescent="0.25">
      <c r="A7" s="3" t="s">
        <v>129</v>
      </c>
      <c r="B7" s="42">
        <v>3</v>
      </c>
      <c r="C7" s="42">
        <v>2</v>
      </c>
      <c r="D7" s="42">
        <v>1</v>
      </c>
      <c r="E7" s="42">
        <v>2</v>
      </c>
      <c r="F7" s="42">
        <v>1</v>
      </c>
      <c r="G7" s="42">
        <v>1</v>
      </c>
      <c r="H7" s="42">
        <v>2</v>
      </c>
      <c r="I7" s="5"/>
    </row>
    <row r="9" spans="1:9" ht="45" x14ac:dyDescent="0.25">
      <c r="B9" s="72" t="s">
        <v>116</v>
      </c>
      <c r="C9" s="72" t="s">
        <v>117</v>
      </c>
      <c r="D9" s="72" t="s">
        <v>118</v>
      </c>
      <c r="E9" s="72" t="s">
        <v>119</v>
      </c>
      <c r="F9" s="72" t="s">
        <v>120</v>
      </c>
      <c r="G9" s="72" t="s">
        <v>121</v>
      </c>
      <c r="H9" s="72" t="s">
        <v>122</v>
      </c>
      <c r="I9" s="72" t="s">
        <v>123</v>
      </c>
    </row>
    <row r="10" spans="1:9" x14ac:dyDescent="0.25">
      <c r="A10" s="3" t="s">
        <v>124</v>
      </c>
      <c r="B10" s="9">
        <v>0</v>
      </c>
      <c r="C10" s="9">
        <v>0</v>
      </c>
      <c r="D10" s="9">
        <v>1</v>
      </c>
      <c r="E10" s="9">
        <v>0</v>
      </c>
      <c r="F10" s="9">
        <v>1</v>
      </c>
      <c r="G10" s="9">
        <v>0</v>
      </c>
      <c r="H10" s="9">
        <v>0</v>
      </c>
      <c r="I10" s="42">
        <f>SUM(B10:H10)</f>
        <v>2</v>
      </c>
    </row>
    <row r="11" spans="1:9" x14ac:dyDescent="0.25">
      <c r="A11" s="3" t="s">
        <v>125</v>
      </c>
      <c r="B11" s="9">
        <v>0</v>
      </c>
      <c r="C11" s="9">
        <v>2</v>
      </c>
      <c r="D11" s="9">
        <v>0</v>
      </c>
      <c r="E11" s="9">
        <v>0</v>
      </c>
      <c r="F11" s="9">
        <v>0</v>
      </c>
      <c r="G11" s="9">
        <v>1</v>
      </c>
      <c r="H11" s="9">
        <v>0</v>
      </c>
      <c r="I11" s="42">
        <f t="shared" ref="I11:I14" si="0">SUM(B11:H11)</f>
        <v>3</v>
      </c>
    </row>
    <row r="12" spans="1:9" x14ac:dyDescent="0.25">
      <c r="A12" s="3" t="s">
        <v>126</v>
      </c>
      <c r="B12" s="9">
        <v>0</v>
      </c>
      <c r="C12" s="9">
        <v>0</v>
      </c>
      <c r="D12" s="9">
        <v>0</v>
      </c>
      <c r="E12" s="9">
        <v>2</v>
      </c>
      <c r="F12" s="9">
        <v>0</v>
      </c>
      <c r="G12" s="9">
        <v>0</v>
      </c>
      <c r="H12" s="9">
        <v>0</v>
      </c>
      <c r="I12" s="42">
        <f t="shared" si="0"/>
        <v>2</v>
      </c>
    </row>
    <row r="13" spans="1:9" x14ac:dyDescent="0.25">
      <c r="A13" s="3" t="s">
        <v>127</v>
      </c>
      <c r="B13" s="9">
        <v>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42">
        <f t="shared" si="0"/>
        <v>1</v>
      </c>
    </row>
    <row r="14" spans="1:9" x14ac:dyDescent="0.25">
      <c r="A14" s="3" t="s">
        <v>128</v>
      </c>
      <c r="B14" s="9">
        <v>2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2</v>
      </c>
      <c r="I14" s="42">
        <f t="shared" si="0"/>
        <v>4</v>
      </c>
    </row>
    <row r="15" spans="1:9" x14ac:dyDescent="0.25">
      <c r="A15" s="3" t="s">
        <v>129</v>
      </c>
      <c r="B15" s="42">
        <f>SUM(B10:B14)</f>
        <v>3</v>
      </c>
      <c r="C15" s="42">
        <f t="shared" ref="C15:H15" si="1">SUM(C10:C14)</f>
        <v>2</v>
      </c>
      <c r="D15" s="42">
        <f t="shared" si="1"/>
        <v>1</v>
      </c>
      <c r="E15" s="42">
        <f t="shared" si="1"/>
        <v>2</v>
      </c>
      <c r="F15" s="42">
        <f t="shared" si="1"/>
        <v>1</v>
      </c>
      <c r="G15" s="42">
        <f t="shared" si="1"/>
        <v>1</v>
      </c>
      <c r="H15" s="42">
        <f t="shared" si="1"/>
        <v>2</v>
      </c>
      <c r="I15" s="5"/>
    </row>
    <row r="16" spans="1:9" x14ac:dyDescent="0.25">
      <c r="A16" s="3" t="s">
        <v>13</v>
      </c>
      <c r="B16" s="73">
        <f>SUMPRODUCT(B2:H6,B10:H14)</f>
        <v>64</v>
      </c>
      <c r="C16" s="73"/>
      <c r="D16" s="73"/>
      <c r="E16" s="73"/>
      <c r="F16" s="73"/>
      <c r="G16" s="73"/>
      <c r="H16" s="73"/>
      <c r="I16" s="73"/>
    </row>
  </sheetData>
  <mergeCells count="1">
    <mergeCell ref="B16:I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AC24-EE14-4415-97FA-C67A308429DC}">
  <dimension ref="A1:R25"/>
  <sheetViews>
    <sheetView workbookViewId="0">
      <selection activeCell="P1" sqref="P1:R5"/>
    </sheetView>
  </sheetViews>
  <sheetFormatPr defaultRowHeight="15" x14ac:dyDescent="0.25"/>
  <cols>
    <col min="1" max="1" width="11.5703125" style="17" customWidth="1"/>
    <col min="2" max="2" width="10.7109375" style="17" bestFit="1" customWidth="1"/>
    <col min="3" max="15" width="9.140625" style="17"/>
    <col min="16" max="16" width="16.5703125" style="17" bestFit="1" customWidth="1"/>
    <col min="17" max="17" width="12.7109375" style="17" bestFit="1" customWidth="1"/>
    <col min="18" max="16384" width="9.140625" style="17"/>
  </cols>
  <sheetData>
    <row r="1" spans="1:18" x14ac:dyDescent="0.25">
      <c r="A1" s="40" t="s">
        <v>130</v>
      </c>
      <c r="B1" s="40" t="s">
        <v>131</v>
      </c>
      <c r="D1" s="40" t="s">
        <v>130</v>
      </c>
      <c r="E1" s="40" t="s">
        <v>131</v>
      </c>
      <c r="G1" s="40" t="s">
        <v>130</v>
      </c>
      <c r="H1" s="40" t="s">
        <v>131</v>
      </c>
      <c r="J1" s="40" t="s">
        <v>130</v>
      </c>
      <c r="K1" s="40" t="s">
        <v>131</v>
      </c>
      <c r="M1" s="40" t="s">
        <v>130</v>
      </c>
      <c r="N1" s="40" t="s">
        <v>131</v>
      </c>
      <c r="P1" s="74" t="s">
        <v>138</v>
      </c>
      <c r="Q1" s="75"/>
      <c r="R1" s="76"/>
    </row>
    <row r="2" spans="1:18" x14ac:dyDescent="0.25">
      <c r="A2" s="83">
        <v>-1.0460608742794055</v>
      </c>
      <c r="B2" s="83">
        <f>EXP(2*A2^3-A2^2-2*A2+4)-LN(A2^4-A2^2+1)-62*A2/FACT(6)-15</f>
        <v>6.0165081805507725E-7</v>
      </c>
      <c r="C2" s="84"/>
      <c r="D2" s="83">
        <v>-458.88624823567193</v>
      </c>
      <c r="E2" s="83">
        <f>EXP(2*D2^3-D2^2-2*D2+4)-LN(D2^4-D2^2+1)-62*D2/FACT(6)-15</f>
        <v>4.1428801722531716E-8</v>
      </c>
      <c r="F2" s="84"/>
      <c r="G2" s="83">
        <v>0.20894379090327136</v>
      </c>
      <c r="H2" s="83">
        <f>EXP(2*G2^2+4)-62742/(FACT(7)*G2)</f>
        <v>6.8619669235658876E-7</v>
      </c>
      <c r="I2" s="84"/>
      <c r="J2" s="83">
        <v>1.9087959506041849</v>
      </c>
      <c r="K2" s="83">
        <f>J2^8-4*J2^7+6*J2^6-2*J2^5+7*J2^4-2*J2^3-27*J2^2+34*J2-92</f>
        <v>-1.3117971775500337E-7</v>
      </c>
      <c r="L2" s="84"/>
      <c r="M2" s="83">
        <v>-1.4784527092683493</v>
      </c>
      <c r="N2" s="83">
        <f>M2^8-4*M2^7+6*M2^6-2*M2^5+7*M2^4-2*M2^3-27*M2^2+34*M2-92</f>
        <v>4.3811871819343651E-7</v>
      </c>
      <c r="P2" s="5" t="s">
        <v>134</v>
      </c>
      <c r="Q2" s="77">
        <f>A2</f>
        <v>-1.0460608742794055</v>
      </c>
      <c r="R2" s="77">
        <f>D2</f>
        <v>-458.88624823567193</v>
      </c>
    </row>
    <row r="3" spans="1:18" ht="15.75" x14ac:dyDescent="0.25">
      <c r="A3" s="78"/>
      <c r="B3" s="78"/>
      <c r="D3" s="78"/>
      <c r="E3" s="78"/>
      <c r="G3" s="78"/>
      <c r="H3" s="78"/>
      <c r="J3" s="78"/>
      <c r="K3" s="78"/>
      <c r="M3" s="78"/>
      <c r="N3" s="78"/>
      <c r="P3" s="5" t="s">
        <v>135</v>
      </c>
      <c r="Q3" s="45">
        <f>G2</f>
        <v>0.20894379090327136</v>
      </c>
      <c r="R3" s="46"/>
    </row>
    <row r="4" spans="1:18" x14ac:dyDescent="0.25">
      <c r="A4" s="27" t="s">
        <v>132</v>
      </c>
      <c r="B4" s="30">
        <v>-15</v>
      </c>
      <c r="D4" s="27" t="s">
        <v>132</v>
      </c>
      <c r="E4" s="30">
        <v>-470</v>
      </c>
      <c r="G4" s="27" t="s">
        <v>132</v>
      </c>
      <c r="H4" s="30">
        <v>0.1</v>
      </c>
      <c r="J4" s="27" t="s">
        <v>132</v>
      </c>
      <c r="K4" s="30">
        <v>1</v>
      </c>
      <c r="M4" s="27" t="s">
        <v>132</v>
      </c>
      <c r="N4" s="30">
        <v>-2</v>
      </c>
      <c r="P4" s="5" t="s">
        <v>136</v>
      </c>
      <c r="Q4" s="77">
        <f>J2</f>
        <v>1.9087959506041849</v>
      </c>
      <c r="R4" s="77">
        <f>M2</f>
        <v>-1.4784527092683493</v>
      </c>
    </row>
    <row r="5" spans="1:18" x14ac:dyDescent="0.25">
      <c r="A5" s="27" t="s">
        <v>133</v>
      </c>
      <c r="B5" s="30">
        <v>1</v>
      </c>
      <c r="D5" s="27" t="s">
        <v>133</v>
      </c>
      <c r="E5" s="30">
        <v>1</v>
      </c>
      <c r="G5" s="27" t="s">
        <v>133</v>
      </c>
      <c r="H5" s="30">
        <v>0.01</v>
      </c>
      <c r="J5" s="27" t="s">
        <v>133</v>
      </c>
      <c r="K5" s="30">
        <v>0.1</v>
      </c>
      <c r="M5" s="27" t="s">
        <v>133</v>
      </c>
      <c r="N5" s="30">
        <v>0.05</v>
      </c>
      <c r="P5" s="24" t="s">
        <v>137</v>
      </c>
      <c r="Q5" s="48">
        <f>SUM(Q2:R4)</f>
        <v>-459.29302207771224</v>
      </c>
      <c r="R5" s="82"/>
    </row>
    <row r="6" spans="1:18" ht="15.75" x14ac:dyDescent="0.25">
      <c r="A6" s="78"/>
      <c r="B6" s="78"/>
      <c r="D6" s="78"/>
      <c r="E6" s="78"/>
      <c r="G6" s="78"/>
      <c r="H6" s="78"/>
      <c r="J6" s="78"/>
      <c r="K6" s="78"/>
      <c r="M6" s="78"/>
      <c r="N6" s="78"/>
    </row>
    <row r="7" spans="1:18" x14ac:dyDescent="0.25">
      <c r="A7" s="40" t="s">
        <v>130</v>
      </c>
      <c r="B7" s="40" t="s">
        <v>131</v>
      </c>
      <c r="D7" s="40" t="s">
        <v>130</v>
      </c>
      <c r="E7" s="40" t="s">
        <v>131</v>
      </c>
      <c r="G7" s="40" t="s">
        <v>130</v>
      </c>
      <c r="H7" s="40" t="s">
        <v>131</v>
      </c>
      <c r="J7" s="40" t="s">
        <v>130</v>
      </c>
      <c r="K7" s="40" t="s">
        <v>131</v>
      </c>
      <c r="M7" s="40" t="s">
        <v>130</v>
      </c>
      <c r="N7" s="40" t="s">
        <v>131</v>
      </c>
    </row>
    <row r="8" spans="1:18" ht="15.75" x14ac:dyDescent="0.25">
      <c r="A8" s="79">
        <f>B4</f>
        <v>-15</v>
      </c>
      <c r="B8" s="79">
        <f>EXP(2*A8^3-A8^2-2*A8+4)-LN(A8^4-A8^2+1)-62*A8/FACT(6)-15</f>
        <v>-24.536099628465799</v>
      </c>
      <c r="D8" s="79">
        <f>E4</f>
        <v>-470</v>
      </c>
      <c r="E8" s="79">
        <f>EXP(2*D8^3-D8^2-2*D8+4)-LN(D8^4-D8^2+1)-62*D8/FACT(6)-15</f>
        <v>0.86129597033082206</v>
      </c>
      <c r="G8" s="79">
        <f>H4</f>
        <v>0.1</v>
      </c>
      <c r="H8" s="79">
        <f>EXP(2*G8^2+4)-62742/(FACT(7)*G8)</f>
        <v>-68.786989411299658</v>
      </c>
      <c r="J8" s="79">
        <f>K4</f>
        <v>1</v>
      </c>
      <c r="K8" s="79">
        <f>J8^8-4*J8^7+6*J8^6-2*J8^5+7*J8^4-2*J8^3-27*J8^2+34*J8-92</f>
        <v>-79</v>
      </c>
      <c r="M8" s="79">
        <f>N4</f>
        <v>-2</v>
      </c>
      <c r="N8" s="79">
        <f>M8^8-4*M8^7+6*M8^6-2*M8^5+7*M8^4-2*M8^3-27*M8^2+34*M8-92</f>
        <v>1076</v>
      </c>
    </row>
    <row r="9" spans="1:18" ht="15.75" x14ac:dyDescent="0.25">
      <c r="A9" s="79">
        <f>A8+$B$5</f>
        <v>-14</v>
      </c>
      <c r="B9" s="79">
        <f t="shared" ref="B9:B25" si="0">EXP(2*A9^3-A9^2-2*A9+4)-LN(A9^4-A9^2+1)-62*A9/FACT(6)-15</f>
        <v>-24.345584826208309</v>
      </c>
      <c r="D9" s="79">
        <f>D8+$E$5</f>
        <v>-469</v>
      </c>
      <c r="E9" s="79">
        <f>EXP(2*D9^3-D9^2-2*D9+4)-LN(D9^4-D9^2+1)-62*D9/FACT(6)-15</f>
        <v>0.78370458357613515</v>
      </c>
      <c r="G9" s="79">
        <f>G8+$H$5</f>
        <v>0.11</v>
      </c>
      <c r="H9" s="79">
        <f t="shared" ref="H9:H25" si="1">EXP(2*G9^2+4)-62742/(FACT(7)*G9)</f>
        <v>-57.235453227454059</v>
      </c>
      <c r="J9" s="79">
        <f>J8+$K$5</f>
        <v>1.1000000000000001</v>
      </c>
      <c r="K9" s="79">
        <f t="shared" ref="K9:K25" si="2">J9^8-4*J9^7+6*J9^6-2*J9^5+7*J9^4-2*J9^3-27*J9^2+34*J9-92</f>
        <v>-77.926233589999995</v>
      </c>
      <c r="M9" s="79">
        <f>M8+$N$5</f>
        <v>-1.95</v>
      </c>
      <c r="N9" s="79">
        <f t="shared" ref="N9:N25" si="3">M9^8-4*M9^7+6*M9^6-2*M9^5+7*M9^4-2*M9^3-27*M9^2+34*M9-92</f>
        <v>879.25740332816395</v>
      </c>
    </row>
    <row r="10" spans="1:18" ht="15.75" x14ac:dyDescent="0.25">
      <c r="A10" s="79">
        <f t="shared" ref="A10:A25" si="4">A9+$B$5</f>
        <v>-13</v>
      </c>
      <c r="B10" s="79">
        <f t="shared" si="0"/>
        <v>-24.134453470450705</v>
      </c>
      <c r="D10" s="79">
        <f>D9+$E$5</f>
        <v>-468</v>
      </c>
      <c r="E10" s="79">
        <f>EXP(2*D10^3-D10^2-2*D10+4)-LN(D10^4-D10^2+1)-62*D10/FACT(6)-15</f>
        <v>0.70613138202867987</v>
      </c>
      <c r="G10" s="79">
        <f t="shared" ref="G10:G25" si="5">G9+$H$5</f>
        <v>0.12</v>
      </c>
      <c r="H10" s="79">
        <f t="shared" si="1"/>
        <v>-47.546640719790247</v>
      </c>
      <c r="J10" s="79">
        <f t="shared" ref="J10:J25" si="6">J9+$K$5</f>
        <v>1.2000000000000002</v>
      </c>
      <c r="K10" s="79">
        <f t="shared" si="2"/>
        <v>-76.114442239999988</v>
      </c>
      <c r="M10" s="79">
        <f t="shared" ref="M10:M25" si="7">M9+$N$5</f>
        <v>-1.9</v>
      </c>
      <c r="N10" s="79">
        <f t="shared" si="3"/>
        <v>710.05429200999981</v>
      </c>
    </row>
    <row r="11" spans="1:18" ht="15.75" x14ac:dyDescent="0.25">
      <c r="A11" s="79">
        <f t="shared" si="4"/>
        <v>-12</v>
      </c>
      <c r="B11" s="79">
        <f t="shared" si="0"/>
        <v>-23.899373157872013</v>
      </c>
      <c r="D11" s="79">
        <f>D10+$E$5</f>
        <v>-467</v>
      </c>
      <c r="E11" s="79">
        <f>EXP(2*D11^3-D11^2-2*D11+4)-LN(D11^4-D11^2+1)-62*D11/FACT(6)-15</f>
        <v>0.6285764434867751</v>
      </c>
      <c r="G11" s="79">
        <f t="shared" si="5"/>
        <v>0.13</v>
      </c>
      <c r="H11" s="79">
        <f t="shared" si="1"/>
        <v>-39.284963831413158</v>
      </c>
      <c r="J11" s="79">
        <f t="shared" si="6"/>
        <v>1.3000000000000003</v>
      </c>
      <c r="K11" s="79">
        <f t="shared" si="2"/>
        <v>-73.238405589999985</v>
      </c>
      <c r="M11" s="79">
        <f t="shared" si="7"/>
        <v>-1.8499999999999999</v>
      </c>
      <c r="N11" s="79">
        <f t="shared" si="3"/>
        <v>565.09546242816361</v>
      </c>
    </row>
    <row r="12" spans="1:18" ht="15.75" x14ac:dyDescent="0.25">
      <c r="A12" s="79">
        <f t="shared" si="4"/>
        <v>-11</v>
      </c>
      <c r="B12" s="79">
        <f t="shared" si="0"/>
        <v>-23.636128934308516</v>
      </c>
      <c r="D12" s="79">
        <f>D11+$E$5</f>
        <v>-466</v>
      </c>
      <c r="E12" s="79">
        <f>EXP(2*D12^3-D12^2-2*D12+4)-LN(D12^4-D12^2+1)-62*D12/FACT(6)-15</f>
        <v>0.55103984624902935</v>
      </c>
      <c r="G12" s="79">
        <f t="shared" si="5"/>
        <v>0.14000000000000001</v>
      </c>
      <c r="H12" s="79">
        <f t="shared" si="1"/>
        <v>-32.139168116404747</v>
      </c>
      <c r="J12" s="79">
        <f t="shared" si="6"/>
        <v>1.4000000000000004</v>
      </c>
      <c r="K12" s="79">
        <f t="shared" si="2"/>
        <v>-68.903575039999978</v>
      </c>
      <c r="M12" s="79">
        <f t="shared" si="7"/>
        <v>-1.7999999999999998</v>
      </c>
      <c r="N12" s="79">
        <f t="shared" si="3"/>
        <v>441.41952255999945</v>
      </c>
    </row>
    <row r="13" spans="1:18" ht="15.75" x14ac:dyDescent="0.25">
      <c r="A13" s="79">
        <f t="shared" si="4"/>
        <v>-10</v>
      </c>
      <c r="B13" s="79">
        <f t="shared" si="0"/>
        <v>-23.339279930011404</v>
      </c>
      <c r="D13" s="79">
        <f>D12+$E$5</f>
        <v>-465</v>
      </c>
      <c r="E13" s="79">
        <f>EXP(2*D13^3-D13^2-2*D13+4)-LN(D13^4-D13^2+1)-62*D13/FACT(6)-15</f>
        <v>0.47352166911866078</v>
      </c>
      <c r="G13" s="79">
        <f t="shared" si="5"/>
        <v>0.15000000000000002</v>
      </c>
      <c r="H13" s="79">
        <f t="shared" si="1"/>
        <v>-25.880877457918572</v>
      </c>
      <c r="J13" s="79">
        <f t="shared" si="6"/>
        <v>1.5000000000000004</v>
      </c>
      <c r="K13" s="79">
        <f t="shared" si="2"/>
        <v>-62.621093749999957</v>
      </c>
      <c r="M13" s="79">
        <f t="shared" si="7"/>
        <v>-1.7499999999999998</v>
      </c>
      <c r="N13" s="79">
        <f t="shared" si="3"/>
        <v>336.37135314941361</v>
      </c>
    </row>
    <row r="14" spans="1:18" ht="15.75" x14ac:dyDescent="0.25">
      <c r="A14" s="79">
        <f t="shared" si="4"/>
        <v>-9</v>
      </c>
      <c r="B14" s="79">
        <f t="shared" si="0"/>
        <v>-23.001630098427718</v>
      </c>
      <c r="D14" s="79">
        <f>D13+$E$5</f>
        <v>-464</v>
      </c>
      <c r="E14" s="79">
        <f>EXP(2*D14^3-D14^2-2*D14+4)-LN(D14^4-D14^2+1)-62*D14/FACT(6)-15</f>
        <v>0.3960219914078813</v>
      </c>
      <c r="G14" s="79">
        <f t="shared" si="5"/>
        <v>0.16000000000000003</v>
      </c>
      <c r="H14" s="79">
        <f t="shared" si="1"/>
        <v>-20.338684187204287</v>
      </c>
      <c r="J14" s="79">
        <f t="shared" si="6"/>
        <v>1.6000000000000005</v>
      </c>
      <c r="K14" s="79">
        <f t="shared" si="2"/>
        <v>-53.769533439999961</v>
      </c>
      <c r="M14" s="79">
        <f t="shared" si="7"/>
        <v>-1.6999999999999997</v>
      </c>
      <c r="N14" s="79">
        <f t="shared" si="3"/>
        <v>247.57629760999959</v>
      </c>
    </row>
    <row r="15" spans="1:18" ht="15.75" x14ac:dyDescent="0.25">
      <c r="A15" s="79">
        <f t="shared" si="4"/>
        <v>-8</v>
      </c>
      <c r="B15" s="79">
        <f t="shared" si="0"/>
        <v>-22.613376905984477</v>
      </c>
      <c r="D15" s="79">
        <f>D14+$E$5</f>
        <v>-463</v>
      </c>
      <c r="E15" s="79">
        <f>EXP(2*D15^3-D15^2-2*D15+4)-LN(D15^4-D15^2+1)-62*D15/FACT(6)-15</f>
        <v>0.31854089294222376</v>
      </c>
      <c r="G15" s="79">
        <f t="shared" si="5"/>
        <v>0.17000000000000004</v>
      </c>
      <c r="H15" s="79">
        <f t="shared" si="1"/>
        <v>-15.381383526936702</v>
      </c>
      <c r="J15" s="79">
        <f t="shared" si="6"/>
        <v>1.7000000000000006</v>
      </c>
      <c r="K15" s="79">
        <f t="shared" si="2"/>
        <v>-41.540920789999923</v>
      </c>
      <c r="M15" s="79">
        <f t="shared" si="7"/>
        <v>-1.6499999999999997</v>
      </c>
      <c r="N15" s="79">
        <f t="shared" si="3"/>
        <v>172.91600742191366</v>
      </c>
    </row>
    <row r="16" spans="1:18" ht="15.75" x14ac:dyDescent="0.25">
      <c r="A16" s="79">
        <f t="shared" si="4"/>
        <v>-7</v>
      </c>
      <c r="B16" s="79">
        <f t="shared" si="0"/>
        <v>-22.160668610949585</v>
      </c>
      <c r="D16" s="79">
        <f>D15+$E$5</f>
        <v>-462</v>
      </c>
      <c r="E16" s="79">
        <f>EXP(2*D16^3-D16^2-2*D16+4)-LN(D16^4-D16^2+1)-62*D16/FACT(6)-15</f>
        <v>0.24107845406502193</v>
      </c>
      <c r="G16" s="79">
        <f t="shared" si="5"/>
        <v>0.18000000000000005</v>
      </c>
      <c r="H16" s="79">
        <f t="shared" si="1"/>
        <v>-10.906796203984925</v>
      </c>
      <c r="J16" s="79">
        <f t="shared" si="6"/>
        <v>1.8000000000000007</v>
      </c>
      <c r="K16" s="79">
        <f t="shared" si="2"/>
        <v>-24.867223039999857</v>
      </c>
      <c r="M16" s="79">
        <f t="shared" si="7"/>
        <v>-1.5999999999999996</v>
      </c>
      <c r="N16" s="79">
        <f t="shared" si="3"/>
        <v>110.50587135999962</v>
      </c>
    </row>
    <row r="17" spans="1:14" ht="15.75" x14ac:dyDescent="0.25">
      <c r="A17" s="79">
        <f t="shared" si="4"/>
        <v>-6</v>
      </c>
      <c r="B17" s="79">
        <f t="shared" si="0"/>
        <v>-21.622993669298253</v>
      </c>
      <c r="D17" s="79">
        <f>D16+$E$5</f>
        <v>-461</v>
      </c>
      <c r="E17" s="79">
        <f>EXP(2*D17^3-D17^2-2*D17+4)-LN(D17^4-D17^2+1)-62*D17/FACT(6)-15</f>
        <v>0.16363475564190466</v>
      </c>
      <c r="G17" s="79">
        <f t="shared" si="5"/>
        <v>0.19000000000000006</v>
      </c>
      <c r="H17" s="79">
        <f t="shared" si="1"/>
        <v>-6.8341204038929604</v>
      </c>
      <c r="J17" s="79">
        <f t="shared" si="6"/>
        <v>1.9000000000000008</v>
      </c>
      <c r="K17" s="80">
        <f t="shared" si="2"/>
        <v>-2.3230591899998387</v>
      </c>
      <c r="M17" s="79">
        <f t="shared" si="7"/>
        <v>-1.5499999999999996</v>
      </c>
      <c r="N17" s="79">
        <f t="shared" si="3"/>
        <v>58.673958465663731</v>
      </c>
    </row>
    <row r="18" spans="1:14" ht="15.75" x14ac:dyDescent="0.25">
      <c r="A18" s="79">
        <f t="shared" si="4"/>
        <v>-5</v>
      </c>
      <c r="B18" s="79">
        <f t="shared" si="0"/>
        <v>-20.968039378979654</v>
      </c>
      <c r="D18" s="79">
        <f>D17+$E$5</f>
        <v>-460</v>
      </c>
      <c r="E18" s="79">
        <f>EXP(2*D18^3-D18^2-2*D18+4)-LN(D18^4-D18^2+1)-62*D18/FACT(6)-15</f>
        <v>8.6209879065304307E-2</v>
      </c>
      <c r="G18" s="79">
        <f t="shared" si="5"/>
        <v>0.20000000000000007</v>
      </c>
      <c r="H18" s="80">
        <f t="shared" si="1"/>
        <v>-3.0985777691653311</v>
      </c>
      <c r="J18" s="79">
        <f t="shared" si="6"/>
        <v>2.0000000000000009</v>
      </c>
      <c r="K18" s="80">
        <f t="shared" si="2"/>
        <v>28.000000000000298</v>
      </c>
      <c r="M18" s="79">
        <f t="shared" si="7"/>
        <v>-1.4999999999999996</v>
      </c>
      <c r="N18" s="80">
        <f t="shared" si="3"/>
        <v>15.941406249999645</v>
      </c>
    </row>
    <row r="19" spans="1:14" ht="15.75" x14ac:dyDescent="0.25">
      <c r="A19" s="79">
        <f>A18+$B$5</f>
        <v>-4</v>
      </c>
      <c r="B19" s="79">
        <f t="shared" si="0"/>
        <v>-20.140352489046212</v>
      </c>
      <c r="D19" s="79">
        <f>D18+$E$5</f>
        <v>-459</v>
      </c>
      <c r="E19" s="80">
        <f>EXP(2*D19^3-D19^2-2*D19+4)-LN(D19^4-D19^2+1)-62*D19/FACT(6)-15</f>
        <v>8.8039062590539174E-3</v>
      </c>
      <c r="G19" s="79">
        <f t="shared" si="5"/>
        <v>0.21000000000000008</v>
      </c>
      <c r="H19" s="80">
        <f t="shared" si="1"/>
        <v>0.35241126818738167</v>
      </c>
      <c r="J19" s="79">
        <f t="shared" si="6"/>
        <v>2.100000000000001</v>
      </c>
      <c r="K19" s="79">
        <f t="shared" si="2"/>
        <v>68.652583210000415</v>
      </c>
      <c r="M19" s="79">
        <f t="shared" si="7"/>
        <v>-1.4499999999999995</v>
      </c>
      <c r="N19" s="80">
        <f t="shared" si="3"/>
        <v>-18.995812809336172</v>
      </c>
    </row>
    <row r="20" spans="1:14" ht="15.75" x14ac:dyDescent="0.25">
      <c r="A20" s="79">
        <f t="shared" si="4"/>
        <v>-3</v>
      </c>
      <c r="B20" s="79">
        <f t="shared" si="0"/>
        <v>-19.032126107815056</v>
      </c>
      <c r="D20" s="79">
        <f>D19+$E$5</f>
        <v>-458</v>
      </c>
      <c r="E20" s="80">
        <f>EXP(2*D20^3-D20^2-2*D20+4)-LN(D20^4-D20^2+1)-62*D20/FACT(6)-15</f>
        <v>-6.8583080316955147E-2</v>
      </c>
      <c r="G20" s="79">
        <f t="shared" si="5"/>
        <v>0.22000000000000008</v>
      </c>
      <c r="H20" s="79">
        <f t="shared" si="1"/>
        <v>3.562009454550136</v>
      </c>
      <c r="J20" s="79">
        <f t="shared" si="6"/>
        <v>2.2000000000000011</v>
      </c>
      <c r="K20" s="79">
        <f t="shared" si="2"/>
        <v>123.0255641600007</v>
      </c>
      <c r="M20" s="79">
        <f t="shared" si="7"/>
        <v>-1.3999999999999995</v>
      </c>
      <c r="N20" s="79">
        <f t="shared" si="3"/>
        <v>-47.283811840000268</v>
      </c>
    </row>
    <row r="21" spans="1:14" ht="15.75" x14ac:dyDescent="0.25">
      <c r="A21" s="79">
        <f t="shared" si="4"/>
        <v>-2</v>
      </c>
      <c r="B21" s="80">
        <f t="shared" si="0"/>
        <v>-17.392720991026962</v>
      </c>
      <c r="D21" s="79">
        <f>D20+$E$5</f>
        <v>-457</v>
      </c>
      <c r="E21" s="81">
        <f>EXP(2*D21^3-D21^2-2*D21+4)-LN(D21^4-D21^2+1)-62*D21/FACT(6)-15</f>
        <v>-0.14595099766213337</v>
      </c>
      <c r="G21" s="79">
        <f t="shared" si="5"/>
        <v>0.23000000000000009</v>
      </c>
      <c r="H21" s="79">
        <f t="shared" si="1"/>
        <v>6.5660193549264321</v>
      </c>
      <c r="J21" s="79">
        <f t="shared" si="6"/>
        <v>2.3000000000000012</v>
      </c>
      <c r="K21" s="79">
        <f t="shared" si="2"/>
        <v>195.59284801000115</v>
      </c>
      <c r="M21" s="79">
        <f t="shared" si="7"/>
        <v>-1.3499999999999994</v>
      </c>
      <c r="N21" s="79">
        <f t="shared" si="3"/>
        <v>-69.92646100308616</v>
      </c>
    </row>
    <row r="22" spans="1:14" ht="15.75" x14ac:dyDescent="0.25">
      <c r="A22" s="79">
        <f t="shared" si="4"/>
        <v>-1</v>
      </c>
      <c r="B22" s="80">
        <f t="shared" si="0"/>
        <v>5.1716480342987801</v>
      </c>
      <c r="D22" s="79">
        <f>D21+$E$5</f>
        <v>-456</v>
      </c>
      <c r="E22" s="81">
        <f>EXP(2*D22^3-D22^2-2*D22+4)-LN(D22^4-D22^2+1)-62*D22/FACT(6)-15</f>
        <v>-0.22329976223038983</v>
      </c>
      <c r="G22" s="79">
        <f t="shared" si="5"/>
        <v>0.2400000000000001</v>
      </c>
      <c r="H22" s="79">
        <f t="shared" si="1"/>
        <v>9.3944262481908041</v>
      </c>
      <c r="J22" s="79">
        <f t="shared" si="6"/>
        <v>2.4000000000000012</v>
      </c>
      <c r="K22" s="79">
        <f t="shared" si="2"/>
        <v>292.20514816000161</v>
      </c>
      <c r="M22" s="79">
        <f t="shared" si="7"/>
        <v>-1.2999999999999994</v>
      </c>
      <c r="N22" s="79">
        <f t="shared" si="3"/>
        <v>-87.799871990000184</v>
      </c>
    </row>
    <row r="23" spans="1:14" ht="15.75" x14ac:dyDescent="0.25">
      <c r="A23" s="79">
        <f t="shared" si="4"/>
        <v>0</v>
      </c>
      <c r="B23" s="79">
        <f t="shared" si="0"/>
        <v>39.598150033144236</v>
      </c>
      <c r="D23" s="79">
        <f>D22+$E$5</f>
        <v>-455</v>
      </c>
      <c r="E23" s="79">
        <f>EXP(2*D23^3-D23^2-2*D23+4)-LN(D23^4-D23^2+1)-62*D23/FACT(6)-15</f>
        <v>-0.3006292899254106</v>
      </c>
      <c r="G23" s="79">
        <f t="shared" si="5"/>
        <v>0.25000000000000011</v>
      </c>
      <c r="H23" s="79">
        <f t="shared" si="1"/>
        <v>12.072571155129808</v>
      </c>
      <c r="J23" s="79">
        <f t="shared" si="6"/>
        <v>2.5000000000000013</v>
      </c>
      <c r="K23" s="79">
        <f t="shared" si="2"/>
        <v>420.44140625000182</v>
      </c>
      <c r="M23" s="79">
        <f t="shared" si="7"/>
        <v>-1.2499999999999993</v>
      </c>
      <c r="N23" s="79">
        <f t="shared" si="3"/>
        <v>-101.66575622558609</v>
      </c>
    </row>
    <row r="24" spans="1:14" ht="15.75" x14ac:dyDescent="0.25">
      <c r="A24" s="79">
        <f t="shared" si="4"/>
        <v>1</v>
      </c>
      <c r="B24" s="79">
        <f t="shared" si="0"/>
        <v>4.9994258120765558</v>
      </c>
      <c r="D24" s="79">
        <f>D23+$E$5</f>
        <v>-454</v>
      </c>
      <c r="E24" s="79">
        <f>EXP(2*D24^3-D24^2-2*D24+4)-LN(D24^4-D24^2+1)-62*D24/FACT(6)-15</f>
        <v>-0.37793949609577737</v>
      </c>
      <c r="G24" s="79">
        <f t="shared" si="5"/>
        <v>0.26000000000000012</v>
      </c>
      <c r="H24" s="79">
        <f t="shared" si="1"/>
        <v>14.622053608518158</v>
      </c>
      <c r="J24" s="79">
        <f t="shared" si="6"/>
        <v>2.6000000000000014</v>
      </c>
      <c r="K24" s="79">
        <f t="shared" si="2"/>
        <v>590.02491136000333</v>
      </c>
      <c r="M24" s="79">
        <f t="shared" si="7"/>
        <v>-1.1999999999999993</v>
      </c>
      <c r="N24" s="79">
        <f t="shared" si="3"/>
        <v>-112.1837158400001</v>
      </c>
    </row>
    <row r="25" spans="1:14" ht="15.75" x14ac:dyDescent="0.25">
      <c r="A25" s="79">
        <f t="shared" si="4"/>
        <v>2</v>
      </c>
      <c r="B25" s="79">
        <f t="shared" si="0"/>
        <v>162737.05424742421</v>
      </c>
      <c r="D25" s="79">
        <f>D24+$E$5</f>
        <v>-453</v>
      </c>
      <c r="E25" s="79">
        <f>EXP(2*D25^3-D25^2-2*D25+4)-LN(D25^4-D25^2+1)-62*D25/FACT(6)-15</f>
        <v>-0.45523029553006111</v>
      </c>
      <c r="G25" s="79">
        <f t="shared" si="5"/>
        <v>0.27000000000000013</v>
      </c>
      <c r="H25" s="79">
        <f t="shared" si="1"/>
        <v>17.061434262257329</v>
      </c>
      <c r="J25" s="79">
        <f t="shared" si="6"/>
        <v>2.7000000000000015</v>
      </c>
      <c r="K25" s="79">
        <f t="shared" si="2"/>
        <v>813.31157761000361</v>
      </c>
      <c r="M25" s="79">
        <f t="shared" si="7"/>
        <v>-1.1499999999999992</v>
      </c>
      <c r="N25" s="79">
        <f t="shared" si="3"/>
        <v>-119.92252489683602</v>
      </c>
    </row>
  </sheetData>
  <mergeCells count="3">
    <mergeCell ref="Q3:R3"/>
    <mergeCell ref="Q5:R5"/>
    <mergeCell ref="P1:R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CDA6-742C-47CC-AB1F-FA0E9B253A3B}">
  <dimension ref="A1:S22"/>
  <sheetViews>
    <sheetView workbookViewId="0">
      <selection activeCell="A22" sqref="A22:D22"/>
    </sheetView>
  </sheetViews>
  <sheetFormatPr defaultRowHeight="15" x14ac:dyDescent="0.25"/>
  <cols>
    <col min="1" max="16384" width="9.140625" style="17"/>
  </cols>
  <sheetData>
    <row r="1" spans="1:19" x14ac:dyDescent="0.25">
      <c r="A1" s="4" t="s">
        <v>139</v>
      </c>
      <c r="B1" s="4" t="s">
        <v>140</v>
      </c>
      <c r="C1" s="4"/>
      <c r="D1" s="4"/>
      <c r="E1" s="4"/>
      <c r="F1" s="4"/>
      <c r="G1" s="4"/>
      <c r="H1" s="4"/>
      <c r="K1" s="74" t="s">
        <v>143</v>
      </c>
      <c r="L1" s="75"/>
      <c r="M1" s="75"/>
      <c r="N1" s="75"/>
      <c r="O1" s="75"/>
      <c r="P1" s="75"/>
      <c r="Q1" s="75"/>
      <c r="R1" s="76"/>
    </row>
    <row r="2" spans="1:19" x14ac:dyDescent="0.25">
      <c r="A2" s="4"/>
      <c r="B2" s="3">
        <v>12</v>
      </c>
      <c r="C2" s="3">
        <v>8</v>
      </c>
      <c r="D2" s="3">
        <v>5</v>
      </c>
      <c r="E2" s="3">
        <v>9</v>
      </c>
      <c r="F2" s="3">
        <v>4</v>
      </c>
      <c r="G2" s="3">
        <v>1</v>
      </c>
      <c r="H2" s="3">
        <v>7</v>
      </c>
      <c r="K2" s="37" t="s">
        <v>144</v>
      </c>
      <c r="L2" s="5">
        <v>12</v>
      </c>
      <c r="M2" s="5">
        <v>8</v>
      </c>
      <c r="N2" s="5">
        <v>5</v>
      </c>
      <c r="O2" s="5">
        <v>9</v>
      </c>
      <c r="P2" s="5">
        <v>4</v>
      </c>
      <c r="Q2" s="5">
        <v>1</v>
      </c>
      <c r="R2" s="5">
        <v>7</v>
      </c>
    </row>
    <row r="3" spans="1:19" x14ac:dyDescent="0.25">
      <c r="A3" s="3">
        <v>12</v>
      </c>
      <c r="B3" s="77">
        <v>999</v>
      </c>
      <c r="C3" s="77">
        <v>9.1999999999999993</v>
      </c>
      <c r="D3" s="77">
        <v>18</v>
      </c>
      <c r="E3" s="77">
        <v>17</v>
      </c>
      <c r="F3" s="77">
        <v>10.8</v>
      </c>
      <c r="G3" s="77">
        <v>17</v>
      </c>
      <c r="H3" s="77">
        <v>13.4</v>
      </c>
      <c r="K3" s="37" t="s">
        <v>145</v>
      </c>
      <c r="L3" s="44">
        <v>17</v>
      </c>
      <c r="M3" s="44">
        <v>5</v>
      </c>
      <c r="N3" s="44">
        <v>8</v>
      </c>
      <c r="O3" s="44">
        <v>8.1</v>
      </c>
      <c r="P3" s="44">
        <v>10.8</v>
      </c>
      <c r="Q3" s="44">
        <v>6</v>
      </c>
      <c r="R3" s="44">
        <v>16.3</v>
      </c>
      <c r="S3" s="90"/>
    </row>
    <row r="4" spans="1:19" x14ac:dyDescent="0.25">
      <c r="A4" s="3">
        <v>8</v>
      </c>
      <c r="B4" s="77">
        <v>9.1999999999999993</v>
      </c>
      <c r="C4" s="77">
        <v>999</v>
      </c>
      <c r="D4" s="77">
        <v>15.3</v>
      </c>
      <c r="E4" s="77">
        <v>8.1</v>
      </c>
      <c r="F4" s="77">
        <v>7.6</v>
      </c>
      <c r="G4" s="77">
        <v>17.5</v>
      </c>
      <c r="H4" s="77">
        <v>5</v>
      </c>
    </row>
    <row r="5" spans="1:19" x14ac:dyDescent="0.25">
      <c r="A5" s="3">
        <v>5</v>
      </c>
      <c r="B5" s="77">
        <v>18</v>
      </c>
      <c r="C5" s="77">
        <v>15.3</v>
      </c>
      <c r="D5" s="77">
        <v>999</v>
      </c>
      <c r="E5" s="77">
        <v>19.399999999999999</v>
      </c>
      <c r="F5" s="77">
        <v>8</v>
      </c>
      <c r="G5" s="77">
        <v>6</v>
      </c>
      <c r="H5" s="77">
        <v>12.5</v>
      </c>
    </row>
    <row r="6" spans="1:19" x14ac:dyDescent="0.25">
      <c r="A6" s="3">
        <v>9</v>
      </c>
      <c r="B6" s="77">
        <v>17</v>
      </c>
      <c r="C6" s="77">
        <v>8.1</v>
      </c>
      <c r="D6" s="77">
        <v>19.399999999999999</v>
      </c>
      <c r="E6" s="77">
        <v>999</v>
      </c>
      <c r="F6" s="77">
        <v>10</v>
      </c>
      <c r="G6" s="77">
        <v>23.3</v>
      </c>
      <c r="H6" s="77">
        <v>7.1</v>
      </c>
    </row>
    <row r="7" spans="1:19" x14ac:dyDescent="0.25">
      <c r="A7" s="3">
        <v>4</v>
      </c>
      <c r="B7" s="77">
        <v>10.8</v>
      </c>
      <c r="C7" s="77">
        <v>7.6</v>
      </c>
      <c r="D7" s="77">
        <v>8</v>
      </c>
      <c r="E7" s="77">
        <v>10</v>
      </c>
      <c r="F7" s="77">
        <v>999</v>
      </c>
      <c r="G7" s="77">
        <v>10</v>
      </c>
      <c r="H7" s="77">
        <v>6.7</v>
      </c>
    </row>
    <row r="8" spans="1:19" x14ac:dyDescent="0.25">
      <c r="A8" s="3">
        <v>1</v>
      </c>
      <c r="B8" s="77">
        <v>17</v>
      </c>
      <c r="C8" s="77">
        <v>17.5</v>
      </c>
      <c r="D8" s="77">
        <v>6</v>
      </c>
      <c r="E8" s="77">
        <v>23.3</v>
      </c>
      <c r="F8" s="77">
        <v>10</v>
      </c>
      <c r="G8" s="77">
        <v>999</v>
      </c>
      <c r="H8" s="77">
        <v>16.3</v>
      </c>
    </row>
    <row r="9" spans="1:19" x14ac:dyDescent="0.25">
      <c r="A9" s="3">
        <v>7</v>
      </c>
      <c r="B9" s="77">
        <v>13.4</v>
      </c>
      <c r="C9" s="77">
        <v>5</v>
      </c>
      <c r="D9" s="77">
        <v>12.5</v>
      </c>
      <c r="E9" s="77">
        <v>7.1</v>
      </c>
      <c r="F9" s="77">
        <v>6.7</v>
      </c>
      <c r="G9" s="77">
        <v>16.3</v>
      </c>
      <c r="H9" s="77">
        <v>999</v>
      </c>
    </row>
    <row r="10" spans="1:19" x14ac:dyDescent="0.25">
      <c r="I10" s="91"/>
    </row>
    <row r="11" spans="1:19" x14ac:dyDescent="0.25">
      <c r="A11" s="4" t="s">
        <v>139</v>
      </c>
      <c r="B11" s="4" t="s">
        <v>140</v>
      </c>
      <c r="C11" s="4"/>
      <c r="D11" s="4"/>
      <c r="E11" s="4"/>
      <c r="F11" s="4"/>
      <c r="G11" s="4"/>
      <c r="H11" s="4"/>
      <c r="I11" s="87"/>
    </row>
    <row r="12" spans="1:19" x14ac:dyDescent="0.25">
      <c r="A12" s="4"/>
      <c r="B12" s="3">
        <v>12</v>
      </c>
      <c r="C12" s="3">
        <v>8</v>
      </c>
      <c r="D12" s="3">
        <v>5</v>
      </c>
      <c r="E12" s="3">
        <v>9</v>
      </c>
      <c r="F12" s="3">
        <v>4</v>
      </c>
      <c r="G12" s="3">
        <v>1</v>
      </c>
      <c r="H12" s="3">
        <v>7</v>
      </c>
      <c r="I12" s="88" t="s">
        <v>141</v>
      </c>
    </row>
    <row r="13" spans="1:19" x14ac:dyDescent="0.25">
      <c r="A13" s="3">
        <v>12</v>
      </c>
      <c r="B13" s="77">
        <v>0</v>
      </c>
      <c r="C13" s="77">
        <v>0</v>
      </c>
      <c r="D13" s="77">
        <v>0</v>
      </c>
      <c r="E13" s="77">
        <v>1</v>
      </c>
      <c r="F13" s="77">
        <v>0</v>
      </c>
      <c r="G13" s="77">
        <v>0</v>
      </c>
      <c r="H13" s="77">
        <v>0</v>
      </c>
      <c r="I13" s="89">
        <f>SUM(B13:H13)</f>
        <v>1</v>
      </c>
    </row>
    <row r="14" spans="1:19" x14ac:dyDescent="0.25">
      <c r="A14" s="3">
        <v>8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1</v>
      </c>
      <c r="I14" s="89">
        <f t="shared" ref="I14:I19" si="0">SUM(B14:H14)</f>
        <v>1</v>
      </c>
    </row>
    <row r="15" spans="1:19" x14ac:dyDescent="0.25">
      <c r="A15" s="3">
        <v>5</v>
      </c>
      <c r="B15" s="77">
        <v>0</v>
      </c>
      <c r="C15" s="77">
        <v>0</v>
      </c>
      <c r="D15" s="77">
        <v>0</v>
      </c>
      <c r="E15" s="77">
        <v>0</v>
      </c>
      <c r="F15" s="77">
        <v>1</v>
      </c>
      <c r="G15" s="77">
        <v>0</v>
      </c>
      <c r="H15" s="77">
        <v>0</v>
      </c>
      <c r="I15" s="89">
        <f t="shared" si="0"/>
        <v>1</v>
      </c>
    </row>
    <row r="16" spans="1:19" x14ac:dyDescent="0.25">
      <c r="A16" s="3">
        <v>9</v>
      </c>
      <c r="B16" s="77">
        <v>0</v>
      </c>
      <c r="C16" s="77">
        <v>1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89">
        <f t="shared" si="0"/>
        <v>1</v>
      </c>
    </row>
    <row r="17" spans="1:9" x14ac:dyDescent="0.25">
      <c r="A17" s="3">
        <v>4</v>
      </c>
      <c r="B17" s="92">
        <v>1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89">
        <f t="shared" si="0"/>
        <v>1</v>
      </c>
    </row>
    <row r="18" spans="1:9" x14ac:dyDescent="0.25">
      <c r="A18" s="3">
        <v>1</v>
      </c>
      <c r="B18" s="77">
        <v>0</v>
      </c>
      <c r="C18" s="77">
        <v>0</v>
      </c>
      <c r="D18" s="77">
        <v>1</v>
      </c>
      <c r="E18" s="77">
        <v>0</v>
      </c>
      <c r="F18" s="77">
        <v>0</v>
      </c>
      <c r="G18" s="77">
        <v>0</v>
      </c>
      <c r="H18" s="77">
        <v>0</v>
      </c>
      <c r="I18" s="89">
        <f t="shared" si="0"/>
        <v>1</v>
      </c>
    </row>
    <row r="19" spans="1:9" x14ac:dyDescent="0.25">
      <c r="A19" s="3">
        <v>7</v>
      </c>
      <c r="B19" s="77">
        <v>0</v>
      </c>
      <c r="C19" s="77">
        <v>0</v>
      </c>
      <c r="D19" s="77">
        <v>0</v>
      </c>
      <c r="E19" s="77">
        <v>0</v>
      </c>
      <c r="F19" s="77">
        <v>0</v>
      </c>
      <c r="G19" s="77">
        <v>1</v>
      </c>
      <c r="H19" s="77">
        <v>0</v>
      </c>
      <c r="I19" s="89">
        <f t="shared" si="0"/>
        <v>1</v>
      </c>
    </row>
    <row r="20" spans="1:9" x14ac:dyDescent="0.25">
      <c r="A20" s="88" t="s">
        <v>141</v>
      </c>
      <c r="B20" s="89">
        <f>SUM(B13:B19)</f>
        <v>1</v>
      </c>
      <c r="C20" s="89">
        <f t="shared" ref="C20:H20" si="1">SUM(C13:C19)</f>
        <v>1</v>
      </c>
      <c r="D20" s="89">
        <f t="shared" si="1"/>
        <v>1</v>
      </c>
      <c r="E20" s="89">
        <f t="shared" si="1"/>
        <v>1</v>
      </c>
      <c r="F20" s="89">
        <f t="shared" si="1"/>
        <v>1</v>
      </c>
      <c r="G20" s="89">
        <f t="shared" si="1"/>
        <v>1</v>
      </c>
      <c r="H20" s="89">
        <f t="shared" si="1"/>
        <v>1</v>
      </c>
      <c r="I20" s="87"/>
    </row>
    <row r="21" spans="1:9" x14ac:dyDescent="0.25">
      <c r="I21" s="91"/>
    </row>
    <row r="22" spans="1:9" x14ac:dyDescent="0.25">
      <c r="A22" s="85" t="s">
        <v>142</v>
      </c>
      <c r="B22" s="85"/>
      <c r="C22" s="85"/>
      <c r="D22" s="86">
        <f>SUMPRODUCT(B3:H9,B13:H19)</f>
        <v>71.2</v>
      </c>
    </row>
  </sheetData>
  <mergeCells count="6">
    <mergeCell ref="A1:A2"/>
    <mergeCell ref="B1:H1"/>
    <mergeCell ref="A11:A12"/>
    <mergeCell ref="B11:H11"/>
    <mergeCell ref="A22:C22"/>
    <mergeCell ref="K1:R1"/>
  </mergeCells>
  <conditionalFormatting sqref="B13:H19">
    <cfRule type="cellIs" dxfId="1" priority="1" operator="greaterThan">
      <formula>0.5</formula>
    </cfRule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D53A-0577-44CF-804D-300BF15B75B2}">
  <dimension ref="A1:H27"/>
  <sheetViews>
    <sheetView tabSelected="1" workbookViewId="0">
      <selection activeCell="G1" sqref="G1:H3"/>
    </sheetView>
  </sheetViews>
  <sheetFormatPr defaultRowHeight="15" x14ac:dyDescent="0.25"/>
  <cols>
    <col min="1" max="1" width="9.140625" style="17"/>
    <col min="2" max="4" width="9.28515625" style="17" bestFit="1" customWidth="1"/>
    <col min="5" max="5" width="9.5703125" style="17" bestFit="1" customWidth="1"/>
    <col min="6" max="6" width="9.140625" style="17"/>
    <col min="7" max="8" width="9.28515625" style="17" bestFit="1" customWidth="1"/>
    <col min="9" max="16384" width="9.140625" style="17"/>
  </cols>
  <sheetData>
    <row r="1" spans="1:8" x14ac:dyDescent="0.25">
      <c r="A1" s="40" t="s">
        <v>144</v>
      </c>
      <c r="B1" s="40" t="s">
        <v>146</v>
      </c>
      <c r="C1" s="40" t="s">
        <v>147</v>
      </c>
      <c r="D1" s="40" t="s">
        <v>148</v>
      </c>
      <c r="E1" s="40" t="s">
        <v>145</v>
      </c>
      <c r="G1" s="51" t="s">
        <v>175</v>
      </c>
      <c r="H1" s="51"/>
    </row>
    <row r="2" spans="1:8" x14ac:dyDescent="0.25">
      <c r="A2" s="5" t="s">
        <v>149</v>
      </c>
      <c r="B2" s="77">
        <v>9</v>
      </c>
      <c r="C2" s="77">
        <v>6</v>
      </c>
      <c r="D2" s="5">
        <v>467</v>
      </c>
      <c r="E2" s="77">
        <f>(SQRT((B2-$G$3)^2+(C2-$H$3)^2))*D2</f>
        <v>1336.4360788899348</v>
      </c>
      <c r="G2" s="1" t="s">
        <v>146</v>
      </c>
      <c r="H2" s="1" t="s">
        <v>147</v>
      </c>
    </row>
    <row r="3" spans="1:8" x14ac:dyDescent="0.25">
      <c r="A3" s="5" t="s">
        <v>150</v>
      </c>
      <c r="B3" s="77">
        <v>8</v>
      </c>
      <c r="C3" s="77">
        <v>12</v>
      </c>
      <c r="D3" s="5">
        <v>976</v>
      </c>
      <c r="E3" s="77">
        <f t="shared" ref="E3:E25" si="0">(SQRT((B3-$G$3)^2+(C3-$H$3)^2))*D3</f>
        <v>3221.1749367686366</v>
      </c>
      <c r="G3" s="44">
        <v>9.021470145665802</v>
      </c>
      <c r="H3" s="44">
        <v>8.8616669516833753</v>
      </c>
    </row>
    <row r="4" spans="1:8" x14ac:dyDescent="0.25">
      <c r="A4" s="5" t="s">
        <v>151</v>
      </c>
      <c r="B4" s="77">
        <v>7.5</v>
      </c>
      <c r="C4" s="77">
        <v>14.5</v>
      </c>
      <c r="D4" s="5">
        <v>527</v>
      </c>
      <c r="E4" s="77">
        <f t="shared" si="0"/>
        <v>3077.6832020598886</v>
      </c>
    </row>
    <row r="5" spans="1:8" x14ac:dyDescent="0.25">
      <c r="A5" s="5" t="s">
        <v>152</v>
      </c>
      <c r="B5" s="77">
        <v>11.5</v>
      </c>
      <c r="C5" s="77">
        <v>6</v>
      </c>
      <c r="D5" s="5">
        <v>158</v>
      </c>
      <c r="E5" s="77">
        <f t="shared" si="0"/>
        <v>598.15569762583175</v>
      </c>
    </row>
    <row r="6" spans="1:8" x14ac:dyDescent="0.25">
      <c r="A6" s="5" t="s">
        <v>153</v>
      </c>
      <c r="B6" s="77">
        <v>7</v>
      </c>
      <c r="C6" s="77">
        <v>12.5</v>
      </c>
      <c r="D6" s="5">
        <v>785</v>
      </c>
      <c r="E6" s="77">
        <f t="shared" si="0"/>
        <v>3267.3175774488714</v>
      </c>
    </row>
    <row r="7" spans="1:8" x14ac:dyDescent="0.25">
      <c r="A7" s="5" t="s">
        <v>154</v>
      </c>
      <c r="B7" s="77">
        <v>7.5</v>
      </c>
      <c r="C7" s="77">
        <v>2.5</v>
      </c>
      <c r="D7" s="5">
        <v>1021</v>
      </c>
      <c r="E7" s="77">
        <f t="shared" si="0"/>
        <v>6678.4387966166551</v>
      </c>
    </row>
    <row r="8" spans="1:8" x14ac:dyDescent="0.25">
      <c r="A8" s="5" t="s">
        <v>155</v>
      </c>
      <c r="B8" s="77">
        <v>11.5</v>
      </c>
      <c r="C8" s="77">
        <v>8</v>
      </c>
      <c r="D8" s="5">
        <v>946</v>
      </c>
      <c r="E8" s="77">
        <f t="shared" si="0"/>
        <v>2482.3408040390827</v>
      </c>
    </row>
    <row r="9" spans="1:8" x14ac:dyDescent="0.25">
      <c r="A9" s="5" t="s">
        <v>156</v>
      </c>
      <c r="B9" s="77">
        <v>8</v>
      </c>
      <c r="C9" s="77">
        <v>9.5</v>
      </c>
      <c r="D9" s="5">
        <v>826</v>
      </c>
      <c r="E9" s="77">
        <f t="shared" si="0"/>
        <v>994.93417443180726</v>
      </c>
    </row>
    <row r="10" spans="1:8" x14ac:dyDescent="0.25">
      <c r="A10" s="5" t="s">
        <v>157</v>
      </c>
      <c r="B10" s="77">
        <v>8.5</v>
      </c>
      <c r="C10" s="77">
        <v>15.5</v>
      </c>
      <c r="D10" s="5">
        <v>465</v>
      </c>
      <c r="E10" s="77">
        <f t="shared" si="0"/>
        <v>3096.3342951438149</v>
      </c>
    </row>
    <row r="11" spans="1:8" x14ac:dyDescent="0.25">
      <c r="A11" s="5" t="s">
        <v>158</v>
      </c>
      <c r="B11" s="77">
        <v>12</v>
      </c>
      <c r="C11" s="77">
        <v>3</v>
      </c>
      <c r="D11" s="5">
        <v>721</v>
      </c>
      <c r="E11" s="77">
        <f t="shared" si="0"/>
        <v>4740.5834735582048</v>
      </c>
    </row>
    <row r="12" spans="1:8" x14ac:dyDescent="0.25">
      <c r="A12" s="5" t="s">
        <v>159</v>
      </c>
      <c r="B12" s="77">
        <v>10.5</v>
      </c>
      <c r="C12" s="77">
        <v>2</v>
      </c>
      <c r="D12" s="5">
        <v>719</v>
      </c>
      <c r="E12" s="77">
        <f t="shared" si="0"/>
        <v>5046.7717777427579</v>
      </c>
    </row>
    <row r="13" spans="1:8" x14ac:dyDescent="0.25">
      <c r="A13" s="5" t="s">
        <v>160</v>
      </c>
      <c r="B13" s="77">
        <v>5</v>
      </c>
      <c r="C13" s="77">
        <v>9</v>
      </c>
      <c r="D13" s="5">
        <v>683</v>
      </c>
      <c r="E13" s="77">
        <f t="shared" si="0"/>
        <v>2748.288645486572</v>
      </c>
    </row>
    <row r="14" spans="1:8" x14ac:dyDescent="0.25">
      <c r="A14" s="5" t="s">
        <v>161</v>
      </c>
      <c r="B14" s="77">
        <v>4</v>
      </c>
      <c r="C14" s="77">
        <v>7.5</v>
      </c>
      <c r="D14" s="5">
        <v>384</v>
      </c>
      <c r="E14" s="77">
        <f t="shared" si="0"/>
        <v>1997.8815278240236</v>
      </c>
    </row>
    <row r="15" spans="1:8" x14ac:dyDescent="0.25">
      <c r="A15" s="5" t="s">
        <v>162</v>
      </c>
      <c r="B15" s="77">
        <v>10</v>
      </c>
      <c r="C15" s="77">
        <v>11.5</v>
      </c>
      <c r="D15" s="5">
        <v>996</v>
      </c>
      <c r="E15" s="77">
        <f t="shared" si="0"/>
        <v>2802.6955002670002</v>
      </c>
    </row>
    <row r="16" spans="1:8" x14ac:dyDescent="0.25">
      <c r="A16" s="5" t="s">
        <v>163</v>
      </c>
      <c r="B16" s="77">
        <v>12</v>
      </c>
      <c r="C16" s="77">
        <v>4</v>
      </c>
      <c r="D16" s="5">
        <v>454</v>
      </c>
      <c r="E16" s="77">
        <f t="shared" si="0"/>
        <v>2588.4946718118017</v>
      </c>
    </row>
    <row r="17" spans="1:5" x14ac:dyDescent="0.25">
      <c r="A17" s="5" t="s">
        <v>164</v>
      </c>
      <c r="B17" s="77">
        <v>1</v>
      </c>
      <c r="C17" s="77">
        <v>11.5</v>
      </c>
      <c r="D17" s="5">
        <v>846</v>
      </c>
      <c r="E17" s="77">
        <f t="shared" si="0"/>
        <v>7143.806771916582</v>
      </c>
    </row>
    <row r="18" spans="1:5" x14ac:dyDescent="0.25">
      <c r="A18" s="5" t="s">
        <v>165</v>
      </c>
      <c r="B18" s="77">
        <v>13</v>
      </c>
      <c r="C18" s="77">
        <v>11.5</v>
      </c>
      <c r="D18" s="5">
        <v>908</v>
      </c>
      <c r="E18" s="77">
        <f t="shared" si="0"/>
        <v>4334.6422245497606</v>
      </c>
    </row>
    <row r="19" spans="1:5" x14ac:dyDescent="0.25">
      <c r="A19" s="5" t="s">
        <v>166</v>
      </c>
      <c r="B19" s="77">
        <v>10</v>
      </c>
      <c r="C19" s="77">
        <v>3.5</v>
      </c>
      <c r="D19" s="5">
        <v>1039</v>
      </c>
      <c r="E19" s="77">
        <f t="shared" si="0"/>
        <v>5662.7876473511851</v>
      </c>
    </row>
    <row r="20" spans="1:5" x14ac:dyDescent="0.25">
      <c r="A20" s="5" t="s">
        <v>167</v>
      </c>
      <c r="B20" s="77">
        <v>9.5</v>
      </c>
      <c r="C20" s="77">
        <v>0.5</v>
      </c>
      <c r="D20" s="5">
        <v>182</v>
      </c>
      <c r="E20" s="77">
        <f t="shared" si="0"/>
        <v>1524.3134545532273</v>
      </c>
    </row>
    <row r="21" spans="1:5" x14ac:dyDescent="0.25">
      <c r="A21" s="5" t="s">
        <v>168</v>
      </c>
      <c r="B21" s="77">
        <v>11.5</v>
      </c>
      <c r="C21" s="77">
        <v>13</v>
      </c>
      <c r="D21" s="5">
        <v>472</v>
      </c>
      <c r="E21" s="77">
        <f t="shared" si="0"/>
        <v>2276.8269569614213</v>
      </c>
    </row>
    <row r="22" spans="1:5" x14ac:dyDescent="0.25">
      <c r="A22" s="5" t="s">
        <v>169</v>
      </c>
      <c r="B22" s="77">
        <v>4.5</v>
      </c>
      <c r="C22" s="77">
        <v>10</v>
      </c>
      <c r="D22" s="5">
        <v>731</v>
      </c>
      <c r="E22" s="77">
        <f t="shared" si="0"/>
        <v>3408.3336061539908</v>
      </c>
    </row>
    <row r="23" spans="1:5" x14ac:dyDescent="0.25">
      <c r="A23" s="5" t="s">
        <v>170</v>
      </c>
      <c r="B23" s="77">
        <v>10</v>
      </c>
      <c r="C23" s="77">
        <v>3.5</v>
      </c>
      <c r="D23" s="5">
        <v>346</v>
      </c>
      <c r="E23" s="77">
        <f t="shared" si="0"/>
        <v>1885.7791395413958</v>
      </c>
    </row>
    <row r="24" spans="1:5" x14ac:dyDescent="0.25">
      <c r="A24" s="5" t="s">
        <v>171</v>
      </c>
      <c r="B24" s="77">
        <v>10</v>
      </c>
      <c r="C24" s="77">
        <v>9</v>
      </c>
      <c r="D24" s="5">
        <v>985</v>
      </c>
      <c r="E24" s="77">
        <f t="shared" si="0"/>
        <v>973.43554208627404</v>
      </c>
    </row>
    <row r="25" spans="1:5" x14ac:dyDescent="0.25">
      <c r="A25" s="5" t="s">
        <v>172</v>
      </c>
      <c r="B25" s="77">
        <v>14</v>
      </c>
      <c r="C25" s="77">
        <v>8.5</v>
      </c>
      <c r="D25" s="5">
        <v>127</v>
      </c>
      <c r="E25" s="77">
        <f t="shared" si="0"/>
        <v>633.93945805003477</v>
      </c>
    </row>
    <row r="26" spans="1:5" x14ac:dyDescent="0.25">
      <c r="A26" s="5" t="s">
        <v>173</v>
      </c>
      <c r="B26" s="77">
        <v>7.5</v>
      </c>
      <c r="C26" s="77">
        <v>3.5</v>
      </c>
      <c r="D26" s="5">
        <v>200</v>
      </c>
      <c r="E26" s="77">
        <f>(SQRT((B26-$G$3)^2+(C26-$H$3)^2))*D26</f>
        <v>1114.6720397484817</v>
      </c>
    </row>
    <row r="27" spans="1:5" x14ac:dyDescent="0.25">
      <c r="A27" s="93" t="s">
        <v>174</v>
      </c>
      <c r="B27" s="93"/>
      <c r="C27" s="93"/>
      <c r="D27" s="93"/>
      <c r="E27" s="94">
        <f>SUM(E2:E26)</f>
        <v>73636.068000627231</v>
      </c>
    </row>
  </sheetData>
  <mergeCells count="2">
    <mergeCell ref="A27:D27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Завдання 1</vt:lpstr>
      <vt:lpstr>Завдання 2</vt:lpstr>
      <vt:lpstr>Завдання 3</vt:lpstr>
      <vt:lpstr>Завдання 4</vt:lpstr>
      <vt:lpstr>Завдання 5</vt:lpstr>
      <vt:lpstr>Завдання 6</vt:lpstr>
      <vt:lpstr>Завдання 7</vt:lpstr>
      <vt:lpstr>Завдання 8</vt:lpstr>
      <vt:lpstr>Завдання 9</vt:lpstr>
      <vt:lpstr>Завдання 10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2022-10-25T13:10:22Z</dcterms:created>
  <dcterms:modified xsi:type="dcterms:W3CDTF">2022-10-26T23:25:14Z</dcterms:modified>
</cp:coreProperties>
</file>