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nikita.kuznetsov/Downloads/"/>
    </mc:Choice>
  </mc:AlternateContent>
  <xr:revisionPtr revIDLastSave="0" documentId="13_ncr:1_{BAB4C18D-D19E-E946-8C91-8FD5C654F9A5}" xr6:coauthVersionLast="47" xr6:coauthVersionMax="47" xr10:uidLastSave="{00000000-0000-0000-0000-000000000000}"/>
  <bookViews>
    <workbookView xWindow="20" yWindow="500" windowWidth="28800" windowHeight="16260" activeTab="1" xr2:uid="{00000000-000D-0000-FFFF-FFFF00000000}"/>
  </bookViews>
  <sheets>
    <sheet name="MDSx Episode Analysis HARDPASTE" sheetId="1" r:id="rId1"/>
    <sheet name="Research Sweden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_BOP2" localSheetId="0">[1]BoP!#REF!</definedName>
    <definedName name="___BOP2" localSheetId="1">[1]BoP!#REF!</definedName>
    <definedName name="___BOP2">[1]BoP!#REF!</definedName>
    <definedName name="___EXP5" localSheetId="0">#REF!</definedName>
    <definedName name="___EXP5" localSheetId="1">#REF!</definedName>
    <definedName name="___EXP5">#REF!</definedName>
    <definedName name="___EXP6" localSheetId="0">#REF!</definedName>
    <definedName name="___EXP6" localSheetId="1">#REF!</definedName>
    <definedName name="___EXP6">#REF!</definedName>
    <definedName name="___EXP7" localSheetId="0">#REF!</definedName>
    <definedName name="___EXP7" localSheetId="1">#REF!</definedName>
    <definedName name="___EXP7">#REF!</definedName>
    <definedName name="___EXP9" localSheetId="0">#REF!</definedName>
    <definedName name="___EXP9" localSheetId="1">#REF!</definedName>
    <definedName name="___EXP9">#REF!</definedName>
    <definedName name="___IMP2" localSheetId="0">#REF!</definedName>
    <definedName name="___IMP2" localSheetId="1">#REF!</definedName>
    <definedName name="___IMP2">#REF!</definedName>
    <definedName name="___IMP4" localSheetId="0">#REF!</definedName>
    <definedName name="___IMP4" localSheetId="1">#REF!</definedName>
    <definedName name="___IMP4">#REF!</definedName>
    <definedName name="___IMP6" localSheetId="0">#REF!</definedName>
    <definedName name="___IMP6" localSheetId="1">#REF!</definedName>
    <definedName name="___IMP6">#REF!</definedName>
    <definedName name="___IMP7" localSheetId="0">#REF!</definedName>
    <definedName name="___IMP7" localSheetId="1">#REF!</definedName>
    <definedName name="___IMP7">#REF!</definedName>
    <definedName name="___MTS2" localSheetId="0">'[2]Annual Tables'!#REF!</definedName>
    <definedName name="___MTS2" localSheetId="1">'[2]Annual Tables'!#REF!</definedName>
    <definedName name="___MTS2">'[2]Annual Tables'!#REF!</definedName>
    <definedName name="___PAG2" localSheetId="0">[2]Index!#REF!</definedName>
    <definedName name="___PAG2" localSheetId="1">[2]Index!#REF!</definedName>
    <definedName name="___PAG2">[2]Index!#REF!</definedName>
    <definedName name="___PAG3" localSheetId="0">[2]Index!#REF!</definedName>
    <definedName name="___PAG3" localSheetId="1">[2]Index!#REF!</definedName>
    <definedName name="___PAG3">[2]Index!#REF!</definedName>
    <definedName name="___PAG4" localSheetId="0">[2]Index!#REF!</definedName>
    <definedName name="___PAG4" localSheetId="1">[2]Index!#REF!</definedName>
    <definedName name="___PAG4">[2]Index!#REF!</definedName>
    <definedName name="___PAG5" localSheetId="0">[2]Index!#REF!</definedName>
    <definedName name="___PAG5" localSheetId="1">[2]Index!#REF!</definedName>
    <definedName name="___PAG5">[2]Index!#REF!</definedName>
    <definedName name="___PAG6" localSheetId="0">[2]Index!#REF!</definedName>
    <definedName name="___PAG6" localSheetId="1">[2]Index!#REF!</definedName>
    <definedName name="___PAG6">[2]Index!#REF!</definedName>
    <definedName name="___RES2" localSheetId="0">[1]RES!#REF!</definedName>
    <definedName name="___RES2" localSheetId="1">[1]RES!#REF!</definedName>
    <definedName name="___RES2">[1]RES!#REF!</definedName>
    <definedName name="___TAB7" localSheetId="0">#REF!</definedName>
    <definedName name="___TAB7" localSheetId="1">#REF!</definedName>
    <definedName name="___TAB7">#REF!</definedName>
    <definedName name="__123Graph_A" localSheetId="0">#REF!</definedName>
    <definedName name="__123Graph_A" localSheetId="1">#REF!</definedName>
    <definedName name="__123Graph_A">#REF!</definedName>
    <definedName name="__123Graph_BCurrent" localSheetId="0">[3]G!#REF!</definedName>
    <definedName name="__123Graph_BCurrent" localSheetId="1">[3]G!#REF!</definedName>
    <definedName name="__123Graph_BCurrent">[3]G!#REF!</definedName>
    <definedName name="__BOP1" localSheetId="0">#REF!</definedName>
    <definedName name="__BOP1" localSheetId="1">#REF!</definedName>
    <definedName name="__BOP1">#REF!</definedName>
    <definedName name="__IMP10" localSheetId="0">#REF!</definedName>
    <definedName name="__IMP10" localSheetId="1">#REF!</definedName>
    <definedName name="__IMP10">#REF!</definedName>
    <definedName name="__IMP8" localSheetId="0">#REF!</definedName>
    <definedName name="__IMP8" localSheetId="1">#REF!</definedName>
    <definedName name="__IMP8">#REF!</definedName>
    <definedName name="__PAG7" localSheetId="0">#REF!</definedName>
    <definedName name="__PAG7" localSheetId="1">#REF!</definedName>
    <definedName name="__PAG7">#REF!</definedName>
    <definedName name="__TAB1" localSheetId="0">#REF!</definedName>
    <definedName name="__TAB1" localSheetId="1">#REF!</definedName>
    <definedName name="__TAB1">#REF!</definedName>
    <definedName name="__TAB10" localSheetId="0">#REF!</definedName>
    <definedName name="__TAB10" localSheetId="1">#REF!</definedName>
    <definedName name="__TAB10">#REF!</definedName>
    <definedName name="__TAB12" localSheetId="0">#REF!</definedName>
    <definedName name="__TAB12" localSheetId="1">#REF!</definedName>
    <definedName name="__TAB12">#REF!</definedName>
    <definedName name="__Tab19" localSheetId="0">#REF!</definedName>
    <definedName name="__Tab19" localSheetId="1">#REF!</definedName>
    <definedName name="__Tab19">#REF!</definedName>
    <definedName name="__TAB2" localSheetId="0">#REF!</definedName>
    <definedName name="__TAB2" localSheetId="1">#REF!</definedName>
    <definedName name="__TAB2">#REF!</definedName>
    <definedName name="__Tab20" localSheetId="0">#REF!</definedName>
    <definedName name="__Tab20" localSheetId="1">#REF!</definedName>
    <definedName name="__Tab20">#REF!</definedName>
    <definedName name="__Tab21" localSheetId="0">#REF!</definedName>
    <definedName name="__Tab21" localSheetId="1">#REF!</definedName>
    <definedName name="__Tab21">#REF!</definedName>
    <definedName name="__Tab22" localSheetId="0">#REF!</definedName>
    <definedName name="__Tab22" localSheetId="1">#REF!</definedName>
    <definedName name="__Tab22">#REF!</definedName>
    <definedName name="__Tab23" localSheetId="0">#REF!</definedName>
    <definedName name="__Tab23" localSheetId="1">#REF!</definedName>
    <definedName name="__Tab23">#REF!</definedName>
    <definedName name="__Tab24" localSheetId="0">#REF!</definedName>
    <definedName name="__Tab24" localSheetId="1">#REF!</definedName>
    <definedName name="__Tab24">#REF!</definedName>
    <definedName name="__Tab26" localSheetId="0">#REF!</definedName>
    <definedName name="__Tab26" localSheetId="1">#REF!</definedName>
    <definedName name="__Tab26">#REF!</definedName>
    <definedName name="__Tab27" localSheetId="0">#REF!</definedName>
    <definedName name="__Tab27" localSheetId="1">#REF!</definedName>
    <definedName name="__Tab27">#REF!</definedName>
    <definedName name="__Tab28" localSheetId="0">#REF!</definedName>
    <definedName name="__Tab28" localSheetId="1">#REF!</definedName>
    <definedName name="__Tab28">#REF!</definedName>
    <definedName name="__Tab29" localSheetId="0">#REF!</definedName>
    <definedName name="__Tab29" localSheetId="1">#REF!</definedName>
    <definedName name="__Tab29">#REF!</definedName>
    <definedName name="__TAB3" localSheetId="0">#REF!</definedName>
    <definedName name="__TAB3" localSheetId="1">#REF!</definedName>
    <definedName name="__TAB3">#REF!</definedName>
    <definedName name="__Tab30" localSheetId="0">#REF!</definedName>
    <definedName name="__Tab30" localSheetId="1">#REF!</definedName>
    <definedName name="__Tab30">#REF!</definedName>
    <definedName name="__Tab31" localSheetId="0">#REF!</definedName>
    <definedName name="__Tab31" localSheetId="1">#REF!</definedName>
    <definedName name="__Tab31">#REF!</definedName>
    <definedName name="__Tab32" localSheetId="0">#REF!</definedName>
    <definedName name="__Tab32" localSheetId="1">#REF!</definedName>
    <definedName name="__Tab32">#REF!</definedName>
    <definedName name="__Tab33" localSheetId="0">#REF!</definedName>
    <definedName name="__Tab33" localSheetId="1">#REF!</definedName>
    <definedName name="__Tab33">#REF!</definedName>
    <definedName name="__Tab34" localSheetId="0">#REF!</definedName>
    <definedName name="__Tab34" localSheetId="1">#REF!</definedName>
    <definedName name="__Tab34">#REF!</definedName>
    <definedName name="__Tab35" localSheetId="0">#REF!</definedName>
    <definedName name="__Tab35" localSheetId="1">#REF!</definedName>
    <definedName name="__Tab35">#REF!</definedName>
    <definedName name="__TAB4" localSheetId="0">#REF!</definedName>
    <definedName name="__TAB4" localSheetId="1">#REF!</definedName>
    <definedName name="__TAB4">#REF!</definedName>
    <definedName name="__TAB5" localSheetId="0">#REF!</definedName>
    <definedName name="__TAB5" localSheetId="1">#REF!</definedName>
    <definedName name="__TAB5">#REF!</definedName>
    <definedName name="__TAB8" localSheetId="0">#REF!</definedName>
    <definedName name="__TAB8" localSheetId="1">#REF!</definedName>
    <definedName name="__TAB8">#REF!</definedName>
    <definedName name="__WEO1" localSheetId="0">#REF!</definedName>
    <definedName name="__WEO1" localSheetId="1">#REF!</definedName>
    <definedName name="__WEO1">#REF!</definedName>
    <definedName name="__WEO2" localSheetId="0">#REF!</definedName>
    <definedName name="__WEO2" localSheetId="1">#REF!</definedName>
    <definedName name="__WEO2">#REF!</definedName>
    <definedName name="_5Macros_Import_.qbop" localSheetId="0">[4]!'[Macros Import].qbop'</definedName>
    <definedName name="_5Macros_Import_.qbop" localSheetId="1">[4]!'[Macros Import].qbop'</definedName>
    <definedName name="_5Macros_Import_.qbop">[4]!'[Macros Import].qbop'</definedName>
    <definedName name="_BOP1" localSheetId="0">#REF!</definedName>
    <definedName name="_BOP1" localSheetId="1">#REF!</definedName>
    <definedName name="_BOP1">#REF!</definedName>
    <definedName name="_BOP2" localSheetId="0">[1]BoP!#REF!</definedName>
    <definedName name="_BOP2" localSheetId="1">[1]BoP!#REF!</definedName>
    <definedName name="_BOP2">[1]BoP!#REF!</definedName>
    <definedName name="_DLX101.USE" localSheetId="0">'[5]Prices&amp;Money Data (Q)'!#REF!</definedName>
    <definedName name="_DLX101.USE" localSheetId="1">'[5]Prices&amp;Money Data (Q)'!#REF!</definedName>
    <definedName name="_DLX101.USE">'[5]Prices&amp;Money Data (Q)'!#REF!</definedName>
    <definedName name="_DLX102.USE" localSheetId="0">'[5]Prices&amp;Money Data (Q)'!#REF!</definedName>
    <definedName name="_DLX102.USE" localSheetId="1">'[5]Prices&amp;Money Data (Q)'!#REF!</definedName>
    <definedName name="_DLX102.USE">'[5]Prices&amp;Money Data (Q)'!#REF!</definedName>
    <definedName name="_DLX109.USE" localSheetId="0">'[5]Prices&amp;Money Data (Q)'!#REF!</definedName>
    <definedName name="_DLX109.USE" localSheetId="1">'[5]Prices&amp;Money Data (Q)'!#REF!</definedName>
    <definedName name="_DLX109.USE">'[5]Prices&amp;Money Data (Q)'!#REF!</definedName>
    <definedName name="_DLX110.USE" localSheetId="0">'[5]Prices&amp;Money Data (Q)'!#REF!</definedName>
    <definedName name="_DLX110.USE" localSheetId="1">'[5]Prices&amp;Money Data (Q)'!#REF!</definedName>
    <definedName name="_DLX110.USE">'[5]Prices&amp;Money Data (Q)'!#REF!</definedName>
    <definedName name="_DLX111.USE" localSheetId="0">'[5]Prices&amp;Money Data (Q)'!#REF!</definedName>
    <definedName name="_DLX111.USE" localSheetId="1">'[5]Prices&amp;Money Data (Q)'!#REF!</definedName>
    <definedName name="_DLX111.USE">'[5]Prices&amp;Money Data (Q)'!#REF!</definedName>
    <definedName name="_DLX116.USE" localSheetId="0">'[5]Prices&amp;Money Data (Q)'!#REF!</definedName>
    <definedName name="_DLX116.USE" localSheetId="1">'[5]Prices&amp;Money Data (Q)'!#REF!</definedName>
    <definedName name="_DLX116.USE">'[5]Prices&amp;Money Data (Q)'!#REF!</definedName>
    <definedName name="_DLX137.USE" localSheetId="0">'[5]Prices&amp;Money Data (A)'!#REF!</definedName>
    <definedName name="_DLX137.USE" localSheetId="1">'[5]Prices&amp;Money Data (A)'!#REF!</definedName>
    <definedName name="_DLX137.USE">'[5]Prices&amp;Money Data (A)'!#REF!</definedName>
    <definedName name="_DLX138.USE" localSheetId="0">'[5]Prices&amp;Money Data (A)'!#REF!</definedName>
    <definedName name="_DLX138.USE" localSheetId="1">'[5]Prices&amp;Money Data (A)'!#REF!</definedName>
    <definedName name="_DLX138.USE">'[5]Prices&amp;Money Data (A)'!#REF!</definedName>
    <definedName name="_DLX139.USE" localSheetId="0">'[5]Prices&amp;Money Data (A)'!#REF!</definedName>
    <definedName name="_DLX139.USE" localSheetId="1">'[5]Prices&amp;Money Data (A)'!#REF!</definedName>
    <definedName name="_DLX139.USE">'[5]Prices&amp;Money Data (A)'!#REF!</definedName>
    <definedName name="_DLX140.USE" localSheetId="0">'[5]Prices&amp;Money Data (A)'!#REF!</definedName>
    <definedName name="_DLX140.USE" localSheetId="1">'[5]Prices&amp;Money Data (A)'!#REF!</definedName>
    <definedName name="_DLX140.USE">'[5]Prices&amp;Money Data (A)'!#REF!</definedName>
    <definedName name="_DLX142.USE" localSheetId="0">'[5]Prices&amp;Money Data (A)'!#REF!</definedName>
    <definedName name="_DLX142.USE" localSheetId="1">'[5]Prices&amp;Money Data (A)'!#REF!</definedName>
    <definedName name="_DLX142.USE">'[5]Prices&amp;Money Data (A)'!#REF!</definedName>
    <definedName name="_DLX143.USE" localSheetId="0">'[5]Prices&amp;Money Data (A)'!#REF!</definedName>
    <definedName name="_DLX143.USE" localSheetId="1">'[5]Prices&amp;Money Data (A)'!#REF!</definedName>
    <definedName name="_DLX143.USE">'[5]Prices&amp;Money Data (A)'!#REF!</definedName>
    <definedName name="_DLX144.USE" localSheetId="0">'[5]Prices&amp;Money Data (A)'!#REF!</definedName>
    <definedName name="_DLX144.USE" localSheetId="1">'[5]Prices&amp;Money Data (A)'!#REF!</definedName>
    <definedName name="_DLX144.USE">'[5]Prices&amp;Money Data (A)'!#REF!</definedName>
    <definedName name="_DLX145.USE" localSheetId="0">'[5]Prices&amp;Money Data (A)'!#REF!</definedName>
    <definedName name="_DLX145.USE" localSheetId="1">'[5]Prices&amp;Money Data (A)'!#REF!</definedName>
    <definedName name="_DLX145.USE">'[5]Prices&amp;Money Data (A)'!#REF!</definedName>
    <definedName name="_DLX16.USE" localSheetId="0">'[6]Real Sector Data (Q)'!#REF!</definedName>
    <definedName name="_DLX16.USE" localSheetId="1">'[6]Real Sector Data (Q)'!#REF!</definedName>
    <definedName name="_DLX16.USE">'[6]Real Sector Data (Q)'!#REF!</definedName>
    <definedName name="_DLX175.USE" localSheetId="0">'[5]Fiscal Sector Data (A)'!#REF!</definedName>
    <definedName name="_DLX175.USE" localSheetId="1">'[5]Fiscal Sector Data (A)'!#REF!</definedName>
    <definedName name="_DLX175.USE">'[5]Fiscal Sector Data (A)'!#REF!</definedName>
    <definedName name="_DLX176.USE" localSheetId="0">'[5]Fiscal Sector Data (A)'!#REF!</definedName>
    <definedName name="_DLX176.USE" localSheetId="1">'[5]Fiscal Sector Data (A)'!#REF!</definedName>
    <definedName name="_DLX176.USE">'[5]Fiscal Sector Data (A)'!#REF!</definedName>
    <definedName name="_DLX177.USE" localSheetId="0">'[5]Fiscal Sector Data (A)'!#REF!</definedName>
    <definedName name="_DLX177.USE" localSheetId="1">'[5]Fiscal Sector Data (A)'!#REF!</definedName>
    <definedName name="_DLX177.USE">'[5]Fiscal Sector Data (A)'!#REF!</definedName>
    <definedName name="_DLX178.USE" localSheetId="0">'[5]Fiscal Sector Data (A)'!#REF!</definedName>
    <definedName name="_DLX178.USE" localSheetId="1">'[5]Fiscal Sector Data (A)'!#REF!</definedName>
    <definedName name="_DLX178.USE">'[5]Fiscal Sector Data (A)'!#REF!</definedName>
    <definedName name="_DLX179.USE" localSheetId="0">'[5]Fiscal Sector Data (A)'!#REF!</definedName>
    <definedName name="_DLX179.USE" localSheetId="1">'[5]Fiscal Sector Data (A)'!#REF!</definedName>
    <definedName name="_DLX179.USE">'[5]Fiscal Sector Data (A)'!#REF!</definedName>
    <definedName name="_DLX184.USE" localSheetId="0">'[5]External Sector Data (A)'!#REF!</definedName>
    <definedName name="_DLX184.USE" localSheetId="1">'[5]External Sector Data (A)'!#REF!</definedName>
    <definedName name="_DLX184.USE">'[5]External Sector Data (A)'!#REF!</definedName>
    <definedName name="_DLX185.USE" localSheetId="0">'[5]External Sector Data (A)'!#REF!</definedName>
    <definedName name="_DLX185.USE" localSheetId="1">'[5]External Sector Data (A)'!#REF!</definedName>
    <definedName name="_DLX185.USE">'[5]External Sector Data (A)'!#REF!</definedName>
    <definedName name="_DLX187.USE" localSheetId="0">'[5]External Sector Data (A)'!#REF!</definedName>
    <definedName name="_DLX187.USE" localSheetId="1">'[5]External Sector Data (A)'!#REF!</definedName>
    <definedName name="_DLX187.USE">'[5]External Sector Data (A)'!#REF!</definedName>
    <definedName name="_DLX195.USE" localSheetId="0">'[5]External Sector Data (A)'!#REF!</definedName>
    <definedName name="_DLX195.USE" localSheetId="1">'[5]External Sector Data (A)'!#REF!</definedName>
    <definedName name="_DLX195.USE">'[5]External Sector Data (A)'!#REF!</definedName>
    <definedName name="_DLX2.USE" localSheetId="0">#REF!</definedName>
    <definedName name="_DLX2.USE" localSheetId="1">#REF!</definedName>
    <definedName name="_DLX2.USE">#REF!</definedName>
    <definedName name="_DLX204.USE" localSheetId="0">'[5]Data-In (Q) Mod 1&amp;2&amp;3'!#REF!</definedName>
    <definedName name="_DLX204.USE" localSheetId="1">'[5]Data-In (Q) Mod 1&amp;2&amp;3'!#REF!</definedName>
    <definedName name="_DLX204.USE">'[5]Data-In (Q) Mod 1&amp;2&amp;3'!#REF!</definedName>
    <definedName name="_DLX208.USE" localSheetId="0">'[5]Financial Sector Data (Q)'!#REF!</definedName>
    <definedName name="_DLX208.USE" localSheetId="1">'[5]Financial Sector Data (Q)'!#REF!</definedName>
    <definedName name="_DLX208.USE">'[5]Financial Sector Data (Q)'!#REF!</definedName>
    <definedName name="_DLX209.USE" localSheetId="0">'[5]Financial Sector Data (Q)'!#REF!</definedName>
    <definedName name="_DLX209.USE" localSheetId="1">'[5]Financial Sector Data (Q)'!#REF!</definedName>
    <definedName name="_DLX209.USE">'[5]Financial Sector Data (Q)'!#REF!</definedName>
    <definedName name="_DLX210.USE" localSheetId="0">'[5]Financial Sector Data (Q)'!#REF!</definedName>
    <definedName name="_DLX210.USE" localSheetId="1">'[5]Financial Sector Data (Q)'!#REF!</definedName>
    <definedName name="_DLX210.USE">'[5]Financial Sector Data (Q)'!#REF!</definedName>
    <definedName name="_DLX212.USE" localSheetId="0">'[5]Prices&amp;Money Data (A)'!#REF!</definedName>
    <definedName name="_DLX212.USE" localSheetId="1">'[5]Prices&amp;Money Data (A)'!#REF!</definedName>
    <definedName name="_DLX212.USE">'[5]Prices&amp;Money Data (A)'!#REF!</definedName>
    <definedName name="_DLX213.USE" localSheetId="0">'[5]Prices&amp;Money Data (A)'!#REF!</definedName>
    <definedName name="_DLX213.USE" localSheetId="1">'[5]Prices&amp;Money Data (A)'!#REF!</definedName>
    <definedName name="_DLX213.USE">'[5]Prices&amp;Money Data (A)'!#REF!</definedName>
    <definedName name="_DLX214.USE" localSheetId="0">'[5]Prices&amp;Money Data (Q)'!#REF!</definedName>
    <definedName name="_DLX214.USE" localSheetId="1">'[5]Prices&amp;Money Data (Q)'!#REF!</definedName>
    <definedName name="_DLX214.USE">'[5]Prices&amp;Money Data (Q)'!#REF!</definedName>
    <definedName name="_DLX221.USE" localSheetId="0">'[5]External Sector Data (A)'!#REF!</definedName>
    <definedName name="_DLX221.USE" localSheetId="1">'[5]External Sector Data (A)'!#REF!</definedName>
    <definedName name="_DLX221.USE">'[5]External Sector Data (A)'!#REF!</definedName>
    <definedName name="_DLX225.USE" localSheetId="0">'[5]External Sector Data (A)'!#REF!</definedName>
    <definedName name="_DLX225.USE" localSheetId="1">'[5]External Sector Data (A)'!#REF!</definedName>
    <definedName name="_DLX225.USE">'[5]External Sector Data (A)'!#REF!</definedName>
    <definedName name="_DLX23.USE" localSheetId="0">'[6]Real Sector Data (Q)'!#REF!</definedName>
    <definedName name="_DLX23.USE" localSheetId="1">'[6]Real Sector Data (Q)'!#REF!</definedName>
    <definedName name="_DLX23.USE">'[6]Real Sector Data (Q)'!#REF!</definedName>
    <definedName name="_DLX230.USE" localSheetId="0">'[5]Prices&amp;Money Data (Q)'!#REF!</definedName>
    <definedName name="_DLX230.USE" localSheetId="1">'[5]Prices&amp;Money Data (Q)'!#REF!</definedName>
    <definedName name="_DLX230.USE">'[5]Prices&amp;Money Data (Q)'!#REF!</definedName>
    <definedName name="_DLX231.USE" localSheetId="0">'[5]Prices&amp;Money Data (Q)'!#REF!</definedName>
    <definedName name="_DLX231.USE" localSheetId="1">'[5]Prices&amp;Money Data (Q)'!#REF!</definedName>
    <definedName name="_DLX231.USE">'[5]Prices&amp;Money Data (Q)'!#REF!</definedName>
    <definedName name="_DLX232.USE" localSheetId="0">'[5]Prices&amp;Money Data (Q)'!#REF!</definedName>
    <definedName name="_DLX232.USE" localSheetId="1">'[5]Prices&amp;Money Data (Q)'!#REF!</definedName>
    <definedName name="_DLX232.USE">'[5]Prices&amp;Money Data (Q)'!#REF!</definedName>
    <definedName name="_DLX233.USE" localSheetId="0">'[5]Prices&amp;Money Data (Q)'!#REF!</definedName>
    <definedName name="_DLX233.USE" localSheetId="1">'[5]Prices&amp;Money Data (Q)'!#REF!</definedName>
    <definedName name="_DLX233.USE">'[5]Prices&amp;Money Data (Q)'!#REF!</definedName>
    <definedName name="_DLX24.USE" localSheetId="0">'[6]Real Sector Data (Q)'!#REF!</definedName>
    <definedName name="_DLX24.USE" localSheetId="1">'[6]Real Sector Data (Q)'!#REF!</definedName>
    <definedName name="_DLX24.USE">'[6]Real Sector Data (Q)'!#REF!</definedName>
    <definedName name="_DLX25.USE" localSheetId="0">'[6]Real Sector Data (Q)'!#REF!</definedName>
    <definedName name="_DLX25.USE" localSheetId="1">'[6]Real Sector Data (Q)'!#REF!</definedName>
    <definedName name="_DLX25.USE">'[6]Real Sector Data (Q)'!#REF!</definedName>
    <definedName name="_DLX252.USE" localSheetId="0">#REF!</definedName>
    <definedName name="_DLX252.USE" localSheetId="1">#REF!</definedName>
    <definedName name="_DLX252.USE">#REF!</definedName>
    <definedName name="_DLX253.USE" localSheetId="0">'[5]External Sector Data (Q)'!#REF!</definedName>
    <definedName name="_DLX253.USE" localSheetId="1">'[5]External Sector Data (Q)'!#REF!</definedName>
    <definedName name="_DLX253.USE">'[5]External Sector Data (Q)'!#REF!</definedName>
    <definedName name="_DLX256.USE" localSheetId="0">#REF!</definedName>
    <definedName name="_DLX256.USE" localSheetId="1">#REF!</definedName>
    <definedName name="_DLX256.USE">#REF!</definedName>
    <definedName name="_DLX26.USE" localSheetId="0">'[6]Real Sector Data (Q)'!#REF!</definedName>
    <definedName name="_DLX26.USE" localSheetId="1">'[6]Real Sector Data (Q)'!#REF!</definedName>
    <definedName name="_DLX26.USE">'[6]Real Sector Data (Q)'!#REF!</definedName>
    <definedName name="_DLX31.USE" localSheetId="0">'[6]Real Sector Data (Q)'!#REF!</definedName>
    <definedName name="_DLX31.USE" localSheetId="1">'[6]Real Sector Data (Q)'!#REF!</definedName>
    <definedName name="_DLX31.USE">'[6]Real Sector Data (Q)'!#REF!</definedName>
    <definedName name="_DLX38.USE" localSheetId="0">'[7]Real Sector Data In (A)'!#REF!</definedName>
    <definedName name="_DLX38.USE" localSheetId="1">'[7]Real Sector Data In (A)'!#REF!</definedName>
    <definedName name="_DLX38.USE">'[7]Real Sector Data In (A)'!#REF!</definedName>
    <definedName name="_DLX39.USE" localSheetId="0">'[7]Real Sector Data In (A)'!#REF!</definedName>
    <definedName name="_DLX39.USE" localSheetId="1">'[7]Real Sector Data In (A)'!#REF!</definedName>
    <definedName name="_DLX39.USE">'[7]Real Sector Data In (A)'!#REF!</definedName>
    <definedName name="_DLX40.USE" localSheetId="0">'[7]Real Sector Data In (A)'!#REF!</definedName>
    <definedName name="_DLX40.USE" localSheetId="1">'[7]Real Sector Data In (A)'!#REF!</definedName>
    <definedName name="_DLX40.USE">'[7]Real Sector Data In (A)'!#REF!</definedName>
    <definedName name="_DLX45.USE" localSheetId="0">'[7]Real Sector Data In (Q)'!#REF!</definedName>
    <definedName name="_DLX45.USE" localSheetId="1">'[7]Real Sector Data In (Q)'!#REF!</definedName>
    <definedName name="_DLX45.USE">'[7]Real Sector Data In (Q)'!#REF!</definedName>
    <definedName name="_DLX48.USE" localSheetId="0">'[5]Prices&amp;Money Data (Q)'!#REF!</definedName>
    <definedName name="_DLX48.USE" localSheetId="1">'[5]Prices&amp;Money Data (Q)'!#REF!</definedName>
    <definedName name="_DLX48.USE">'[5]Prices&amp;Money Data (Q)'!#REF!</definedName>
    <definedName name="_DLX50.USE" localSheetId="0">'[7]Real Sector Data In (Q)'!#REF!</definedName>
    <definedName name="_DLX50.USE" localSheetId="1">'[7]Real Sector Data In (Q)'!#REF!</definedName>
    <definedName name="_DLX50.USE">'[7]Real Sector Data In (Q)'!#REF!</definedName>
    <definedName name="_DLX51.USE" localSheetId="0">'[7]Real Sector Data In (Q)'!#REF!</definedName>
    <definedName name="_DLX51.USE" localSheetId="1">'[7]Real Sector Data In (Q)'!#REF!</definedName>
    <definedName name="_DLX51.USE">'[7]Real Sector Data In (Q)'!#REF!</definedName>
    <definedName name="_DLX52.USE" localSheetId="0">#REF!</definedName>
    <definedName name="_DLX52.USE" localSheetId="1">#REF!</definedName>
    <definedName name="_DLX52.USE">#REF!</definedName>
    <definedName name="_DLX56.USE" localSheetId="0">'[7]Real Sector Data In (A)'!#REF!</definedName>
    <definedName name="_DLX56.USE" localSheetId="1">'[7]Real Sector Data In (A)'!#REF!</definedName>
    <definedName name="_DLX56.USE">'[7]Real Sector Data In (A)'!#REF!</definedName>
    <definedName name="_DLX57.USE" localSheetId="0">'[5]Prices&amp;Money Data (Q)'!#REF!</definedName>
    <definedName name="_DLX57.USE" localSheetId="1">'[5]Prices&amp;Money Data (Q)'!#REF!</definedName>
    <definedName name="_DLX57.USE">'[5]Prices&amp;Money Data (Q)'!#REF!</definedName>
    <definedName name="_DLX58.USE" localSheetId="0">'[5]Prices&amp;Money Data (Q)'!#REF!</definedName>
    <definedName name="_DLX58.USE" localSheetId="1">'[5]Prices&amp;Money Data (Q)'!#REF!</definedName>
    <definedName name="_DLX58.USE">'[5]Prices&amp;Money Data (Q)'!#REF!</definedName>
    <definedName name="_DLX59.USE" localSheetId="0">'[5]Prices&amp;Money Data (Q)'!#REF!</definedName>
    <definedName name="_DLX59.USE" localSheetId="1">'[5]Prices&amp;Money Data (Q)'!#REF!</definedName>
    <definedName name="_DLX59.USE">'[5]Prices&amp;Money Data (Q)'!#REF!</definedName>
    <definedName name="_DLX6.USE" localSheetId="0">'[6]Real Sector Data (Q)'!#REF!</definedName>
    <definedName name="_DLX6.USE" localSheetId="1">'[6]Real Sector Data (Q)'!#REF!</definedName>
    <definedName name="_DLX6.USE">'[6]Real Sector Data (Q)'!#REF!</definedName>
    <definedName name="_DLX60.USE" localSheetId="0">'[5]Prices&amp;Money Data (Q)'!#REF!</definedName>
    <definedName name="_DLX60.USE" localSheetId="1">'[5]Prices&amp;Money Data (Q)'!#REF!</definedName>
    <definedName name="_DLX60.USE">'[5]Prices&amp;Money Data (Q)'!#REF!</definedName>
    <definedName name="_DLX61.USE" localSheetId="0">#REF!</definedName>
    <definedName name="_DLX61.USE" localSheetId="1">#REF!</definedName>
    <definedName name="_DLX61.USE">#REF!</definedName>
    <definedName name="_DLX62.USE" localSheetId="0">#REF!</definedName>
    <definedName name="_DLX62.USE" localSheetId="1">#REF!</definedName>
    <definedName name="_DLX62.USE">#REF!</definedName>
    <definedName name="_DLX63.USE" localSheetId="0">#REF!</definedName>
    <definedName name="_DLX63.USE" localSheetId="1">#REF!</definedName>
    <definedName name="_DLX63.USE">#REF!</definedName>
    <definedName name="_DLX64.USE" localSheetId="0">#REF!</definedName>
    <definedName name="_DLX64.USE" localSheetId="1">#REF!</definedName>
    <definedName name="_DLX64.USE">#REF!</definedName>
    <definedName name="_DLX65.USE" localSheetId="0">#REF!</definedName>
    <definedName name="_DLX65.USE" localSheetId="1">#REF!</definedName>
    <definedName name="_DLX65.USE">#REF!</definedName>
    <definedName name="_DLX66.USE" localSheetId="0">#REF!</definedName>
    <definedName name="_DLX66.USE" localSheetId="1">#REF!</definedName>
    <definedName name="_DLX66.USE">#REF!</definedName>
    <definedName name="_DLX67.USE" localSheetId="0">#REF!</definedName>
    <definedName name="_DLX67.USE" localSheetId="1">#REF!</definedName>
    <definedName name="_DLX67.USE">#REF!</definedName>
    <definedName name="_DLX68.USE" localSheetId="0">#REF!</definedName>
    <definedName name="_DLX68.USE" localSheetId="1">#REF!</definedName>
    <definedName name="_DLX68.USE">#REF!</definedName>
    <definedName name="_DLX69.USE" localSheetId="0">#REF!</definedName>
    <definedName name="_DLX69.USE" localSheetId="1">#REF!</definedName>
    <definedName name="_DLX69.USE">#REF!</definedName>
    <definedName name="_DLX70.USE" localSheetId="0">#REF!</definedName>
    <definedName name="_DLX70.USE" localSheetId="1">#REF!</definedName>
    <definedName name="_DLX70.USE">#REF!</definedName>
    <definedName name="_DLX71.USE" localSheetId="0">#REF!</definedName>
    <definedName name="_DLX71.USE" localSheetId="1">#REF!</definedName>
    <definedName name="_DLX71.USE">#REF!</definedName>
    <definedName name="_DLX72.USE" localSheetId="0">#REF!</definedName>
    <definedName name="_DLX72.USE" localSheetId="1">#REF!</definedName>
    <definedName name="_DLX72.USE">#REF!</definedName>
    <definedName name="_DLX73.USE" localSheetId="0">#REF!</definedName>
    <definedName name="_DLX73.USE" localSheetId="1">#REF!</definedName>
    <definedName name="_DLX73.USE">#REF!</definedName>
    <definedName name="_DLX74.USE" localSheetId="0">#REF!</definedName>
    <definedName name="_DLX74.USE" localSheetId="1">#REF!</definedName>
    <definedName name="_DLX74.USE">#REF!</definedName>
    <definedName name="_DLX75.USE" localSheetId="0">#REF!</definedName>
    <definedName name="_DLX75.USE" localSheetId="1">#REF!</definedName>
    <definedName name="_DLX75.USE">#REF!</definedName>
    <definedName name="_DLX76.USE" localSheetId="0">#REF!</definedName>
    <definedName name="_DLX76.USE" localSheetId="1">#REF!</definedName>
    <definedName name="_DLX76.USE">#REF!</definedName>
    <definedName name="_DLX77.USE" localSheetId="0">#REF!</definedName>
    <definedName name="_DLX77.USE" localSheetId="1">#REF!</definedName>
    <definedName name="_DLX77.USE">#REF!</definedName>
    <definedName name="_DLX78.USE" localSheetId="0">#REF!</definedName>
    <definedName name="_DLX78.USE" localSheetId="1">#REF!</definedName>
    <definedName name="_DLX78.USE">#REF!</definedName>
    <definedName name="_DLX79.USE" localSheetId="0">#REF!</definedName>
    <definedName name="_DLX79.USE" localSheetId="1">#REF!</definedName>
    <definedName name="_DLX79.USE">#REF!</definedName>
    <definedName name="_DLX80.USE" localSheetId="0">#REF!</definedName>
    <definedName name="_DLX80.USE" localSheetId="1">#REF!</definedName>
    <definedName name="_DLX80.USE">#REF!</definedName>
    <definedName name="_DLX81.USE" localSheetId="0">#REF!</definedName>
    <definedName name="_DLX81.USE" localSheetId="1">#REF!</definedName>
    <definedName name="_DLX81.USE">#REF!</definedName>
    <definedName name="_DLX82.USE" localSheetId="0">#REF!</definedName>
    <definedName name="_DLX82.USE" localSheetId="1">#REF!</definedName>
    <definedName name="_DLX82.USE">#REF!</definedName>
    <definedName name="_DLX83.USE" localSheetId="0">#REF!</definedName>
    <definedName name="_DLX83.USE" localSheetId="1">#REF!</definedName>
    <definedName name="_DLX83.USE">#REF!</definedName>
    <definedName name="_DLX84.USE" localSheetId="0">#REF!</definedName>
    <definedName name="_DLX84.USE" localSheetId="1">#REF!</definedName>
    <definedName name="_DLX84.USE">#REF!</definedName>
    <definedName name="_DLX85.USE" localSheetId="0">#REF!</definedName>
    <definedName name="_DLX85.USE" localSheetId="1">#REF!</definedName>
    <definedName name="_DLX85.USE">#REF!</definedName>
    <definedName name="_DLX86.USE" localSheetId="0">#REF!</definedName>
    <definedName name="_DLX86.USE" localSheetId="1">#REF!</definedName>
    <definedName name="_DLX86.USE">#REF!</definedName>
    <definedName name="_DLX87.USE" localSheetId="0">#REF!</definedName>
    <definedName name="_DLX87.USE" localSheetId="1">#REF!</definedName>
    <definedName name="_DLX87.USE">#REF!</definedName>
    <definedName name="_DLX88.USE" localSheetId="0">#REF!</definedName>
    <definedName name="_DLX88.USE" localSheetId="1">#REF!</definedName>
    <definedName name="_DLX88.USE">#REF!</definedName>
    <definedName name="_DLX89.USE" localSheetId="0">#REF!</definedName>
    <definedName name="_DLX89.USE" localSheetId="1">#REF!</definedName>
    <definedName name="_DLX89.USE">#REF!</definedName>
    <definedName name="_DLX90.USE" localSheetId="0">#REF!</definedName>
    <definedName name="_DLX90.USE" localSheetId="1">#REF!</definedName>
    <definedName name="_DLX90.USE">#REF!</definedName>
    <definedName name="_DLX91.USE" localSheetId="0">#REF!</definedName>
    <definedName name="_DLX91.USE" localSheetId="1">#REF!</definedName>
    <definedName name="_DLX91.USE">#REF!</definedName>
    <definedName name="_DLX92.USE" localSheetId="0">#REF!</definedName>
    <definedName name="_DLX92.USE" localSheetId="1">#REF!</definedName>
    <definedName name="_DLX92.USE">#REF!</definedName>
    <definedName name="_DLX93.USE" localSheetId="0">#REF!</definedName>
    <definedName name="_DLX93.USE" localSheetId="1">#REF!</definedName>
    <definedName name="_DLX93.USE">#REF!</definedName>
    <definedName name="_DLX95.USE" localSheetId="0">'[5]Prices&amp;Money Data (Q)'!#REF!</definedName>
    <definedName name="_DLX95.USE" localSheetId="1">'[5]Prices&amp;Money Data (Q)'!#REF!</definedName>
    <definedName name="_DLX95.USE">'[5]Prices&amp;Money Data (Q)'!#REF!</definedName>
    <definedName name="_DLX96.USE" localSheetId="0">'[5]Prices&amp;Money Data (Q)'!#REF!</definedName>
    <definedName name="_DLX96.USE" localSheetId="1">'[5]Prices&amp;Money Data (Q)'!#REF!</definedName>
    <definedName name="_DLX96.USE">'[5]Prices&amp;Money Data (Q)'!#REF!</definedName>
    <definedName name="_DLX97.USE" localSheetId="0">'[5]Prices&amp;Money Data (Q)'!#REF!</definedName>
    <definedName name="_DLX97.USE" localSheetId="1">'[5]Prices&amp;Money Data (Q)'!#REF!</definedName>
    <definedName name="_DLX97.USE">'[5]Prices&amp;Money Data (Q)'!#REF!</definedName>
    <definedName name="_DLX98.USE" localSheetId="0">'[5]Prices&amp;Money Data (Q)'!#REF!</definedName>
    <definedName name="_DLX98.USE" localSheetId="1">'[5]Prices&amp;Money Data (Q)'!#REF!</definedName>
    <definedName name="_DLX98.USE">'[5]Prices&amp;Money Data (Q)'!#REF!</definedName>
    <definedName name="_DLX99.USE" localSheetId="0">'[5]Prices&amp;Money Data (Q)'!#REF!</definedName>
    <definedName name="_DLX99.USE" localSheetId="1">'[5]Prices&amp;Money Data (Q)'!#REF!</definedName>
    <definedName name="_DLX99.USE">'[5]Prices&amp;Money Data (Q)'!#REF!</definedName>
    <definedName name="_EXP5" localSheetId="0">#REF!</definedName>
    <definedName name="_EXP5" localSheetId="1">#REF!</definedName>
    <definedName name="_EXP5">#REF!</definedName>
    <definedName name="_EXP6" localSheetId="0">#REF!</definedName>
    <definedName name="_EXP6" localSheetId="1">#REF!</definedName>
    <definedName name="_EXP6">#REF!</definedName>
    <definedName name="_EXP7" localSheetId="0">#REF!</definedName>
    <definedName name="_EXP7" localSheetId="1">#REF!</definedName>
    <definedName name="_EXP7">#REF!</definedName>
    <definedName name="_EXP9" localSheetId="0">#REF!</definedName>
    <definedName name="_EXP9" localSheetId="1">#REF!</definedName>
    <definedName name="_EXP9">#REF!</definedName>
    <definedName name="_Fill" localSheetId="0">#REF!</definedName>
    <definedName name="_Fill" localSheetId="1">#REF!</definedName>
    <definedName name="_Fill">#REF!</definedName>
    <definedName name="_IMP10" localSheetId="0">#REF!</definedName>
    <definedName name="_IMP10" localSheetId="1">#REF!</definedName>
    <definedName name="_IMP10">#REF!</definedName>
    <definedName name="_IMP2" localSheetId="0">#REF!</definedName>
    <definedName name="_IMP2" localSheetId="1">#REF!</definedName>
    <definedName name="_IMP2">#REF!</definedName>
    <definedName name="_IMP4" localSheetId="0">#REF!</definedName>
    <definedName name="_IMP4" localSheetId="1">#REF!</definedName>
    <definedName name="_IMP4">#REF!</definedName>
    <definedName name="_IMP6" localSheetId="0">#REF!</definedName>
    <definedName name="_IMP6" localSheetId="1">#REF!</definedName>
    <definedName name="_IMP6">#REF!</definedName>
    <definedName name="_IMP7" localSheetId="0">#REF!</definedName>
    <definedName name="_IMP7" localSheetId="1">#REF!</definedName>
    <definedName name="_IMP7">#REF!</definedName>
    <definedName name="_IMP8" localSheetId="0">#REF!</definedName>
    <definedName name="_IMP8" localSheetId="1">#REF!</definedName>
    <definedName name="_IMP8">#REF!</definedName>
    <definedName name="_Kur2002">[8]ONEMLI_OKUYUN!$H$86</definedName>
    <definedName name="_MTS2" localSheetId="0">'[2]Annual Tables'!#REF!</definedName>
    <definedName name="_MTS2" localSheetId="1">'[2]Annual Tables'!#REF!</definedName>
    <definedName name="_MTS2">'[2]Annual Tables'!#REF!</definedName>
    <definedName name="_Order1">255</definedName>
    <definedName name="_Order2">255</definedName>
    <definedName name="_PAG2" localSheetId="0">[2]Index!#REF!</definedName>
    <definedName name="_PAG2" localSheetId="1">[2]Index!#REF!</definedName>
    <definedName name="_PAG2">[2]Index!#REF!</definedName>
    <definedName name="_PAG3" localSheetId="0">[2]Index!#REF!</definedName>
    <definedName name="_PAG3" localSheetId="1">[2]Index!#REF!</definedName>
    <definedName name="_PAG3">[2]Index!#REF!</definedName>
    <definedName name="_PAG4" localSheetId="0">[2]Index!#REF!</definedName>
    <definedName name="_PAG4" localSheetId="1">[2]Index!#REF!</definedName>
    <definedName name="_PAG4">[2]Index!#REF!</definedName>
    <definedName name="_PAG5" localSheetId="0">[2]Index!#REF!</definedName>
    <definedName name="_PAG5" localSheetId="1">[2]Index!#REF!</definedName>
    <definedName name="_PAG5">[2]Index!#REF!</definedName>
    <definedName name="_PAG6" localSheetId="0">[2]Index!#REF!</definedName>
    <definedName name="_PAG6" localSheetId="1">[2]Index!#REF!</definedName>
    <definedName name="_PAG6">[2]Index!#REF!</definedName>
    <definedName name="_PAG7" localSheetId="0">#REF!</definedName>
    <definedName name="_PAG7" localSheetId="1">#REF!</definedName>
    <definedName name="_PAG7">#REF!</definedName>
    <definedName name="_RES2" localSheetId="0">[1]RES!#REF!</definedName>
    <definedName name="_RES2" localSheetId="1">[1]RES!#REF!</definedName>
    <definedName name="_RES2">[1]RES!#REF!</definedName>
    <definedName name="_TAB1" localSheetId="0">#REF!</definedName>
    <definedName name="_TAB1" localSheetId="1">#REF!</definedName>
    <definedName name="_TAB1">#REF!</definedName>
    <definedName name="_TAB10" localSheetId="0">#REF!</definedName>
    <definedName name="_TAB10" localSheetId="1">#REF!</definedName>
    <definedName name="_TAB10">#REF!</definedName>
    <definedName name="_TAB12" localSheetId="0">#REF!</definedName>
    <definedName name="_TAB12" localSheetId="1">#REF!</definedName>
    <definedName name="_TAB12">#REF!</definedName>
    <definedName name="_Tab18">'[9]Soc Sec OECD countries'!$B$5:$P$62</definedName>
    <definedName name="_Tab19" localSheetId="0">#REF!</definedName>
    <definedName name="_Tab19" localSheetId="1">#REF!</definedName>
    <definedName name="_Tab19">#REF!</definedName>
    <definedName name="_TAB2" localSheetId="0">#REF!</definedName>
    <definedName name="_TAB2" localSheetId="1">#REF!</definedName>
    <definedName name="_TAB2">#REF!</definedName>
    <definedName name="_Tab20" localSheetId="0">#REF!</definedName>
    <definedName name="_Tab20" localSheetId="1">#REF!</definedName>
    <definedName name="_Tab20">#REF!</definedName>
    <definedName name="_Tab21" localSheetId="0">#REF!</definedName>
    <definedName name="_Tab21" localSheetId="1">#REF!</definedName>
    <definedName name="_Tab21">#REF!</definedName>
    <definedName name="_Tab22" localSheetId="0">#REF!</definedName>
    <definedName name="_Tab22" localSheetId="1">#REF!</definedName>
    <definedName name="_Tab22">#REF!</definedName>
    <definedName name="_Tab23" localSheetId="0">#REF!</definedName>
    <definedName name="_Tab23" localSheetId="1">#REF!</definedName>
    <definedName name="_Tab23">#REF!</definedName>
    <definedName name="_Tab24" localSheetId="0">#REF!</definedName>
    <definedName name="_Tab24" localSheetId="1">#REF!</definedName>
    <definedName name="_Tab24">#REF!</definedName>
    <definedName name="_Tab26" localSheetId="0">#REF!</definedName>
    <definedName name="_Tab26" localSheetId="1">#REF!</definedName>
    <definedName name="_Tab26">#REF!</definedName>
    <definedName name="_Tab27" localSheetId="0">#REF!</definedName>
    <definedName name="_Tab27" localSheetId="1">#REF!</definedName>
    <definedName name="_Tab27">#REF!</definedName>
    <definedName name="_Tab28" localSheetId="0">#REF!</definedName>
    <definedName name="_Tab28" localSheetId="1">#REF!</definedName>
    <definedName name="_Tab28">#REF!</definedName>
    <definedName name="_Tab29" localSheetId="0">#REF!</definedName>
    <definedName name="_Tab29" localSheetId="1">#REF!</definedName>
    <definedName name="_Tab29">#REF!</definedName>
    <definedName name="_TAB3" localSheetId="0">#REF!</definedName>
    <definedName name="_TAB3" localSheetId="1">#REF!</definedName>
    <definedName name="_TAB3">#REF!</definedName>
    <definedName name="_Tab30" localSheetId="0">#REF!</definedName>
    <definedName name="_Tab30" localSheetId="1">#REF!</definedName>
    <definedName name="_Tab30">#REF!</definedName>
    <definedName name="_Tab31" localSheetId="0">#REF!</definedName>
    <definedName name="_Tab31" localSheetId="1">#REF!</definedName>
    <definedName name="_Tab31">#REF!</definedName>
    <definedName name="_Tab32" localSheetId="0">#REF!</definedName>
    <definedName name="_Tab32" localSheetId="1">#REF!</definedName>
    <definedName name="_Tab32">#REF!</definedName>
    <definedName name="_Tab33" localSheetId="0">#REF!</definedName>
    <definedName name="_Tab33" localSheetId="1">#REF!</definedName>
    <definedName name="_Tab33">#REF!</definedName>
    <definedName name="_Tab34" localSheetId="0">#REF!</definedName>
    <definedName name="_Tab34" localSheetId="1">#REF!</definedName>
    <definedName name="_Tab34">#REF!</definedName>
    <definedName name="_Tab35" localSheetId="0">#REF!</definedName>
    <definedName name="_Tab35" localSheetId="1">#REF!</definedName>
    <definedName name="_Tab35">#REF!</definedName>
    <definedName name="_TAB4" localSheetId="0">#REF!</definedName>
    <definedName name="_TAB4" localSheetId="1">#REF!</definedName>
    <definedName name="_TAB4">#REF!</definedName>
    <definedName name="_TAB5" localSheetId="0">#REF!</definedName>
    <definedName name="_TAB5" localSheetId="1">#REF!</definedName>
    <definedName name="_TAB5">#REF!</definedName>
    <definedName name="_TAB7" localSheetId="0">#REF!</definedName>
    <definedName name="_TAB7" localSheetId="1">#REF!</definedName>
    <definedName name="_TAB7">#REF!</definedName>
    <definedName name="_TAB8" localSheetId="0">#REF!</definedName>
    <definedName name="_TAB8" localSheetId="1">#REF!</definedName>
    <definedName name="_TAB8">#REF!</definedName>
    <definedName name="_Tab9">'[9]Dom GS OECD countries'!$B$5:$P$62</definedName>
    <definedName name="_WEO1" localSheetId="0">#REF!</definedName>
    <definedName name="_WEO1" localSheetId="1">#REF!</definedName>
    <definedName name="_WEO1">#REF!</definedName>
    <definedName name="_WEO2" localSheetId="0">#REF!</definedName>
    <definedName name="_WEO2" localSheetId="1">#REF!</definedName>
    <definedName name="_WEO2">#REF!</definedName>
    <definedName name="a" localSheetId="0">#REF!</definedName>
    <definedName name="a" localSheetId="1">#REF!</definedName>
    <definedName name="a">#REF!</definedName>
    <definedName name="Africa" localSheetId="0">#REF!</definedName>
    <definedName name="Africa" localSheetId="1">#REF!</definedName>
    <definedName name="Africa">#REF!</definedName>
    <definedName name="ar_i_dag">2008</definedName>
    <definedName name="Asia" localSheetId="0">#REF!</definedName>
    <definedName name="Asia" localSheetId="1">#REF!</definedName>
    <definedName name="Asia">#REF!</definedName>
    <definedName name="atrade" localSheetId="0">[4]!atrade</definedName>
    <definedName name="atrade" localSheetId="1">[4]!atrade</definedName>
    <definedName name="atrade">[4]!atrade</definedName>
    <definedName name="b" localSheetId="0">#REF!</definedName>
    <definedName name="b" localSheetId="1">#REF!</definedName>
    <definedName name="b">#REF!</definedName>
    <definedName name="BASDAT" localSheetId="0">'[2]Annual Tables'!#REF!</definedName>
    <definedName name="BASDAT" localSheetId="1">'[2]Annual Tables'!#REF!</definedName>
    <definedName name="BASDAT">'[2]Annual Tables'!#REF!</definedName>
    <definedName name="bb">{"Riqfin97",#N/A,FALSE,"Tran";"Riqfinpro",#N/A,FALSE,"Tran"}</definedName>
    <definedName name="BCA">#REF!</definedName>
    <definedName name="BCA_GDP">#REF!</definedName>
    <definedName name="BE">#REF!</definedName>
    <definedName name="BEAI">#REF!</definedName>
    <definedName name="BEAIB">#REF!</definedName>
    <definedName name="BEAIG">#REF!</definedName>
    <definedName name="BEAP">#REF!</definedName>
    <definedName name="BEAPB">#REF!</definedName>
    <definedName name="BEAPG">#REF!</definedName>
    <definedName name="BEDE" localSheetId="0">#REF!</definedName>
    <definedName name="BEDE" localSheetId="1">#REF!</definedName>
    <definedName name="BEDE">#REF!</definedName>
    <definedName name="BERI">#REF!</definedName>
    <definedName name="BERIB">#REF!</definedName>
    <definedName name="BERIG">#REF!</definedName>
    <definedName name="BERP">#REF!</definedName>
    <definedName name="BERPB">#REF!</definedName>
    <definedName name="BERPG">#REF!</definedName>
    <definedName name="BF">#REF!</definedName>
    <definedName name="BFL">#REF!</definedName>
    <definedName name="BFL_D">#REF!</definedName>
    <definedName name="BFL_DF">#REF!</definedName>
    <definedName name="BFLB">#REF!</definedName>
    <definedName name="BFLB_D">#REF!</definedName>
    <definedName name="BFLB_DF">#REF!</definedName>
    <definedName name="BFLD_DF">#REF!</definedName>
    <definedName name="BFLG">#REF!</definedName>
    <definedName name="BFLG_D">#REF!</definedName>
    <definedName name="BFLG_DF">#REF!</definedName>
    <definedName name="BFRA">#REF!</definedName>
    <definedName name="BI">#REF!</definedName>
    <definedName name="BK">#REF!</definedName>
    <definedName name="BKF">#REF!</definedName>
    <definedName name="BMG">[10]Q6!$E$28:$AH$28</definedName>
    <definedName name="BMII">#REF!</definedName>
    <definedName name="BMIIB">#REF!</definedName>
    <definedName name="BMIIG">#REF!</definedName>
    <definedName name="Bolivia" localSheetId="0">#REF!</definedName>
    <definedName name="Bolivia" localSheetId="1">#REF!</definedName>
    <definedName name="Bolivia">#REF!</definedName>
    <definedName name="BOP">#REF!</definedName>
    <definedName name="Brazil" localSheetId="0">#REF!</definedName>
    <definedName name="Brazil" localSheetId="1">#REF!</definedName>
    <definedName name="Brazil">#REF!</definedName>
    <definedName name="Budget_expenditure" localSheetId="0">#REF!</definedName>
    <definedName name="Budget_expenditure" localSheetId="1">#REF!</definedName>
    <definedName name="Budget_expenditure">#REF!</definedName>
    <definedName name="Budget_revenue" localSheetId="0">#REF!</definedName>
    <definedName name="Budget_revenue" localSheetId="1">#REF!</definedName>
    <definedName name="Budget_revenue">#REF!</definedName>
    <definedName name="BXG">[10]Q6!$E$26:$AH$26</definedName>
    <definedName name="calcNGS_NGDP">#REF!</definedName>
    <definedName name="cc">{"Riqfin97",#N/A,FALSE,"Tran";"Riqfinpro",#N/A,FALSE,"Tran"}</definedName>
    <definedName name="ccc">{"Riqfin97",#N/A,FALSE,"Tran";"Riqfinpro",#N/A,FALSE,"Tran"}</definedName>
    <definedName name="CEE_BRO" localSheetId="0">#REF!</definedName>
    <definedName name="CEE_BRO" localSheetId="1">#REF!</definedName>
    <definedName name="CEE_BRO">#REF!</definedName>
    <definedName name="CHILE" localSheetId="0">#REF!</definedName>
    <definedName name="CHILE" localSheetId="1">#REF!</definedName>
    <definedName name="CHILE">#REF!</definedName>
    <definedName name="CHK" localSheetId="0">#REF!</definedName>
    <definedName name="CHK" localSheetId="1">#REF!</definedName>
    <definedName name="CHK">#REF!</definedName>
    <definedName name="cntryname">'[11]country name lookup'!$A$1:$B$50</definedName>
    <definedName name="CONCK" localSheetId="0">#REF!</definedName>
    <definedName name="CONCK" localSheetId="1">#REF!</definedName>
    <definedName name="CONCK">#REF!</definedName>
    <definedName name="Cons" localSheetId="0">#REF!</definedName>
    <definedName name="Cons" localSheetId="1">#REF!</definedName>
    <definedName name="Cons">#REF!</definedName>
    <definedName name="Consumption_HP" localSheetId="0">#REF!</definedName>
    <definedName name="Consumption_HP" localSheetId="1">#REF!</definedName>
    <definedName name="Consumption_HP">#REF!</definedName>
    <definedName name="CurrVintage">'[12]A Current Data'!$D$60</definedName>
    <definedName name="DABproj">#REF!</definedName>
    <definedName name="DAGproj">#REF!</definedName>
    <definedName name="DAproj">#REF!</definedName>
    <definedName name="DASD">#REF!</definedName>
    <definedName name="DASDB">#REF!</definedName>
    <definedName name="DASDG">#REF!</definedName>
    <definedName name="Date">'[12]A Current Data'!$D$61</definedName>
    <definedName name="dates" localSheetId="0">#REF!</definedName>
    <definedName name="dates" localSheetId="1">#REF!</definedName>
    <definedName name="dates">#REF!</definedName>
    <definedName name="dates_w" localSheetId="0">#REF!</definedName>
    <definedName name="dates_w" localSheetId="1">#REF!</definedName>
    <definedName name="dates_w">#REF!</definedName>
    <definedName name="DBproj">#REF!</definedName>
    <definedName name="dd">{"Riqfin97",#N/A,FALSE,"Tran";"Riqfinpro",#N/A,FALSE,"Tran"}</definedName>
    <definedName name="ddd">{"Riqfin97",#N/A,FALSE,"Tran";"Riqfinpro",#N/A,FALSE,"Tran"}</definedName>
    <definedName name="DEBT1" localSheetId="0">#REF!</definedName>
    <definedName name="DEBT1" localSheetId="1">#REF!</definedName>
    <definedName name="DEBT1">#REF!</definedName>
    <definedName name="DEBT10" localSheetId="0">#REF!</definedName>
    <definedName name="DEBT10" localSheetId="1">#REF!</definedName>
    <definedName name="DEBT10">#REF!</definedName>
    <definedName name="DEBT11" localSheetId="0">#REF!</definedName>
    <definedName name="DEBT11" localSheetId="1">#REF!</definedName>
    <definedName name="DEBT11">#REF!</definedName>
    <definedName name="DEBT12" localSheetId="0">#REF!</definedName>
    <definedName name="DEBT12" localSheetId="1">#REF!</definedName>
    <definedName name="DEBT12">#REF!</definedName>
    <definedName name="DEBT13" localSheetId="0">#REF!</definedName>
    <definedName name="DEBT13" localSheetId="1">#REF!</definedName>
    <definedName name="DEBT13">#REF!</definedName>
    <definedName name="DEBT14" localSheetId="0">#REF!</definedName>
    <definedName name="DEBT14" localSheetId="1">#REF!</definedName>
    <definedName name="DEBT14">#REF!</definedName>
    <definedName name="DEBT15" localSheetId="0">#REF!</definedName>
    <definedName name="DEBT15" localSheetId="1">#REF!</definedName>
    <definedName name="DEBT15">#REF!</definedName>
    <definedName name="DEBT16" localSheetId="0">#REF!</definedName>
    <definedName name="DEBT16" localSheetId="1">#REF!</definedName>
    <definedName name="DEBT16">#REF!</definedName>
    <definedName name="DEBT2" localSheetId="0">#REF!</definedName>
    <definedName name="DEBT2" localSheetId="1">#REF!</definedName>
    <definedName name="DEBT2">#REF!</definedName>
    <definedName name="DEBT3" localSheetId="0">#REF!</definedName>
    <definedName name="DEBT3" localSheetId="1">#REF!</definedName>
    <definedName name="DEBT3">#REF!</definedName>
    <definedName name="DEBT4" localSheetId="0">#REF!</definedName>
    <definedName name="DEBT4" localSheetId="1">#REF!</definedName>
    <definedName name="DEBT4">#REF!</definedName>
    <definedName name="DEBT5" localSheetId="0">#REF!</definedName>
    <definedName name="DEBT5" localSheetId="1">#REF!</definedName>
    <definedName name="DEBT5">#REF!</definedName>
    <definedName name="DEBT6" localSheetId="0">#REF!</definedName>
    <definedName name="DEBT6" localSheetId="1">#REF!</definedName>
    <definedName name="DEBT6">#REF!</definedName>
    <definedName name="DEBT7" localSheetId="0">#REF!</definedName>
    <definedName name="DEBT7" localSheetId="1">#REF!</definedName>
    <definedName name="DEBT7">#REF!</definedName>
    <definedName name="DEBT8" localSheetId="0">#REF!</definedName>
    <definedName name="DEBT8" localSheetId="1">#REF!</definedName>
    <definedName name="DEBT8">#REF!</definedName>
    <definedName name="DEBT9" localSheetId="0">#REF!</definedName>
    <definedName name="DEBT9" localSheetId="1">#REF!</definedName>
    <definedName name="DEBT9">#REF!</definedName>
    <definedName name="DGproj">#REF!</definedName>
    <definedName name="DME_Dirty">"False"</definedName>
    <definedName name="DME_LocalFile">"True"</definedName>
    <definedName name="Dproj">#REF!</definedName>
    <definedName name="DSD">#REF!</definedName>
    <definedName name="DSD_S">#REF!</definedName>
    <definedName name="DSDB">#REF!</definedName>
    <definedName name="DSDG">#REF!</definedName>
    <definedName name="DSIBproj">#REF!</definedName>
    <definedName name="DSIGproj">#REF!</definedName>
    <definedName name="DSIproj">#REF!</definedName>
    <definedName name="DSISD">#REF!</definedName>
    <definedName name="DSISDB">#REF!</definedName>
    <definedName name="DSISDG">#REF!</definedName>
    <definedName name="DSPBproj">#REF!</definedName>
    <definedName name="DSPGproj">#REF!</definedName>
    <definedName name="DSPproj">#REF!</definedName>
    <definedName name="DSPSD">#REF!</definedName>
    <definedName name="DSPSDB">#REF!</definedName>
    <definedName name="DSPSDG">#REF!</definedName>
    <definedName name="EDNA">#REF!</definedName>
    <definedName name="ee">{"Tab1",#N/A,FALSE,"P";"Tab2",#N/A,FALSE,"P"}</definedName>
    <definedName name="eee">{"Tab1",#N/A,FALSE,"P";"Tab2",#N/A,FALSE,"P"}</definedName>
    <definedName name="Efn_hmb__DB">[13]EFN_HMB_!$A$1:$D$250</definedName>
    <definedName name="Efn_man__DB">[14]EFN_MAN_!$A$1:$D$226</definedName>
    <definedName name="elect" localSheetId="0">#REF!</definedName>
    <definedName name="elect" localSheetId="1">#REF!</definedName>
    <definedName name="elect">#REF!</definedName>
    <definedName name="EMETEL" localSheetId="0">#REF!</definedName>
    <definedName name="EMETEL" localSheetId="1">#REF!</definedName>
    <definedName name="EMETEL">#REF!</definedName>
    <definedName name="ENDA">#REF!</definedName>
    <definedName name="EUI" localSheetId="0">#REF!</definedName>
    <definedName name="EUI" localSheetId="1">#REF!</definedName>
    <definedName name="EUI">#REF!</definedName>
    <definedName name="ff">{"Tab1",#N/A,FALSE,"P";"Tab2",#N/A,FALSE,"P"}</definedName>
    <definedName name="fff">{"Tab1",#N/A,FALSE,"P";"Tab2",#N/A,FALSE,"P"}</definedName>
    <definedName name="finan" localSheetId="0">#REF!</definedName>
    <definedName name="finan" localSheetId="1">#REF!</definedName>
    <definedName name="finan">#REF!</definedName>
    <definedName name="finan1" localSheetId="0">#REF!</definedName>
    <definedName name="finan1" localSheetId="1">#REF!</definedName>
    <definedName name="finan1">#REF!</definedName>
    <definedName name="Financing">{"Tab1",#N/A,FALSE,"P";"Tab2",#N/A,FALSE,"P"}</definedName>
    <definedName name="FISUM" localSheetId="0">#REF!</definedName>
    <definedName name="FISUM" localSheetId="1">#REF!</definedName>
    <definedName name="FISUM">#REF!</definedName>
    <definedName name="FLOPEC" localSheetId="0">#REF!</definedName>
    <definedName name="FLOPEC" localSheetId="1">#REF!</definedName>
    <definedName name="FLOPEC">#REF!</definedName>
    <definedName name="FODESEC" localSheetId="0">#REF!</definedName>
    <definedName name="FODESEC" localSheetId="1">#REF!</definedName>
    <definedName name="FODESEC">#REF!</definedName>
    <definedName name="g" localSheetId="0">#REF!</definedName>
    <definedName name="g" localSheetId="1">#REF!</definedName>
    <definedName name="g">#REF!</definedName>
    <definedName name="GCB_NGDP">#REF!</definedName>
    <definedName name="GGB_NGDP">#REF!</definedName>
    <definedName name="ggg">{"Riqfin97",#N/A,FALSE,"Tran";"Riqfinpro",#N/A,FALSE,"Tran"}</definedName>
    <definedName name="ggggg" localSheetId="0">[4]!mflowsq</definedName>
    <definedName name="ggggg" localSheetId="1">[4]!mflowsq</definedName>
    <definedName name="ggggg">[4]!mflowsq</definedName>
    <definedName name="hhh" localSheetId="0">'[15]J(Priv.Cap)'!#REF!</definedName>
    <definedName name="hhh" localSheetId="1">'[15]J(Priv.Cap)'!#REF!</definedName>
    <definedName name="hhh">'[15]J(Priv.Cap)'!#REF!</definedName>
    <definedName name="HTML_CodePage">1254</definedName>
    <definedName name="HTML_Control">{"'Sheet1'!$A$1:$Q$33"}</definedName>
    <definedName name="HTML_Description">""</definedName>
    <definedName name="HTML_Email">"vayvadae@pm.treasury.gov.tr"</definedName>
    <definedName name="HTML_Header">""</definedName>
    <definedName name="HTML_LastUpdate">"29.04.99"</definedName>
    <definedName name="HTML_LineAfter">FALSE</definedName>
    <definedName name="HTML_LineBefore">FALSE</definedName>
    <definedName name="HTML_Name">"Eylem Vayvada"</definedName>
    <definedName name="HTML_OBDlg2">TRUE</definedName>
    <definedName name="HTML_OBDlg4">TRUE</definedName>
    <definedName name="HTML_OS">0</definedName>
    <definedName name="HTML_PathFile">"L:\icborc\EYLEM\yeniduzen\ekleme\ti13.htm"</definedName>
    <definedName name="HTML_Title">"ICBORCLANMANIN VADE YAPISI"</definedName>
    <definedName name="i" localSheetId="0">#REF!</definedName>
    <definedName name="i" localSheetId="1">#REF!</definedName>
    <definedName name="i">#REF!</definedName>
    <definedName name="IESS" localSheetId="0">#REF!</definedName>
    <definedName name="IESS" localSheetId="1">#REF!</definedName>
    <definedName name="IESS">#REF!</definedName>
    <definedName name="ii">{"Tab1",#N/A,FALSE,"P";"Tab2",#N/A,FALSE,"P"}</definedName>
    <definedName name="ima" localSheetId="0">#REF!</definedName>
    <definedName name="ima" localSheetId="1">#REF!</definedName>
    <definedName name="ima">#REF!</definedName>
    <definedName name="ind" localSheetId="0">#REF!</definedName>
    <definedName name="ind" localSheetId="1">#REF!</definedName>
    <definedName name="ind">#REF!</definedName>
    <definedName name="INECEL" localSheetId="0">#REF!</definedName>
    <definedName name="INECEL" localSheetId="1">#REF!</definedName>
    <definedName name="INECEL">#REF!</definedName>
    <definedName name="INPUT_2" localSheetId="0">[1]Input!#REF!</definedName>
    <definedName name="INPUT_2" localSheetId="1">[1]Input!#REF!</definedName>
    <definedName name="INPUT_2">[1]Input!#REF!</definedName>
    <definedName name="INPUT_4" localSheetId="0">[1]Input!#REF!</definedName>
    <definedName name="INPUT_4" localSheetId="1">[1]Input!#REF!</definedName>
    <definedName name="INPUT_4">[1]Input!#REF!</definedName>
    <definedName name="jj">{"Riqfin97",#N/A,FALSE,"Tran";"Riqfinpro",#N/A,FALSE,"Tran"}</definedName>
    <definedName name="jjj" localSheetId="0">[16]M!#REF!</definedName>
    <definedName name="jjj" localSheetId="1">[16]M!#REF!</definedName>
    <definedName name="jjj">[16]M!#REF!</definedName>
    <definedName name="jjjjjj" localSheetId="0">'[17]J(Priv.Cap)'!#REF!</definedName>
    <definedName name="jjjjjj" localSheetId="1">'[17]J(Priv.Cap)'!#REF!</definedName>
    <definedName name="jjjjjj">'[17]J(Priv.Cap)'!#REF!</definedName>
    <definedName name="kk">{"Tab1",#N/A,FALSE,"P";"Tab2",#N/A,FALSE,"P"}</definedName>
    <definedName name="kkk">{"Tab1",#N/A,FALSE,"P";"Tab2",#N/A,FALSE,"P"}</definedName>
    <definedName name="kkkk" localSheetId="0">[18]M!#REF!</definedName>
    <definedName name="kkkk" localSheetId="1">[18]M!#REF!</definedName>
    <definedName name="kkkk">[18]M!#REF!</definedName>
    <definedName name="ll">{"Tab1",#N/A,FALSE,"P";"Tab2",#N/A,FALSE,"P"}</definedName>
    <definedName name="lll">{"Riqfin97",#N/A,FALSE,"Tran";"Riqfinpro",#N/A,FALSE,"Tran"}</definedName>
    <definedName name="llll" localSheetId="0">[16]M!#REF!</definedName>
    <definedName name="llll" localSheetId="1">[16]M!#REF!</definedName>
    <definedName name="llll">[16]M!#REF!</definedName>
    <definedName name="LUR">#REF!</definedName>
    <definedName name="Malaysia" localSheetId="0">#REF!</definedName>
    <definedName name="Malaysia" localSheetId="1">#REF!</definedName>
    <definedName name="Malaysia">#REF!</definedName>
    <definedName name="MCV">#REF!</definedName>
    <definedName name="MCV_B">#REF!</definedName>
    <definedName name="MCV_D">#REF!</definedName>
    <definedName name="MCV_N">#REF!</definedName>
    <definedName name="MCV_T">#REF!</definedName>
    <definedName name="MED" localSheetId="0">#REF!</definedName>
    <definedName name="MED" localSheetId="1">#REF!</definedName>
    <definedName name="MED">#REF!</definedName>
    <definedName name="MENORES" localSheetId="0">#REF!</definedName>
    <definedName name="MENORES" localSheetId="1">#REF!</definedName>
    <definedName name="MENORES">#REF!</definedName>
    <definedName name="MFISCAL" localSheetId="0">'[2]Annual Raw Data'!#REF!</definedName>
    <definedName name="MFISCAL" localSheetId="1">'[2]Annual Raw Data'!#REF!</definedName>
    <definedName name="MFISCAL">'[2]Annual Raw Data'!#REF!</definedName>
    <definedName name="mflowsa" localSheetId="0">[4]!mflowsa</definedName>
    <definedName name="mflowsa" localSheetId="1">[4]!mflowsa</definedName>
    <definedName name="mflowsa">[4]!mflowsa</definedName>
    <definedName name="mflowsq" localSheetId="0">[4]!mflowsq</definedName>
    <definedName name="mflowsq" localSheetId="1">[4]!mflowsq</definedName>
    <definedName name="mflowsq">[4]!mflowsq</definedName>
    <definedName name="MICRO" localSheetId="0">#REF!</definedName>
    <definedName name="MICRO" localSheetId="1">#REF!</definedName>
    <definedName name="MICRO">#REF!</definedName>
    <definedName name="MISC3" localSheetId="0">#REF!</definedName>
    <definedName name="MISC3" localSheetId="1">#REF!</definedName>
    <definedName name="MISC3">#REF!</definedName>
    <definedName name="MISC4" localSheetId="0">[1]OUTPUT!#REF!</definedName>
    <definedName name="MISC4" localSheetId="1">[1]OUTPUT!#REF!</definedName>
    <definedName name="MISC4">[1]OUTPUT!#REF!</definedName>
    <definedName name="mmm">{"Riqfin97",#N/A,FALSE,"Tran";"Riqfinpro",#N/A,FALSE,"Tran"}</definedName>
    <definedName name="mmmm">{"Tab1",#N/A,FALSE,"P";"Tab2",#N/A,FALSE,"P"}</definedName>
    <definedName name="MON_SM" localSheetId="0">#REF!</definedName>
    <definedName name="MON_SM" localSheetId="1">#REF!</definedName>
    <definedName name="MON_SM">#REF!</definedName>
    <definedName name="MONF_SM" localSheetId="0">#REF!</definedName>
    <definedName name="MONF_SM" localSheetId="1">#REF!</definedName>
    <definedName name="MONF_SM">#REF!</definedName>
    <definedName name="mstocksa" localSheetId="0">[4]!mstocksa</definedName>
    <definedName name="mstocksa" localSheetId="1">[4]!mstocksa</definedName>
    <definedName name="mstocksa">[4]!mstocksa</definedName>
    <definedName name="mstocksq" localSheetId="0">[4]!mstocksq</definedName>
    <definedName name="mstocksq" localSheetId="1">[4]!mstocksq</definedName>
    <definedName name="mstocksq">[4]!mstocksq</definedName>
    <definedName name="Municipios" localSheetId="0">#REF!</definedName>
    <definedName name="Municipios" localSheetId="1">#REF!</definedName>
    <definedName name="Municipios">#REF!</definedName>
    <definedName name="names" localSheetId="0">#REF!</definedName>
    <definedName name="names" localSheetId="1">#REF!</definedName>
    <definedName name="names">#REF!</definedName>
    <definedName name="names_w" localSheetId="0">#REF!</definedName>
    <definedName name="names_w" localSheetId="1">#REF!</definedName>
    <definedName name="names_w">#REF!</definedName>
    <definedName name="NCG">#REF!</definedName>
    <definedName name="NCG_R">#REF!</definedName>
    <definedName name="NCP">#REF!</definedName>
    <definedName name="NCP_R">#REF!</definedName>
    <definedName name="NFI">#REF!</definedName>
    <definedName name="NFI_R">#REF!</definedName>
    <definedName name="NGDP">#REF!</definedName>
    <definedName name="NGDP_DG">#REF!</definedName>
    <definedName name="NGDP_R">#REF!</definedName>
    <definedName name="NGDP_RG">#REF!</definedName>
    <definedName name="NGDPA" localSheetId="0">#REF!</definedName>
    <definedName name="NGDPA" localSheetId="1">#REF!</definedName>
    <definedName name="NGDPA">#REF!</definedName>
    <definedName name="NGS_NGDP">#REF!</definedName>
    <definedName name="NINV">#REF!</definedName>
    <definedName name="NINV_R">#REF!</definedName>
    <definedName name="NM">#REF!</definedName>
    <definedName name="NM_R">#REF!</definedName>
    <definedName name="NMG_RG">#REF!</definedName>
    <definedName name="nn">{"Riqfin97",#N/A,FALSE,"Tran";"Riqfinpro",#N/A,FALSE,"Tran"}</definedName>
    <definedName name="nnn">{"Tab1",#N/A,FALSE,"P";"Tab2",#N/A,FALSE,"P"}</definedName>
    <definedName name="NTDD_RG">#REF!</definedName>
    <definedName name="NX">#REF!</definedName>
    <definedName name="NX_R">#REF!</definedName>
    <definedName name="NXG_RG">#REF!</definedName>
    <definedName name="OECD">'[9]VAT rates OECD Countries'!$B$5:$G$68</definedName>
    <definedName name="oo">{"Riqfin97",#N/A,FALSE,"Tran";"Riqfinpro",#N/A,FALSE,"Tran"}</definedName>
    <definedName name="ooo">{"Tab1",#N/A,FALSE,"P";"Tab2",#N/A,FALSE,"P"}</definedName>
    <definedName name="Otras_Residuales" localSheetId="0">#REF!</definedName>
    <definedName name="Otras_Residuales" localSheetId="1">#REF!</definedName>
    <definedName name="Otras_Residuales">#REF!</definedName>
    <definedName name="p">{"Riqfin97",#N/A,FALSE,"Tran";"Riqfinpro",#N/A,FALSE,"Tran"}</definedName>
    <definedName name="Part1" localSheetId="0">#REF!</definedName>
    <definedName name="Part1" localSheetId="1">#REF!</definedName>
    <definedName name="Part1">#REF!</definedName>
    <definedName name="PCPIG">#REF!</definedName>
    <definedName name="Petroecuador" localSheetId="0">#REF!</definedName>
    <definedName name="Petroecuador" localSheetId="1">#REF!</definedName>
    <definedName name="Petroecuador">#REF!</definedName>
    <definedName name="Ports" localSheetId="0">#REF!</definedName>
    <definedName name="Ports" localSheetId="1">#REF!</definedName>
    <definedName name="Ports">#REF!</definedName>
    <definedName name="pp">{"Riqfin97",#N/A,FALSE,"Tran";"Riqfinpro",#N/A,FALSE,"Tran"}</definedName>
    <definedName name="ppp">{"Riqfin97",#N/A,FALSE,"Tran";"Riqfinpro",#N/A,FALSE,"Tran"}</definedName>
    <definedName name="PPPWGT">#REF!</definedName>
    <definedName name="Q6_" localSheetId="0">#REF!</definedName>
    <definedName name="Q6_" localSheetId="1">#REF!</definedName>
    <definedName name="Q6_">#REF!</definedName>
    <definedName name="QFISCAL" localSheetId="0">'[2]Quarterly Raw Data'!#REF!</definedName>
    <definedName name="QFISCAL" localSheetId="1">'[2]Quarterly Raw Data'!#REF!</definedName>
    <definedName name="QFISCAL">'[2]Quarterly Raw Data'!#REF!</definedName>
    <definedName name="qq" localSheetId="0">'[15]J(Priv.Cap)'!#REF!</definedName>
    <definedName name="qq" localSheetId="1">'[15]J(Priv.Cap)'!#REF!</definedName>
    <definedName name="qq">'[15]J(Priv.Cap)'!#REF!</definedName>
    <definedName name="QTAB7" localSheetId="0">'[2]Quarterly MacroFlow'!#REF!</definedName>
    <definedName name="QTAB7" localSheetId="1">'[2]Quarterly MacroFlow'!#REF!</definedName>
    <definedName name="QTAB7">'[2]Quarterly MacroFlow'!#REF!</definedName>
    <definedName name="QTAB7A" localSheetId="0">'[2]Quarterly MacroFlow'!#REF!</definedName>
    <definedName name="QTAB7A" localSheetId="1">'[2]Quarterly MacroFlow'!#REF!</definedName>
    <definedName name="QTAB7A">'[2]Quarterly MacroFlow'!#REF!</definedName>
    <definedName name="QW" localSheetId="0">#REF!</definedName>
    <definedName name="QW" localSheetId="1">#REF!</definedName>
    <definedName name="QW">#REF!</definedName>
    <definedName name="REDTbl3" localSheetId="0">#REF!</definedName>
    <definedName name="REDTbl3" localSheetId="1">#REF!</definedName>
    <definedName name="REDTbl3">#REF!</definedName>
    <definedName name="REDTbl4" localSheetId="0">#REF!</definedName>
    <definedName name="REDTbl4" localSheetId="1">#REF!</definedName>
    <definedName name="REDTbl4">#REF!</definedName>
    <definedName name="REDTbl5" localSheetId="0">#REF!</definedName>
    <definedName name="REDTbl5" localSheetId="1">#REF!</definedName>
    <definedName name="REDTbl5">#REF!</definedName>
    <definedName name="REDTbl6" localSheetId="0">#REF!</definedName>
    <definedName name="REDTbl6" localSheetId="1">#REF!</definedName>
    <definedName name="REDTbl6">#REF!</definedName>
    <definedName name="REDTbl7" localSheetId="0">#REF!</definedName>
    <definedName name="REDTbl7" localSheetId="1">#REF!</definedName>
    <definedName name="REDTbl7">#REF!</definedName>
    <definedName name="RGDPA" localSheetId="0">#REF!</definedName>
    <definedName name="RGDPA" localSheetId="1">#REF!</definedName>
    <definedName name="RGDPA">#REF!</definedName>
    <definedName name="RGSPA" localSheetId="0">#REF!</definedName>
    <definedName name="RGSPA" localSheetId="1">#REF!</definedName>
    <definedName name="RGSPA">#REF!</definedName>
    <definedName name="rr">{"Riqfin97",#N/A,FALSE,"Tran";"Riqfinpro",#N/A,FALSE,"Tran"}</definedName>
    <definedName name="rrr">{"Riqfin97",#N/A,FALSE,"Tran";"Riqfinpro",#N/A,FALSE,"Tran"}</definedName>
    <definedName name="rrttttttttttttttttttt" localSheetId="0">'[2]Annual Tables'!#REF!</definedName>
    <definedName name="rrttttttttttttttttttt" localSheetId="1">'[2]Annual Tables'!#REF!</definedName>
    <definedName name="rrttttttttttttttttttt">'[2]Annual Tables'!#REF!</definedName>
    <definedName name="SS">[19]IMATA!$B$45:$B$108</definedName>
    <definedName name="TAB1A" localSheetId="0">#REF!</definedName>
    <definedName name="TAB1A" localSheetId="1">#REF!</definedName>
    <definedName name="TAB1A">#REF!</definedName>
    <definedName name="TAB1CK" localSheetId="0">#REF!</definedName>
    <definedName name="TAB1CK" localSheetId="1">#REF!</definedName>
    <definedName name="TAB1CK">#REF!</definedName>
    <definedName name="Tab25a" localSheetId="0">#REF!</definedName>
    <definedName name="Tab25a" localSheetId="1">#REF!</definedName>
    <definedName name="Tab25a">#REF!</definedName>
    <definedName name="Tab25b" localSheetId="0">#REF!</definedName>
    <definedName name="Tab25b" localSheetId="1">#REF!</definedName>
    <definedName name="Tab25b">#REF!</definedName>
    <definedName name="TAB2A" localSheetId="0">#REF!</definedName>
    <definedName name="TAB2A" localSheetId="1">#REF!</definedName>
    <definedName name="TAB2A">#REF!</definedName>
    <definedName name="TAB5A" localSheetId="0">#REF!</definedName>
    <definedName name="TAB5A" localSheetId="1">#REF!</definedName>
    <definedName name="TAB5A">#REF!</definedName>
    <definedName name="TAB6A" localSheetId="0">'[2]Annual Tables'!#REF!</definedName>
    <definedName name="TAB6A" localSheetId="1">'[2]Annual Tables'!#REF!</definedName>
    <definedName name="TAB6A">'[2]Annual Tables'!#REF!</definedName>
    <definedName name="TAB6B" localSheetId="0">'[2]Annual Tables'!#REF!</definedName>
    <definedName name="TAB6B" localSheetId="1">'[2]Annual Tables'!#REF!</definedName>
    <definedName name="TAB6B">'[2]Annual Tables'!#REF!</definedName>
    <definedName name="TAB6C" localSheetId="0">#REF!</definedName>
    <definedName name="TAB6C" localSheetId="1">#REF!</definedName>
    <definedName name="TAB6C">#REF!</definedName>
    <definedName name="TAB7A" localSheetId="0">#REF!</definedName>
    <definedName name="TAB7A" localSheetId="1">#REF!</definedName>
    <definedName name="TAB7A">#REF!</definedName>
    <definedName name="Table__47">[20]RED47!$A$1:$I$53</definedName>
    <definedName name="Table_2._Country_X___Public_Sector_Financing_1" localSheetId="0">#REF!</definedName>
    <definedName name="Table_2._Country_X___Public_Sector_Financing_1" localSheetId="1">#REF!</definedName>
    <definedName name="Table_2._Country_X___Public_Sector_Financing_1">#REF!</definedName>
    <definedName name="Table_4SR" localSheetId="0">#REF!</definedName>
    <definedName name="Table_4SR" localSheetId="1">#REF!</definedName>
    <definedName name="Table_4SR">#REF!</definedName>
    <definedName name="TAME" localSheetId="0">#REF!</definedName>
    <definedName name="TAME" localSheetId="1">#REF!</definedName>
    <definedName name="TAME">#REF!</definedName>
    <definedName name="Tegsun_DB">[21]tegsun!$A$1:$F$1136</definedName>
    <definedName name="TMG_D">[10]Q5!$E$23:$AH$23</definedName>
    <definedName name="TMGO">#REF!</definedName>
    <definedName name="Total_Consumption" localSheetId="0">#REF!</definedName>
    <definedName name="Total_Consumption" localSheetId="1">#REF!</definedName>
    <definedName name="Total_Consumption">#REF!</definedName>
    <definedName name="TOWEO" localSheetId="0">#REF!</definedName>
    <definedName name="TOWEO" localSheetId="1">#REF!</definedName>
    <definedName name="TOWEO">#REF!</definedName>
    <definedName name="TPD" localSheetId="0">#REF!</definedName>
    <definedName name="TPD" localSheetId="1">#REF!</definedName>
    <definedName name="TPD">#REF!</definedName>
    <definedName name="TRADE3" localSheetId="0">[1]Trade!#REF!</definedName>
    <definedName name="TRADE3" localSheetId="1">[1]Trade!#REF!</definedName>
    <definedName name="TRADE3">[1]Trade!#REF!</definedName>
    <definedName name="trans" localSheetId="0">#REF!</definedName>
    <definedName name="trans" localSheetId="1">#REF!</definedName>
    <definedName name="trans">#REF!</definedName>
    <definedName name="Transfer_check" localSheetId="0">#REF!</definedName>
    <definedName name="Transfer_check" localSheetId="1">#REF!</definedName>
    <definedName name="Transfer_check">#REF!</definedName>
    <definedName name="TRANSNAVE" localSheetId="0">#REF!</definedName>
    <definedName name="TRANSNAVE" localSheetId="1">#REF!</definedName>
    <definedName name="TRANSNAVE">#REF!</definedName>
    <definedName name="tt">{"Tab1",#N/A,FALSE,"P";"Tab2",#N/A,FALSE,"P"}</definedName>
    <definedName name="ttt">{"Tab1",#N/A,FALSE,"P";"Tab2",#N/A,FALSE,"P"}</definedName>
    <definedName name="ttttt" localSheetId="0">[16]M!#REF!</definedName>
    <definedName name="ttttt" localSheetId="1">[16]M!#REF!</definedName>
    <definedName name="ttttt">[16]M!#REF!</definedName>
    <definedName name="tttttttttttttttttt" localSheetId="0">[2]Index!#REF!</definedName>
    <definedName name="tttttttttttttttttt" localSheetId="1">[2]Index!#REF!</definedName>
    <definedName name="tttttttttttttttttt">[2]Index!#REF!</definedName>
    <definedName name="TXG_D">#REF!</definedName>
    <definedName name="TXGO">#REF!</definedName>
    <definedName name="Universities" localSheetId="0">#REF!</definedName>
    <definedName name="Universities" localSheetId="1">#REF!</definedName>
    <definedName name="Universities">#REF!</definedName>
    <definedName name="Uruguay" localSheetId="0">#REF!</definedName>
    <definedName name="Uruguay" localSheetId="1">#REF!</definedName>
    <definedName name="Uruguay">#REF!</definedName>
    <definedName name="uu">{"Riqfin97",#N/A,FALSE,"Tran";"Riqfinpro",#N/A,FALSE,"Tran"}</definedName>
    <definedName name="uuu">{"Riqfin97",#N/A,FALSE,"Tran";"Riqfinpro",#N/A,FALSE,"Tran"}</definedName>
    <definedName name="Venezuela" localSheetId="0">#REF!</definedName>
    <definedName name="Venezuela" localSheetId="1">#REF!</definedName>
    <definedName name="Venezuela">#REF!</definedName>
    <definedName name="vv">{"Tab1",#N/A,FALSE,"P";"Tab2",#N/A,FALSE,"P"}</definedName>
    <definedName name="vvv">{"Tab1",#N/A,FALSE,"P";"Tab2",#N/A,FALSE,"P"}</definedName>
    <definedName name="WHD" localSheetId="0">#REF!</definedName>
    <definedName name="WHD" localSheetId="1">#REF!</definedName>
    <definedName name="WHD">#REF!</definedName>
    <definedName name="wrn.Program.">{"Tab1",#N/A,FALSE,"P";"Tab2",#N/A,FALSE,"P"}</definedName>
    <definedName name="wrn.Riqfin.">{"Riqfin97",#N/A,FALSE,"Tran";"Riqfinpro",#N/A,FALSE,"Tran"}</definedName>
    <definedName name="ww" localSheetId="0">[16]M!#REF!</definedName>
    <definedName name="ww" localSheetId="1">[16]M!#REF!</definedName>
    <definedName name="ww">[16]M!#REF!</definedName>
    <definedName name="www">{"Riqfin97",#N/A,FALSE,"Tran";"Riqfinpro",#N/A,FALSE,"Tran"}</definedName>
    <definedName name="wwwwww" localSheetId="0">[4]!atrade</definedName>
    <definedName name="wwwwww" localSheetId="1">[4]!atrade</definedName>
    <definedName name="wwwwww">[4]!atrade</definedName>
    <definedName name="wwwwwwwwwwwwwwww" localSheetId="0">[4]!mstocksa</definedName>
    <definedName name="wwwwwwwwwwwwwwww" localSheetId="1">[4]!mstocksa</definedName>
    <definedName name="wwwwwwwwwwwwwwww">[4]!mstocksa</definedName>
    <definedName name="x" localSheetId="0">#REF!</definedName>
    <definedName name="x" localSheetId="1">#REF!</definedName>
    <definedName name="x">#REF!</definedName>
    <definedName name="xx">{"Riqfin97",#N/A,FALSE,"Tran";"Riqfinpro",#N/A,FALSE,"Tran"}</definedName>
    <definedName name="xxx" localSheetId="0">[4]!'[Macros Import].qbop'</definedName>
    <definedName name="xxx" localSheetId="1">[4]!'[Macros Import].qbop'</definedName>
    <definedName name="xxx">[4]!'[Macros Import].qbop'</definedName>
    <definedName name="xxxx" localSheetId="0">[4]!'[Macros Import].qbop'</definedName>
    <definedName name="xxxx" localSheetId="1">[4]!'[Macros Import].qbop'</definedName>
    <definedName name="xxxx">[4]!'[Macros Import].qbop'</definedName>
    <definedName name="xxxxx" localSheetId="0">[4]!mstocksq</definedName>
    <definedName name="xxxxx" localSheetId="1">[4]!mstocksq</definedName>
    <definedName name="xxxxx">[4]!mstocksq</definedName>
    <definedName name="xxxxxxxxxxx" localSheetId="0">[4]!mstocksq</definedName>
    <definedName name="xxxxxxxxxxx" localSheetId="1">[4]!mstocksq</definedName>
    <definedName name="xxxxxxxxxxx">[4]!mstocksq</definedName>
    <definedName name="yy">{"Tab1",#N/A,FALSE,"P";"Tab2",#N/A,FALSE,"P"}</definedName>
    <definedName name="yyy">{"Tab1",#N/A,FALSE,"P";"Tab2",#N/A,FALSE,"P"}</definedName>
    <definedName name="yyyy">{"Riqfin97",#N/A,FALSE,"Tran";"Riqfinpro",#N/A,FALSE,"Tran"}</definedName>
    <definedName name="Z_95224721_0485_11D4_BFD1_00508B5F4DA4_.wvu.Cols" localSheetId="0">#REF!</definedName>
    <definedName name="Z_95224721_0485_11D4_BFD1_00508B5F4DA4_.wvu.Cols" localSheetId="1">#REF!</definedName>
    <definedName name="Z_95224721_0485_11D4_BFD1_00508B5F4DA4_.wvu.Cols">#REF!</definedName>
    <definedName name="zz">{"Tab1",#N/A,FALSE,"P";"Tab2",#N/A,FALSE,"P"}</definedName>
    <definedName name="zzzz" localSheetId="0">[4]!mflowsq</definedName>
    <definedName name="zzzz" localSheetId="1">[4]!mflowsq</definedName>
    <definedName name="zzzz">[4]!mflowsq</definedName>
    <definedName name="zzzzz" localSheetId="0">[4]!mflowsa</definedName>
    <definedName name="zzzzz" localSheetId="1">[4]!mflowsa</definedName>
    <definedName name="zzzzz">[4]!mflowsa</definedName>
    <definedName name="zzzzzz" localSheetId="0">[4]!atrade</definedName>
    <definedName name="zzzzzz" localSheetId="1">[4]!atrade</definedName>
    <definedName name="zzzzzz">[4]!atrade</definedName>
    <definedName name="zzzzzzzz" localSheetId="0">[4]!mflowsq</definedName>
    <definedName name="zzzzzzzz" localSheetId="1">[4]!mflowsq</definedName>
    <definedName name="zzzzzzzz">[4]!mflowsq</definedName>
    <definedName name="zzzzzzzzzzzzz" localSheetId="0">[4]!mstocksa</definedName>
    <definedName name="zzzzzzzzzzzzz" localSheetId="1">[4]!mstocksa</definedName>
    <definedName name="zzzzzzzzzzzzz">[4]!mstocksa</definedName>
    <definedName name="zzzzzzzzzzzzzzzz" localSheetId="0">[4]!mflowsq</definedName>
    <definedName name="zzzzzzzzzzzzzzzz" localSheetId="1">[4]!mflowsq</definedName>
    <definedName name="zzzzzzzzzzzzzzzz">[4]!mflowsq</definedName>
    <definedName name="zzzzzzzzzzzzzzzzzzzzzzz" localSheetId="0">[4]!mflowsq</definedName>
    <definedName name="zzzzzzzzzzzzzzzzzzzzzzz" localSheetId="1">[4]!mflowsq</definedName>
    <definedName name="zzzzzzzzzzzzzzzzzzzzzzz">[4]!mflowsq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26" roundtripDataChecksum="GvL71Z/NYgbZh+fLOJ1yaemEU0W20R20Z9F6umTA7pk="/>
    </ext>
  </extLst>
</workbook>
</file>

<file path=xl/calcChain.xml><?xml version="1.0" encoding="utf-8"?>
<calcChain xmlns="http://schemas.openxmlformats.org/spreadsheetml/2006/main">
  <c r="E54" i="2" l="1"/>
  <c r="E46" i="2"/>
  <c r="E11" i="2"/>
  <c r="E43" i="2" l="1"/>
  <c r="E46" i="1" l="1"/>
  <c r="J47" i="2"/>
  <c r="F46" i="2"/>
  <c r="E33" i="2"/>
  <c r="E28" i="2"/>
  <c r="J17" i="2"/>
  <c r="E12" i="2"/>
  <c r="H11" i="2"/>
  <c r="J48" i="2"/>
  <c r="I46" i="2"/>
  <c r="H46" i="2"/>
  <c r="G46" i="2"/>
  <c r="J40" i="2"/>
  <c r="J39" i="2"/>
  <c r="I33" i="2"/>
  <c r="H33" i="2"/>
  <c r="G33" i="2"/>
  <c r="F33" i="2"/>
  <c r="J32" i="2"/>
  <c r="J31" i="2"/>
  <c r="I28" i="2"/>
  <c r="H28" i="2"/>
  <c r="G28" i="2"/>
  <c r="F28" i="2"/>
  <c r="J27" i="2"/>
  <c r="I12" i="2"/>
  <c r="I11" i="2" s="1"/>
  <c r="H12" i="2"/>
  <c r="G12" i="2"/>
  <c r="G11" i="2" s="1"/>
  <c r="G43" i="2" s="1"/>
  <c r="F12" i="2"/>
  <c r="F11" i="2" s="1"/>
  <c r="F43" i="2" s="1"/>
  <c r="E28" i="1"/>
  <c r="I33" i="1"/>
  <c r="H28" i="1"/>
  <c r="J11" i="1"/>
  <c r="J12" i="1"/>
  <c r="E12" i="1"/>
  <c r="E11" i="1"/>
  <c r="J48" i="1"/>
  <c r="J47" i="1"/>
  <c r="I46" i="1"/>
  <c r="H46" i="1"/>
  <c r="G46" i="1"/>
  <c r="F46" i="1"/>
  <c r="E54" i="1"/>
  <c r="J40" i="1"/>
  <c r="J39" i="1"/>
  <c r="H33" i="1"/>
  <c r="G33" i="1"/>
  <c r="F33" i="1"/>
  <c r="E33" i="1"/>
  <c r="J32" i="1"/>
  <c r="J31" i="1"/>
  <c r="I28" i="1"/>
  <c r="J28" i="1" s="1"/>
  <c r="G28" i="1"/>
  <c r="F28" i="1"/>
  <c r="J27" i="1"/>
  <c r="I12" i="1"/>
  <c r="I11" i="1" s="1"/>
  <c r="H12" i="1"/>
  <c r="H11" i="1" s="1"/>
  <c r="H43" i="1" s="1"/>
  <c r="H54" i="1" s="1"/>
  <c r="G12" i="1"/>
  <c r="G11" i="1" s="1"/>
  <c r="G43" i="1" s="1"/>
  <c r="F12" i="1"/>
  <c r="F11" i="1" s="1"/>
  <c r="F43" i="1" s="1"/>
  <c r="F54" i="1" s="1"/>
  <c r="E43" i="1"/>
  <c r="G54" i="1" l="1"/>
  <c r="F54" i="2"/>
  <c r="G54" i="2"/>
  <c r="J28" i="2"/>
  <c r="H43" i="2"/>
  <c r="H54" i="2" s="1"/>
  <c r="J11" i="2"/>
  <c r="I43" i="2"/>
  <c r="J12" i="2"/>
  <c r="I43" i="1"/>
  <c r="I54" i="2" l="1"/>
  <c r="J43" i="2"/>
  <c r="I54" i="1"/>
  <c r="J43" i="1"/>
</calcChain>
</file>

<file path=xl/sharedStrings.xml><?xml version="1.0" encoding="utf-8"?>
<sst xmlns="http://schemas.openxmlformats.org/spreadsheetml/2006/main" count="88" uniqueCount="45">
  <si>
    <t>External Sector</t>
  </si>
  <si>
    <t>Evolution of the External Position, 2017 - 2021
All Figures are percent of GDP unless otherwise noted.</t>
  </si>
  <si>
    <t>Brazil</t>
  </si>
  <si>
    <t>Start Date</t>
  </si>
  <si>
    <t>End Date</t>
  </si>
  <si>
    <t>Change End minus Start</t>
  </si>
  <si>
    <t>2017 vs. 2021</t>
  </si>
  <si>
    <t xml:space="preserve">Balance of Payments </t>
  </si>
  <si>
    <t>Current Account</t>
  </si>
  <si>
    <t>Net Exports</t>
  </si>
  <si>
    <t xml:space="preserve">  Exports (Credit)</t>
  </si>
  <si>
    <t xml:space="preserve">  Imports (Debit)</t>
  </si>
  <si>
    <t>Primary Income</t>
  </si>
  <si>
    <t xml:space="preserve">   Of which: interest payments on debt (pmt - )</t>
  </si>
  <si>
    <t>Secondary Income</t>
  </si>
  <si>
    <t xml:space="preserve">Capital Account </t>
  </si>
  <si>
    <t>Savings / Investment Perpsective</t>
  </si>
  <si>
    <t>National Saving</t>
  </si>
  <si>
    <t>National Investment</t>
  </si>
  <si>
    <t>Public and Private S-I Gap perspective</t>
  </si>
  <si>
    <t>Public S-I Gap</t>
  </si>
  <si>
    <t>Private S-I Gap</t>
  </si>
  <si>
    <t>Impacts of Export and Import Prices</t>
  </si>
  <si>
    <r>
      <rPr>
        <sz val="10"/>
        <color theme="1"/>
        <rFont val="Calibri"/>
        <family val="2"/>
      </rPr>
      <t xml:space="preserve">% </t>
    </r>
    <r>
      <rPr>
        <sz val="10"/>
        <color theme="1"/>
        <rFont val="Symbol"/>
        <charset val="2"/>
      </rPr>
      <t>D</t>
    </r>
    <r>
      <rPr>
        <sz val="10"/>
        <color theme="1"/>
        <rFont val="Calibri"/>
        <family val="2"/>
      </rPr>
      <t xml:space="preserve"> Prices</t>
    </r>
  </si>
  <si>
    <t>Export Price Index</t>
  </si>
  <si>
    <t>Import Price Index</t>
  </si>
  <si>
    <t>Terms of Trade Index</t>
  </si>
  <si>
    <t>Pure Impact of Prices on Value</t>
  </si>
  <si>
    <t xml:space="preserve">        Net</t>
  </si>
  <si>
    <t xml:space="preserve">        Export </t>
  </si>
  <si>
    <t xml:space="preserve">        Import </t>
  </si>
  <si>
    <t xml:space="preserve">Exports of goods </t>
  </si>
  <si>
    <t xml:space="preserve">Imports of goods </t>
  </si>
  <si>
    <t>Current Account plus Capital Account</t>
  </si>
  <si>
    <t>Financing and Reserve Items (Asset +)</t>
  </si>
  <si>
    <t xml:space="preserve">Financial Account Balance  (Non-reserve) </t>
  </si>
  <si>
    <t xml:space="preserve">Foreign Direct Investment (net) </t>
  </si>
  <si>
    <t>Portfolio Investment (net)</t>
  </si>
  <si>
    <t>Other Investment (net)</t>
  </si>
  <si>
    <t xml:space="preserve">  Memo: Of which, Gross Debt Creating Flows</t>
  </si>
  <si>
    <t>Change in Reserve Assets (accum +)</t>
  </si>
  <si>
    <t>Stock Of International Reserves (US$ Bn)</t>
  </si>
  <si>
    <t xml:space="preserve">Net Errors and Omissions </t>
  </si>
  <si>
    <t>=-(E50-E53-E58)</t>
  </si>
  <si>
    <t>Sweden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</si>
</sst>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0"/>
      <color rgb="FF000000"/>
      <name val="Calibri"/>
      <scheme val="minor"/>
    </font>
    <font>
      <sz val="10"/>
      <color theme="1"/>
      <name val="Times New Roman"/>
      <family val="1"/>
    </font>
    <font>
      <b/>
      <sz val="16"/>
      <color theme="0"/>
      <name val="Calibri"/>
      <family val="2"/>
    </font>
    <font>
      <sz val="10"/>
      <color theme="1"/>
      <name val="Calibri"/>
      <family val="2"/>
    </font>
    <font>
      <b/>
      <sz val="14"/>
      <color theme="0"/>
      <name val="Calibri"/>
      <family val="2"/>
    </font>
    <font>
      <sz val="10"/>
      <name val="Calibri"/>
      <family val="2"/>
    </font>
    <font>
      <b/>
      <sz val="10"/>
      <color theme="0"/>
      <name val="Calibri"/>
      <family val="2"/>
    </font>
    <font>
      <sz val="10"/>
      <color theme="0"/>
      <name val="Calibri"/>
      <family val="2"/>
    </font>
    <font>
      <sz val="11"/>
      <color rgb="FF000000"/>
      <name val="Calibri"/>
      <family val="2"/>
    </font>
    <font>
      <sz val="10"/>
      <color rgb="FFFFFFFF"/>
      <name val="Calibri"/>
      <family val="2"/>
    </font>
    <font>
      <b/>
      <sz val="10"/>
      <color rgb="FFC00000"/>
      <name val="Calibri"/>
      <family val="2"/>
    </font>
    <font>
      <b/>
      <sz val="10"/>
      <color rgb="FF000000"/>
      <name val="Times New Roman"/>
      <family val="1"/>
    </font>
    <font>
      <b/>
      <sz val="10"/>
      <color theme="0"/>
      <name val="Times New Roman"/>
      <family val="1"/>
    </font>
    <font>
      <sz val="10"/>
      <color theme="1"/>
      <name val="Symbol"/>
      <charset val="2"/>
    </font>
    <font>
      <sz val="10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84A99"/>
        <bgColor rgb="FF084A99"/>
      </patternFill>
    </fill>
    <fill>
      <patternFill patternType="solid">
        <fgColor rgb="FF0074BE"/>
        <bgColor rgb="FF0074BE"/>
      </patternFill>
    </fill>
    <fill>
      <patternFill patternType="solid">
        <fgColor rgb="FF008FC3"/>
        <bgColor rgb="FF008FC3"/>
      </patternFill>
    </fill>
    <fill>
      <patternFill patternType="solid">
        <fgColor rgb="FF45A177"/>
        <bgColor rgb="FF45A177"/>
      </patternFill>
    </fill>
    <fill>
      <patternFill patternType="solid">
        <fgColor rgb="FFA3D8EB"/>
        <bgColor rgb="FFA3D8EB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14" fillId="0" borderId="0" applyFont="0" applyFill="0" applyBorder="0" applyAlignment="0" applyProtection="0"/>
  </cellStyleXfs>
  <cellXfs count="9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1" fillId="3" borderId="2" xfId="0" applyFont="1" applyFill="1" applyBorder="1"/>
    <xf numFmtId="0" fontId="1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/>
    </xf>
    <xf numFmtId="0" fontId="3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6" fillId="4" borderId="11" xfId="0" applyFont="1" applyFill="1" applyBorder="1" applyAlignment="1">
      <alignment horizontal="center" vertical="top" wrapText="1"/>
    </xf>
    <xf numFmtId="0" fontId="6" fillId="4" borderId="12" xfId="0" applyFont="1" applyFill="1" applyBorder="1" applyAlignment="1">
      <alignment horizontal="center" vertical="top" wrapText="1"/>
    </xf>
    <xf numFmtId="0" fontId="6" fillId="4" borderId="13" xfId="0" applyFont="1" applyFill="1" applyBorder="1" applyAlignment="1">
      <alignment horizontal="center" vertical="top" wrapText="1"/>
    </xf>
    <xf numFmtId="0" fontId="6" fillId="4" borderId="14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right"/>
    </xf>
    <xf numFmtId="0" fontId="6" fillId="4" borderId="15" xfId="0" applyFont="1" applyFill="1" applyBorder="1" applyAlignment="1">
      <alignment horizontal="center"/>
    </xf>
    <xf numFmtId="0" fontId="6" fillId="4" borderId="16" xfId="0" quotePrefix="1" applyFont="1" applyFill="1" applyBorder="1" applyAlignment="1">
      <alignment horizontal="center"/>
    </xf>
    <xf numFmtId="0" fontId="6" fillId="5" borderId="11" xfId="0" applyFont="1" applyFill="1" applyBorder="1"/>
    <xf numFmtId="0" fontId="6" fillId="5" borderId="13" xfId="0" applyFont="1" applyFill="1" applyBorder="1"/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7" xfId="0" applyFont="1" applyBorder="1"/>
    <xf numFmtId="0" fontId="6" fillId="5" borderId="17" xfId="0" applyFont="1" applyFill="1" applyBorder="1"/>
    <xf numFmtId="0" fontId="7" fillId="5" borderId="16" xfId="0" applyFont="1" applyFill="1" applyBorder="1"/>
    <xf numFmtId="164" fontId="3" fillId="6" borderId="17" xfId="0" applyNumberFormat="1" applyFont="1" applyFill="1" applyBorder="1"/>
    <xf numFmtId="164" fontId="3" fillId="6" borderId="16" xfId="0" applyNumberFormat="1" applyFont="1" applyFill="1" applyBorder="1"/>
    <xf numFmtId="164" fontId="8" fillId="0" borderId="0" xfId="0" applyNumberFormat="1" applyFont="1" applyAlignment="1">
      <alignment horizontal="right"/>
    </xf>
    <xf numFmtId="0" fontId="9" fillId="5" borderId="16" xfId="0" applyFont="1" applyFill="1" applyBorder="1"/>
    <xf numFmtId="0" fontId="8" fillId="0" borderId="0" xfId="0" applyFont="1" applyAlignment="1">
      <alignment horizontal="right"/>
    </xf>
    <xf numFmtId="9" fontId="8" fillId="0" borderId="0" xfId="0" applyNumberFormat="1" applyFont="1" applyAlignment="1">
      <alignment horizontal="right"/>
    </xf>
    <xf numFmtId="0" fontId="3" fillId="6" borderId="16" xfId="0" applyFont="1" applyFill="1" applyBorder="1"/>
    <xf numFmtId="164" fontId="3" fillId="0" borderId="6" xfId="0" applyNumberFormat="1" applyFont="1" applyBorder="1"/>
    <xf numFmtId="2" fontId="3" fillId="0" borderId="0" xfId="0" applyNumberFormat="1" applyFont="1"/>
    <xf numFmtId="10" fontId="1" fillId="0" borderId="7" xfId="0" applyNumberFormat="1" applyFont="1" applyBorder="1"/>
    <xf numFmtId="0" fontId="6" fillId="5" borderId="14" xfId="0" applyFont="1" applyFill="1" applyBorder="1"/>
    <xf numFmtId="0" fontId="7" fillId="5" borderId="18" xfId="0" applyFont="1" applyFill="1" applyBorder="1"/>
    <xf numFmtId="0" fontId="3" fillId="0" borderId="10" xfId="0" applyFont="1" applyBorder="1"/>
    <xf numFmtId="2" fontId="10" fillId="0" borderId="3" xfId="0" applyNumberFormat="1" applyFont="1" applyBorder="1"/>
    <xf numFmtId="2" fontId="10" fillId="0" borderId="4" xfId="0" applyNumberFormat="1" applyFont="1" applyBorder="1"/>
    <xf numFmtId="2" fontId="3" fillId="0" borderId="5" xfId="0" applyNumberFormat="1" applyFont="1" applyBorder="1"/>
    <xf numFmtId="0" fontId="9" fillId="5" borderId="18" xfId="0" applyFont="1" applyFill="1" applyBorder="1"/>
    <xf numFmtId="0" fontId="3" fillId="0" borderId="8" xfId="0" applyFont="1" applyBorder="1"/>
    <xf numFmtId="0" fontId="3" fillId="0" borderId="9" xfId="0" applyFont="1" applyBorder="1"/>
    <xf numFmtId="0" fontId="3" fillId="6" borderId="18" xfId="0" applyFont="1" applyFill="1" applyBorder="1"/>
    <xf numFmtId="164" fontId="3" fillId="0" borderId="0" xfId="0" applyNumberFormat="1" applyFont="1"/>
    <xf numFmtId="0" fontId="10" fillId="0" borderId="3" xfId="0" applyFont="1" applyBorder="1"/>
    <xf numFmtId="0" fontId="10" fillId="0" borderId="4" xfId="0" applyFont="1" applyBorder="1"/>
    <xf numFmtId="164" fontId="3" fillId="0" borderId="5" xfId="0" applyNumberFormat="1" applyFont="1" applyBorder="1"/>
    <xf numFmtId="164" fontId="3" fillId="6" borderId="14" xfId="0" applyNumberFormat="1" applyFont="1" applyFill="1" applyBorder="1"/>
    <xf numFmtId="164" fontId="3" fillId="6" borderId="18" xfId="0" applyNumberFormat="1" applyFont="1" applyFill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right"/>
    </xf>
    <xf numFmtId="164" fontId="3" fillId="0" borderId="0" xfId="0" applyNumberFormat="1" applyFont="1" applyAlignment="1">
      <alignment horizontal="right"/>
    </xf>
    <xf numFmtId="0" fontId="3" fillId="0" borderId="6" xfId="0" applyFont="1" applyBorder="1"/>
    <xf numFmtId="2" fontId="3" fillId="0" borderId="16" xfId="0" applyNumberFormat="1" applyFont="1" applyBorder="1"/>
    <xf numFmtId="2" fontId="3" fillId="0" borderId="18" xfId="0" applyNumberFormat="1" applyFont="1" applyBorder="1"/>
    <xf numFmtId="0" fontId="7" fillId="5" borderId="13" xfId="0" applyFont="1" applyFill="1" applyBorder="1"/>
    <xf numFmtId="0" fontId="11" fillId="0" borderId="5" xfId="0" applyFont="1" applyBorder="1"/>
    <xf numFmtId="2" fontId="3" fillId="0" borderId="10" xfId="0" applyNumberFormat="1" applyFont="1" applyBorder="1"/>
    <xf numFmtId="0" fontId="10" fillId="0" borderId="0" xfId="0" applyFont="1"/>
    <xf numFmtId="0" fontId="6" fillId="5" borderId="19" xfId="0" applyFont="1" applyFill="1" applyBorder="1"/>
    <xf numFmtId="0" fontId="7" fillId="5" borderId="20" xfId="0" applyFont="1" applyFill="1" applyBorder="1"/>
    <xf numFmtId="164" fontId="3" fillId="6" borderId="19" xfId="0" applyNumberFormat="1" applyFont="1" applyFill="1" applyBorder="1"/>
    <xf numFmtId="164" fontId="3" fillId="6" borderId="20" xfId="0" applyNumberFormat="1" applyFont="1" applyFill="1" applyBorder="1"/>
    <xf numFmtId="0" fontId="3" fillId="0" borderId="5" xfId="0" applyFont="1" applyBorder="1"/>
    <xf numFmtId="164" fontId="3" fillId="0" borderId="16" xfId="0" applyNumberFormat="1" applyFont="1" applyBorder="1"/>
    <xf numFmtId="0" fontId="12" fillId="5" borderId="17" xfId="0" applyFont="1" applyFill="1" applyBorder="1"/>
    <xf numFmtId="0" fontId="12" fillId="5" borderId="14" xfId="0" applyFont="1" applyFill="1" applyBorder="1"/>
    <xf numFmtId="164" fontId="3" fillId="0" borderId="18" xfId="0" applyNumberFormat="1" applyFont="1" applyBorder="1"/>
    <xf numFmtId="0" fontId="12" fillId="5" borderId="19" xfId="0" applyFont="1" applyFill="1" applyBorder="1"/>
    <xf numFmtId="164" fontId="3" fillId="0" borderId="21" xfId="0" applyNumberFormat="1" applyFont="1" applyBorder="1"/>
    <xf numFmtId="164" fontId="3" fillId="0" borderId="22" xfId="0" applyNumberFormat="1" applyFont="1" applyBorder="1"/>
    <xf numFmtId="164" fontId="3" fillId="0" borderId="23" xfId="0" applyNumberFormat="1" applyFont="1" applyBorder="1"/>
    <xf numFmtId="0" fontId="3" fillId="0" borderId="0" xfId="0" quotePrefix="1" applyFont="1"/>
    <xf numFmtId="2" fontId="3" fillId="0" borderId="0" xfId="1" applyNumberFormat="1" applyFont="1"/>
    <xf numFmtId="1" fontId="8" fillId="0" borderId="0" xfId="0" applyNumberFormat="1" applyFont="1" applyAlignment="1">
      <alignment horizontal="right"/>
    </xf>
    <xf numFmtId="0" fontId="4" fillId="4" borderId="3" xfId="0" applyFont="1" applyFill="1" applyBorder="1" applyAlignment="1">
      <alignment horizontal="center" vertical="center" wrapText="1"/>
    </xf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0" fontId="0" fillId="0" borderId="0" xfId="0"/>
    <xf numFmtId="0" fontId="5" fillId="0" borderId="7" xfId="0" applyFont="1" applyBorder="1"/>
    <xf numFmtId="0" fontId="5" fillId="0" borderId="8" xfId="0" applyFont="1" applyBorder="1"/>
    <xf numFmtId="0" fontId="5" fillId="0" borderId="9" xfId="0" applyFont="1" applyBorder="1"/>
    <xf numFmtId="0" fontId="5" fillId="0" borderId="10" xfId="0" applyFont="1" applyBorder="1"/>
    <xf numFmtId="0" fontId="3" fillId="0" borderId="0" xfId="0" applyFont="1"/>
    <xf numFmtId="164" fontId="3" fillId="0" borderId="8" xfId="0" applyNumberFormat="1" applyFont="1" applyBorder="1"/>
    <xf numFmtId="164" fontId="3" fillId="0" borderId="9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customschemas.google.com/relationships/workbookmetadata" Target="metadata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100" b="1" i="0">
                <a:solidFill>
                  <a:schemeClr val="accent1"/>
                </a:solidFill>
                <a:latin typeface="Segoe UI"/>
              </a:defRPr>
            </a:pPr>
            <a:r>
              <a:rPr lang="en-US" sz="1100" b="1" i="0">
                <a:solidFill>
                  <a:schemeClr val="accent1"/>
                </a:solidFill>
                <a:latin typeface="Segoe UI"/>
              </a:rPr>
              <a:t> Terms of Trade
(index, 2011=100)</a:t>
            </a:r>
          </a:p>
        </c:rich>
      </c:tx>
      <c:layout>
        <c:manualLayout>
          <c:xMode val="edge"/>
          <c:yMode val="edge"/>
          <c:x val="0.22693315225131741"/>
          <c:y val="0"/>
        </c:manualLayout>
      </c:layout>
      <c:overlay val="0"/>
    </c:title>
    <c:autoTitleDeleted val="0"/>
    <c:plotArea>
      <c:layout>
        <c:manualLayout>
          <c:xMode val="edge"/>
          <c:yMode val="edge"/>
          <c:x val="7.2430018593720294E-2"/>
          <c:y val="0.16278285298482392"/>
          <c:w val="0.90014013509939161"/>
          <c:h val="0.69627646193819814"/>
        </c:manualLayout>
      </c:layout>
      <c:lineChart>
        <c:grouping val="standard"/>
        <c:varyColors val="0"/>
        <c:ser>
          <c:idx val="0"/>
          <c:order val="0"/>
          <c:tx>
            <c:v>Terms of Trade in Diagnostica</c:v>
          </c:tx>
          <c:spPr>
            <a:ln w="19050" cmpd="sng">
              <a:solidFill>
                <a:srgbClr val="0090C1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numRef>
              <c:f>'MDSx Episode Analysis HARDPASTE'!$E$9:$I$9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'MDSx Episode Analysis HARDPASTE'!$E$33:$I$33</c:f>
              <c:numCache>
                <c:formatCode>0.0</c:formatCode>
                <c:ptCount val="5"/>
                <c:pt idx="0">
                  <c:v>126.37362637362637</c:v>
                </c:pt>
                <c:pt idx="1">
                  <c:v>116.98113207547169</c:v>
                </c:pt>
                <c:pt idx="2">
                  <c:v>110.28037383177569</c:v>
                </c:pt>
                <c:pt idx="3">
                  <c:v>120.65217391304348</c:v>
                </c:pt>
                <c:pt idx="4">
                  <c:v>115.38461538461537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77-9044-95F7-400D0C1F7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2851836"/>
        <c:axId val="1776734697"/>
      </c:lineChart>
      <c:catAx>
        <c:axId val="6428518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A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Segoe UI"/>
              </a:defRPr>
            </a:pPr>
            <a:endParaRPr lang="en-UA"/>
          </a:p>
        </c:txPr>
        <c:crossAx val="1776734697"/>
        <c:crosses val="autoZero"/>
        <c:auto val="1"/>
        <c:lblAlgn val="ctr"/>
        <c:lblOffset val="100"/>
        <c:noMultiLvlLbl val="1"/>
      </c:catAx>
      <c:valAx>
        <c:axId val="1776734697"/>
        <c:scaling>
          <c:orientation val="minMax"/>
          <c:min val="75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A"/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Segoe UI"/>
              </a:defRPr>
            </a:pPr>
            <a:endParaRPr lang="en-UA"/>
          </a:p>
        </c:txPr>
        <c:crossAx val="642851836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100" b="1" i="0">
                <a:solidFill>
                  <a:schemeClr val="accent1"/>
                </a:solidFill>
                <a:latin typeface="Segoe UI"/>
              </a:defRPr>
            </a:pPr>
            <a:r>
              <a:rPr lang="en-US" sz="1100" b="1" i="0">
                <a:solidFill>
                  <a:schemeClr val="accent1"/>
                </a:solidFill>
                <a:latin typeface="Segoe UI"/>
              </a:rPr>
              <a:t>Saving and Investment
(in percent of GDP)</a:t>
            </a:r>
          </a:p>
        </c:rich>
      </c:tx>
      <c:layout>
        <c:manualLayout>
          <c:xMode val="edge"/>
          <c:yMode val="edge"/>
          <c:x val="0.20210668347118127"/>
          <c:y val="2.7410517609854662E-2"/>
        </c:manualLayout>
      </c:layout>
      <c:overlay val="0"/>
    </c:title>
    <c:autoTitleDeleted val="0"/>
    <c:plotArea>
      <c:layout>
        <c:manualLayout>
          <c:xMode val="edge"/>
          <c:yMode val="edge"/>
          <c:x val="7.2430018593720294E-2"/>
          <c:y val="0.22978215329256432"/>
          <c:w val="0.89305577339455677"/>
          <c:h val="0.65956950693663297"/>
        </c:manualLayout>
      </c:layout>
      <c:lineChart>
        <c:grouping val="standard"/>
        <c:varyColors val="1"/>
        <c:ser>
          <c:idx val="0"/>
          <c:order val="0"/>
          <c:tx>
            <c:v>National Saving</c:v>
          </c:tx>
          <c:spPr>
            <a:ln w="19050" cmpd="sng">
              <a:solidFill>
                <a:srgbClr val="0090C1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numRef>
              <c:f>'MDSx Episode Analysis HARDPASTE'!$E$9:$I$9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'MDSx Episode Analysis HARDPASTE'!$E$23:$I$23</c:f>
              <c:numCache>
                <c:formatCode>General</c:formatCode>
                <c:ptCount val="5"/>
                <c:pt idx="0">
                  <c:v>15.3</c:v>
                </c:pt>
                <c:pt idx="1">
                  <c:v>15.5</c:v>
                </c:pt>
                <c:pt idx="2">
                  <c:v>14.9</c:v>
                </c:pt>
                <c:pt idx="3">
                  <c:v>16.7</c:v>
                </c:pt>
                <c:pt idx="4">
                  <c:v>20.399999999999999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9A-E646-8653-C133F70CFD67}"/>
            </c:ext>
          </c:extLst>
        </c:ser>
        <c:ser>
          <c:idx val="1"/>
          <c:order val="1"/>
          <c:tx>
            <c:v>National Investment</c:v>
          </c:tx>
          <c:spPr>
            <a:ln w="19050" cmpd="sng">
              <a:solidFill>
                <a:srgbClr val="49A078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numRef>
              <c:f>'MDSx Episode Analysis HARDPASTE'!$E$9:$I$9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'MDSx Episode Analysis HARDPASTE'!$E$24:$I$24</c:f>
              <c:numCache>
                <c:formatCode>General</c:formatCode>
                <c:ptCount val="5"/>
                <c:pt idx="0">
                  <c:v>16</c:v>
                </c:pt>
                <c:pt idx="1">
                  <c:v>16.5</c:v>
                </c:pt>
                <c:pt idx="2">
                  <c:v>12.5</c:v>
                </c:pt>
                <c:pt idx="3">
                  <c:v>18.2</c:v>
                </c:pt>
                <c:pt idx="4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9A-E646-8653-C133F70CF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9096758"/>
        <c:axId val="1515061788"/>
      </c:lineChart>
      <c:catAx>
        <c:axId val="20290967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A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Segoe UI"/>
              </a:defRPr>
            </a:pPr>
            <a:endParaRPr lang="en-UA"/>
          </a:p>
        </c:txPr>
        <c:crossAx val="1515061788"/>
        <c:crosses val="autoZero"/>
        <c:auto val="1"/>
        <c:lblAlgn val="ctr"/>
        <c:lblOffset val="100"/>
        <c:noMultiLvlLbl val="1"/>
      </c:catAx>
      <c:valAx>
        <c:axId val="1515061788"/>
        <c:scaling>
          <c:orientation val="minMax"/>
          <c:min val="1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A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Segoe UI"/>
              </a:defRPr>
            </a:pPr>
            <a:endParaRPr lang="en-UA"/>
          </a:p>
        </c:txPr>
        <c:crossAx val="2029096758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layout>
        <c:manualLayout>
          <c:xMode val="edge"/>
          <c:yMode val="edge"/>
          <c:x val="0.10533420822397202"/>
          <c:y val="0.68981572615923015"/>
        </c:manualLayout>
      </c:layout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A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100" b="1" i="0">
                <a:solidFill>
                  <a:schemeClr val="accent1"/>
                </a:solidFill>
                <a:latin typeface="Segoe UI"/>
              </a:defRPr>
            </a:pPr>
            <a:r>
              <a:rPr lang="en-US" sz="1100" b="1" i="0">
                <a:solidFill>
                  <a:schemeClr val="accent1"/>
                </a:solidFill>
                <a:latin typeface="Segoe UI"/>
              </a:rPr>
              <a:t>Current Account and Public S-I Balance (in percent of GDP)</a:t>
            </a:r>
          </a:p>
        </c:rich>
      </c:tx>
      <c:layout>
        <c:manualLayout>
          <c:xMode val="edge"/>
          <c:yMode val="edge"/>
          <c:x val="0.16292365607930492"/>
          <c:y val="0"/>
        </c:manualLayout>
      </c:layout>
      <c:overlay val="0"/>
    </c:title>
    <c:autoTitleDeleted val="0"/>
    <c:plotArea>
      <c:layout>
        <c:manualLayout>
          <c:xMode val="edge"/>
          <c:yMode val="edge"/>
          <c:x val="7.2430018593720294E-2"/>
          <c:y val="0.19259876940105694"/>
          <c:w val="0.89305577339455677"/>
          <c:h val="0.69682639810764424"/>
        </c:manualLayout>
      </c:layout>
      <c:lineChart>
        <c:grouping val="standard"/>
        <c:varyColors val="1"/>
        <c:ser>
          <c:idx val="0"/>
          <c:order val="0"/>
          <c:tx>
            <c:v>Current Account</c:v>
          </c:tx>
          <c:spPr>
            <a:ln w="19050" cmpd="sng">
              <a:solidFill>
                <a:srgbClr val="0090C1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numRef>
              <c:f>'MDSx Episode Analysis HARDPASTE'!$E$9:$I$9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'MDSx Episode Analysis HARDPASTE'!$E$11:$I$11</c:f>
              <c:numCache>
                <c:formatCode>0.0</c:formatCode>
                <c:ptCount val="5"/>
                <c:pt idx="0">
                  <c:v>15.95896787</c:v>
                </c:pt>
                <c:pt idx="1">
                  <c:v>18.6849995</c:v>
                </c:pt>
                <c:pt idx="2">
                  <c:v>18.59291919</c:v>
                </c:pt>
                <c:pt idx="3">
                  <c:v>20.993551999999998</c:v>
                </c:pt>
                <c:pt idx="4">
                  <c:v>25.311677360000001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BF-2B48-9538-05132F8AAB0B}"/>
            </c:ext>
          </c:extLst>
        </c:ser>
        <c:ser>
          <c:idx val="1"/>
          <c:order val="1"/>
          <c:tx>
            <c:v>Public S-I Balance</c:v>
          </c:tx>
          <c:spPr>
            <a:ln w="19050" cmpd="sng">
              <a:solidFill>
                <a:srgbClr val="49A078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numRef>
              <c:f>'MDSx Episode Analysis HARDPASTE'!$E$9:$I$9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'MDSx Episode Analysis HARDPASTE'!$F$27:$I$27</c:f>
              <c:numCache>
                <c:formatCode>0.0</c:formatCode>
                <c:ptCount val="4"/>
                <c:pt idx="0">
                  <c:v>0.7</c:v>
                </c:pt>
                <c:pt idx="1">
                  <c:v>0.5</c:v>
                </c:pt>
                <c:pt idx="2">
                  <c:v>1</c:v>
                </c:pt>
                <c:pt idx="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BF-2B48-9538-05132F8AAB0B}"/>
            </c:ext>
          </c:extLst>
        </c:ser>
        <c:ser>
          <c:idx val="2"/>
          <c:order val="2"/>
          <c:tx>
            <c:strRef>
              <c:f>'MDSx Episode Analysis HARDPASTE'!$E$28</c:f>
              <c:strCache>
                <c:ptCount val="1"/>
                <c:pt idx="0">
                  <c:v>0.8</c:v>
                </c:pt>
              </c:strCache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numRef>
              <c:f>'MDSx Episode Analysis HARDPASTE'!$E$9:$I$9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'MDSx Episode Analysis HARDPASTE'!$F$28:$I$28</c:f>
              <c:numCache>
                <c:formatCode>0.0</c:formatCode>
                <c:ptCount val="4"/>
                <c:pt idx="0">
                  <c:v>-1.7</c:v>
                </c:pt>
                <c:pt idx="1">
                  <c:v>1.9000000000000004</c:v>
                </c:pt>
                <c:pt idx="2">
                  <c:v>-2.5</c:v>
                </c:pt>
                <c:pt idx="3">
                  <c:v>-5.9000000000000012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BF-2B48-9538-05132F8AA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1734562"/>
        <c:axId val="404716149"/>
      </c:lineChart>
      <c:catAx>
        <c:axId val="12617345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A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Segoe UI"/>
              </a:defRPr>
            </a:pPr>
            <a:endParaRPr lang="en-UA"/>
          </a:p>
        </c:txPr>
        <c:crossAx val="404716149"/>
        <c:crosses val="autoZero"/>
        <c:auto val="1"/>
        <c:lblAlgn val="ctr"/>
        <c:lblOffset val="100"/>
        <c:noMultiLvlLbl val="1"/>
      </c:catAx>
      <c:valAx>
        <c:axId val="404716149"/>
        <c:scaling>
          <c:orientation val="minMax"/>
          <c:min val="-5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A"/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Segoe UI"/>
              </a:defRPr>
            </a:pPr>
            <a:endParaRPr lang="en-UA"/>
          </a:p>
        </c:txPr>
        <c:crossAx val="1261734562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layout>
        <c:manualLayout>
          <c:xMode val="edge"/>
          <c:yMode val="edge"/>
          <c:x val="0.58983041364015543"/>
          <c:y val="0.22540600393700783"/>
        </c:manualLayout>
      </c:layout>
      <c:overlay val="0"/>
      <c:txPr>
        <a:bodyPr/>
        <a:lstStyle/>
        <a:p>
          <a:pPr lvl="0">
            <a:defRPr sz="1100" b="0" i="0">
              <a:solidFill>
                <a:srgbClr val="1A1A1A"/>
              </a:solidFill>
              <a:latin typeface="+mn-lt"/>
            </a:defRPr>
          </a:pPr>
          <a:endParaRPr lang="en-UA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100" b="1" i="0">
                <a:solidFill>
                  <a:schemeClr val="accent1"/>
                </a:solidFill>
                <a:latin typeface="Segoe UI"/>
              </a:defRPr>
            </a:pPr>
            <a:r>
              <a:rPr lang="en-US" sz="1100" b="1" i="0">
                <a:solidFill>
                  <a:schemeClr val="accent1"/>
                </a:solidFill>
                <a:latin typeface="Segoe UI"/>
              </a:rPr>
              <a:t>
 Current Account and Net Exports (in percent of GDP)</a:t>
            </a:r>
          </a:p>
        </c:rich>
      </c:tx>
      <c:layout>
        <c:manualLayout>
          <c:xMode val="edge"/>
          <c:yMode val="edge"/>
          <c:x val="0.16292365607930492"/>
          <c:y val="0"/>
        </c:manualLayout>
      </c:layout>
      <c:overlay val="0"/>
    </c:title>
    <c:autoTitleDeleted val="0"/>
    <c:plotArea>
      <c:layout>
        <c:manualLayout>
          <c:xMode val="edge"/>
          <c:yMode val="edge"/>
          <c:x val="7.2430018593720294E-2"/>
          <c:y val="0.17692624778934363"/>
          <c:w val="0.89305577339455677"/>
          <c:h val="0.7139802837145357"/>
        </c:manualLayout>
      </c:layout>
      <c:lineChart>
        <c:grouping val="standard"/>
        <c:varyColors val="1"/>
        <c:ser>
          <c:idx val="0"/>
          <c:order val="0"/>
          <c:tx>
            <c:v>Current Account</c:v>
          </c:tx>
          <c:spPr>
            <a:ln w="19050" cmpd="sng">
              <a:solidFill>
                <a:srgbClr val="0090C1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numRef>
              <c:f>'MDSx Episode Analysis HARDPASTE'!$E$9:$I$9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'MDSx Episode Analysis HARDPASTE'!$E$11:$I$11</c:f>
              <c:numCache>
                <c:formatCode>0.0</c:formatCode>
                <c:ptCount val="5"/>
                <c:pt idx="0">
                  <c:v>15.95896787</c:v>
                </c:pt>
                <c:pt idx="1">
                  <c:v>18.6849995</c:v>
                </c:pt>
                <c:pt idx="2">
                  <c:v>18.59291919</c:v>
                </c:pt>
                <c:pt idx="3">
                  <c:v>20.993551999999998</c:v>
                </c:pt>
                <c:pt idx="4">
                  <c:v>25.311677360000001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60-334C-9C5F-76693A79D9F1}"/>
            </c:ext>
          </c:extLst>
        </c:ser>
        <c:ser>
          <c:idx val="1"/>
          <c:order val="1"/>
          <c:tx>
            <c:v>Net Exports</c:v>
          </c:tx>
          <c:spPr>
            <a:ln w="19050" cmpd="sng">
              <a:solidFill>
                <a:srgbClr val="49A078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numRef>
              <c:f>'MDSx Episode Analysis HARDPASTE'!$E$9:$I$9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'MDSx Episode Analysis HARDPASTE'!$E$12:$I$12</c:f>
              <c:numCache>
                <c:formatCode>0.0</c:formatCode>
                <c:ptCount val="5"/>
                <c:pt idx="0">
                  <c:v>0.71896787000000018</c:v>
                </c:pt>
                <c:pt idx="1">
                  <c:v>0.43499949999999998</c:v>
                </c:pt>
                <c:pt idx="2">
                  <c:v>-0.67708081000000142</c:v>
                </c:pt>
                <c:pt idx="3">
                  <c:v>0.65355199999999769</c:v>
                </c:pt>
                <c:pt idx="4">
                  <c:v>0.96167735999999948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60-334C-9C5F-76693A79D9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7400992"/>
        <c:axId val="1112490983"/>
      </c:lineChart>
      <c:catAx>
        <c:axId val="10674009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A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Segoe UI"/>
              </a:defRPr>
            </a:pPr>
            <a:endParaRPr lang="en-UA"/>
          </a:p>
        </c:txPr>
        <c:crossAx val="1112490983"/>
        <c:crosses val="autoZero"/>
        <c:auto val="1"/>
        <c:lblAlgn val="ctr"/>
        <c:lblOffset val="100"/>
        <c:noMultiLvlLbl val="1"/>
      </c:catAx>
      <c:valAx>
        <c:axId val="111249098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A"/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Segoe UI"/>
              </a:defRPr>
            </a:pPr>
            <a:endParaRPr lang="en-UA"/>
          </a:p>
        </c:txPr>
        <c:crossAx val="1067400992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layout>
        <c:manualLayout>
          <c:xMode val="edge"/>
          <c:yMode val="edge"/>
          <c:x val="0.10533420822397202"/>
          <c:y val="0.69415600393700783"/>
        </c:manualLayout>
      </c:layout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A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100" b="1" i="0">
                <a:solidFill>
                  <a:schemeClr val="accent1"/>
                </a:solidFill>
                <a:latin typeface="Segoe UI"/>
              </a:defRPr>
            </a:pPr>
            <a:r>
              <a:rPr lang="en-US" sz="1100" b="1" i="0">
                <a:solidFill>
                  <a:schemeClr val="accent1"/>
                </a:solidFill>
                <a:latin typeface="Segoe UI"/>
              </a:rPr>
              <a:t> Terms of Trade
(index, 2011=100)</a:t>
            </a:r>
          </a:p>
        </c:rich>
      </c:tx>
      <c:layout>
        <c:manualLayout>
          <c:xMode val="edge"/>
          <c:yMode val="edge"/>
          <c:x val="0.22693315225131741"/>
          <c:y val="0"/>
        </c:manualLayout>
      </c:layout>
      <c:overlay val="0"/>
    </c:title>
    <c:autoTitleDeleted val="0"/>
    <c:plotArea>
      <c:layout>
        <c:manualLayout>
          <c:xMode val="edge"/>
          <c:yMode val="edge"/>
          <c:x val="7.2430018593720294E-2"/>
          <c:y val="0.16278285298482392"/>
          <c:w val="0.90014013509939161"/>
          <c:h val="0.69627646193819814"/>
        </c:manualLayout>
      </c:layout>
      <c:lineChart>
        <c:grouping val="standard"/>
        <c:varyColors val="0"/>
        <c:ser>
          <c:idx val="0"/>
          <c:order val="0"/>
          <c:tx>
            <c:v>Terms of Trade in Diagnostica</c:v>
          </c:tx>
          <c:spPr>
            <a:ln w="19050" cmpd="sng">
              <a:solidFill>
                <a:srgbClr val="0090C1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numRef>
              <c:f>'Research Sweden'!$E$9:$I$9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'Research Sweden'!$E$33:$I$33</c:f>
              <c:numCache>
                <c:formatCode>0.0</c:formatCode>
                <c:ptCount val="5"/>
                <c:pt idx="0">
                  <c:v>116.18153191489363</c:v>
                </c:pt>
                <c:pt idx="1">
                  <c:v>115.21644714459296</c:v>
                </c:pt>
                <c:pt idx="2">
                  <c:v>108.69948815165877</c:v>
                </c:pt>
                <c:pt idx="3">
                  <c:v>111.04971000000002</c:v>
                </c:pt>
                <c:pt idx="4">
                  <c:v>125.34849213691028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D7-E24C-97AD-AA1D15805D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2851836"/>
        <c:axId val="1776734697"/>
      </c:lineChart>
      <c:catAx>
        <c:axId val="6428518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A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Segoe UI"/>
              </a:defRPr>
            </a:pPr>
            <a:endParaRPr lang="en-UA"/>
          </a:p>
        </c:txPr>
        <c:crossAx val="1776734697"/>
        <c:crosses val="autoZero"/>
        <c:auto val="1"/>
        <c:lblAlgn val="ctr"/>
        <c:lblOffset val="100"/>
        <c:noMultiLvlLbl val="1"/>
      </c:catAx>
      <c:valAx>
        <c:axId val="1776734697"/>
        <c:scaling>
          <c:orientation val="minMax"/>
          <c:min val="75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A"/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Segoe UI"/>
              </a:defRPr>
            </a:pPr>
            <a:endParaRPr lang="en-UA"/>
          </a:p>
        </c:txPr>
        <c:crossAx val="642851836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100" b="1" i="0">
                <a:solidFill>
                  <a:schemeClr val="accent1"/>
                </a:solidFill>
                <a:latin typeface="Segoe UI"/>
              </a:defRPr>
            </a:pPr>
            <a:r>
              <a:rPr lang="en-US" sz="1100" b="1" i="0">
                <a:solidFill>
                  <a:schemeClr val="accent1"/>
                </a:solidFill>
                <a:latin typeface="Segoe UI"/>
              </a:rPr>
              <a:t>Saving and Investment
(in percent of GDP)</a:t>
            </a:r>
          </a:p>
        </c:rich>
      </c:tx>
      <c:layout>
        <c:manualLayout>
          <c:xMode val="edge"/>
          <c:yMode val="edge"/>
          <c:x val="0.20210668347118127"/>
          <c:y val="2.7410517609854662E-2"/>
        </c:manualLayout>
      </c:layout>
      <c:overlay val="0"/>
    </c:title>
    <c:autoTitleDeleted val="0"/>
    <c:plotArea>
      <c:layout>
        <c:manualLayout>
          <c:xMode val="edge"/>
          <c:yMode val="edge"/>
          <c:x val="7.2430018593720294E-2"/>
          <c:y val="0.22978215329256432"/>
          <c:w val="0.89305577339455677"/>
          <c:h val="0.65956950693663297"/>
        </c:manualLayout>
      </c:layout>
      <c:lineChart>
        <c:grouping val="standard"/>
        <c:varyColors val="1"/>
        <c:ser>
          <c:idx val="0"/>
          <c:order val="0"/>
          <c:tx>
            <c:v>National Saving</c:v>
          </c:tx>
          <c:spPr>
            <a:ln w="19050" cmpd="sng">
              <a:solidFill>
                <a:srgbClr val="0090C1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numRef>
              <c:f>'Research Sweden'!$E$9:$I$9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'Research Sweden'!$E$23:$I$23</c:f>
              <c:numCache>
                <c:formatCode>0.0</c:formatCode>
                <c:ptCount val="5"/>
                <c:pt idx="0">
                  <c:v>26.9</c:v>
                </c:pt>
                <c:pt idx="1">
                  <c:v>27.2</c:v>
                </c:pt>
                <c:pt idx="2">
                  <c:v>29.4</c:v>
                </c:pt>
                <c:pt idx="3">
                  <c:v>30</c:v>
                </c:pt>
                <c:pt idx="4">
                  <c:v>31.9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16-FC4B-A708-61AE05AC6760}"/>
            </c:ext>
          </c:extLst>
        </c:ser>
        <c:ser>
          <c:idx val="1"/>
          <c:order val="1"/>
          <c:tx>
            <c:v>National Investment</c:v>
          </c:tx>
          <c:spPr>
            <a:ln w="19050" cmpd="sng">
              <a:solidFill>
                <a:srgbClr val="49A078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numRef>
              <c:f>'Research Sweden'!$E$9:$I$9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'Research Sweden'!$E$24:$I$24</c:f>
              <c:numCache>
                <c:formatCode>0.0</c:formatCode>
                <c:ptCount val="5"/>
                <c:pt idx="0">
                  <c:v>24.51</c:v>
                </c:pt>
                <c:pt idx="1">
                  <c:v>24.535</c:v>
                </c:pt>
                <c:pt idx="2">
                  <c:v>23.727499999999999</c:v>
                </c:pt>
                <c:pt idx="3">
                  <c:v>24.48</c:v>
                </c:pt>
                <c:pt idx="4">
                  <c:v>24.965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16-FC4B-A708-61AE05AC6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9096758"/>
        <c:axId val="1515061788"/>
      </c:lineChart>
      <c:catAx>
        <c:axId val="20290967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A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Segoe UI"/>
              </a:defRPr>
            </a:pPr>
            <a:endParaRPr lang="en-UA"/>
          </a:p>
        </c:txPr>
        <c:crossAx val="1515061788"/>
        <c:crosses val="autoZero"/>
        <c:auto val="1"/>
        <c:lblAlgn val="ctr"/>
        <c:lblOffset val="100"/>
        <c:noMultiLvlLbl val="1"/>
      </c:catAx>
      <c:valAx>
        <c:axId val="1515061788"/>
        <c:scaling>
          <c:orientation val="minMax"/>
          <c:min val="1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A"/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Segoe UI"/>
              </a:defRPr>
            </a:pPr>
            <a:endParaRPr lang="en-UA"/>
          </a:p>
        </c:txPr>
        <c:crossAx val="2029096758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layout>
        <c:manualLayout>
          <c:xMode val="edge"/>
          <c:yMode val="edge"/>
          <c:x val="0.10533420822397202"/>
          <c:y val="0.68981572615923015"/>
        </c:manualLayout>
      </c:layout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A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100" b="1" i="0">
                <a:solidFill>
                  <a:schemeClr val="accent1"/>
                </a:solidFill>
                <a:latin typeface="Segoe UI"/>
              </a:defRPr>
            </a:pPr>
            <a:r>
              <a:rPr lang="en-US" sz="1100" b="1" i="0">
                <a:solidFill>
                  <a:schemeClr val="accent1"/>
                </a:solidFill>
                <a:latin typeface="Segoe UI"/>
              </a:rPr>
              <a:t>Current Account and Public S-I Balance (in percent of GDP)</a:t>
            </a:r>
          </a:p>
        </c:rich>
      </c:tx>
      <c:layout>
        <c:manualLayout>
          <c:xMode val="edge"/>
          <c:yMode val="edge"/>
          <c:x val="0.16292365607930492"/>
          <c:y val="0"/>
        </c:manualLayout>
      </c:layout>
      <c:overlay val="0"/>
    </c:title>
    <c:autoTitleDeleted val="0"/>
    <c:plotArea>
      <c:layout>
        <c:manualLayout>
          <c:xMode val="edge"/>
          <c:yMode val="edge"/>
          <c:x val="7.2430018593720294E-2"/>
          <c:y val="0.19259876940105694"/>
          <c:w val="0.89305577339455677"/>
          <c:h val="0.69682639810764424"/>
        </c:manualLayout>
      </c:layout>
      <c:lineChart>
        <c:grouping val="standard"/>
        <c:varyColors val="1"/>
        <c:ser>
          <c:idx val="0"/>
          <c:order val="0"/>
          <c:tx>
            <c:v>Current Account</c:v>
          </c:tx>
          <c:spPr>
            <a:ln w="19050" cmpd="sng">
              <a:solidFill>
                <a:srgbClr val="0090C1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numRef>
              <c:f>'Research Sweden'!$E$9:$I$9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'Research Sweden'!$E$11:$I$11</c:f>
              <c:numCache>
                <c:formatCode>0.0</c:formatCode>
                <c:ptCount val="5"/>
                <c:pt idx="0">
                  <c:v>4.5638772590562233</c:v>
                </c:pt>
                <c:pt idx="1">
                  <c:v>4.818184249842802</c:v>
                </c:pt>
                <c:pt idx="2">
                  <c:v>8.1284838193464388</c:v>
                </c:pt>
                <c:pt idx="3">
                  <c:v>8.7479542457661061</c:v>
                </c:pt>
                <c:pt idx="4">
                  <c:v>9.6144222741652499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64-2E43-8059-4BC48C015BB0}"/>
            </c:ext>
          </c:extLst>
        </c:ser>
        <c:ser>
          <c:idx val="1"/>
          <c:order val="1"/>
          <c:tx>
            <c:v>Public S-I Balance</c:v>
          </c:tx>
          <c:spPr>
            <a:ln w="19050" cmpd="sng">
              <a:solidFill>
                <a:srgbClr val="49A078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numRef>
              <c:f>'Research Sweden'!$E$9:$I$9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'Research Sweden'!$F$27:$I$27</c:f>
              <c:numCache>
                <c:formatCode>0.0</c:formatCode>
                <c:ptCount val="4"/>
                <c:pt idx="0">
                  <c:v>0.8</c:v>
                </c:pt>
                <c:pt idx="1">
                  <c:v>1</c:v>
                </c:pt>
                <c:pt idx="2">
                  <c:v>-0.5</c:v>
                </c:pt>
                <c:pt idx="3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64-2E43-8059-4BC48C015BB0}"/>
            </c:ext>
          </c:extLst>
        </c:ser>
        <c:ser>
          <c:idx val="2"/>
          <c:order val="2"/>
          <c:tx>
            <c:strRef>
              <c:f>'Research Sweden'!$D$28</c:f>
              <c:strCache>
                <c:ptCount val="1"/>
                <c:pt idx="0">
                  <c:v>Private S-I Gap</c:v>
                </c:pt>
              </c:strCache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numRef>
              <c:f>'Research Sweden'!$E$9:$I$9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'Research Sweden'!$F$28:$I$28</c:f>
              <c:numCache>
                <c:formatCode>0.0</c:formatCode>
                <c:ptCount val="4"/>
                <c:pt idx="0">
                  <c:v>1.8649999999999991</c:v>
                </c:pt>
                <c:pt idx="1">
                  <c:v>4.6724999999999994</c:v>
                </c:pt>
                <c:pt idx="2">
                  <c:v>6.02</c:v>
                </c:pt>
                <c:pt idx="3">
                  <c:v>5.4349999999999987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64-2E43-8059-4BC48C015B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1734562"/>
        <c:axId val="404716149"/>
      </c:lineChart>
      <c:catAx>
        <c:axId val="12617345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A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Segoe UI"/>
              </a:defRPr>
            </a:pPr>
            <a:endParaRPr lang="en-UA"/>
          </a:p>
        </c:txPr>
        <c:crossAx val="404716149"/>
        <c:crosses val="autoZero"/>
        <c:auto val="1"/>
        <c:lblAlgn val="ctr"/>
        <c:lblOffset val="100"/>
        <c:noMultiLvlLbl val="1"/>
      </c:catAx>
      <c:valAx>
        <c:axId val="404716149"/>
        <c:scaling>
          <c:orientation val="minMax"/>
          <c:min val="-5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A"/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Segoe UI"/>
              </a:defRPr>
            </a:pPr>
            <a:endParaRPr lang="en-UA"/>
          </a:p>
        </c:txPr>
        <c:crossAx val="1261734562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layout>
        <c:manualLayout>
          <c:xMode val="edge"/>
          <c:yMode val="edge"/>
          <c:x val="0.58983041364015543"/>
          <c:y val="0.22540600393700783"/>
        </c:manualLayout>
      </c:layout>
      <c:overlay val="0"/>
      <c:txPr>
        <a:bodyPr/>
        <a:lstStyle/>
        <a:p>
          <a:pPr lvl="0">
            <a:defRPr sz="1100" b="0" i="0">
              <a:solidFill>
                <a:srgbClr val="1A1A1A"/>
              </a:solidFill>
              <a:latin typeface="+mn-lt"/>
            </a:defRPr>
          </a:pPr>
          <a:endParaRPr lang="en-UA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100" b="1" i="0">
                <a:solidFill>
                  <a:schemeClr val="accent1"/>
                </a:solidFill>
                <a:latin typeface="Segoe UI"/>
              </a:defRPr>
            </a:pPr>
            <a:r>
              <a:rPr lang="en-US" sz="1100" b="1" i="0">
                <a:solidFill>
                  <a:schemeClr val="accent1"/>
                </a:solidFill>
                <a:latin typeface="Segoe UI"/>
              </a:rPr>
              <a:t>
 Current Account and Net Exports (in percent of GDP)</a:t>
            </a:r>
          </a:p>
        </c:rich>
      </c:tx>
      <c:layout>
        <c:manualLayout>
          <c:xMode val="edge"/>
          <c:yMode val="edge"/>
          <c:x val="0.16292365607930492"/>
          <c:y val="0"/>
        </c:manualLayout>
      </c:layout>
      <c:overlay val="0"/>
    </c:title>
    <c:autoTitleDeleted val="0"/>
    <c:plotArea>
      <c:layout>
        <c:manualLayout>
          <c:xMode val="edge"/>
          <c:yMode val="edge"/>
          <c:x val="7.2430018593720294E-2"/>
          <c:y val="0.17692624778934363"/>
          <c:w val="0.89305577339455677"/>
          <c:h val="0.7139802837145357"/>
        </c:manualLayout>
      </c:layout>
      <c:lineChart>
        <c:grouping val="standard"/>
        <c:varyColors val="1"/>
        <c:ser>
          <c:idx val="0"/>
          <c:order val="0"/>
          <c:tx>
            <c:v>Current Account</c:v>
          </c:tx>
          <c:spPr>
            <a:ln w="19050" cmpd="sng">
              <a:solidFill>
                <a:srgbClr val="0090C1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numRef>
              <c:f>'Research Sweden'!$E$9:$I$9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'Research Sweden'!$E$11:$I$11</c:f>
              <c:numCache>
                <c:formatCode>0.0</c:formatCode>
                <c:ptCount val="5"/>
                <c:pt idx="0">
                  <c:v>4.5638772590562233</c:v>
                </c:pt>
                <c:pt idx="1">
                  <c:v>4.818184249842802</c:v>
                </c:pt>
                <c:pt idx="2">
                  <c:v>8.1284838193464388</c:v>
                </c:pt>
                <c:pt idx="3">
                  <c:v>8.7479542457661061</c:v>
                </c:pt>
                <c:pt idx="4">
                  <c:v>9.6144222741652499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E1-3C4A-AEF1-60F4B4BF70A5}"/>
            </c:ext>
          </c:extLst>
        </c:ser>
        <c:ser>
          <c:idx val="1"/>
          <c:order val="1"/>
          <c:tx>
            <c:v>Net Exports</c:v>
          </c:tx>
          <c:spPr>
            <a:ln w="19050" cmpd="sng">
              <a:solidFill>
                <a:srgbClr val="49A078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numRef>
              <c:f>'Research Sweden'!$E$9:$I$9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'Research Sweden'!$E$12:$I$12</c:f>
              <c:numCache>
                <c:formatCode>0.0</c:formatCode>
                <c:ptCount val="5"/>
                <c:pt idx="0">
                  <c:v>1.8999999999999986</c:v>
                </c:pt>
                <c:pt idx="1">
                  <c:v>1.6999999999999957</c:v>
                </c:pt>
                <c:pt idx="2">
                  <c:v>3.9000000000000057</c:v>
                </c:pt>
                <c:pt idx="3">
                  <c:v>4.1999999999999957</c:v>
                </c:pt>
                <c:pt idx="4">
                  <c:v>4.2999999999999972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E1-3C4A-AEF1-60F4B4BF7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7400992"/>
        <c:axId val="1112490983"/>
      </c:lineChart>
      <c:catAx>
        <c:axId val="10674009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A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Segoe UI"/>
              </a:defRPr>
            </a:pPr>
            <a:endParaRPr lang="en-UA"/>
          </a:p>
        </c:txPr>
        <c:crossAx val="1112490983"/>
        <c:crosses val="autoZero"/>
        <c:auto val="1"/>
        <c:lblAlgn val="ctr"/>
        <c:lblOffset val="100"/>
        <c:noMultiLvlLbl val="1"/>
      </c:catAx>
      <c:valAx>
        <c:axId val="111249098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A"/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Segoe UI"/>
              </a:defRPr>
            </a:pPr>
            <a:endParaRPr lang="en-UA"/>
          </a:p>
        </c:txPr>
        <c:crossAx val="1067400992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layout>
        <c:manualLayout>
          <c:xMode val="edge"/>
          <c:yMode val="edge"/>
          <c:x val="0.10533420822397202"/>
          <c:y val="0.69415600393700783"/>
        </c:manualLayout>
      </c:layout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A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0</xdr:colOff>
      <xdr:row>26</xdr:row>
      <xdr:rowOff>114300</xdr:rowOff>
    </xdr:from>
    <xdr:ext cx="4495800" cy="3019425"/>
    <xdr:graphicFrame macro="">
      <xdr:nvGraphicFramePr>
        <xdr:cNvPr id="727382032" name="Chart 1">
          <a:extLst>
            <a:ext uri="{FF2B5EF4-FFF2-40B4-BE49-F238E27FC236}">
              <a16:creationId xmlns:a16="http://schemas.microsoft.com/office/drawing/2014/main" id="{00000000-0008-0000-0000-000010F85A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16</xdr:col>
      <xdr:colOff>57150</xdr:colOff>
      <xdr:row>9</xdr:row>
      <xdr:rowOff>66675</xdr:rowOff>
    </xdr:from>
    <xdr:ext cx="4495800" cy="2609850"/>
    <xdr:graphicFrame macro="">
      <xdr:nvGraphicFramePr>
        <xdr:cNvPr id="473058884" name="Chart 2">
          <a:extLst>
            <a:ext uri="{FF2B5EF4-FFF2-40B4-BE49-F238E27FC236}">
              <a16:creationId xmlns:a16="http://schemas.microsoft.com/office/drawing/2014/main" id="{00000000-0008-0000-0000-0000444E32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10</xdr:col>
      <xdr:colOff>571500</xdr:colOff>
      <xdr:row>27</xdr:row>
      <xdr:rowOff>19050</xdr:rowOff>
    </xdr:from>
    <xdr:ext cx="4619625" cy="3009900"/>
    <xdr:graphicFrame macro="">
      <xdr:nvGraphicFramePr>
        <xdr:cNvPr id="1593981981" name="Chart 3">
          <a:extLst>
            <a:ext uri="{FF2B5EF4-FFF2-40B4-BE49-F238E27FC236}">
              <a16:creationId xmlns:a16="http://schemas.microsoft.com/office/drawing/2014/main" id="{00000000-0008-0000-0000-00001D3C02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10</xdr:col>
      <xdr:colOff>542925</xdr:colOff>
      <xdr:row>9</xdr:row>
      <xdr:rowOff>104775</xdr:rowOff>
    </xdr:from>
    <xdr:ext cx="4629150" cy="2609850"/>
    <xdr:graphicFrame macro="">
      <xdr:nvGraphicFramePr>
        <xdr:cNvPr id="1440460758" name="Chart 4">
          <a:extLst>
            <a:ext uri="{FF2B5EF4-FFF2-40B4-BE49-F238E27FC236}">
              <a16:creationId xmlns:a16="http://schemas.microsoft.com/office/drawing/2014/main" id="{00000000-0008-0000-0000-0000D6AFDB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0</xdr:colOff>
      <xdr:row>26</xdr:row>
      <xdr:rowOff>114300</xdr:rowOff>
    </xdr:from>
    <xdr:ext cx="4495800" cy="30194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DF2C89-A33A-9B45-BEC6-BB1379258F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16</xdr:col>
      <xdr:colOff>57150</xdr:colOff>
      <xdr:row>9</xdr:row>
      <xdr:rowOff>66675</xdr:rowOff>
    </xdr:from>
    <xdr:ext cx="4495800" cy="260985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2AF6CF0-99E0-D441-927F-6EA873F2D7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10</xdr:col>
      <xdr:colOff>571500</xdr:colOff>
      <xdr:row>27</xdr:row>
      <xdr:rowOff>19050</xdr:rowOff>
    </xdr:from>
    <xdr:ext cx="4619625" cy="30099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D7837C0-A5DF-2A41-A666-11A1036B90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10</xdr:col>
      <xdr:colOff>542925</xdr:colOff>
      <xdr:row>9</xdr:row>
      <xdr:rowOff>104775</xdr:rowOff>
    </xdr:from>
    <xdr:ext cx="4629150" cy="260985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CC41D38-D767-DE47-9843-0592301FA0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/DATA/S1/ECU/Current/ecubopLates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/DATA/S1/ECU/SECTORS/External/PERUMF97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4/users2/DATA/PA/CHL/SECTORS/BOP/Bop020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/WIN/TEMP/MFLOW96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E42F6~1.TAN/AppData/Local/Temp/MDSx%20Database%20February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E.%20Tanner/Documents/Work%20IMF/MDSONLINE/External/Final%20Prep%20July%202017/Copy%20of%20MOD9%20DIAGNOSTICA%20JULY7%20-%20Revised%20vSB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dmilkov/Desktop/MDSx%20Database/MDSx%20Database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&#304;zleme&amp;Ara&#351;t&#305;rma%20Dairesi/&#231;al&#305;&#351;malar/Net%20Debt/NET%20DEBT%20DAIRE%20CALISMASI/netdebt_22aralik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4/users2/ICE/ICE_mission%20SBA1%20may09/background%20notes/Tables%20background%20note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4/users2/data/wrs/xl97/system/WRS97TAB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4/users2/DATA/SV/VULNERABILITIES/VULNERABILITIES%202005-09/working-files/Master%20Cross%20Country%20MSG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DRAFTS/WH/ET/Diagnostic/Mexico%20Diagnostic/Mexico%20GEE%20Apr%2005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4/users2/Users/ipetrova/AppData/Local/Microsoft/Windows/Temporary%20Internet%20Files/Content.Outlook/0CUNTCM9/m&#225;na&#240;aryfirlit%20(17).xlsm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4/users2/users1/ipetrova/My%20Documents/FAD/Iceland/ISL%20Data%20from%20Authorities/Fjarsysla/m&#225;na&#240;aryfirlitJune2010.xlsm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4/users2/DATA/CA/CRI/EXTERNAL/Output/CRI-BOP-0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4/users2/DATA/CA/CRI/Dbase/Dinput/CRI-INPUT-ABOP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4/users2/WINDOWS/TEMP/CRI-BOP-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4/users2/DATA/CA/CRI/EXTERNAL/Output/Other-2002/CRI-INPUT-ABOP-4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4/users2/CPLAZO/IMAE/PR/INF1-AL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/DATA/S1/ECU/SECTORS/External/ecuredtab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4/users2/Users/ipetrova/AppData/Local/Microsoft/Windows/Temporary%20Internet%20Files/Content.Outlook/0CUNTCM9/m&#225;na&#240;aryfirlit%20(4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DebtM"/>
      <sheetName val="finreq-m02"/>
      <sheetName val="BoP-m02"/>
      <sheetName val="Input"/>
      <sheetName val="Trade"/>
      <sheetName val="SER"/>
      <sheetName val="Input2"/>
      <sheetName val="DebtSer"/>
      <sheetName val="CAP"/>
      <sheetName val="RES"/>
      <sheetName val="BoP"/>
      <sheetName val="BoP M-T"/>
      <sheetName val="FinReqM-T"/>
      <sheetName val="DEBT"/>
      <sheetName val="Vulnerability Indicators"/>
      <sheetName val="BOP Main"/>
      <sheetName val="BOP Alt"/>
      <sheetName val="month-01"/>
      <sheetName val="FINREQ"/>
      <sheetName val="monthCAP"/>
      <sheetName val="OUTPUT"/>
      <sheetName val="finproj"/>
      <sheetName val="PC+Bond"/>
      <sheetName val="arr"/>
      <sheetName val="PC"/>
      <sheetName val="M-Ttab"/>
      <sheetName val="BondFin"/>
      <sheetName val="PCscen"/>
      <sheetName val="BoP med-t"/>
      <sheetName val="gaps"/>
      <sheetName val="month2000"/>
      <sheetName val="WEO"/>
      <sheetName val="SR_99"/>
      <sheetName val="BoPmonth99"/>
      <sheetName val="Chart1"/>
      <sheetName val="WEOQ5"/>
      <sheetName val="WEOQ6"/>
      <sheetName val="WEOQ7"/>
      <sheetName val="xxweolinksxx"/>
      <sheetName val="correlations with EMB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Execute Macros"/>
      <sheetName val="Annual Raw Data"/>
      <sheetName val="Quarterly Raw Data"/>
      <sheetName val="WEO Raw Data"/>
      <sheetName val="Annual Assumptions"/>
      <sheetName val="Quarterly Assumptions"/>
      <sheetName val="Annual MacroFlow"/>
      <sheetName val="Quarterly MacroFlow"/>
      <sheetName val="Annual Tables"/>
      <sheetName val="SEI Table"/>
      <sheetName val="Basic Data"/>
      <sheetName val="Program MFlows97"/>
      <sheetName val="WEO Submission Sheet"/>
      <sheetName val="SEI Chart"/>
      <sheetName val="Fiscal Chart"/>
      <sheetName val="Money Chart"/>
      <sheetName val="Macros Import"/>
      <sheetName val="Macros Pri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Notes"/>
      <sheetName val="X-Ranges"/>
      <sheetName val="M-Ranges"/>
      <sheetName val="WEO Ass"/>
      <sheetName val="SR-Tab5-bop"/>
      <sheetName val="SR-Tabs7&amp;8-mt"/>
      <sheetName val="vul-ind SRversion"/>
      <sheetName val="vul-ind PDRversion"/>
      <sheetName val="Indicators"/>
      <sheetName val="BOP Stress "/>
      <sheetName val="BOPdetail"/>
      <sheetName val="Trade"/>
      <sheetName val="Debt"/>
      <sheetName val="G"/>
      <sheetName val="Profits"/>
      <sheetName val="Inv. Income"/>
      <sheetName val="NIR"/>
      <sheetName val="SA-Tab 27"/>
      <sheetName val="SA-Tab 28"/>
      <sheetName val="SA Tab 29"/>
      <sheetName val="SA Tab 30"/>
      <sheetName val="Oper.Budg."/>
      <sheetName val="OilShock"/>
      <sheetName val="K"/>
      <sheetName val="J"/>
      <sheetName val="cobra"/>
      <sheetName val="OldTab28"/>
      <sheetName val="OldTab35"/>
      <sheetName val="OldTab36"/>
      <sheetName val="Old Summ BoP"/>
      <sheetName val="Old Brf-Tbl"/>
      <sheetName val="OldSR-Tbl"/>
      <sheetName val="WE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Execute Macros"/>
      <sheetName val="Annual Transfer"/>
      <sheetName val="Quarterly Transfer"/>
      <sheetName val="Annual Assumptions"/>
      <sheetName val="Quarterly Assumptions"/>
      <sheetName val="Annual MacroFlow"/>
      <sheetName val="Quarterly MacroFlow"/>
      <sheetName val="Annual Tables"/>
      <sheetName val="MFLOW96"/>
      <sheetName val="F1data"/>
      <sheetName val="F2data"/>
      <sheetName val="Execute_Macros"/>
      <sheetName val="Annual_Transfer"/>
      <sheetName val="Quarterly_Transfer"/>
      <sheetName val="Annual_Assumptions"/>
      <sheetName val="Quarterly_Assumptions"/>
      <sheetName val="Annual_MacroFlow"/>
      <sheetName val="Quarterly_MacroFlow"/>
      <sheetName val="Annual_Tables"/>
      <sheetName val="#REF"/>
      <sheetName val="MFLOW96.XLS"/>
    </sheetNames>
    <definedNames>
      <definedName name="[Macros Import].qbop"/>
      <definedName name="atrade"/>
      <definedName name="mflowsa"/>
      <definedName name="mflowsq"/>
      <definedName name="mstocksa"/>
      <definedName name="mstocksq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Data List Real Sector"/>
      <sheetName val="Real Sector Data (Q)"/>
      <sheetName val="Real Sector Data (A)"/>
      <sheetName val="Data List Prices&amp;Money"/>
      <sheetName val="Prices&amp;Money Data (Q)"/>
      <sheetName val="Prices&amp;Money Data (A)"/>
      <sheetName val="Data List Fiscal Sector"/>
      <sheetName val="Fiscal Sector Data (A)"/>
      <sheetName val="Data List External Sector"/>
      <sheetName val="External Sector Data (Q)"/>
      <sheetName val="External Sector Data (A)"/>
      <sheetName val="Data List Financial Sector"/>
      <sheetName val="Financial Sector Data (Q)"/>
      <sheetName val="Data List Mod 1&amp;2&amp;3"/>
      <sheetName val="Data-In (Q) Mod 1&amp;2&amp;3"/>
      <sheetName val="Data-In (A) Mod 1&amp;2&amp;3"/>
      <sheetName val="Data List Mod 4"/>
      <sheetName val="Data-In (Q) Mod 4"/>
      <sheetName val="Data-In (A) Mod 4"/>
      <sheetName val="Data List Mod 5"/>
      <sheetName val="Data-In (Q) Mod 5"/>
      <sheetName val="Data List Mod 6"/>
      <sheetName val="Data-In Mod 6"/>
      <sheetName val="Data List Mod 7&amp;8"/>
      <sheetName val="Data-In (A) Mod 7&amp;8"/>
      <sheetName val="Data List Mod 9&amp;10&amp;11"/>
      <sheetName val="Data-In (Q) Mod 9&amp;10&amp;11"/>
      <sheetName val="Data-In (A) Mod 9&amp;10&amp;11"/>
    </sheetNames>
    <sheetDataSet>
      <sheetData sheetId="0" refreshError="1"/>
      <sheetData sheetId="1" refreshError="1"/>
      <sheetData sheetId="2"/>
      <sheetData sheetId="3"/>
      <sheetData sheetId="4" refreshError="1"/>
      <sheetData sheetId="5"/>
      <sheetData sheetId="6"/>
      <sheetData sheetId="7" refreshError="1"/>
      <sheetData sheetId="8"/>
      <sheetData sheetId="9" refreshError="1"/>
      <sheetData sheetId="10"/>
      <sheetData sheetId="11">
        <row r="4">
          <cell r="C4" t="str">
            <v>1980 *Y</v>
          </cell>
        </row>
      </sheetData>
      <sheetData sheetId="12" refreshError="1"/>
      <sheetData sheetId="13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-Me"/>
      <sheetName val=" 1. BOP Overview FOR MDSx"/>
      <sheetName val="FORMATIVE DEFUNCT"/>
      <sheetName val="Formative SECT 2"/>
      <sheetName val="ASSESSMENTS INFORMAL NORM"/>
      <sheetName val=" 1. BOP Overview FOR MDSx DID"/>
      <sheetName val="1a BOP Charts"/>
      <sheetName val="2. CAB Turkey vs. EME"/>
      <sheetName val="2a. CAB EME Graphs"/>
      <sheetName val="2b. S-I &amp; CAB"/>
      <sheetName val="2c. S-I &amp; CAB Graphs"/>
      <sheetName val="2d. Trade"/>
      <sheetName val="3. FDI Turkey vs. EME"/>
      <sheetName val="3a. FDI EME-Graphs"/>
      <sheetName val="3b. Financial Acct"/>
      <sheetName val="3c. Fin Acct-Graphs"/>
      <sheetName val="Output to SEI "/>
      <sheetName val="BOP Overview"/>
      <sheetName val="MDSx Episode Analysis"/>
      <sheetName val="MDSx Episode Analysis BAK"/>
      <sheetName val="CA and RER"/>
      <sheetName val="Assessments Episode Analysis"/>
      <sheetName val="Subjective Ass END MOD "/>
      <sheetName val="Assessments RER and CA MAR 17 "/>
      <sheetName val="SUMMARY FOR MDSX"/>
      <sheetName val="SUMMARY FOR MDSX DID"/>
      <sheetName val="FORMATIVE PART2 CURRENT ACCT"/>
      <sheetName val="FORMATIVE PART2 FIN ACCT"/>
      <sheetName val="FORMATIVE 927 DRIVERS"/>
      <sheetName val="FORMATIVE T2"/>
      <sheetName val="DATA IN SUPP 2"/>
      <sheetName val="DATA IN NATACCTS REAL HAVER"/>
      <sheetName val="MDSx Episode Analysis HARDPASTE"/>
      <sheetName val="Charts"/>
      <sheetName val="Data-In (A) Mod 9&amp;10&amp;11"/>
      <sheetName val="Prices&amp;Money Data (A)"/>
      <sheetName val="Real Sector Data (Q)"/>
      <sheetName val="TRAD PART OUTPUT GAP"/>
      <sheetName val="Fiscal Sector Data (A)"/>
      <sheetName val="Real Sector Data (A)"/>
      <sheetName val="Data-IN BOP-IMF"/>
      <sheetName val="Sheet1"/>
      <sheetName val="MDSx Episode Analysis BAK2"/>
      <sheetName val="BOP DATA TRANSPOSE"/>
      <sheetName val="Data-IN Amort"/>
      <sheetName val="Data-IN EME Comparison"/>
      <sheetName val="Data-IN TL&amp;USD GDP"/>
      <sheetName val="Data-IN NGP Annual"/>
      <sheetName val="Data-IN W-10 BOP-Income"/>
      <sheetName val="Data-IN IIP Ann"/>
      <sheetName val="Data-IN Bond Yields"/>
      <sheetName val="Data-IN Ex Rates"/>
      <sheetName val="Workbook_Flowchart"/>
      <sheetName val="Diag. data from other Modu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9">
          <cell r="R9">
            <v>-1.434608980365075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Workbook Flowchart"/>
      <sheetName val="Real Sector Data List"/>
      <sheetName val="Real Sector Data In (Q)"/>
      <sheetName val="Real Sector Data In (A)"/>
      <sheetName val="Prices Data List"/>
      <sheetName val="Prices Data In (Q)"/>
      <sheetName val="Prices Data (M)"/>
      <sheetName val="Prices Data In (A)"/>
      <sheetName val="Fiscal Data List"/>
      <sheetName val="Fiscal Data In (Q)"/>
      <sheetName val="Fiscal Data In (A)"/>
      <sheetName val="BOP Data List"/>
      <sheetName val="BOP Data In (Q)"/>
      <sheetName val="BOP Data In (A)"/>
      <sheetName val="Data List Mod 1"/>
      <sheetName val="Mod 1 Data In (Q)"/>
      <sheetName val="Mod 1 Data In (A)"/>
      <sheetName val="Data List Mod 2"/>
      <sheetName val="Mod 2 Data In (Q)"/>
      <sheetName val="Mod 2 Data In (A)"/>
      <sheetName val="Data List Mod 3"/>
      <sheetName val="Mod 3 Data In (Q)"/>
      <sheetName val="Mod 3 Data In (A)"/>
      <sheetName val="Data List Mod 7"/>
      <sheetName val="Mod 7 Data In (A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NEMLI_OKUYUN"/>
      <sheetName val="PublicDebt"/>
      <sheetName val="Net_broc"/>
      <sheetName val="Grafikler1"/>
      <sheetName val="Grafikler2"/>
    </sheetNames>
    <sheetDataSet>
      <sheetData sheetId="0" refreshError="1">
        <row r="86">
          <cell r="H86">
            <v>1631948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1"/>
      <sheetName val="exch rates"/>
      <sheetName val="VAT rates OECD Countries"/>
      <sheetName val="Corporate OECD countries"/>
      <sheetName val="PIT OECD countries"/>
      <sheetName val="Dom GS OECD countries"/>
      <sheetName val="Soc Sec OECD countries"/>
      <sheetName val="Chart1"/>
      <sheetName val="Chart1 (2)"/>
      <sheetName val="Chart1 (3)"/>
      <sheetName val="Chart1 (4)"/>
      <sheetName val="Panel1"/>
      <sheetName val="series for tax graphs"/>
      <sheetName val="Chart2"/>
      <sheetName val="Chart2 (2)"/>
      <sheetName val="EDSS3"/>
      <sheetName val="Chart3"/>
      <sheetName val="Chart4"/>
      <sheetName val="EDSS1"/>
      <sheetName val="Table2"/>
      <sheetName val="Table2b"/>
      <sheetName val="Table3"/>
      <sheetName val="Table4"/>
      <sheetName val="Table5"/>
      <sheetName val="Table5b"/>
      <sheetName val="Table6"/>
      <sheetName val="Table7"/>
      <sheetName val="Table8"/>
    </sheetNames>
    <sheetDataSet>
      <sheetData sheetId="0"/>
      <sheetData sheetId="1">
        <row r="2">
          <cell r="G2">
            <v>71.66</v>
          </cell>
        </row>
      </sheetData>
      <sheetData sheetId="2">
        <row r="5">
          <cell r="B5" t="str">
            <v>Table 1. OECD Countries: VAT Rates, As at end of 2008</v>
          </cell>
        </row>
        <row r="8">
          <cell r="E8" t="str">
            <v xml:space="preserve">Current </v>
          </cell>
          <cell r="G8" t="str">
            <v xml:space="preserve">Current </v>
          </cell>
        </row>
        <row r="9">
          <cell r="C9" t="str">
            <v>Date VAT</v>
          </cell>
          <cell r="D9" t="str">
            <v xml:space="preserve">Standard Rate </v>
          </cell>
          <cell r="E9" t="str">
            <v xml:space="preserve">Standard </v>
          </cell>
          <cell r="G9" t="str">
            <v>Other Positive</v>
          </cell>
        </row>
        <row r="10">
          <cell r="C10" t="str">
            <v>Introduced</v>
          </cell>
          <cell r="D10" t="str">
            <v>at Introduction</v>
          </cell>
          <cell r="E10" t="str">
            <v>Rate</v>
          </cell>
          <cell r="G10" t="str">
            <v xml:space="preserve"> Rates</v>
          </cell>
        </row>
        <row r="13">
          <cell r="B13" t="str">
            <v>Canada</v>
          </cell>
          <cell r="C13" t="str">
            <v>Jan. 1991</v>
          </cell>
          <cell r="D13">
            <v>7</v>
          </cell>
          <cell r="E13">
            <v>6</v>
          </cell>
          <cell r="F13" t="str">
            <v>1/</v>
          </cell>
        </row>
        <row r="14">
          <cell r="B14" t="str">
            <v>Mexico</v>
          </cell>
          <cell r="C14" t="str">
            <v>Jan. 1980</v>
          </cell>
          <cell r="D14">
            <v>10</v>
          </cell>
          <cell r="E14">
            <v>15</v>
          </cell>
          <cell r="G14">
            <v>10</v>
          </cell>
        </row>
        <row r="17">
          <cell r="B17" t="str">
            <v>Australia</v>
          </cell>
          <cell r="C17" t="str">
            <v>Jul. 2000</v>
          </cell>
          <cell r="D17">
            <v>10</v>
          </cell>
          <cell r="E17">
            <v>10</v>
          </cell>
        </row>
        <row r="18">
          <cell r="B18" t="str">
            <v>Japan 2/</v>
          </cell>
          <cell r="C18" t="str">
            <v>Apr. 1989</v>
          </cell>
          <cell r="D18">
            <v>3</v>
          </cell>
          <cell r="E18">
            <v>5</v>
          </cell>
        </row>
        <row r="19">
          <cell r="B19" t="str">
            <v>Korea</v>
          </cell>
          <cell r="C19" t="str">
            <v>Jul. 1977</v>
          </cell>
          <cell r="D19">
            <v>13</v>
          </cell>
          <cell r="E19">
            <v>10</v>
          </cell>
        </row>
        <row r="20">
          <cell r="B20" t="str">
            <v>New Zealand</v>
          </cell>
          <cell r="C20" t="str">
            <v>May 1986</v>
          </cell>
          <cell r="D20">
            <v>10</v>
          </cell>
          <cell r="E20">
            <v>12.5</v>
          </cell>
        </row>
        <row r="23">
          <cell r="B23" t="str">
            <v>Austria 3/</v>
          </cell>
          <cell r="C23" t="str">
            <v>Jan. 1973</v>
          </cell>
          <cell r="D23">
            <v>8</v>
          </cell>
          <cell r="E23">
            <v>20</v>
          </cell>
          <cell r="G23" t="str">
            <v>10.0; 12.0</v>
          </cell>
        </row>
        <row r="24">
          <cell r="B24" t="str">
            <v>Belgium 3/</v>
          </cell>
          <cell r="C24" t="str">
            <v>Jan. 1971</v>
          </cell>
          <cell r="D24">
            <v>18</v>
          </cell>
          <cell r="E24">
            <v>21</v>
          </cell>
          <cell r="G24" t="str">
            <v xml:space="preserve"> 6.0; 12.0</v>
          </cell>
        </row>
        <row r="25">
          <cell r="B25" t="str">
            <v>Czech Republic 3/</v>
          </cell>
          <cell r="C25" t="str">
            <v>Jan. 1993</v>
          </cell>
          <cell r="D25">
            <v>23</v>
          </cell>
          <cell r="E25">
            <v>19</v>
          </cell>
          <cell r="G25">
            <v>9</v>
          </cell>
        </row>
        <row r="26">
          <cell r="B26" t="str">
            <v>Denmark 3/</v>
          </cell>
          <cell r="C26" t="str">
            <v>Jul. 1967</v>
          </cell>
          <cell r="D26">
            <v>10</v>
          </cell>
          <cell r="E26">
            <v>25</v>
          </cell>
          <cell r="F26" t="str">
            <v>4/</v>
          </cell>
        </row>
        <row r="27">
          <cell r="B27" t="str">
            <v>Finland 3/</v>
          </cell>
          <cell r="C27" t="str">
            <v>Jun. 1994</v>
          </cell>
          <cell r="D27">
            <v>22</v>
          </cell>
          <cell r="E27">
            <v>22</v>
          </cell>
          <cell r="G27" t="str">
            <v>8.0; 17.0</v>
          </cell>
        </row>
        <row r="28">
          <cell r="B28" t="str">
            <v>France 3/</v>
          </cell>
          <cell r="C28" t="str">
            <v>Jan. 1968</v>
          </cell>
          <cell r="D28">
            <v>13.6</v>
          </cell>
          <cell r="E28">
            <v>19.600000000000001</v>
          </cell>
          <cell r="G28" t="str">
            <v>2.1; 5.5</v>
          </cell>
        </row>
        <row r="29">
          <cell r="B29" t="str">
            <v>Germany 3/</v>
          </cell>
          <cell r="C29" t="str">
            <v>Jan. 1968</v>
          </cell>
          <cell r="D29">
            <v>10</v>
          </cell>
          <cell r="E29">
            <v>19</v>
          </cell>
          <cell r="G29">
            <v>7</v>
          </cell>
        </row>
        <row r="30">
          <cell r="B30" t="str">
            <v>Greece 3/</v>
          </cell>
          <cell r="C30" t="str">
            <v>Jan. 1987</v>
          </cell>
          <cell r="D30">
            <v>18</v>
          </cell>
          <cell r="E30">
            <v>19</v>
          </cell>
          <cell r="G30" t="str">
            <v>4.5; 9.0</v>
          </cell>
        </row>
        <row r="31">
          <cell r="B31" t="str">
            <v xml:space="preserve">Hungary 3/ </v>
          </cell>
          <cell r="C31" t="str">
            <v>Jan. 1988</v>
          </cell>
          <cell r="D31">
            <v>25</v>
          </cell>
          <cell r="E31">
            <v>20</v>
          </cell>
          <cell r="G31">
            <v>5</v>
          </cell>
        </row>
        <row r="32">
          <cell r="B32" t="str">
            <v xml:space="preserve">Iceland </v>
          </cell>
          <cell r="C32" t="str">
            <v>Jan. 1990</v>
          </cell>
          <cell r="D32">
            <v>24.5</v>
          </cell>
          <cell r="E32">
            <v>24.5</v>
          </cell>
          <cell r="G32">
            <v>14</v>
          </cell>
        </row>
        <row r="33">
          <cell r="B33" t="str">
            <v>Ireland 3/</v>
          </cell>
          <cell r="C33" t="str">
            <v>Nov. 1972</v>
          </cell>
          <cell r="D33">
            <v>16.37</v>
          </cell>
          <cell r="E33">
            <v>21</v>
          </cell>
          <cell r="G33" t="str">
            <v>4.8; 13.5</v>
          </cell>
        </row>
        <row r="34">
          <cell r="B34" t="str">
            <v>Italy 3/</v>
          </cell>
          <cell r="C34" t="str">
            <v>Jan. 1973</v>
          </cell>
          <cell r="D34">
            <v>12</v>
          </cell>
          <cell r="E34">
            <v>20</v>
          </cell>
          <cell r="G34" t="str">
            <v>4.0;10.0</v>
          </cell>
        </row>
        <row r="35">
          <cell r="B35" t="str">
            <v>Luxembourg 3/</v>
          </cell>
          <cell r="C35" t="str">
            <v>Jan. 1970</v>
          </cell>
          <cell r="D35">
            <v>8</v>
          </cell>
          <cell r="E35">
            <v>15</v>
          </cell>
          <cell r="G35" t="str">
            <v>3.0; 6.0; 12.0</v>
          </cell>
        </row>
        <row r="36">
          <cell r="B36" t="str">
            <v>Netherlands 3/</v>
          </cell>
          <cell r="C36" t="str">
            <v>Jan. 1969</v>
          </cell>
          <cell r="D36">
            <v>12</v>
          </cell>
          <cell r="E36">
            <v>19</v>
          </cell>
          <cell r="G36">
            <v>6</v>
          </cell>
        </row>
        <row r="37">
          <cell r="B37" t="str">
            <v>Norway</v>
          </cell>
          <cell r="C37" t="str">
            <v>Jan. 1970</v>
          </cell>
          <cell r="D37">
            <v>20</v>
          </cell>
          <cell r="E37">
            <v>25</v>
          </cell>
          <cell r="G37" t="str">
            <v>8.0; 14.0</v>
          </cell>
        </row>
        <row r="38">
          <cell r="B38" t="str">
            <v>Poland 3/</v>
          </cell>
          <cell r="C38" t="str">
            <v>Jul. 1993</v>
          </cell>
          <cell r="D38">
            <v>22</v>
          </cell>
          <cell r="E38">
            <v>22</v>
          </cell>
          <cell r="G38" t="str">
            <v>3.0; 7.0</v>
          </cell>
        </row>
        <row r="39">
          <cell r="B39" t="str">
            <v>Portugal 3/ 5/</v>
          </cell>
          <cell r="C39" t="str">
            <v>Jan. 1986</v>
          </cell>
          <cell r="D39">
            <v>17</v>
          </cell>
          <cell r="E39">
            <v>21</v>
          </cell>
          <cell r="G39" t="str">
            <v xml:space="preserve">5.0; 12.0 </v>
          </cell>
        </row>
        <row r="40">
          <cell r="B40" t="str">
            <v>Slovak Republic 3/</v>
          </cell>
          <cell r="C40" t="str">
            <v>Jan. 1993</v>
          </cell>
          <cell r="D40">
            <v>23</v>
          </cell>
          <cell r="E40">
            <v>19</v>
          </cell>
          <cell r="G40">
            <v>10</v>
          </cell>
        </row>
        <row r="41">
          <cell r="B41" t="str">
            <v>Spain 3/</v>
          </cell>
          <cell r="C41" t="str">
            <v>Jan. 1986</v>
          </cell>
          <cell r="D41">
            <v>12</v>
          </cell>
          <cell r="E41">
            <v>16</v>
          </cell>
          <cell r="G41" t="str">
            <v>4.0; 7.0</v>
          </cell>
        </row>
        <row r="42">
          <cell r="B42" t="str">
            <v>Sweden 3/</v>
          </cell>
          <cell r="C42" t="str">
            <v>Jan. 1969</v>
          </cell>
          <cell r="D42">
            <v>11.1</v>
          </cell>
          <cell r="E42">
            <v>25</v>
          </cell>
          <cell r="G42" t="str">
            <v>6.0; 12.0</v>
          </cell>
        </row>
        <row r="43">
          <cell r="B43" t="str">
            <v xml:space="preserve">Switzerland </v>
          </cell>
          <cell r="C43" t="str">
            <v>Jan. 1995</v>
          </cell>
          <cell r="D43">
            <v>6.5</v>
          </cell>
          <cell r="E43">
            <v>7.6</v>
          </cell>
          <cell r="G43" t="str">
            <v>2.4; 3.6 6/</v>
          </cell>
        </row>
        <row r="44">
          <cell r="B44" t="str">
            <v>Turkey 7/</v>
          </cell>
          <cell r="C44" t="str">
            <v>Jan. 1985</v>
          </cell>
          <cell r="D44">
            <v>10</v>
          </cell>
          <cell r="E44">
            <v>18</v>
          </cell>
          <cell r="G44" t="str">
            <v>1.0; 8.0; 26; 40</v>
          </cell>
        </row>
        <row r="45">
          <cell r="B45" t="str">
            <v>United Kingdom 3/</v>
          </cell>
          <cell r="C45" t="str">
            <v>Apr. 1973</v>
          </cell>
          <cell r="D45">
            <v>10</v>
          </cell>
          <cell r="E45">
            <v>17.5</v>
          </cell>
          <cell r="G45">
            <v>5</v>
          </cell>
        </row>
        <row r="47">
          <cell r="B47" t="str">
            <v xml:space="preserve">    Unweighted average</v>
          </cell>
        </row>
        <row r="48">
          <cell r="B48" t="str">
            <v xml:space="preserve">      OECD Total</v>
          </cell>
          <cell r="D48">
            <v>13.96793103448276</v>
          </cell>
          <cell r="E48">
            <v>17.713793103448278</v>
          </cell>
        </row>
        <row r="49">
          <cell r="B49" t="str">
            <v xml:space="preserve">      OECD America</v>
          </cell>
          <cell r="D49">
            <v>8.5</v>
          </cell>
          <cell r="E49">
            <v>10.5</v>
          </cell>
        </row>
        <row r="50">
          <cell r="B50" t="str">
            <v xml:space="preserve">      OECD Pacific</v>
          </cell>
          <cell r="D50">
            <v>9</v>
          </cell>
          <cell r="E50">
            <v>9.375</v>
          </cell>
        </row>
        <row r="51">
          <cell r="B51" t="str">
            <v xml:space="preserve">      OECD Europe</v>
          </cell>
          <cell r="D51">
            <v>15.307391304347828</v>
          </cell>
          <cell r="E51">
            <v>19.791304347826088</v>
          </cell>
        </row>
        <row r="52">
          <cell r="B52" t="str">
            <v xml:space="preserve">       EU</v>
          </cell>
          <cell r="D52">
            <v>15.319473684210529</v>
          </cell>
          <cell r="E52">
            <v>20.005263157894738</v>
          </cell>
        </row>
        <row r="55">
          <cell r="B55" t="str">
            <v xml:space="preserve">    Sources: International Bureau of Fiscal Documentation, IBFD, www.ibfd.org (2007); Worldwide Summaries</v>
          </cell>
        </row>
        <row r="56">
          <cell r="B56" t="str">
            <v xml:space="preserve"> (PricewaterhouseCoopers), www.pwc.com (2007); http://ec.europa.eu/index_en.htm; and Consumption Tax Trends (OECD, 2007).</v>
          </cell>
        </row>
        <row r="58">
          <cell r="B58" t="str">
            <v xml:space="preserve">   1/ Throughout Canada, the federal GST rate is 6 percent (14 percent in three provinces in which federal government collects a combined</v>
          </cell>
        </row>
        <row r="59">
          <cell r="B59" t="str">
            <v xml:space="preserve"> Harmonized Sales Tax (HST) that includes provincial tax). Five provinces levy a provincial retail sales tax. Quebec imposes a VAT called the </v>
          </cell>
        </row>
        <row r="60">
          <cell r="B60" t="str">
            <v xml:space="preserve"> Quebec Sales Tax (QST). Alberta and the territories have no provincial sales tax.</v>
          </cell>
        </row>
        <row r="61">
          <cell r="B61" t="str">
            <v xml:space="preserve">    2/ Including 1 percent local tax.</v>
          </cell>
        </row>
        <row r="62">
          <cell r="B62" t="str">
            <v xml:space="preserve">    3/ European Union countries.</v>
          </cell>
        </row>
        <row r="63">
          <cell r="B63" t="str">
            <v xml:space="preserve">    4/ The first sale of artists' products is subject to VAT at the standard rate of 25 percent, but only 20 percent of the taxable base is</v>
          </cell>
        </row>
        <row r="64">
          <cell r="B64" t="str">
            <v xml:space="preserve"> taken into account, therefore, the effective VAT rate is 5 percent.</v>
          </cell>
        </row>
        <row r="65">
          <cell r="B65" t="str">
            <v xml:space="preserve">    5/ The standard rate increased from 19 percent to 21 percent with effect from 1st July 2005. In the Azores and Madeira, </v>
          </cell>
        </row>
        <row r="66">
          <cell r="B66" t="str">
            <v xml:space="preserve">the rates are levied at 13 percent; 8 percent and 4 percent, respectively,  on the same supplies. </v>
          </cell>
        </row>
        <row r="67">
          <cell r="B67" t="str">
            <v xml:space="preserve">    6/ The reduced 3.6 percent rate applies to the supply of accommodation.</v>
          </cell>
        </row>
        <row r="68">
          <cell r="B68" t="str">
            <v xml:space="preserve">    7/ In Turkey 26 percent and 40 percent rates apply to luxury goods.</v>
          </cell>
        </row>
      </sheetData>
      <sheetData sheetId="3"/>
      <sheetData sheetId="4"/>
      <sheetData sheetId="5">
        <row r="5">
          <cell r="B5" t="str">
            <v>Table 9.  OECD Countries: Taxes on Goods and Services, 1992-2006 1/</v>
          </cell>
        </row>
        <row r="7">
          <cell r="B7" t="str">
            <v xml:space="preserve"> (In percent of GDP)</v>
          </cell>
        </row>
        <row r="10">
          <cell r="C10">
            <v>1990</v>
          </cell>
          <cell r="D10">
            <v>1991</v>
          </cell>
          <cell r="E10">
            <v>1992</v>
          </cell>
          <cell r="F10">
            <v>1993</v>
          </cell>
          <cell r="G10">
            <v>1994</v>
          </cell>
          <cell r="H10">
            <v>1995</v>
          </cell>
          <cell r="I10">
            <v>1996</v>
          </cell>
          <cell r="J10">
            <v>1997</v>
          </cell>
          <cell r="K10">
            <v>1998</v>
          </cell>
          <cell r="L10">
            <v>1999</v>
          </cell>
          <cell r="M10">
            <v>2000</v>
          </cell>
          <cell r="N10">
            <v>2001</v>
          </cell>
          <cell r="O10">
            <v>2002</v>
          </cell>
          <cell r="P10">
            <v>2003</v>
          </cell>
        </row>
        <row r="13">
          <cell r="B13" t="str">
            <v>Canada</v>
          </cell>
          <cell r="C13" t="str">
            <v>...</v>
          </cell>
          <cell r="D13" t="str">
            <v>...</v>
          </cell>
          <cell r="E13" t="str">
            <v>...</v>
          </cell>
          <cell r="F13" t="str">
            <v>...</v>
          </cell>
          <cell r="G13" t="str">
            <v>...</v>
          </cell>
          <cell r="H13" t="str">
            <v>...</v>
          </cell>
          <cell r="I13" t="str">
            <v>...</v>
          </cell>
          <cell r="J13" t="str">
            <v>...</v>
          </cell>
          <cell r="K13" t="str">
            <v>...</v>
          </cell>
          <cell r="L13" t="str">
            <v>...</v>
          </cell>
          <cell r="M13">
            <v>8.6189840578054344</v>
          </cell>
          <cell r="N13">
            <v>8.4472874821307364</v>
          </cell>
          <cell r="O13">
            <v>8.8021129234412196</v>
          </cell>
          <cell r="P13">
            <v>8.6376656294434024</v>
          </cell>
        </row>
        <row r="14">
          <cell r="B14" t="str">
            <v>Mexico 2/</v>
          </cell>
          <cell r="C14">
            <v>8.5919899072985935</v>
          </cell>
          <cell r="D14">
            <v>8.127608187533113</v>
          </cell>
          <cell r="E14">
            <v>7.6474165049589367</v>
          </cell>
          <cell r="F14">
            <v>7.2365301353127816</v>
          </cell>
          <cell r="G14">
            <v>7.1591256580697653</v>
          </cell>
          <cell r="H14">
            <v>8.3076437660077911</v>
          </cell>
          <cell r="I14">
            <v>8.6659076640720141</v>
          </cell>
          <cell r="J14">
            <v>8.7812486613381129</v>
          </cell>
          <cell r="K14">
            <v>7.6634733979720666</v>
          </cell>
          <cell r="L14">
            <v>7.9790642756604955</v>
          </cell>
          <cell r="M14">
            <v>9.1705888810173199</v>
          </cell>
          <cell r="N14" t="str">
            <v>...</v>
          </cell>
          <cell r="O14" t="str">
            <v>...</v>
          </cell>
          <cell r="P14" t="str">
            <v>...</v>
          </cell>
        </row>
        <row r="15">
          <cell r="B15" t="str">
            <v>United States</v>
          </cell>
          <cell r="C15" t="str">
            <v>...</v>
          </cell>
          <cell r="D15" t="str">
            <v>...</v>
          </cell>
          <cell r="E15" t="str">
            <v>...</v>
          </cell>
          <cell r="F15" t="str">
            <v>...</v>
          </cell>
          <cell r="G15" t="str">
            <v>...</v>
          </cell>
          <cell r="H15" t="str">
            <v>...</v>
          </cell>
          <cell r="I15" t="str">
            <v>...</v>
          </cell>
          <cell r="J15" t="str">
            <v>...</v>
          </cell>
          <cell r="K15" t="str">
            <v>...</v>
          </cell>
          <cell r="L15" t="str">
            <v>...</v>
          </cell>
          <cell r="M15">
            <v>4.3823071771090376</v>
          </cell>
          <cell r="N15">
            <v>4.4767203629559775</v>
          </cell>
          <cell r="O15">
            <v>4.4705623901581717</v>
          </cell>
          <cell r="P15">
            <v>4.502768599749345</v>
          </cell>
        </row>
        <row r="18">
          <cell r="B18" t="str">
            <v>Australia</v>
          </cell>
          <cell r="C18" t="str">
            <v>...</v>
          </cell>
          <cell r="D18" t="str">
            <v>...</v>
          </cell>
          <cell r="E18" t="str">
            <v>...</v>
          </cell>
          <cell r="F18" t="str">
            <v>...</v>
          </cell>
          <cell r="G18" t="str">
            <v>...</v>
          </cell>
          <cell r="H18" t="str">
            <v>...</v>
          </cell>
          <cell r="I18" t="str">
            <v>...</v>
          </cell>
          <cell r="J18" t="str">
            <v>...</v>
          </cell>
          <cell r="K18" t="str">
            <v>...</v>
          </cell>
          <cell r="L18">
            <v>7.4414742576674495</v>
          </cell>
          <cell r="M18">
            <v>7.094176885538678</v>
          </cell>
          <cell r="N18">
            <v>7.9634037133309601</v>
          </cell>
          <cell r="O18">
            <v>7.9864152951761911</v>
          </cell>
          <cell r="P18">
            <v>8.2285148314320882</v>
          </cell>
        </row>
        <row r="19">
          <cell r="B19" t="str">
            <v>Japan</v>
          </cell>
          <cell r="C19" t="str">
            <v>...</v>
          </cell>
          <cell r="D19" t="str">
            <v>...</v>
          </cell>
          <cell r="E19" t="str">
            <v>...</v>
          </cell>
          <cell r="F19" t="str">
            <v>...</v>
          </cell>
          <cell r="G19" t="str">
            <v>...</v>
          </cell>
          <cell r="H19" t="str">
            <v>...</v>
          </cell>
          <cell r="I19" t="str">
            <v>...</v>
          </cell>
          <cell r="J19" t="str">
            <v>...</v>
          </cell>
          <cell r="K19" t="str">
            <v>...</v>
          </cell>
          <cell r="L19" t="str">
            <v>...</v>
          </cell>
          <cell r="M19" t="str">
            <v>...</v>
          </cell>
          <cell r="N19">
            <v>2.459516872649405</v>
          </cell>
          <cell r="O19">
            <v>2.4904938244969288</v>
          </cell>
          <cell r="P19">
            <v>2.469212350140936</v>
          </cell>
        </row>
        <row r="20">
          <cell r="B20" t="str">
            <v>Korea 2/</v>
          </cell>
          <cell r="C20">
            <v>5.8278148533217209</v>
          </cell>
          <cell r="D20">
            <v>5.2900875899748501</v>
          </cell>
          <cell r="E20">
            <v>5.7602085075879899</v>
          </cell>
          <cell r="F20">
            <v>5.8697737271377441</v>
          </cell>
          <cell r="G20">
            <v>5.8684635266100207</v>
          </cell>
          <cell r="H20">
            <v>5.7650016535548163</v>
          </cell>
          <cell r="I20">
            <v>6.1253278002230953</v>
          </cell>
          <cell r="J20">
            <v>6.240649206694374</v>
          </cell>
          <cell r="K20">
            <v>5.610085295933013</v>
          </cell>
          <cell r="L20">
            <v>6.3470026517484346</v>
          </cell>
          <cell r="M20">
            <v>6.5703114671800318</v>
          </cell>
          <cell r="N20">
            <v>7.0432371368601627</v>
          </cell>
          <cell r="O20">
            <v>7.0217555079293277</v>
          </cell>
          <cell r="P20">
            <v>7.0247048676993131</v>
          </cell>
        </row>
        <row r="21">
          <cell r="B21" t="str">
            <v>New Zealand</v>
          </cell>
          <cell r="C21" t="str">
            <v>...</v>
          </cell>
          <cell r="D21" t="str">
            <v>...</v>
          </cell>
          <cell r="E21" t="str">
            <v>...</v>
          </cell>
          <cell r="F21" t="str">
            <v>...</v>
          </cell>
          <cell r="G21" t="str">
            <v>...</v>
          </cell>
          <cell r="H21" t="str">
            <v>...</v>
          </cell>
          <cell r="I21" t="str">
            <v>...</v>
          </cell>
          <cell r="J21" t="str">
            <v>...</v>
          </cell>
          <cell r="K21" t="str">
            <v>...</v>
          </cell>
          <cell r="L21" t="str">
            <v>...</v>
          </cell>
          <cell r="M21" t="str">
            <v>...</v>
          </cell>
          <cell r="N21" t="str">
            <v>...</v>
          </cell>
          <cell r="O21" t="str">
            <v>...</v>
          </cell>
          <cell r="P21">
            <v>10.556473587703726</v>
          </cell>
        </row>
        <row r="24">
          <cell r="B24" t="str">
            <v>Austria 3/</v>
          </cell>
          <cell r="C24" t="str">
            <v>...</v>
          </cell>
          <cell r="D24" t="str">
            <v>...</v>
          </cell>
          <cell r="E24" t="str">
            <v>...</v>
          </cell>
          <cell r="F24" t="str">
            <v>...</v>
          </cell>
          <cell r="G24" t="str">
            <v>...</v>
          </cell>
          <cell r="H24">
            <v>11.155905463362609</v>
          </cell>
          <cell r="I24">
            <v>11.599126417619443</v>
          </cell>
          <cell r="J24">
            <v>12.048643031296216</v>
          </cell>
          <cell r="K24">
            <v>12.159449684537504</v>
          </cell>
          <cell r="L24">
            <v>12.221573970892683</v>
          </cell>
          <cell r="M24">
            <v>11.970019815363964</v>
          </cell>
          <cell r="N24">
            <v>12.09346116485291</v>
          </cell>
          <cell r="O24">
            <v>12.509883812282959</v>
          </cell>
          <cell r="P24">
            <v>12.390303968166243</v>
          </cell>
        </row>
        <row r="25">
          <cell r="B25" t="str">
            <v>Belgium 3/</v>
          </cell>
          <cell r="C25" t="str">
            <v>...</v>
          </cell>
          <cell r="D25" t="str">
            <v>...</v>
          </cell>
          <cell r="E25" t="str">
            <v>...</v>
          </cell>
          <cell r="F25" t="str">
            <v>...</v>
          </cell>
          <cell r="G25" t="str">
            <v>...</v>
          </cell>
          <cell r="H25">
            <v>10.512134885378241</v>
          </cell>
          <cell r="I25">
            <v>10.760191608384996</v>
          </cell>
          <cell r="J25">
            <v>10.855264943501036</v>
          </cell>
          <cell r="K25">
            <v>10.698351875639545</v>
          </cell>
          <cell r="L25">
            <v>11.273039005572224</v>
          </cell>
          <cell r="M25">
            <v>11.052725562790918</v>
          </cell>
          <cell r="N25">
            <v>10.715190557847091</v>
          </cell>
          <cell r="O25">
            <v>10.907816215731144</v>
          </cell>
          <cell r="P25">
            <v>10.847758867469617</v>
          </cell>
        </row>
        <row r="26">
          <cell r="B26" t="str">
            <v>Czech Republic 3/</v>
          </cell>
          <cell r="C26" t="str">
            <v>...</v>
          </cell>
          <cell r="D26" t="str">
            <v>...</v>
          </cell>
          <cell r="E26" t="str">
            <v>...</v>
          </cell>
          <cell r="F26" t="str">
            <v>...</v>
          </cell>
          <cell r="G26" t="str">
            <v>...</v>
          </cell>
          <cell r="H26" t="str">
            <v>...</v>
          </cell>
          <cell r="I26" t="str">
            <v>...</v>
          </cell>
          <cell r="J26" t="str">
            <v>...</v>
          </cell>
          <cell r="K26" t="str">
            <v>...</v>
          </cell>
          <cell r="L26" t="str">
            <v>...</v>
          </cell>
          <cell r="M26">
            <v>10.688073876434391</v>
          </cell>
          <cell r="N26">
            <v>10.436550415906035</v>
          </cell>
          <cell r="O26">
            <v>10.372369779324405</v>
          </cell>
          <cell r="P26">
            <v>10.549025846781861</v>
          </cell>
        </row>
        <row r="27">
          <cell r="B27" t="str">
            <v xml:space="preserve">Denmark 3/ </v>
          </cell>
          <cell r="C27" t="str">
            <v>...</v>
          </cell>
          <cell r="D27" t="str">
            <v>...</v>
          </cell>
          <cell r="E27" t="str">
            <v>...</v>
          </cell>
          <cell r="F27" t="str">
            <v>...</v>
          </cell>
          <cell r="G27" t="str">
            <v>...</v>
          </cell>
          <cell r="H27" t="str">
            <v>...</v>
          </cell>
          <cell r="I27" t="str">
            <v>...</v>
          </cell>
          <cell r="J27" t="str">
            <v>...</v>
          </cell>
          <cell r="K27">
            <v>15.734014485878504</v>
          </cell>
          <cell r="L27">
            <v>15.874485876488395</v>
          </cell>
          <cell r="M27">
            <v>15.871976345555208</v>
          </cell>
          <cell r="N27">
            <v>15.91134544414504</v>
          </cell>
          <cell r="O27">
            <v>16.024781877373449</v>
          </cell>
          <cell r="P27">
            <v>15.84221122604661</v>
          </cell>
        </row>
        <row r="28">
          <cell r="B28" t="str">
            <v xml:space="preserve">Finland 3/ </v>
          </cell>
          <cell r="C28" t="str">
            <v>...</v>
          </cell>
          <cell r="D28" t="str">
            <v>...</v>
          </cell>
          <cell r="E28" t="str">
            <v>...</v>
          </cell>
          <cell r="F28" t="str">
            <v>...</v>
          </cell>
          <cell r="G28" t="str">
            <v>...</v>
          </cell>
          <cell r="H28" t="str">
            <v>...</v>
          </cell>
          <cell r="I28" t="str">
            <v>...</v>
          </cell>
          <cell r="J28" t="str">
            <v>...</v>
          </cell>
          <cell r="K28">
            <v>13.677622085030441</v>
          </cell>
          <cell r="L28">
            <v>13.764140875133405</v>
          </cell>
          <cell r="M28">
            <v>13.272650296359018</v>
          </cell>
          <cell r="N28">
            <v>12.867846827008321</v>
          </cell>
          <cell r="O28">
            <v>13.246141664467196</v>
          </cell>
          <cell r="P28">
            <v>13.80312187367238</v>
          </cell>
        </row>
        <row r="29">
          <cell r="B29" t="str">
            <v>France 3/</v>
          </cell>
          <cell r="C29" t="str">
            <v>...</v>
          </cell>
          <cell r="D29" t="str">
            <v>...</v>
          </cell>
          <cell r="E29" t="str">
            <v>...</v>
          </cell>
          <cell r="F29" t="str">
            <v>...</v>
          </cell>
          <cell r="G29" t="str">
            <v>...</v>
          </cell>
          <cell r="H29">
            <v>11.290054095561853</v>
          </cell>
          <cell r="I29">
            <v>11.832531438434103</v>
          </cell>
          <cell r="J29">
            <v>11.729233362346035</v>
          </cell>
          <cell r="K29">
            <v>11.619599710605057</v>
          </cell>
          <cell r="L29">
            <v>11.730321102729174</v>
          </cell>
          <cell r="M29">
            <v>11.115238904514435</v>
          </cell>
          <cell r="N29">
            <v>10.844422601272482</v>
          </cell>
          <cell r="O29">
            <v>10.961506323126983</v>
          </cell>
          <cell r="P29">
            <v>10.963663126787095</v>
          </cell>
        </row>
        <row r="30">
          <cell r="B30" t="str">
            <v xml:space="preserve">Germany 3/ </v>
          </cell>
          <cell r="C30" t="str">
            <v>...</v>
          </cell>
          <cell r="D30" t="str">
            <v>...</v>
          </cell>
          <cell r="E30" t="str">
            <v>...</v>
          </cell>
          <cell r="F30" t="str">
            <v>...</v>
          </cell>
          <cell r="G30" t="str">
            <v>...</v>
          </cell>
          <cell r="H30">
            <v>9.7324785631204538</v>
          </cell>
          <cell r="I30">
            <v>9.6872368322868798</v>
          </cell>
          <cell r="J30">
            <v>9.5876966767245424</v>
          </cell>
          <cell r="K30">
            <v>9.7701207908903118</v>
          </cell>
          <cell r="L30">
            <v>10.292246520874752</v>
          </cell>
          <cell r="M30">
            <v>10.222545454545456</v>
          </cell>
          <cell r="N30">
            <v>10.274186526339701</v>
          </cell>
          <cell r="O30">
            <v>10.272119000737224</v>
          </cell>
          <cell r="P30">
            <v>10.372030686754782</v>
          </cell>
        </row>
        <row r="31">
          <cell r="B31" t="str">
            <v xml:space="preserve">Greece 3/ </v>
          </cell>
          <cell r="C31" t="str">
            <v>...</v>
          </cell>
          <cell r="D31" t="str">
            <v>...</v>
          </cell>
          <cell r="E31" t="str">
            <v>...</v>
          </cell>
          <cell r="F31" t="str">
            <v>...</v>
          </cell>
          <cell r="G31" t="str">
            <v>...</v>
          </cell>
          <cell r="H31">
            <v>11.82724600930193</v>
          </cell>
          <cell r="I31">
            <v>12.094467345340416</v>
          </cell>
          <cell r="J31">
            <v>12.181334035249266</v>
          </cell>
          <cell r="K31">
            <v>12.333653347679054</v>
          </cell>
          <cell r="L31">
            <v>12.549909933374856</v>
          </cell>
          <cell r="M31">
            <v>12.237949337038771</v>
          </cell>
          <cell r="N31">
            <v>12.445652053878842</v>
          </cell>
          <cell r="O31">
            <v>12.11909679375143</v>
          </cell>
          <cell r="P31">
            <v>11.379906308021305</v>
          </cell>
        </row>
        <row r="32">
          <cell r="B32" t="str">
            <v>Hungary 3/</v>
          </cell>
          <cell r="C32" t="str">
            <v>...</v>
          </cell>
          <cell r="D32" t="str">
            <v>...</v>
          </cell>
          <cell r="E32" t="str">
            <v>...</v>
          </cell>
          <cell r="F32" t="str">
            <v>...</v>
          </cell>
          <cell r="G32" t="str">
            <v>...</v>
          </cell>
          <cell r="H32" t="str">
            <v>...</v>
          </cell>
          <cell r="I32">
            <v>13.04130874362121</v>
          </cell>
          <cell r="J32">
            <v>13.206575128180811</v>
          </cell>
          <cell r="K32">
            <v>14.028350134771689</v>
          </cell>
          <cell r="L32">
            <v>14.560068951655728</v>
          </cell>
          <cell r="M32">
            <v>14.495819593911854</v>
          </cell>
          <cell r="N32">
            <v>13.909508301501036</v>
          </cell>
          <cell r="O32">
            <v>13.573216302108193</v>
          </cell>
          <cell r="P32">
            <v>14.196594219655619</v>
          </cell>
        </row>
        <row r="33">
          <cell r="B33" t="str">
            <v>Iceland</v>
          </cell>
          <cell r="C33" t="str">
            <v>...</v>
          </cell>
          <cell r="D33" t="str">
            <v>...</v>
          </cell>
          <cell r="E33" t="str">
            <v>...</v>
          </cell>
          <cell r="F33" t="str">
            <v>...</v>
          </cell>
          <cell r="G33" t="str">
            <v>...</v>
          </cell>
          <cell r="H33" t="str">
            <v>...</v>
          </cell>
          <cell r="I33" t="str">
            <v>...</v>
          </cell>
          <cell r="J33" t="str">
            <v>...</v>
          </cell>
          <cell r="K33">
            <v>15.757766836005418</v>
          </cell>
          <cell r="L33">
            <v>16.574219756830736</v>
          </cell>
          <cell r="M33">
            <v>15.710969893306617</v>
          </cell>
          <cell r="N33">
            <v>13.89244351389625</v>
          </cell>
          <cell r="O33">
            <v>14.097073855562197</v>
          </cell>
          <cell r="P33">
            <v>14.786477824111651</v>
          </cell>
        </row>
        <row r="34">
          <cell r="B34" t="str">
            <v>Ireland  2/ 3/</v>
          </cell>
          <cell r="C34" t="str">
            <v>...</v>
          </cell>
          <cell r="D34" t="str">
            <v>...</v>
          </cell>
          <cell r="E34" t="str">
            <v>...</v>
          </cell>
          <cell r="F34" t="str">
            <v>...</v>
          </cell>
          <cell r="G34" t="str">
            <v>...</v>
          </cell>
          <cell r="H34" t="str">
            <v>...</v>
          </cell>
          <cell r="I34" t="str">
            <v>...</v>
          </cell>
          <cell r="J34" t="str">
            <v>...</v>
          </cell>
          <cell r="K34" t="str">
            <v>...</v>
          </cell>
          <cell r="L34" t="str">
            <v>...</v>
          </cell>
          <cell r="M34" t="str">
            <v>...</v>
          </cell>
          <cell r="N34" t="str">
            <v>...</v>
          </cell>
          <cell r="O34" t="str">
            <v>...</v>
          </cell>
          <cell r="P34" t="str">
            <v>...</v>
          </cell>
        </row>
        <row r="35">
          <cell r="B35" t="str">
            <v>Italy 3/</v>
          </cell>
          <cell r="C35" t="str">
            <v>...</v>
          </cell>
          <cell r="D35" t="str">
            <v>...</v>
          </cell>
          <cell r="E35" t="str">
            <v>...</v>
          </cell>
          <cell r="F35" t="str">
            <v>...</v>
          </cell>
          <cell r="G35" t="str">
            <v>...</v>
          </cell>
          <cell r="H35">
            <v>9.7525837380020484</v>
          </cell>
          <cell r="I35">
            <v>9.4722177502267435</v>
          </cell>
          <cell r="J35">
            <v>10.026063952271551</v>
          </cell>
          <cell r="K35">
            <v>12.815185435806562</v>
          </cell>
          <cell r="L35">
            <v>12.683091899137523</v>
          </cell>
          <cell r="M35">
            <v>12.599729457354409</v>
          </cell>
          <cell r="N35">
            <v>12.251650376638532</v>
          </cell>
          <cell r="O35">
            <v>12.278168797630208</v>
          </cell>
          <cell r="P35">
            <v>12.00056564664453</v>
          </cell>
        </row>
        <row r="36">
          <cell r="B36" t="str">
            <v>Luxembourg 3/</v>
          </cell>
          <cell r="C36" t="str">
            <v>...</v>
          </cell>
          <cell r="D36" t="str">
            <v>...</v>
          </cell>
          <cell r="E36" t="str">
            <v>...</v>
          </cell>
          <cell r="F36" t="str">
            <v>...</v>
          </cell>
          <cell r="G36" t="str">
            <v>...</v>
          </cell>
          <cell r="H36" t="str">
            <v>...</v>
          </cell>
          <cell r="I36" t="str">
            <v>...</v>
          </cell>
          <cell r="J36" t="str">
            <v>...</v>
          </cell>
          <cell r="K36" t="str">
            <v>...</v>
          </cell>
          <cell r="L36">
            <v>11.78927730957218</v>
          </cell>
          <cell r="M36">
            <v>12.458614765051863</v>
          </cell>
          <cell r="N36">
            <v>11.974721229117105</v>
          </cell>
          <cell r="O36">
            <v>11.75581332344127</v>
          </cell>
          <cell r="P36">
            <v>11.517671113598906</v>
          </cell>
        </row>
        <row r="37">
          <cell r="B37" t="str">
            <v>Netherlands 3/</v>
          </cell>
          <cell r="C37" t="str">
            <v>...</v>
          </cell>
          <cell r="D37" t="str">
            <v>...</v>
          </cell>
          <cell r="E37" t="str">
            <v>...</v>
          </cell>
          <cell r="F37" t="str">
            <v>...</v>
          </cell>
          <cell r="G37" t="str">
            <v>...</v>
          </cell>
          <cell r="H37">
            <v>10.656454640455216</v>
          </cell>
          <cell r="I37">
            <v>11.07285265281231</v>
          </cell>
          <cell r="J37">
            <v>10.98449320207926</v>
          </cell>
          <cell r="K37">
            <v>11.132691798357905</v>
          </cell>
          <cell r="L37">
            <v>11.478716600249097</v>
          </cell>
          <cell r="M37">
            <v>11.290554120011484</v>
          </cell>
          <cell r="N37">
            <v>11.635557957791621</v>
          </cell>
          <cell r="O37">
            <v>11.515990490397968</v>
          </cell>
          <cell r="P37">
            <v>11.656270639172231</v>
          </cell>
        </row>
        <row r="38">
          <cell r="B38" t="str">
            <v xml:space="preserve">Norway </v>
          </cell>
          <cell r="C38" t="str">
            <v>...</v>
          </cell>
          <cell r="D38" t="str">
            <v>...</v>
          </cell>
          <cell r="E38" t="str">
            <v>...</v>
          </cell>
          <cell r="F38" t="str">
            <v>...</v>
          </cell>
          <cell r="G38" t="str">
            <v>...</v>
          </cell>
          <cell r="H38" t="str">
            <v>...</v>
          </cell>
          <cell r="I38" t="str">
            <v>...</v>
          </cell>
          <cell r="J38" t="str">
            <v>...</v>
          </cell>
          <cell r="K38" t="str">
            <v>...</v>
          </cell>
          <cell r="L38" t="str">
            <v>...</v>
          </cell>
          <cell r="M38">
            <v>13.507592619972039</v>
          </cell>
          <cell r="N38">
            <v>13.460317212444888</v>
          </cell>
          <cell r="O38">
            <v>13.552758322739292</v>
          </cell>
          <cell r="P38">
            <v>12.823239690681223</v>
          </cell>
        </row>
        <row r="39">
          <cell r="B39" t="str">
            <v>Poland 3/</v>
          </cell>
          <cell r="C39" t="str">
            <v>...</v>
          </cell>
          <cell r="D39" t="str">
            <v>...</v>
          </cell>
          <cell r="E39" t="str">
            <v>...</v>
          </cell>
          <cell r="F39" t="str">
            <v>...</v>
          </cell>
          <cell r="G39" t="str">
            <v>...</v>
          </cell>
          <cell r="H39" t="str">
            <v>...</v>
          </cell>
          <cell r="I39" t="str">
            <v>...</v>
          </cell>
          <cell r="J39" t="str">
            <v>...</v>
          </cell>
          <cell r="K39" t="str">
            <v>...</v>
          </cell>
          <cell r="L39" t="str">
            <v>...</v>
          </cell>
          <cell r="M39" t="str">
            <v>...</v>
          </cell>
          <cell r="N39">
            <v>10.783707504810776</v>
          </cell>
          <cell r="O39">
            <v>11.542418995795202</v>
          </cell>
          <cell r="P39">
            <v>11.814256909026213</v>
          </cell>
        </row>
        <row r="40">
          <cell r="B40" t="str">
            <v>Portugal 3/</v>
          </cell>
          <cell r="C40" t="str">
            <v>...</v>
          </cell>
          <cell r="D40" t="str">
            <v>...</v>
          </cell>
          <cell r="E40" t="str">
            <v>...</v>
          </cell>
          <cell r="F40" t="str">
            <v>...</v>
          </cell>
          <cell r="G40" t="str">
            <v>...</v>
          </cell>
          <cell r="H40" t="str">
            <v>...</v>
          </cell>
          <cell r="I40" t="str">
            <v>...</v>
          </cell>
          <cell r="J40">
            <v>12.348306710440029</v>
          </cell>
          <cell r="K40">
            <v>12.786143135888764</v>
          </cell>
          <cell r="L40">
            <v>13.036332445068732</v>
          </cell>
          <cell r="M40">
            <v>12.789679914091975</v>
          </cell>
          <cell r="N40">
            <v>12.619746760262101</v>
          </cell>
          <cell r="O40">
            <v>13.347322968598633</v>
          </cell>
          <cell r="P40">
            <v>13.602194803217449</v>
          </cell>
        </row>
        <row r="41">
          <cell r="B41" t="str">
            <v>Slovak Republic 3/</v>
          </cell>
          <cell r="C41" t="str">
            <v>...</v>
          </cell>
          <cell r="D41" t="str">
            <v>...</v>
          </cell>
          <cell r="E41" t="str">
            <v>...</v>
          </cell>
          <cell r="F41" t="str">
            <v>...</v>
          </cell>
          <cell r="G41" t="str">
            <v>...</v>
          </cell>
          <cell r="H41" t="str">
            <v>...</v>
          </cell>
          <cell r="I41" t="str">
            <v>...</v>
          </cell>
          <cell r="J41" t="str">
            <v>...</v>
          </cell>
          <cell r="K41" t="str">
            <v>...</v>
          </cell>
          <cell r="L41" t="str">
            <v>...</v>
          </cell>
          <cell r="M41">
            <v>10.887411457156137</v>
          </cell>
          <cell r="N41">
            <v>10.347299274373301</v>
          </cell>
          <cell r="O41">
            <v>10.793084123788372</v>
          </cell>
          <cell r="P41">
            <v>10.511393614471531</v>
          </cell>
        </row>
        <row r="42">
          <cell r="B42" t="str">
            <v xml:space="preserve">Spain 3/ </v>
          </cell>
          <cell r="C42" t="str">
            <v>...</v>
          </cell>
          <cell r="D42" t="str">
            <v>...</v>
          </cell>
          <cell r="E42" t="str">
            <v>...</v>
          </cell>
          <cell r="F42" t="str">
            <v>...</v>
          </cell>
          <cell r="G42" t="str">
            <v>...</v>
          </cell>
          <cell r="H42">
            <v>8.7660021690276277</v>
          </cell>
          <cell r="I42">
            <v>8.8514418967827702</v>
          </cell>
          <cell r="J42">
            <v>9.0079595809660642</v>
          </cell>
          <cell r="K42">
            <v>9.5308002142752546</v>
          </cell>
          <cell r="L42">
            <v>9.9516848236547784</v>
          </cell>
          <cell r="M42">
            <v>9.9109419401107157</v>
          </cell>
          <cell r="N42">
            <v>9.5710453400873838</v>
          </cell>
          <cell r="O42">
            <v>9.6204639018329523</v>
          </cell>
          <cell r="P42">
            <v>9.6679264658736628</v>
          </cell>
        </row>
        <row r="43">
          <cell r="B43" t="str">
            <v xml:space="preserve">Sweden 3/ </v>
          </cell>
          <cell r="C43" t="str">
            <v>...</v>
          </cell>
          <cell r="D43" t="str">
            <v>...</v>
          </cell>
          <cell r="E43" t="str">
            <v>...</v>
          </cell>
          <cell r="F43" t="str">
            <v>...</v>
          </cell>
          <cell r="G43" t="str">
            <v>...</v>
          </cell>
          <cell r="H43" t="str">
            <v>...</v>
          </cell>
          <cell r="I43" t="str">
            <v>...</v>
          </cell>
          <cell r="J43" t="str">
            <v>...</v>
          </cell>
          <cell r="K43">
            <v>10.419508859191758</v>
          </cell>
          <cell r="L43">
            <v>10.472365206492933</v>
          </cell>
          <cell r="M43">
            <v>10.027169045865598</v>
          </cell>
          <cell r="N43">
            <v>12.323229196758973</v>
          </cell>
          <cell r="O43">
            <v>12.584472403512779</v>
          </cell>
          <cell r="P43">
            <v>12.691091982585531</v>
          </cell>
        </row>
        <row r="44">
          <cell r="B44" t="str">
            <v>Switzerland</v>
          </cell>
          <cell r="C44" t="str">
            <v>...</v>
          </cell>
          <cell r="D44" t="str">
            <v>...</v>
          </cell>
          <cell r="E44" t="str">
            <v>...</v>
          </cell>
          <cell r="F44" t="str">
            <v>...</v>
          </cell>
          <cell r="G44" t="str">
            <v>...</v>
          </cell>
          <cell r="H44" t="str">
            <v>...</v>
          </cell>
          <cell r="I44" t="str">
            <v>...</v>
          </cell>
          <cell r="J44" t="str">
            <v>...</v>
          </cell>
          <cell r="K44">
            <v>5.9406090175970023</v>
          </cell>
          <cell r="L44">
            <v>6.3468676847490384</v>
          </cell>
          <cell r="M44">
            <v>6.4945318323476355</v>
          </cell>
          <cell r="N44">
            <v>6.594384208310121</v>
          </cell>
          <cell r="O44">
            <v>6.5058849494923017</v>
          </cell>
          <cell r="P44">
            <v>6.5709912084973912</v>
          </cell>
        </row>
        <row r="45">
          <cell r="B45" t="str">
            <v>Turkey 2/</v>
          </cell>
          <cell r="C45">
            <v>4.3886429552740038</v>
          </cell>
          <cell r="D45">
            <v>4.9419158255570368</v>
          </cell>
          <cell r="E45">
            <v>5.4364030474587741</v>
          </cell>
          <cell r="F45">
            <v>5.7874633553159391</v>
          </cell>
          <cell r="G45">
            <v>7.0139565663589618</v>
          </cell>
          <cell r="H45">
            <v>7.1007129183274387</v>
          </cell>
          <cell r="I45">
            <v>8.498515107185094</v>
          </cell>
          <cell r="J45">
            <v>9.4317912267633233</v>
          </cell>
          <cell r="K45">
            <v>8.6794913159323279</v>
          </cell>
          <cell r="L45" t="str">
            <v>...</v>
          </cell>
          <cell r="M45" t="str">
            <v>...</v>
          </cell>
          <cell r="N45" t="str">
            <v>...</v>
          </cell>
          <cell r="O45" t="str">
            <v>...</v>
          </cell>
          <cell r="P45" t="str">
            <v>...</v>
          </cell>
        </row>
        <row r="46">
          <cell r="B46" t="str">
            <v>United Kingdom 3/</v>
          </cell>
          <cell r="C46" t="str">
            <v>...</v>
          </cell>
          <cell r="D46" t="str">
            <v>...</v>
          </cell>
          <cell r="E46" t="str">
            <v>...</v>
          </cell>
          <cell r="F46" t="str">
            <v>...</v>
          </cell>
          <cell r="G46" t="str">
            <v>...</v>
          </cell>
          <cell r="H46" t="str">
            <v>...</v>
          </cell>
          <cell r="I46" t="str">
            <v>...</v>
          </cell>
          <cell r="J46" t="str">
            <v>...</v>
          </cell>
          <cell r="K46">
            <v>11.424719936782411</v>
          </cell>
          <cell r="L46">
            <v>11.714220079121926</v>
          </cell>
          <cell r="M46">
            <v>11.521577724271584</v>
          </cell>
          <cell r="N46">
            <v>13.040677877679437</v>
          </cell>
          <cell r="O46">
            <v>13.079709592009584</v>
          </cell>
          <cell r="P46">
            <v>13.644760601816227</v>
          </cell>
        </row>
        <row r="49">
          <cell r="B49" t="str">
            <v xml:space="preserve">  Unweighted average 4/</v>
          </cell>
        </row>
        <row r="50">
          <cell r="B50" t="str">
            <v xml:space="preserve">    Total </v>
          </cell>
          <cell r="C50">
            <v>6.2694825719647724</v>
          </cell>
          <cell r="D50">
            <v>6.1198705343549991</v>
          </cell>
          <cell r="E50">
            <v>6.2813426866685669</v>
          </cell>
          <cell r="F50">
            <v>6.2979224059221552</v>
          </cell>
          <cell r="G50">
            <v>6.6805152503462493</v>
          </cell>
          <cell r="H50">
            <v>9.5332925365545478</v>
          </cell>
          <cell r="I50">
            <v>10.141760438082423</v>
          </cell>
          <cell r="J50">
            <v>10.494558439834664</v>
          </cell>
          <cell r="K50">
            <v>11.146401966251295</v>
          </cell>
          <cell r="L50">
            <v>11.404005161333725</v>
          </cell>
          <cell r="M50">
            <v>10.958485616988185</v>
          </cell>
          <cell r="N50">
            <v>10.70704268895574</v>
          </cell>
          <cell r="O50">
            <v>10.824285901342522</v>
          </cell>
          <cell r="P50">
            <v>10.853733203304477</v>
          </cell>
        </row>
        <row r="51">
          <cell r="B51" t="str">
            <v xml:space="preserve">    America</v>
          </cell>
          <cell r="C51">
            <v>8.5919899072985935</v>
          </cell>
          <cell r="D51">
            <v>8.127608187533113</v>
          </cell>
          <cell r="E51">
            <v>7.6474165049589367</v>
          </cell>
          <cell r="F51">
            <v>7.2365301353127816</v>
          </cell>
          <cell r="G51">
            <v>7.1591256580697653</v>
          </cell>
          <cell r="H51">
            <v>8.3076437660077911</v>
          </cell>
          <cell r="I51">
            <v>8.6659076640720141</v>
          </cell>
          <cell r="J51">
            <v>8.7812486613381129</v>
          </cell>
          <cell r="K51">
            <v>7.6634733979720666</v>
          </cell>
          <cell r="L51">
            <v>7.9790642756604955</v>
          </cell>
          <cell r="M51">
            <v>7.3906267053105976</v>
          </cell>
          <cell r="N51">
            <v>6.4620039225433565</v>
          </cell>
          <cell r="O51">
            <v>6.6363376567996957</v>
          </cell>
          <cell r="P51">
            <v>6.5702171145963737</v>
          </cell>
        </row>
        <row r="52">
          <cell r="B52" t="str">
            <v xml:space="preserve">    Pacific</v>
          </cell>
          <cell r="C52">
            <v>5.8278148533217209</v>
          </cell>
          <cell r="D52">
            <v>5.2900875899748501</v>
          </cell>
          <cell r="E52">
            <v>5.7602085075879899</v>
          </cell>
          <cell r="F52">
            <v>5.8697737271377441</v>
          </cell>
          <cell r="G52">
            <v>5.8684635266100207</v>
          </cell>
          <cell r="H52">
            <v>5.7650016535548163</v>
          </cell>
          <cell r="I52">
            <v>6.1253278002230953</v>
          </cell>
          <cell r="J52">
            <v>6.240649206694374</v>
          </cell>
          <cell r="K52">
            <v>5.610085295933013</v>
          </cell>
          <cell r="L52">
            <v>6.8942384547079421</v>
          </cell>
          <cell r="M52">
            <v>6.8322441763593549</v>
          </cell>
          <cell r="N52">
            <v>5.8220525742801756</v>
          </cell>
          <cell r="O52">
            <v>5.8328882092008163</v>
          </cell>
          <cell r="P52">
            <v>7.0697264092440157</v>
          </cell>
        </row>
        <row r="53">
          <cell r="B53" t="str">
            <v xml:space="preserve">    Europe</v>
          </cell>
          <cell r="C53">
            <v>4.3886429552740038</v>
          </cell>
          <cell r="D53">
            <v>4.9419158255570368</v>
          </cell>
          <cell r="E53">
            <v>5.4364030474587741</v>
          </cell>
          <cell r="F53">
            <v>5.7874633553159391</v>
          </cell>
          <cell r="G53">
            <v>7.0139565663589618</v>
          </cell>
          <cell r="H53">
            <v>10.088174720281934</v>
          </cell>
          <cell r="I53">
            <v>10.690988979269399</v>
          </cell>
          <cell r="J53">
            <v>11.037032895438012</v>
          </cell>
          <cell r="K53">
            <v>11.676945803815855</v>
          </cell>
          <cell r="L53">
            <v>12.13603306127048</v>
          </cell>
          <cell r="M53">
            <v>11.906288597802703</v>
          </cell>
          <cell r="N53">
            <v>11.809187825948666</v>
          </cell>
          <cell r="O53">
            <v>11.936194928271606</v>
          </cell>
          <cell r="P53">
            <v>11.982450315383428</v>
          </cell>
        </row>
        <row r="54">
          <cell r="B54" t="str">
            <v xml:space="preserve">    EU </v>
          </cell>
          <cell r="C54">
            <v>4.3886429552740038</v>
          </cell>
          <cell r="D54">
            <v>4.9419158255570368</v>
          </cell>
          <cell r="E54">
            <v>5.4364030474587741</v>
          </cell>
          <cell r="F54">
            <v>5.7874633553159391</v>
          </cell>
          <cell r="G54">
            <v>7.0139565663589618</v>
          </cell>
          <cell r="H54">
            <v>10.461607445526246</v>
          </cell>
          <cell r="I54">
            <v>10.934597187278765</v>
          </cell>
          <cell r="J54">
            <v>11.197557062305481</v>
          </cell>
          <cell r="K54">
            <v>12.009300821095341</v>
          </cell>
          <cell r="L54">
            <v>12.226098306667891</v>
          </cell>
          <cell r="M54">
            <v>11.906628094731047</v>
          </cell>
          <cell r="N54">
            <v>11.891433300570593</v>
          </cell>
          <cell r="O54">
            <v>12.028020909217219</v>
          </cell>
          <cell r="P54">
            <v>12.080597105542319</v>
          </cell>
        </row>
        <row r="57">
          <cell r="B57" t="str">
            <v xml:space="preserve">  Sources: IMF, Government Finance Statistics (CD-ROM, March 2008); International Financial Statistics; and World Economic Outlook.</v>
          </cell>
        </row>
        <row r="59">
          <cell r="B59" t="str">
            <v xml:space="preserve">   1/  General Government.</v>
          </cell>
        </row>
        <row r="60">
          <cell r="B60" t="str">
            <v xml:space="preserve">   2/  Consolidated Central Government.</v>
          </cell>
        </row>
        <row r="61">
          <cell r="B61" t="str">
            <v xml:space="preserve">   3/  European Union countries.</v>
          </cell>
        </row>
        <row r="62">
          <cell r="B62" t="str">
            <v xml:space="preserve">   4/  For each revenue classification, only countries for which data are available are included in the calculation.</v>
          </cell>
        </row>
      </sheetData>
      <sheetData sheetId="6">
        <row r="5">
          <cell r="B5" t="str">
            <v>Table 18.  OECD Countries: Taxes Social Contributions, 1992-2006 1/</v>
          </cell>
        </row>
        <row r="7">
          <cell r="B7" t="str">
            <v xml:space="preserve"> (In percent of GDP)</v>
          </cell>
        </row>
        <row r="10">
          <cell r="C10">
            <v>1990</v>
          </cell>
          <cell r="D10">
            <v>1991</v>
          </cell>
          <cell r="E10">
            <v>1992</v>
          </cell>
          <cell r="F10">
            <v>1993</v>
          </cell>
          <cell r="G10">
            <v>1994</v>
          </cell>
          <cell r="H10">
            <v>1995</v>
          </cell>
          <cell r="I10">
            <v>1996</v>
          </cell>
          <cell r="J10">
            <v>1997</v>
          </cell>
          <cell r="K10">
            <v>1998</v>
          </cell>
          <cell r="L10">
            <v>1999</v>
          </cell>
          <cell r="M10">
            <v>2000</v>
          </cell>
          <cell r="N10">
            <v>2001</v>
          </cell>
          <cell r="O10">
            <v>2002</v>
          </cell>
          <cell r="P10">
            <v>2003</v>
          </cell>
        </row>
        <row r="13">
          <cell r="B13" t="str">
            <v>Canada</v>
          </cell>
          <cell r="C13" t="str">
            <v>...</v>
          </cell>
          <cell r="D13" t="str">
            <v>...</v>
          </cell>
          <cell r="E13" t="str">
            <v>...</v>
          </cell>
          <cell r="F13" t="str">
            <v>...</v>
          </cell>
          <cell r="G13" t="str">
            <v>...</v>
          </cell>
          <cell r="H13" t="str">
            <v>...</v>
          </cell>
          <cell r="I13" t="str">
            <v>...</v>
          </cell>
          <cell r="J13" t="str">
            <v>...</v>
          </cell>
          <cell r="K13" t="str">
            <v>...</v>
          </cell>
          <cell r="L13" t="str">
            <v>...</v>
          </cell>
          <cell r="M13">
            <v>5.5462823374454402</v>
          </cell>
          <cell r="N13">
            <v>5.6170851804253967</v>
          </cell>
          <cell r="O13">
            <v>5.7602317623741763</v>
          </cell>
          <cell r="P13">
            <v>5.8276835576071058</v>
          </cell>
        </row>
        <row r="14">
          <cell r="B14" t="str">
            <v>Mexico 2/</v>
          </cell>
          <cell r="C14">
            <v>1.9235414509094113</v>
          </cell>
          <cell r="D14">
            <v>1.9887317338951691</v>
          </cell>
          <cell r="E14">
            <v>2.1136830428770184</v>
          </cell>
          <cell r="F14">
            <v>2.2666049451929027</v>
          </cell>
          <cell r="G14">
            <v>2.3748741634263357</v>
          </cell>
          <cell r="H14">
            <v>2.1237123065745509</v>
          </cell>
          <cell r="I14">
            <v>1.9178602672191687</v>
          </cell>
          <cell r="J14">
            <v>1.8202580447516374</v>
          </cell>
          <cell r="K14">
            <v>1.5091190812266306</v>
          </cell>
          <cell r="L14">
            <v>1.5020487948826813</v>
          </cell>
          <cell r="M14">
            <v>1.5465314943622042</v>
          </cell>
          <cell r="N14" t="str">
            <v>...</v>
          </cell>
          <cell r="O14" t="str">
            <v>...</v>
          </cell>
          <cell r="P14" t="str">
            <v>...</v>
          </cell>
        </row>
        <row r="15">
          <cell r="B15" t="str">
            <v>United States</v>
          </cell>
          <cell r="C15" t="str">
            <v>...</v>
          </cell>
          <cell r="D15" t="str">
            <v>...</v>
          </cell>
          <cell r="E15" t="str">
            <v>...</v>
          </cell>
          <cell r="F15" t="str">
            <v>...</v>
          </cell>
          <cell r="G15" t="str">
            <v>...</v>
          </cell>
          <cell r="H15" t="str">
            <v>...</v>
          </cell>
          <cell r="I15" t="str">
            <v>...</v>
          </cell>
          <cell r="J15" t="str">
            <v>...</v>
          </cell>
          <cell r="K15" t="str">
            <v>...</v>
          </cell>
          <cell r="L15" t="str">
            <v>...</v>
          </cell>
          <cell r="M15">
            <v>7.0417822190644257</v>
          </cell>
          <cell r="N15">
            <v>7.2196248994120236</v>
          </cell>
          <cell r="O15">
            <v>7.1639795216627178</v>
          </cell>
          <cell r="P15">
            <v>7.0969123846416764</v>
          </cell>
        </row>
        <row r="18">
          <cell r="B18" t="str">
            <v>Australia</v>
          </cell>
          <cell r="C18" t="str">
            <v>...</v>
          </cell>
          <cell r="D18" t="str">
            <v>...</v>
          </cell>
          <cell r="E18" t="str">
            <v>...</v>
          </cell>
          <cell r="F18" t="str">
            <v>...</v>
          </cell>
          <cell r="G18" t="str">
            <v>...</v>
          </cell>
          <cell r="H18" t="str">
            <v>...</v>
          </cell>
          <cell r="I18" t="str">
            <v>...</v>
          </cell>
          <cell r="J18" t="str">
            <v>...</v>
          </cell>
          <cell r="K18" t="str">
            <v>...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B19" t="str">
            <v>Japan</v>
          </cell>
          <cell r="C19" t="str">
            <v>...</v>
          </cell>
          <cell r="D19" t="str">
            <v>...</v>
          </cell>
          <cell r="E19" t="str">
            <v>...</v>
          </cell>
          <cell r="F19" t="str">
            <v>...</v>
          </cell>
          <cell r="G19" t="str">
            <v>...</v>
          </cell>
          <cell r="H19" t="str">
            <v>...</v>
          </cell>
          <cell r="I19" t="str">
            <v>...</v>
          </cell>
          <cell r="J19" t="str">
            <v>...</v>
          </cell>
          <cell r="K19" t="str">
            <v>...</v>
          </cell>
          <cell r="L19" t="str">
            <v>...</v>
          </cell>
          <cell r="M19" t="str">
            <v>...</v>
          </cell>
          <cell r="N19">
            <v>10.408127305388957</v>
          </cell>
          <cell r="O19">
            <v>10.52412295074293</v>
          </cell>
          <cell r="P19">
            <v>10.571881360979331</v>
          </cell>
        </row>
        <row r="20">
          <cell r="B20" t="str">
            <v>Korea 2/</v>
          </cell>
          <cell r="C20">
            <v>0.80882356879740791</v>
          </cell>
          <cell r="D20">
            <v>0.8265208780589679</v>
          </cell>
          <cell r="E20">
            <v>0.96883647205285373</v>
          </cell>
          <cell r="F20">
            <v>1.4583267394992907</v>
          </cell>
          <cell r="G20">
            <v>1.373276313364489</v>
          </cell>
          <cell r="H20">
            <v>1.3880332776966671</v>
          </cell>
          <cell r="I20">
            <v>1.6832502445405266</v>
          </cell>
          <cell r="J20">
            <v>1.7591911629963912</v>
          </cell>
          <cell r="K20">
            <v>2.1984772655725191</v>
          </cell>
          <cell r="L20">
            <v>2.2980447392132612</v>
          </cell>
          <cell r="M20">
            <v>3.0971089465484747</v>
          </cell>
          <cell r="N20">
            <v>3.3919311081127743</v>
          </cell>
          <cell r="O20">
            <v>3.4341814227998424</v>
          </cell>
          <cell r="P20">
            <v>3.4179818539345224</v>
          </cell>
        </row>
        <row r="21">
          <cell r="B21" t="str">
            <v>New Zealand</v>
          </cell>
          <cell r="C21" t="str">
            <v>...</v>
          </cell>
          <cell r="D21" t="str">
            <v>...</v>
          </cell>
          <cell r="E21" t="str">
            <v>...</v>
          </cell>
          <cell r="F21" t="str">
            <v>...</v>
          </cell>
          <cell r="G21" t="str">
            <v>...</v>
          </cell>
          <cell r="H21" t="str">
            <v>...</v>
          </cell>
          <cell r="I21" t="str">
            <v>...</v>
          </cell>
          <cell r="J21" t="str">
            <v>...</v>
          </cell>
          <cell r="K21" t="str">
            <v>...</v>
          </cell>
          <cell r="L21" t="str">
            <v>...</v>
          </cell>
          <cell r="M21" t="str">
            <v>...</v>
          </cell>
          <cell r="N21" t="str">
            <v>...</v>
          </cell>
          <cell r="O21" t="str">
            <v>...</v>
          </cell>
          <cell r="P21">
            <v>9.6313017306245308E-2</v>
          </cell>
        </row>
        <row r="24">
          <cell r="B24" t="str">
            <v>Austria 3/</v>
          </cell>
          <cell r="C24" t="str">
            <v>...</v>
          </cell>
          <cell r="D24" t="str">
            <v>...</v>
          </cell>
          <cell r="E24" t="str">
            <v>...</v>
          </cell>
          <cell r="F24" t="str">
            <v>...</v>
          </cell>
          <cell r="G24" t="str">
            <v>...</v>
          </cell>
          <cell r="H24">
            <v>17.114005022629179</v>
          </cell>
          <cell r="I24">
            <v>17.079712192874318</v>
          </cell>
          <cell r="J24">
            <v>17.144478304596614</v>
          </cell>
          <cell r="K24">
            <v>17.044824886867012</v>
          </cell>
          <cell r="L24">
            <v>16.987701055816441</v>
          </cell>
          <cell r="M24">
            <v>16.578762625818531</v>
          </cell>
          <cell r="N24">
            <v>16.452842092682946</v>
          </cell>
          <cell r="O24">
            <v>16.30419908631055</v>
          </cell>
          <cell r="P24">
            <v>16.270812424007961</v>
          </cell>
        </row>
        <row r="25">
          <cell r="B25" t="str">
            <v>Belgium 3/</v>
          </cell>
          <cell r="C25" t="str">
            <v>...</v>
          </cell>
          <cell r="D25" t="str">
            <v>...</v>
          </cell>
          <cell r="E25" t="str">
            <v>...</v>
          </cell>
          <cell r="F25" t="str">
            <v>...</v>
          </cell>
          <cell r="G25" t="str">
            <v>...</v>
          </cell>
          <cell r="H25">
            <v>16.834463801797057</v>
          </cell>
          <cell r="I25">
            <v>16.40431639027204</v>
          </cell>
          <cell r="J25">
            <v>16.314313372476999</v>
          </cell>
          <cell r="K25">
            <v>16.363937210163073</v>
          </cell>
          <cell r="L25">
            <v>16.392888059638771</v>
          </cell>
          <cell r="M25">
            <v>16.021634663079407</v>
          </cell>
          <cell r="N25">
            <v>16.331742132826623</v>
          </cell>
          <cell r="O25">
            <v>16.642063385232049</v>
          </cell>
          <cell r="P25">
            <v>16.524687603570662</v>
          </cell>
        </row>
        <row r="26">
          <cell r="B26" t="str">
            <v>Czech Republic 3/</v>
          </cell>
          <cell r="C26" t="str">
            <v>...</v>
          </cell>
          <cell r="D26" t="str">
            <v>...</v>
          </cell>
          <cell r="E26" t="str">
            <v>...</v>
          </cell>
          <cell r="F26" t="str">
            <v>...</v>
          </cell>
          <cell r="G26" t="str">
            <v>...</v>
          </cell>
          <cell r="H26" t="str">
            <v>...</v>
          </cell>
          <cell r="I26" t="str">
            <v>...</v>
          </cell>
          <cell r="J26" t="str">
            <v>...</v>
          </cell>
          <cell r="K26" t="str">
            <v>...</v>
          </cell>
          <cell r="L26" t="str">
            <v>...</v>
          </cell>
          <cell r="M26">
            <v>14.213612562575115</v>
          </cell>
          <cell r="N26">
            <v>14.650877853800717</v>
          </cell>
          <cell r="O26">
            <v>14.729560401747746</v>
          </cell>
          <cell r="P26">
            <v>15.026521956765523</v>
          </cell>
        </row>
        <row r="27">
          <cell r="B27" t="str">
            <v xml:space="preserve">Denmark 3/ </v>
          </cell>
          <cell r="C27" t="str">
            <v>...</v>
          </cell>
          <cell r="D27" t="str">
            <v>...</v>
          </cell>
          <cell r="E27" t="str">
            <v>...</v>
          </cell>
          <cell r="F27" t="str">
            <v>...</v>
          </cell>
          <cell r="G27" t="str">
            <v>...</v>
          </cell>
          <cell r="H27" t="str">
            <v>...</v>
          </cell>
          <cell r="I27" t="str">
            <v>...</v>
          </cell>
          <cell r="J27" t="str">
            <v>...</v>
          </cell>
          <cell r="K27">
            <v>2.5912895663174105</v>
          </cell>
          <cell r="L27">
            <v>3.1663094275686392</v>
          </cell>
          <cell r="M27">
            <v>2.6458873662636675</v>
          </cell>
          <cell r="N27">
            <v>2.6117387472849507</v>
          </cell>
          <cell r="O27">
            <v>2.0998297561732508</v>
          </cell>
          <cell r="P27">
            <v>2.1295726603121747</v>
          </cell>
        </row>
        <row r="28">
          <cell r="B28" t="str">
            <v xml:space="preserve">Finland 3/ </v>
          </cell>
          <cell r="C28" t="str">
            <v>...</v>
          </cell>
          <cell r="D28" t="str">
            <v>...</v>
          </cell>
          <cell r="E28" t="str">
            <v>...</v>
          </cell>
          <cell r="F28" t="str">
            <v>...</v>
          </cell>
          <cell r="G28" t="str">
            <v>...</v>
          </cell>
          <cell r="H28" t="str">
            <v>...</v>
          </cell>
          <cell r="I28" t="str">
            <v>...</v>
          </cell>
          <cell r="J28" t="str">
            <v>...</v>
          </cell>
          <cell r="K28">
            <v>12.863864197214609</v>
          </cell>
          <cell r="L28">
            <v>12.869560966866809</v>
          </cell>
          <cell r="M28">
            <v>12.090238296842868</v>
          </cell>
          <cell r="N28">
            <v>12.165041324677553</v>
          </cell>
          <cell r="O28">
            <v>11.996610499117896</v>
          </cell>
          <cell r="P28">
            <v>11.906426016527567</v>
          </cell>
        </row>
        <row r="29">
          <cell r="B29" t="str">
            <v>France 3/</v>
          </cell>
          <cell r="C29" t="str">
            <v>...</v>
          </cell>
          <cell r="D29" t="str">
            <v>...</v>
          </cell>
          <cell r="E29" t="str">
            <v>...</v>
          </cell>
          <cell r="F29" t="str">
            <v>...</v>
          </cell>
          <cell r="G29" t="str">
            <v>...</v>
          </cell>
          <cell r="H29">
            <v>20.291481977486811</v>
          </cell>
          <cell r="I29">
            <v>20.447709040438468</v>
          </cell>
          <cell r="J29">
            <v>19.98956805267423</v>
          </cell>
          <cell r="K29">
            <v>17.882523173496498</v>
          </cell>
          <cell r="L29">
            <v>18.133066515704058</v>
          </cell>
          <cell r="M29">
            <v>17.872267281399839</v>
          </cell>
          <cell r="N29">
            <v>17.892629532087202</v>
          </cell>
          <cell r="O29">
            <v>17.954725391295707</v>
          </cell>
          <cell r="P29">
            <v>18.191308903213841</v>
          </cell>
        </row>
        <row r="30">
          <cell r="B30" t="str">
            <v xml:space="preserve">Germany 3/ </v>
          </cell>
          <cell r="C30" t="str">
            <v>...</v>
          </cell>
          <cell r="D30" t="str">
            <v>...</v>
          </cell>
          <cell r="E30" t="str">
            <v>...</v>
          </cell>
          <cell r="F30" t="str">
            <v>...</v>
          </cell>
          <cell r="G30" t="str">
            <v>...</v>
          </cell>
          <cell r="H30">
            <v>18.319132245935783</v>
          </cell>
          <cell r="I30">
            <v>18.983253205982368</v>
          </cell>
          <cell r="J30">
            <v>19.221854477495068</v>
          </cell>
          <cell r="K30">
            <v>18.933234285481689</v>
          </cell>
          <cell r="L30">
            <v>18.656560636182903</v>
          </cell>
          <cell r="M30">
            <v>18.346666666666668</v>
          </cell>
          <cell r="N30">
            <v>18.156694239906113</v>
          </cell>
          <cell r="O30">
            <v>18.161796955925308</v>
          </cell>
          <cell r="P30">
            <v>18.313152786764025</v>
          </cell>
        </row>
        <row r="31">
          <cell r="B31" t="str">
            <v xml:space="preserve">Greece 3/ </v>
          </cell>
          <cell r="C31" t="str">
            <v>...</v>
          </cell>
          <cell r="D31" t="str">
            <v>...</v>
          </cell>
          <cell r="E31" t="str">
            <v>...</v>
          </cell>
          <cell r="F31" t="str">
            <v>...</v>
          </cell>
          <cell r="G31" t="str">
            <v>...</v>
          </cell>
          <cell r="H31">
            <v>11.475523331802172</v>
          </cell>
          <cell r="I31">
            <v>11.779664183615637</v>
          </cell>
          <cell r="J31">
            <v>12.139093145090815</v>
          </cell>
          <cell r="K31">
            <v>12.379387876988995</v>
          </cell>
          <cell r="L31">
            <v>12.474581314309162</v>
          </cell>
          <cell r="M31">
            <v>12.466154292298338</v>
          </cell>
          <cell r="N31">
            <v>12.578292635016702</v>
          </cell>
          <cell r="O31">
            <v>13.522774776146349</v>
          </cell>
          <cell r="P31">
            <v>13.851615651848807</v>
          </cell>
        </row>
        <row r="32">
          <cell r="B32" t="str">
            <v>Hungary 3/</v>
          </cell>
          <cell r="C32" t="str">
            <v>...</v>
          </cell>
          <cell r="D32" t="str">
            <v>...</v>
          </cell>
          <cell r="E32" t="str">
            <v>...</v>
          </cell>
          <cell r="F32" t="str">
            <v>...</v>
          </cell>
          <cell r="G32" t="str">
            <v>...</v>
          </cell>
          <cell r="H32" t="str">
            <v>...</v>
          </cell>
          <cell r="I32">
            <v>14.123853703397479</v>
          </cell>
          <cell r="J32">
            <v>14.338102280031894</v>
          </cell>
          <cell r="K32">
            <v>14.141659471242923</v>
          </cell>
          <cell r="L32">
            <v>13.335334476091171</v>
          </cell>
          <cell r="M32">
            <v>12.928620055748603</v>
          </cell>
          <cell r="N32">
            <v>12.908141580981958</v>
          </cell>
          <cell r="O32">
            <v>12.883135629721899</v>
          </cell>
          <cell r="P32">
            <v>12.582401743543281</v>
          </cell>
        </row>
        <row r="33">
          <cell r="B33" t="str">
            <v>Iceland</v>
          </cell>
          <cell r="C33" t="str">
            <v>...</v>
          </cell>
          <cell r="D33" t="str">
            <v>...</v>
          </cell>
          <cell r="E33" t="str">
            <v>...</v>
          </cell>
          <cell r="F33" t="str">
            <v>...</v>
          </cell>
          <cell r="G33" t="str">
            <v>...</v>
          </cell>
          <cell r="H33" t="str">
            <v>...</v>
          </cell>
          <cell r="I33" t="str">
            <v>...</v>
          </cell>
          <cell r="J33" t="str">
            <v>...</v>
          </cell>
          <cell r="K33">
            <v>2.8128532021680348</v>
          </cell>
          <cell r="L33">
            <v>2.8876864131663713</v>
          </cell>
          <cell r="M33">
            <v>2.9319838826445919</v>
          </cell>
          <cell r="N33">
            <v>2.8386231629626844</v>
          </cell>
          <cell r="O33">
            <v>2.8662066211276302</v>
          </cell>
          <cell r="P33">
            <v>3.0960988832731018</v>
          </cell>
        </row>
        <row r="34">
          <cell r="B34" t="str">
            <v>Ireland  2/ 3/</v>
          </cell>
          <cell r="C34" t="str">
            <v>...</v>
          </cell>
          <cell r="D34" t="str">
            <v>...</v>
          </cell>
          <cell r="E34" t="str">
            <v>...</v>
          </cell>
          <cell r="F34" t="str">
            <v>...</v>
          </cell>
          <cell r="G34" t="str">
            <v>...</v>
          </cell>
          <cell r="H34">
            <v>6.7294329040686263</v>
          </cell>
          <cell r="I34">
            <v>6.2517418545121108</v>
          </cell>
          <cell r="J34">
            <v>5.8530817273349918</v>
          </cell>
          <cell r="K34">
            <v>5.5403552343575964</v>
          </cell>
          <cell r="L34">
            <v>5.5808216288261336</v>
          </cell>
          <cell r="M34">
            <v>5.6740122707585945</v>
          </cell>
          <cell r="N34">
            <v>5.8007548769184032</v>
          </cell>
          <cell r="O34">
            <v>5.7357015243201177</v>
          </cell>
          <cell r="P34">
            <v>5.7934005056180817</v>
          </cell>
        </row>
        <row r="35">
          <cell r="B35" t="str">
            <v>Italy 3/</v>
          </cell>
          <cell r="C35" t="str">
            <v>...</v>
          </cell>
          <cell r="D35" t="str">
            <v>...</v>
          </cell>
          <cell r="E35" t="str">
            <v>...</v>
          </cell>
          <cell r="F35" t="str">
            <v>...</v>
          </cell>
          <cell r="G35" t="str">
            <v>...</v>
          </cell>
          <cell r="H35">
            <v>14.368672999424598</v>
          </cell>
          <cell r="I35">
            <v>14.706444933618762</v>
          </cell>
          <cell r="J35">
            <v>14.989037121227652</v>
          </cell>
          <cell r="K35">
            <v>12.603523213893839</v>
          </cell>
          <cell r="L35">
            <v>12.512741871531057</v>
          </cell>
          <cell r="M35">
            <v>12.425094705096814</v>
          </cell>
          <cell r="N35">
            <v>12.318923133315067</v>
          </cell>
          <cell r="O35">
            <v>12.451883692899452</v>
          </cell>
          <cell r="P35">
            <v>12.639347705713972</v>
          </cell>
        </row>
        <row r="36">
          <cell r="B36" t="str">
            <v>Luxembourg 3/</v>
          </cell>
          <cell r="C36" t="str">
            <v>...</v>
          </cell>
          <cell r="D36" t="str">
            <v>...</v>
          </cell>
          <cell r="E36" t="str">
            <v>...</v>
          </cell>
          <cell r="F36" t="str">
            <v>...</v>
          </cell>
          <cell r="G36" t="str">
            <v>...</v>
          </cell>
          <cell r="H36" t="str">
            <v>...</v>
          </cell>
          <cell r="I36" t="str">
            <v>...</v>
          </cell>
          <cell r="J36" t="str">
            <v>...</v>
          </cell>
          <cell r="K36" t="str">
            <v>...</v>
          </cell>
          <cell r="L36">
            <v>10.608846068749122</v>
          </cell>
          <cell r="M36">
            <v>10.791978400589077</v>
          </cell>
          <cell r="N36">
            <v>11.754185439676064</v>
          </cell>
          <cell r="O36">
            <v>11.7299300192145</v>
          </cell>
          <cell r="P36">
            <v>11.664606462045588</v>
          </cell>
        </row>
        <row r="37">
          <cell r="B37" t="str">
            <v>Netherlands 3/</v>
          </cell>
          <cell r="C37" t="str">
            <v>...</v>
          </cell>
          <cell r="D37" t="str">
            <v>...</v>
          </cell>
          <cell r="E37" t="str">
            <v>...</v>
          </cell>
          <cell r="F37" t="str">
            <v>...</v>
          </cell>
          <cell r="G37" t="str">
            <v>...</v>
          </cell>
          <cell r="H37">
            <v>17.073258621310945</v>
          </cell>
          <cell r="I37">
            <v>16.428202842801522</v>
          </cell>
          <cell r="J37">
            <v>16.240500004382927</v>
          </cell>
          <cell r="K37">
            <v>16.098426326476563</v>
          </cell>
          <cell r="L37">
            <v>16.630285893322768</v>
          </cell>
          <cell r="M37">
            <v>16.446789166427408</v>
          </cell>
          <cell r="N37">
            <v>14.72669973711894</v>
          </cell>
          <cell r="O37">
            <v>14.262038545701547</v>
          </cell>
          <cell r="P37">
            <v>14.749499418171908</v>
          </cell>
        </row>
        <row r="38">
          <cell r="B38" t="str">
            <v xml:space="preserve">Norway </v>
          </cell>
          <cell r="C38" t="str">
            <v>...</v>
          </cell>
          <cell r="D38" t="str">
            <v>...</v>
          </cell>
          <cell r="E38" t="str">
            <v>...</v>
          </cell>
          <cell r="F38" t="str">
            <v>...</v>
          </cell>
          <cell r="G38" t="str">
            <v>...</v>
          </cell>
          <cell r="H38" t="str">
            <v>...</v>
          </cell>
          <cell r="I38" t="str">
            <v>...</v>
          </cell>
          <cell r="J38" t="str">
            <v>...</v>
          </cell>
          <cell r="K38" t="str">
            <v>...</v>
          </cell>
          <cell r="L38" t="str">
            <v>...</v>
          </cell>
          <cell r="M38">
            <v>8.9256238518917588</v>
          </cell>
          <cell r="N38">
            <v>9.2186288135505006</v>
          </cell>
          <cell r="O38">
            <v>9.8609417949916072</v>
          </cell>
          <cell r="P38">
            <v>9.7978134362304523</v>
          </cell>
        </row>
        <row r="39">
          <cell r="B39" t="str">
            <v>Poland 3/</v>
          </cell>
          <cell r="C39" t="str">
            <v>...</v>
          </cell>
          <cell r="D39" t="str">
            <v>...</v>
          </cell>
          <cell r="E39" t="str">
            <v>...</v>
          </cell>
          <cell r="F39" t="str">
            <v>...</v>
          </cell>
          <cell r="G39" t="str">
            <v>...</v>
          </cell>
          <cell r="H39" t="str">
            <v>...</v>
          </cell>
          <cell r="I39" t="str">
            <v>...</v>
          </cell>
          <cell r="J39" t="str">
            <v>...</v>
          </cell>
          <cell r="K39" t="str">
            <v>...</v>
          </cell>
          <cell r="L39" t="str">
            <v>...</v>
          </cell>
          <cell r="M39" t="str">
            <v>...</v>
          </cell>
          <cell r="N39">
            <v>14.874021808851829</v>
          </cell>
          <cell r="O39">
            <v>12.793099183774427</v>
          </cell>
          <cell r="P39">
            <v>12.817696595896097</v>
          </cell>
        </row>
        <row r="40">
          <cell r="B40" t="str">
            <v>Portugal 3/</v>
          </cell>
          <cell r="C40" t="str">
            <v>...</v>
          </cell>
          <cell r="D40" t="str">
            <v>...</v>
          </cell>
          <cell r="E40" t="str">
            <v>...</v>
          </cell>
          <cell r="F40" t="str">
            <v>...</v>
          </cell>
          <cell r="G40" t="str">
            <v>...</v>
          </cell>
          <cell r="H40" t="str">
            <v>...</v>
          </cell>
          <cell r="I40" t="str">
            <v>...</v>
          </cell>
          <cell r="J40">
            <v>10.64803030086355</v>
          </cell>
          <cell r="K40">
            <v>10.659283700822744</v>
          </cell>
          <cell r="L40">
            <v>10.741282060937346</v>
          </cell>
          <cell r="M40">
            <v>11.129407550320886</v>
          </cell>
          <cell r="N40">
            <v>11.340880670459669</v>
          </cell>
          <cell r="O40">
            <v>11.628406835526782</v>
          </cell>
          <cell r="P40">
            <v>12.206168338000852</v>
          </cell>
        </row>
        <row r="41">
          <cell r="B41" t="str">
            <v>Slovak Republic 3/</v>
          </cell>
          <cell r="C41" t="str">
            <v>...</v>
          </cell>
          <cell r="D41" t="str">
            <v>...</v>
          </cell>
          <cell r="E41" t="str">
            <v>...</v>
          </cell>
          <cell r="F41" t="str">
            <v>...</v>
          </cell>
          <cell r="G41" t="str">
            <v>...</v>
          </cell>
          <cell r="H41" t="str">
            <v>...</v>
          </cell>
          <cell r="I41" t="str">
            <v>...</v>
          </cell>
          <cell r="J41" t="str">
            <v>...</v>
          </cell>
          <cell r="K41" t="str">
            <v>...</v>
          </cell>
          <cell r="L41" t="str">
            <v>...</v>
          </cell>
          <cell r="M41">
            <v>13.835285789220055</v>
          </cell>
          <cell r="N41">
            <v>13.946957571948982</v>
          </cell>
          <cell r="O41">
            <v>14.270153783400128</v>
          </cell>
          <cell r="P41">
            <v>13.794874857155479</v>
          </cell>
        </row>
        <row r="42">
          <cell r="B42" t="str">
            <v xml:space="preserve">Spain 3/ </v>
          </cell>
          <cell r="C42" t="str">
            <v>...</v>
          </cell>
          <cell r="D42" t="str">
            <v>...</v>
          </cell>
          <cell r="E42" t="str">
            <v>...</v>
          </cell>
          <cell r="F42" t="str">
            <v>...</v>
          </cell>
          <cell r="G42" t="str">
            <v>...</v>
          </cell>
          <cell r="H42">
            <v>12.706700506479132</v>
          </cell>
          <cell r="I42">
            <v>12.905213620200273</v>
          </cell>
          <cell r="J42">
            <v>12.848640957610419</v>
          </cell>
          <cell r="K42">
            <v>12.748636219561698</v>
          </cell>
          <cell r="L42">
            <v>12.759034524142068</v>
          </cell>
          <cell r="M42">
            <v>12.874942682657874</v>
          </cell>
          <cell r="N42">
            <v>12.981762301705066</v>
          </cell>
          <cell r="O42">
            <v>12.964786356667387</v>
          </cell>
          <cell r="P42">
            <v>13.008459260035075</v>
          </cell>
        </row>
        <row r="43">
          <cell r="B43" t="str">
            <v xml:space="preserve">Sweden 3/ </v>
          </cell>
          <cell r="C43" t="str">
            <v>...</v>
          </cell>
          <cell r="D43" t="str">
            <v>...</v>
          </cell>
          <cell r="E43" t="str">
            <v>...</v>
          </cell>
          <cell r="F43" t="str">
            <v>...</v>
          </cell>
          <cell r="G43" t="str">
            <v>...</v>
          </cell>
          <cell r="H43" t="str">
            <v>...</v>
          </cell>
          <cell r="I43" t="str">
            <v>...</v>
          </cell>
          <cell r="J43" t="str">
            <v>...</v>
          </cell>
          <cell r="K43">
            <v>14.249852516610831</v>
          </cell>
          <cell r="L43">
            <v>12.946975264728191</v>
          </cell>
          <cell r="M43">
            <v>14.727196201578055</v>
          </cell>
          <cell r="N43">
            <v>15.094300689199786</v>
          </cell>
          <cell r="O43">
            <v>14.957279962788562</v>
          </cell>
          <cell r="P43">
            <v>14.641671470886427</v>
          </cell>
        </row>
        <row r="44">
          <cell r="B44" t="str">
            <v>Switzerland</v>
          </cell>
          <cell r="C44" t="str">
            <v>...</v>
          </cell>
          <cell r="D44" t="str">
            <v>...</v>
          </cell>
          <cell r="E44" t="str">
            <v>...</v>
          </cell>
          <cell r="F44" t="str">
            <v>...</v>
          </cell>
          <cell r="G44" t="str">
            <v>...</v>
          </cell>
          <cell r="H44" t="str">
            <v>...</v>
          </cell>
          <cell r="I44" t="str">
            <v>...</v>
          </cell>
          <cell r="J44" t="str">
            <v>...</v>
          </cell>
          <cell r="K44">
            <v>12.038075817695182</v>
          </cell>
          <cell r="L44">
            <v>11.821574684209162</v>
          </cell>
          <cell r="M44">
            <v>11.515586102206857</v>
          </cell>
          <cell r="N44">
            <v>7.5271769000025772</v>
          </cell>
          <cell r="O44">
            <v>7.6417640319797124</v>
          </cell>
          <cell r="P44">
            <v>7.4536633060025643</v>
          </cell>
        </row>
        <row r="45">
          <cell r="B45" t="str">
            <v>Turkey 2/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 t="str">
            <v>...</v>
          </cell>
          <cell r="M45" t="str">
            <v>...</v>
          </cell>
          <cell r="N45" t="str">
            <v>...</v>
          </cell>
          <cell r="O45" t="str">
            <v>...</v>
          </cell>
          <cell r="P45" t="str">
            <v>...</v>
          </cell>
        </row>
        <row r="46">
          <cell r="B46" t="str">
            <v>United Kingdom 3/</v>
          </cell>
          <cell r="C46" t="str">
            <v>...</v>
          </cell>
          <cell r="D46" t="str">
            <v>...</v>
          </cell>
          <cell r="E46" t="str">
            <v>...</v>
          </cell>
          <cell r="F46" t="str">
            <v>...</v>
          </cell>
          <cell r="G46" t="str">
            <v>...</v>
          </cell>
          <cell r="H46" t="str">
            <v>...</v>
          </cell>
          <cell r="I46" t="str">
            <v>...</v>
          </cell>
          <cell r="J46" t="str">
            <v>...</v>
          </cell>
          <cell r="K46">
            <v>7.521150002324176</v>
          </cell>
          <cell r="L46">
            <v>7.2521807125391229</v>
          </cell>
          <cell r="M46">
            <v>7.5266156027416793</v>
          </cell>
          <cell r="N46">
            <v>7.5876993211993291</v>
          </cell>
          <cell r="O46">
            <v>7.546716314275467</v>
          </cell>
          <cell r="P46">
            <v>8.0018518535263432</v>
          </cell>
        </row>
        <row r="49">
          <cell r="B49" t="str">
            <v xml:space="preserve">  Unweighted average 4/</v>
          </cell>
        </row>
        <row r="50">
          <cell r="B50" t="str">
            <v xml:space="preserve">    Total </v>
          </cell>
          <cell r="C50">
            <v>0.91078833990227304</v>
          </cell>
          <cell r="D50">
            <v>0.93841753731804578</v>
          </cell>
          <cell r="E50">
            <v>1.0275065049766241</v>
          </cell>
          <cell r="F50">
            <v>1.2416438948973978</v>
          </cell>
          <cell r="G50">
            <v>1.2493834922636082</v>
          </cell>
          <cell r="H50">
            <v>11.535368082933795</v>
          </cell>
          <cell r="I50">
            <v>11.747017113805587</v>
          </cell>
          <cell r="J50">
            <v>11.664724925109514</v>
          </cell>
          <cell r="K50">
            <v>10.5090236624241</v>
          </cell>
          <cell r="L50">
            <v>10.455120243258346</v>
          </cell>
          <cell r="M50">
            <v>10.353848654394124</v>
          </cell>
          <cell r="N50">
            <v>10.755384557759735</v>
          </cell>
          <cell r="O50">
            <v>10.736522970589546</v>
          </cell>
          <cell r="P50">
            <v>10.40972942905638</v>
          </cell>
        </row>
        <row r="51">
          <cell r="B51" t="str">
            <v xml:space="preserve">    America</v>
          </cell>
          <cell r="C51">
            <v>1.9235414509094113</v>
          </cell>
          <cell r="D51">
            <v>1.9887317338951691</v>
          </cell>
          <cell r="E51">
            <v>2.1136830428770184</v>
          </cell>
          <cell r="F51">
            <v>2.2666049451929027</v>
          </cell>
          <cell r="G51">
            <v>2.3748741634263357</v>
          </cell>
          <cell r="H51">
            <v>2.1237123065745509</v>
          </cell>
          <cell r="I51">
            <v>1.9178602672191687</v>
          </cell>
          <cell r="J51">
            <v>1.8202580447516374</v>
          </cell>
          <cell r="K51">
            <v>1.5091190812266306</v>
          </cell>
          <cell r="L51">
            <v>1.5020487948826813</v>
          </cell>
          <cell r="M51">
            <v>4.7115320169573565</v>
          </cell>
          <cell r="N51">
            <v>6.4183550399187101</v>
          </cell>
          <cell r="O51">
            <v>6.4621056420184466</v>
          </cell>
          <cell r="P51">
            <v>6.4622979711243911</v>
          </cell>
        </row>
        <row r="52">
          <cell r="B52" t="str">
            <v xml:space="preserve">    Pacific</v>
          </cell>
          <cell r="C52">
            <v>0.80882356879740791</v>
          </cell>
          <cell r="D52">
            <v>0.8265208780589679</v>
          </cell>
          <cell r="E52">
            <v>0.96883647205285373</v>
          </cell>
          <cell r="F52">
            <v>1.4583267394992907</v>
          </cell>
          <cell r="G52">
            <v>1.373276313364489</v>
          </cell>
          <cell r="H52">
            <v>1.3880332776966671</v>
          </cell>
          <cell r="I52">
            <v>1.6832502445405266</v>
          </cell>
          <cell r="J52">
            <v>1.7591911629963912</v>
          </cell>
          <cell r="K52">
            <v>2.1984772655725191</v>
          </cell>
          <cell r="L52">
            <v>1.1490223696066306</v>
          </cell>
          <cell r="M52">
            <v>1.5485544732742373</v>
          </cell>
          <cell r="N52">
            <v>4.6000194711672435</v>
          </cell>
          <cell r="O52">
            <v>4.6527681245142576</v>
          </cell>
          <cell r="P52">
            <v>3.5215440580550248</v>
          </cell>
        </row>
        <row r="53">
          <cell r="B53" t="str">
            <v xml:space="preserve">    Europe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13.088740709811681</v>
          </cell>
          <cell r="I53">
            <v>13.203039977483865</v>
          </cell>
          <cell r="J53">
            <v>12.962020130835322</v>
          </cell>
          <cell r="K53">
            <v>11.142826589106814</v>
          </cell>
          <cell r="L53">
            <v>11.692337089324285</v>
          </cell>
          <cell r="M53">
            <v>11.769479869550407</v>
          </cell>
          <cell r="N53">
            <v>11.776465355880513</v>
          </cell>
          <cell r="O53">
            <v>11.747590736287025</v>
          </cell>
          <cell r="P53">
            <v>11.818611400719133</v>
          </cell>
        </row>
        <row r="54">
          <cell r="B54" t="str">
            <v xml:space="preserve">    EU 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14.990296823437145</v>
          </cell>
          <cell r="I54">
            <v>14.911011196771295</v>
          </cell>
          <cell r="J54">
            <v>14.520609067616833</v>
          </cell>
          <cell r="K54">
            <v>12.774796525454642</v>
          </cell>
          <cell r="L54">
            <v>12.565510654809611</v>
          </cell>
          <cell r="M54">
            <v>12.699731454449083</v>
          </cell>
          <cell r="N54">
            <v>12.851272931034625</v>
          </cell>
          <cell r="O54">
            <v>12.770246952644165</v>
          </cell>
          <cell r="P54">
            <v>12.848109274400194</v>
          </cell>
        </row>
        <row r="57">
          <cell r="B57" t="str">
            <v xml:space="preserve">  Sources: IMF, Government Finance Statistics (CD-ROM, March 2008); International Financial Statistics; and World Economic Outlook.</v>
          </cell>
        </row>
        <row r="59">
          <cell r="B59" t="str">
            <v xml:space="preserve">   1/  General Government.</v>
          </cell>
        </row>
        <row r="60">
          <cell r="B60" t="str">
            <v xml:space="preserve">   2/  Consolidated Central Government.</v>
          </cell>
        </row>
        <row r="61">
          <cell r="B61" t="str">
            <v xml:space="preserve">   3/  European Union countries.</v>
          </cell>
        </row>
        <row r="62">
          <cell r="B62" t="str">
            <v xml:space="preserve">   4/  For each revenue classification, only countries for which data are available are included in the calculation.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dshWhatToLoad"/>
      <sheetName val="SetUp Sheet"/>
      <sheetName val="SpinData"/>
      <sheetName val="dshNWCell"/>
      <sheetName val="dshNWCell_Qrt"/>
      <sheetName val="dshUserDelete"/>
      <sheetName val="dshUser"/>
      <sheetName val="dshRefreshLinks"/>
      <sheetName val="dshRefreshLinks_Qrt"/>
      <sheetName val="dshQuestionnairesPrint"/>
      <sheetName val="dshPickAUtility"/>
      <sheetName val="dshAremosSelect_Qrt"/>
      <sheetName val="dshAremosSelect"/>
      <sheetName val="dshWizard1"/>
      <sheetName val="dshWizard1_Qrt"/>
      <sheetName val="dshWizard2"/>
      <sheetName val="dshWizard3"/>
      <sheetName val="dshWizard3_qrt"/>
      <sheetName val="dshWizard4"/>
      <sheetName val="dshAlignButtons"/>
      <sheetName val="dshExit"/>
      <sheetName val="dshAbout"/>
      <sheetName val="dshSend"/>
      <sheetName val="Links"/>
      <sheetName val="xxweolinksxx"/>
      <sheetName val="HelpList"/>
      <sheetName val="Data check"/>
      <sheetName val="dshErrorCheck"/>
      <sheetName val="dshMacroMak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of Contents"/>
      <sheetName val="ControlSheet"/>
      <sheetName val="Inputs 1 (liq indicators)"/>
      <sheetName val="country name lookup"/>
      <sheetName val="Inputs 2 (ext sector)"/>
      <sheetName val="Inputs 3 (fiscal sector)"/>
      <sheetName val="Inputs 4 (fin. sector)"/>
      <sheetName val="Inputs 5 (corp. sector)"/>
      <sheetName val="Inputs Macro Variables"/>
      <sheetName val="Calc Liq Ind"/>
      <sheetName val="Calc Ext Sector"/>
      <sheetName val="Calc Fisc Sector"/>
      <sheetName val="Calc Fin Sector"/>
      <sheetName val="Calc Corp. Sector"/>
      <sheetName val="old Tab 8. FR &amp; IR"/>
      <sheetName val="Tab 8. FR &amp; IR "/>
      <sheetName val="Output 1. Comp AD-I rat"/>
      <sheetName val="Output 1. Comp Alt I,II,III"/>
      <sheetName val="Output1 Summary-AltI"/>
      <sheetName val="Output 1. Summary-AltII"/>
      <sheetName val="Output1 Summary -AltIII"/>
      <sheetName val="Tab 9. External sector "/>
      <sheetName val="Tab 10. Public sector"/>
      <sheetName val="Tab 11. Financial sector"/>
      <sheetName val="Tab 12. Corporate sector"/>
      <sheetName val="Output 1. FR &amp; IR "/>
      <sheetName val="Output 2. External sector "/>
      <sheetName val="Output 3. Public sector"/>
      <sheetName val="Output 4. Financial sector"/>
      <sheetName val="Output 5. Corporate sector"/>
    </sheetNames>
    <sheetDataSet>
      <sheetData sheetId="0" refreshError="1"/>
      <sheetData sheetId="1" refreshError="1"/>
      <sheetData sheetId="2" refreshError="1"/>
      <sheetData sheetId="3" refreshError="1">
        <row r="1">
          <cell r="A1" t="str">
            <v>Ccode</v>
          </cell>
          <cell r="B1" t="str">
            <v>Country</v>
          </cell>
        </row>
        <row r="2">
          <cell r="A2" t="str">
            <v>612</v>
          </cell>
          <cell r="B2" t="str">
            <v>Algeria</v>
          </cell>
        </row>
        <row r="3">
          <cell r="A3" t="str">
            <v>213</v>
          </cell>
          <cell r="B3" t="str">
            <v>Argentina</v>
          </cell>
        </row>
        <row r="4">
          <cell r="A4" t="str">
            <v>963</v>
          </cell>
          <cell r="B4" t="str">
            <v>Bosnia&amp;Herzegovina</v>
          </cell>
        </row>
        <row r="5">
          <cell r="A5" t="str">
            <v>223</v>
          </cell>
          <cell r="B5" t="str">
            <v>Brazil</v>
          </cell>
        </row>
        <row r="6">
          <cell r="A6" t="str">
            <v>918</v>
          </cell>
          <cell r="B6" t="str">
            <v>Bulgaria</v>
          </cell>
        </row>
        <row r="7">
          <cell r="A7" t="str">
            <v>228</v>
          </cell>
          <cell r="B7" t="str">
            <v>Chile</v>
          </cell>
        </row>
        <row r="8">
          <cell r="A8" t="str">
            <v>924</v>
          </cell>
          <cell r="B8" t="str">
            <v>China</v>
          </cell>
        </row>
        <row r="9">
          <cell r="A9" t="str">
            <v>233</v>
          </cell>
          <cell r="B9" t="str">
            <v>Colombia</v>
          </cell>
        </row>
        <row r="10">
          <cell r="A10" t="str">
            <v>238</v>
          </cell>
          <cell r="B10" t="str">
            <v>Costa Rica</v>
          </cell>
        </row>
        <row r="11">
          <cell r="A11" t="str">
            <v>960</v>
          </cell>
          <cell r="B11" t="str">
            <v>Croatia</v>
          </cell>
        </row>
        <row r="12">
          <cell r="A12" t="str">
            <v>935</v>
          </cell>
          <cell r="B12" t="str">
            <v>Czech Republic</v>
          </cell>
        </row>
        <row r="13">
          <cell r="A13" t="str">
            <v>243</v>
          </cell>
          <cell r="B13" t="str">
            <v>Dominican Republic</v>
          </cell>
        </row>
        <row r="14">
          <cell r="A14" t="str">
            <v>248</v>
          </cell>
          <cell r="B14" t="str">
            <v>Ecuador</v>
          </cell>
        </row>
        <row r="15">
          <cell r="A15" t="str">
            <v>469</v>
          </cell>
          <cell r="B15" t="str">
            <v>Egypt</v>
          </cell>
        </row>
        <row r="16">
          <cell r="A16" t="str">
            <v>253</v>
          </cell>
          <cell r="B16" t="str">
            <v>El Salvador</v>
          </cell>
        </row>
        <row r="17">
          <cell r="A17" t="str">
            <v>939</v>
          </cell>
          <cell r="B17" t="str">
            <v>Estonia</v>
          </cell>
        </row>
        <row r="18">
          <cell r="A18" t="str">
            <v>258</v>
          </cell>
          <cell r="B18" t="str">
            <v>Guatemala</v>
          </cell>
        </row>
        <row r="19">
          <cell r="A19" t="str">
            <v>944</v>
          </cell>
          <cell r="B19" t="str">
            <v>Hungary</v>
          </cell>
        </row>
        <row r="20">
          <cell r="A20" t="str">
            <v>534</v>
          </cell>
          <cell r="B20" t="str">
            <v>India</v>
          </cell>
        </row>
        <row r="21">
          <cell r="A21" t="str">
            <v>536</v>
          </cell>
          <cell r="B21" t="str">
            <v>Indonesia</v>
          </cell>
        </row>
        <row r="22">
          <cell r="A22" t="str">
            <v>436</v>
          </cell>
          <cell r="B22" t="str">
            <v>Israel</v>
          </cell>
        </row>
        <row r="23">
          <cell r="A23" t="str">
            <v>343</v>
          </cell>
          <cell r="B23" t="str">
            <v>Jamaica</v>
          </cell>
        </row>
        <row r="24">
          <cell r="A24" t="str">
            <v>439</v>
          </cell>
          <cell r="B24" t="str">
            <v>Jordan</v>
          </cell>
        </row>
        <row r="25">
          <cell r="A25" t="str">
            <v>916</v>
          </cell>
          <cell r="B25" t="str">
            <v>Kazakhstan</v>
          </cell>
        </row>
        <row r="26">
          <cell r="A26" t="str">
            <v>542</v>
          </cell>
          <cell r="B26" t="str">
            <v>Korea</v>
          </cell>
        </row>
        <row r="27">
          <cell r="A27" t="str">
            <v>941</v>
          </cell>
          <cell r="B27" t="str">
            <v>Latvia</v>
          </cell>
        </row>
        <row r="28">
          <cell r="A28" t="str">
            <v>446</v>
          </cell>
          <cell r="B28" t="str">
            <v>Lebanon</v>
          </cell>
        </row>
        <row r="29">
          <cell r="A29" t="str">
            <v>946</v>
          </cell>
          <cell r="B29" t="str">
            <v>Lithuania</v>
          </cell>
        </row>
        <row r="30">
          <cell r="A30" t="str">
            <v>548</v>
          </cell>
          <cell r="B30" t="str">
            <v>Malaysia</v>
          </cell>
        </row>
        <row r="31">
          <cell r="A31" t="str">
            <v>273</v>
          </cell>
          <cell r="B31" t="str">
            <v>Mexico</v>
          </cell>
        </row>
        <row r="32">
          <cell r="A32" t="str">
            <v>686</v>
          </cell>
          <cell r="B32" t="str">
            <v>Morocco</v>
          </cell>
        </row>
        <row r="33">
          <cell r="A33" t="str">
            <v>564</v>
          </cell>
          <cell r="B33" t="str">
            <v>Pakistan</v>
          </cell>
        </row>
        <row r="34">
          <cell r="A34" t="str">
            <v>283</v>
          </cell>
          <cell r="B34" t="str">
            <v>Panama</v>
          </cell>
        </row>
        <row r="35">
          <cell r="A35" t="str">
            <v>293</v>
          </cell>
          <cell r="B35" t="str">
            <v>Peru</v>
          </cell>
        </row>
        <row r="36">
          <cell r="A36" t="str">
            <v>566</v>
          </cell>
          <cell r="B36" t="str">
            <v>Philippines</v>
          </cell>
        </row>
        <row r="37">
          <cell r="A37">
            <v>964</v>
          </cell>
          <cell r="B37" t="str">
            <v>Poland</v>
          </cell>
        </row>
        <row r="38">
          <cell r="A38">
            <v>968</v>
          </cell>
          <cell r="B38" t="str">
            <v>Romania</v>
          </cell>
        </row>
        <row r="39">
          <cell r="A39">
            <v>922</v>
          </cell>
          <cell r="B39" t="str">
            <v>Russia</v>
          </cell>
        </row>
        <row r="40">
          <cell r="A40">
            <v>965</v>
          </cell>
          <cell r="B40" t="str">
            <v>Serbia&amp;Montenegro</v>
          </cell>
        </row>
        <row r="41">
          <cell r="A41">
            <v>936</v>
          </cell>
          <cell r="B41" t="str">
            <v>Slovak Republic</v>
          </cell>
        </row>
        <row r="42">
          <cell r="A42">
            <v>961</v>
          </cell>
          <cell r="B42" t="str">
            <v>Slovenia</v>
          </cell>
        </row>
        <row r="43">
          <cell r="A43">
            <v>199</v>
          </cell>
          <cell r="B43" t="str">
            <v>South Africa</v>
          </cell>
        </row>
        <row r="44">
          <cell r="A44">
            <v>524</v>
          </cell>
          <cell r="B44" t="str">
            <v>Sri Lanka</v>
          </cell>
        </row>
        <row r="45">
          <cell r="A45">
            <v>578</v>
          </cell>
          <cell r="B45" t="str">
            <v>Thailand</v>
          </cell>
        </row>
        <row r="46">
          <cell r="A46">
            <v>744</v>
          </cell>
          <cell r="B46" t="str">
            <v>Tunisia</v>
          </cell>
        </row>
        <row r="47">
          <cell r="A47">
            <v>186</v>
          </cell>
          <cell r="B47" t="str">
            <v>Turkey</v>
          </cell>
        </row>
        <row r="48">
          <cell r="A48">
            <v>926</v>
          </cell>
          <cell r="B48" t="str">
            <v>Ukraine</v>
          </cell>
        </row>
        <row r="49">
          <cell r="A49">
            <v>298</v>
          </cell>
          <cell r="B49" t="str">
            <v>Uruguay</v>
          </cell>
        </row>
        <row r="50">
          <cell r="A50">
            <v>299</v>
          </cell>
          <cell r="B50" t="str">
            <v>Venezuela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Compare"/>
      <sheetName val="WEO GEE Annual"/>
      <sheetName val="WEO GEE Quarterly"/>
      <sheetName val="WEO GEE Weights"/>
      <sheetName val="A Current Data"/>
      <sheetName val="A Previous Data"/>
      <sheetName val="Q Current Data"/>
      <sheetName val="Q Previous Data"/>
      <sheetName val="Weights Data"/>
      <sheetName val="Compare (Non-Euro)"/>
      <sheetName val="Annual (Non-Euro)"/>
      <sheetName val="Quarterly (Non-Euro)"/>
      <sheetName val="Weights (Non-Euro)"/>
      <sheetName val="A Current Data (Non-Euro)"/>
      <sheetName val="A Previous Data (Non-Euro)"/>
      <sheetName val="Q Current Data (Non-Euro)"/>
      <sheetName val="Q Previous Data (Non-Euro)"/>
      <sheetName val="Weights Data (Non-Euro)"/>
      <sheetName val="ControlSheet"/>
    </sheetNames>
    <sheetDataSet>
      <sheetData sheetId="0" refreshError="1"/>
      <sheetData sheetId="1"/>
      <sheetData sheetId="2"/>
      <sheetData sheetId="3"/>
      <sheetData sheetId="4"/>
      <sheetData sheetId="5" refreshError="1">
        <row r="60">
          <cell r="D60" t="str">
            <v>W2005REV</v>
          </cell>
        </row>
        <row r="61">
          <cell r="D61" t="str">
            <v>03/31/2005</v>
          </cell>
        </row>
      </sheetData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síða"/>
      <sheetName val="Nýtt yfirlit 1"/>
      <sheetName val="Y2"/>
      <sheetName val="Y3"/>
      <sheetName val="Y4"/>
      <sheetName val="Y5"/>
      <sheetName val="Y6"/>
      <sheetName val="Y7"/>
      <sheetName val="Y8"/>
      <sheetName val="Y13"/>
      <sheetName val="MANUDUR"/>
      <sheetName val="Áætlun"/>
      <sheetName val="EFN_MMB_"/>
      <sheetName val="EFN_HMB_"/>
      <sheetName val="EFN_MAN_"/>
      <sheetName val="Efn_FA"/>
      <sheetName val="EFN_F2"/>
      <sheetName val="Efn_fa_h"/>
      <sheetName val="EFN_FAL"/>
      <sheetName val="efn_f2l"/>
      <sheetName val="mal"/>
      <sheetName val="mal_fa"/>
      <sheetName val="Fjárlög_sund"/>
      <sheetName val="tegsun"/>
      <sheetName val="Tegsun_fyrra"/>
      <sheetName val="Fjarh_man"/>
      <sheetName val="TEKJUR"/>
      <sheetName val="TEKJUR_M"/>
      <sheetName val="TEKJU_FA"/>
      <sheetName val="Fjárheimild mánaða tekjur"/>
      <sheetName val="FJARLTEK"/>
      <sheetName val="Efnahagu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Viðfang</v>
          </cell>
          <cell r="B1" t="str">
            <v>Tegund</v>
          </cell>
          <cell r="C1" t="str">
            <v>Bota</v>
          </cell>
          <cell r="D1" t="str">
            <v>Útkoma</v>
          </cell>
        </row>
        <row r="2">
          <cell r="A2">
            <v>100</v>
          </cell>
          <cell r="B2">
            <v>1110</v>
          </cell>
          <cell r="C2">
            <v>0</v>
          </cell>
          <cell r="D2">
            <v>3.9928999999999999E-2</v>
          </cell>
        </row>
        <row r="3">
          <cell r="A3">
            <v>100</v>
          </cell>
          <cell r="B3">
            <v>1111</v>
          </cell>
          <cell r="C3">
            <v>0</v>
          </cell>
          <cell r="D3">
            <v>24.992138000000001</v>
          </cell>
        </row>
        <row r="4">
          <cell r="A4">
            <v>100</v>
          </cell>
          <cell r="B4">
            <v>1113</v>
          </cell>
          <cell r="C4">
            <v>0</v>
          </cell>
          <cell r="D4">
            <v>0.17829999999999999</v>
          </cell>
        </row>
        <row r="5">
          <cell r="A5">
            <v>100</v>
          </cell>
          <cell r="B5">
            <v>1118</v>
          </cell>
          <cell r="C5">
            <v>0</v>
          </cell>
          <cell r="D5">
            <v>5.837631</v>
          </cell>
        </row>
        <row r="6">
          <cell r="A6">
            <v>100</v>
          </cell>
          <cell r="B6">
            <v>1120</v>
          </cell>
          <cell r="C6">
            <v>0</v>
          </cell>
          <cell r="D6">
            <v>10158.294786</v>
          </cell>
        </row>
        <row r="7">
          <cell r="A7">
            <v>100</v>
          </cell>
          <cell r="B7">
            <v>1124</v>
          </cell>
          <cell r="C7">
            <v>0</v>
          </cell>
          <cell r="D7">
            <v>526.03084100000001</v>
          </cell>
        </row>
        <row r="8">
          <cell r="A8">
            <v>100</v>
          </cell>
          <cell r="B8">
            <v>1126</v>
          </cell>
          <cell r="C8">
            <v>0</v>
          </cell>
          <cell r="D8">
            <v>231.96846099999999</v>
          </cell>
        </row>
        <row r="9">
          <cell r="A9">
            <v>100</v>
          </cell>
          <cell r="B9">
            <v>1127</v>
          </cell>
          <cell r="C9">
            <v>0</v>
          </cell>
          <cell r="D9">
            <v>22.920573000000001</v>
          </cell>
        </row>
        <row r="10">
          <cell r="A10">
            <v>100</v>
          </cell>
          <cell r="B10">
            <v>1128</v>
          </cell>
          <cell r="C10">
            <v>0</v>
          </cell>
          <cell r="D10">
            <v>129.576776</v>
          </cell>
        </row>
        <row r="11">
          <cell r="A11">
            <v>100</v>
          </cell>
          <cell r="B11">
            <v>1129</v>
          </cell>
          <cell r="C11">
            <v>0</v>
          </cell>
          <cell r="D11">
            <v>24.573578000000001</v>
          </cell>
        </row>
        <row r="12">
          <cell r="A12">
            <v>100</v>
          </cell>
          <cell r="B12">
            <v>1139</v>
          </cell>
          <cell r="C12">
            <v>0</v>
          </cell>
          <cell r="D12">
            <v>18.201035000000001</v>
          </cell>
        </row>
        <row r="13">
          <cell r="A13">
            <v>100</v>
          </cell>
          <cell r="B13">
            <v>1142</v>
          </cell>
          <cell r="C13">
            <v>0</v>
          </cell>
          <cell r="D13">
            <v>-19.381629</v>
          </cell>
        </row>
        <row r="14">
          <cell r="A14">
            <v>100</v>
          </cell>
          <cell r="B14">
            <v>1144</v>
          </cell>
          <cell r="C14">
            <v>0</v>
          </cell>
          <cell r="D14">
            <v>56.712237999999999</v>
          </cell>
        </row>
        <row r="15">
          <cell r="A15">
            <v>100</v>
          </cell>
          <cell r="B15">
            <v>1146</v>
          </cell>
          <cell r="C15">
            <v>0</v>
          </cell>
          <cell r="D15">
            <v>205.26927900000001</v>
          </cell>
        </row>
        <row r="16">
          <cell r="A16">
            <v>100</v>
          </cell>
          <cell r="B16">
            <v>1147</v>
          </cell>
          <cell r="C16">
            <v>0</v>
          </cell>
          <cell r="D16">
            <v>-6.6121949999999998</v>
          </cell>
        </row>
        <row r="17">
          <cell r="A17">
            <v>100</v>
          </cell>
          <cell r="B17">
            <v>1148</v>
          </cell>
          <cell r="C17">
            <v>0</v>
          </cell>
          <cell r="D17">
            <v>67.728385000000003</v>
          </cell>
        </row>
        <row r="18">
          <cell r="A18">
            <v>100</v>
          </cell>
          <cell r="B18">
            <v>1149</v>
          </cell>
          <cell r="C18">
            <v>0</v>
          </cell>
          <cell r="D18">
            <v>-0.30432500000000001</v>
          </cell>
        </row>
        <row r="19">
          <cell r="A19">
            <v>100</v>
          </cell>
          <cell r="B19">
            <v>1181</v>
          </cell>
          <cell r="C19">
            <v>0</v>
          </cell>
          <cell r="D19">
            <v>-23.433627999999999</v>
          </cell>
        </row>
        <row r="20">
          <cell r="A20">
            <v>100</v>
          </cell>
          <cell r="B20">
            <v>1183</v>
          </cell>
          <cell r="C20">
            <v>0</v>
          </cell>
          <cell r="D20">
            <v>309.53739300000001</v>
          </cell>
        </row>
        <row r="21">
          <cell r="A21">
            <v>100</v>
          </cell>
          <cell r="B21">
            <v>1184</v>
          </cell>
          <cell r="C21">
            <v>0</v>
          </cell>
          <cell r="D21">
            <v>-28.991499999999998</v>
          </cell>
        </row>
        <row r="22">
          <cell r="A22">
            <v>100</v>
          </cell>
          <cell r="B22">
            <v>1186</v>
          </cell>
          <cell r="C22">
            <v>0</v>
          </cell>
          <cell r="D22">
            <v>-5.3005370000000003</v>
          </cell>
        </row>
        <row r="23">
          <cell r="A23">
            <v>100</v>
          </cell>
          <cell r="B23">
            <v>1191</v>
          </cell>
          <cell r="C23">
            <v>0</v>
          </cell>
          <cell r="D23">
            <v>592.82329800000002</v>
          </cell>
        </row>
        <row r="24">
          <cell r="A24">
            <v>100</v>
          </cell>
          <cell r="B24">
            <v>1192</v>
          </cell>
          <cell r="C24">
            <v>0</v>
          </cell>
          <cell r="D24">
            <v>-10.900588000000001</v>
          </cell>
        </row>
        <row r="25">
          <cell r="A25">
            <v>100</v>
          </cell>
          <cell r="B25">
            <v>1193</v>
          </cell>
          <cell r="C25">
            <v>0</v>
          </cell>
          <cell r="D25">
            <v>13.037261000000001</v>
          </cell>
        </row>
        <row r="26">
          <cell r="A26">
            <v>100</v>
          </cell>
          <cell r="B26">
            <v>1194</v>
          </cell>
          <cell r="C26">
            <v>0</v>
          </cell>
          <cell r="D26">
            <v>0.83070299999999997</v>
          </cell>
        </row>
        <row r="27">
          <cell r="A27">
            <v>100</v>
          </cell>
          <cell r="B27">
            <v>1195</v>
          </cell>
          <cell r="C27">
            <v>0</v>
          </cell>
          <cell r="D27">
            <v>10.003197999999999</v>
          </cell>
        </row>
        <row r="28">
          <cell r="A28">
            <v>100</v>
          </cell>
          <cell r="B28">
            <v>1196</v>
          </cell>
          <cell r="C28">
            <v>0</v>
          </cell>
          <cell r="D28">
            <v>14.699966</v>
          </cell>
        </row>
        <row r="29">
          <cell r="A29">
            <v>100</v>
          </cell>
          <cell r="B29">
            <v>1197</v>
          </cell>
          <cell r="C29">
            <v>0</v>
          </cell>
          <cell r="D29">
            <v>7.4610940000000001</v>
          </cell>
        </row>
        <row r="30">
          <cell r="A30">
            <v>100</v>
          </cell>
          <cell r="B30">
            <v>1199</v>
          </cell>
          <cell r="C30">
            <v>0</v>
          </cell>
          <cell r="D30">
            <v>-6.0734139999999996</v>
          </cell>
        </row>
        <row r="31">
          <cell r="A31">
            <v>100</v>
          </cell>
          <cell r="B31">
            <v>1210</v>
          </cell>
          <cell r="C31">
            <v>0</v>
          </cell>
          <cell r="D31">
            <v>-38.966563999999998</v>
          </cell>
        </row>
        <row r="32">
          <cell r="A32">
            <v>100</v>
          </cell>
          <cell r="B32">
            <v>1211</v>
          </cell>
          <cell r="C32">
            <v>0</v>
          </cell>
          <cell r="D32">
            <v>424.27647400000001</v>
          </cell>
        </row>
        <row r="33">
          <cell r="A33">
            <v>100</v>
          </cell>
          <cell r="B33">
            <v>1212</v>
          </cell>
          <cell r="C33">
            <v>0</v>
          </cell>
          <cell r="D33">
            <v>-26.592077</v>
          </cell>
        </row>
        <row r="34">
          <cell r="A34">
            <v>100</v>
          </cell>
          <cell r="B34">
            <v>1213</v>
          </cell>
          <cell r="C34">
            <v>0</v>
          </cell>
          <cell r="D34">
            <v>-64.519496000000004</v>
          </cell>
        </row>
        <row r="35">
          <cell r="A35">
            <v>100</v>
          </cell>
          <cell r="B35">
            <v>1214</v>
          </cell>
          <cell r="C35">
            <v>0</v>
          </cell>
          <cell r="D35">
            <v>-43.004973</v>
          </cell>
        </row>
        <row r="36">
          <cell r="A36">
            <v>100</v>
          </cell>
          <cell r="B36">
            <v>1215</v>
          </cell>
          <cell r="C36">
            <v>0</v>
          </cell>
          <cell r="D36">
            <v>-342.93329599999998</v>
          </cell>
        </row>
        <row r="37">
          <cell r="A37">
            <v>100</v>
          </cell>
          <cell r="B37">
            <v>1216</v>
          </cell>
          <cell r="C37">
            <v>0</v>
          </cell>
          <cell r="D37">
            <v>-40.680877000000002</v>
          </cell>
        </row>
        <row r="38">
          <cell r="A38">
            <v>100</v>
          </cell>
          <cell r="B38">
            <v>1217</v>
          </cell>
          <cell r="C38">
            <v>0</v>
          </cell>
          <cell r="D38">
            <v>6.723382</v>
          </cell>
        </row>
        <row r="39">
          <cell r="A39">
            <v>100</v>
          </cell>
          <cell r="B39">
            <v>1218</v>
          </cell>
          <cell r="C39">
            <v>0</v>
          </cell>
          <cell r="D39">
            <v>-296.01295900000002</v>
          </cell>
        </row>
        <row r="40">
          <cell r="A40">
            <v>100</v>
          </cell>
          <cell r="B40">
            <v>1219</v>
          </cell>
          <cell r="C40">
            <v>0</v>
          </cell>
          <cell r="D40">
            <v>-50.397008999999997</v>
          </cell>
        </row>
        <row r="41">
          <cell r="A41">
            <v>100</v>
          </cell>
          <cell r="B41">
            <v>1225</v>
          </cell>
          <cell r="C41">
            <v>0</v>
          </cell>
          <cell r="D41">
            <v>1247.0455199999999</v>
          </cell>
        </row>
        <row r="42">
          <cell r="A42">
            <v>100</v>
          </cell>
          <cell r="B42">
            <v>1235</v>
          </cell>
          <cell r="C42">
            <v>8</v>
          </cell>
          <cell r="D42">
            <v>-60</v>
          </cell>
        </row>
        <row r="43">
          <cell r="A43">
            <v>100</v>
          </cell>
          <cell r="B43">
            <v>1245</v>
          </cell>
          <cell r="C43">
            <v>0</v>
          </cell>
          <cell r="D43">
            <v>-1.6261999999999999E-2</v>
          </cell>
        </row>
        <row r="44">
          <cell r="A44">
            <v>100</v>
          </cell>
          <cell r="B44">
            <v>1259</v>
          </cell>
          <cell r="C44">
            <v>0</v>
          </cell>
          <cell r="D44">
            <v>0.68293899999999996</v>
          </cell>
        </row>
        <row r="45">
          <cell r="A45">
            <v>100</v>
          </cell>
          <cell r="B45">
            <v>1271</v>
          </cell>
          <cell r="C45">
            <v>0</v>
          </cell>
          <cell r="D45">
            <v>0</v>
          </cell>
        </row>
        <row r="46">
          <cell r="A46">
            <v>100</v>
          </cell>
          <cell r="B46">
            <v>1275</v>
          </cell>
          <cell r="C46">
            <v>0</v>
          </cell>
          <cell r="D46">
            <v>92.353988999999999</v>
          </cell>
        </row>
        <row r="47">
          <cell r="A47">
            <v>100</v>
          </cell>
          <cell r="B47">
            <v>1276</v>
          </cell>
          <cell r="C47">
            <v>0</v>
          </cell>
          <cell r="D47">
            <v>1869.392812</v>
          </cell>
        </row>
        <row r="48">
          <cell r="A48">
            <v>100</v>
          </cell>
          <cell r="B48">
            <v>1278</v>
          </cell>
          <cell r="C48">
            <v>0</v>
          </cell>
          <cell r="D48">
            <v>4.1192719999999996</v>
          </cell>
        </row>
        <row r="49">
          <cell r="A49">
            <v>100</v>
          </cell>
          <cell r="B49">
            <v>1279</v>
          </cell>
          <cell r="C49">
            <v>0</v>
          </cell>
          <cell r="D49">
            <v>-12.446184000000001</v>
          </cell>
        </row>
        <row r="50">
          <cell r="A50">
            <v>100</v>
          </cell>
          <cell r="B50">
            <v>1414</v>
          </cell>
          <cell r="C50">
            <v>0</v>
          </cell>
          <cell r="D50">
            <v>-5.020378</v>
          </cell>
        </row>
        <row r="51">
          <cell r="A51">
            <v>100</v>
          </cell>
          <cell r="B51">
            <v>1424</v>
          </cell>
          <cell r="C51">
            <v>0</v>
          </cell>
          <cell r="D51">
            <v>2.377615</v>
          </cell>
        </row>
        <row r="52">
          <cell r="A52">
            <v>100</v>
          </cell>
          <cell r="B52">
            <v>1426</v>
          </cell>
          <cell r="C52">
            <v>0</v>
          </cell>
          <cell r="D52">
            <v>11.75765</v>
          </cell>
        </row>
        <row r="53">
          <cell r="A53">
            <v>100</v>
          </cell>
          <cell r="B53">
            <v>1428</v>
          </cell>
          <cell r="C53">
            <v>0</v>
          </cell>
          <cell r="D53">
            <v>-6.1103999999999999E-2</v>
          </cell>
        </row>
        <row r="54">
          <cell r="A54">
            <v>100</v>
          </cell>
          <cell r="B54">
            <v>1429</v>
          </cell>
          <cell r="C54">
            <v>0</v>
          </cell>
          <cell r="D54">
            <v>191.81870599999999</v>
          </cell>
        </row>
        <row r="55">
          <cell r="A55">
            <v>100</v>
          </cell>
          <cell r="B55">
            <v>1615</v>
          </cell>
          <cell r="C55">
            <v>8</v>
          </cell>
          <cell r="D55">
            <v>-3.78</v>
          </cell>
        </row>
        <row r="56">
          <cell r="A56">
            <v>100</v>
          </cell>
          <cell r="B56">
            <v>1715</v>
          </cell>
          <cell r="C56">
            <v>7</v>
          </cell>
          <cell r="D56">
            <v>25</v>
          </cell>
        </row>
        <row r="57">
          <cell r="A57">
            <v>100</v>
          </cell>
          <cell r="B57">
            <v>2210</v>
          </cell>
          <cell r="C57">
            <v>0</v>
          </cell>
          <cell r="D57">
            <v>-1482.1737969999999</v>
          </cell>
        </row>
        <row r="58">
          <cell r="A58">
            <v>100</v>
          </cell>
          <cell r="B58">
            <v>2211</v>
          </cell>
          <cell r="C58">
            <v>0</v>
          </cell>
          <cell r="D58">
            <v>648.30631200000005</v>
          </cell>
        </row>
        <row r="59">
          <cell r="A59">
            <v>100</v>
          </cell>
          <cell r="B59">
            <v>2212</v>
          </cell>
          <cell r="C59">
            <v>0</v>
          </cell>
          <cell r="D59">
            <v>17.304829999999999</v>
          </cell>
        </row>
        <row r="60">
          <cell r="A60">
            <v>100</v>
          </cell>
          <cell r="B60">
            <v>2213</v>
          </cell>
          <cell r="C60">
            <v>0</v>
          </cell>
          <cell r="D60">
            <v>29.41094</v>
          </cell>
        </row>
        <row r="61">
          <cell r="A61">
            <v>100</v>
          </cell>
          <cell r="B61">
            <v>2214</v>
          </cell>
          <cell r="C61">
            <v>0</v>
          </cell>
          <cell r="D61">
            <v>139.36612500000001</v>
          </cell>
        </row>
        <row r="62">
          <cell r="A62">
            <v>100</v>
          </cell>
          <cell r="B62">
            <v>2215</v>
          </cell>
          <cell r="C62">
            <v>0</v>
          </cell>
          <cell r="D62">
            <v>223.667484</v>
          </cell>
        </row>
        <row r="63">
          <cell r="A63">
            <v>100</v>
          </cell>
          <cell r="B63">
            <v>2216</v>
          </cell>
          <cell r="C63">
            <v>0</v>
          </cell>
          <cell r="D63">
            <v>225.52901499999999</v>
          </cell>
        </row>
        <row r="64">
          <cell r="A64">
            <v>100</v>
          </cell>
          <cell r="B64">
            <v>2217</v>
          </cell>
          <cell r="C64">
            <v>0</v>
          </cell>
          <cell r="D64">
            <v>117.905883</v>
          </cell>
        </row>
        <row r="65">
          <cell r="A65">
            <v>100</v>
          </cell>
          <cell r="B65">
            <v>2218</v>
          </cell>
          <cell r="C65">
            <v>0</v>
          </cell>
          <cell r="D65">
            <v>101.384793</v>
          </cell>
        </row>
        <row r="66">
          <cell r="A66">
            <v>100</v>
          </cell>
          <cell r="B66">
            <v>2219</v>
          </cell>
          <cell r="C66">
            <v>0</v>
          </cell>
          <cell r="D66">
            <v>-1860.5535689999999</v>
          </cell>
        </row>
        <row r="67">
          <cell r="A67">
            <v>100</v>
          </cell>
          <cell r="B67">
            <v>2238</v>
          </cell>
          <cell r="C67">
            <v>7</v>
          </cell>
          <cell r="D67">
            <v>-1.75</v>
          </cell>
        </row>
        <row r="68">
          <cell r="A68">
            <v>100</v>
          </cell>
          <cell r="B68">
            <v>2238</v>
          </cell>
          <cell r="C68">
            <v>8</v>
          </cell>
          <cell r="D68">
            <v>0.68161799999999995</v>
          </cell>
        </row>
        <row r="69">
          <cell r="A69">
            <v>100</v>
          </cell>
          <cell r="B69">
            <v>2256</v>
          </cell>
          <cell r="C69">
            <v>0</v>
          </cell>
          <cell r="D69">
            <v>-0.69534099999999999</v>
          </cell>
        </row>
        <row r="70">
          <cell r="A70">
            <v>100</v>
          </cell>
          <cell r="B70">
            <v>2259</v>
          </cell>
          <cell r="C70">
            <v>0</v>
          </cell>
          <cell r="D70">
            <v>-1309.1360159999999</v>
          </cell>
        </row>
        <row r="71">
          <cell r="A71">
            <v>100</v>
          </cell>
          <cell r="B71">
            <v>2271</v>
          </cell>
          <cell r="C71">
            <v>0</v>
          </cell>
          <cell r="D71">
            <v>-3.2000000000000002E-3</v>
          </cell>
        </row>
        <row r="72">
          <cell r="A72">
            <v>100</v>
          </cell>
          <cell r="B72">
            <v>2275</v>
          </cell>
          <cell r="C72">
            <v>0</v>
          </cell>
          <cell r="D72">
            <v>4233.2673960000002</v>
          </cell>
        </row>
        <row r="73">
          <cell r="A73">
            <v>100</v>
          </cell>
          <cell r="B73">
            <v>2275</v>
          </cell>
          <cell r="C73">
            <v>8</v>
          </cell>
          <cell r="D73">
            <v>0</v>
          </cell>
        </row>
        <row r="74">
          <cell r="A74">
            <v>100</v>
          </cell>
          <cell r="B74">
            <v>2276</v>
          </cell>
          <cell r="C74">
            <v>0</v>
          </cell>
          <cell r="D74">
            <v>3817.3344029999998</v>
          </cell>
        </row>
        <row r="75">
          <cell r="A75">
            <v>100</v>
          </cell>
          <cell r="B75">
            <v>2278</v>
          </cell>
          <cell r="C75">
            <v>0</v>
          </cell>
          <cell r="D75">
            <v>79.304074999999997</v>
          </cell>
        </row>
        <row r="76">
          <cell r="A76">
            <v>100</v>
          </cell>
          <cell r="B76">
            <v>2279</v>
          </cell>
          <cell r="C76">
            <v>0</v>
          </cell>
          <cell r="D76">
            <v>69.398380000000003</v>
          </cell>
        </row>
        <row r="77">
          <cell r="A77">
            <v>100</v>
          </cell>
          <cell r="B77">
            <v>2616</v>
          </cell>
          <cell r="C77">
            <v>8</v>
          </cell>
          <cell r="D77">
            <v>1.2894490000000001</v>
          </cell>
        </row>
        <row r="78">
          <cell r="A78">
            <v>100</v>
          </cell>
          <cell r="B78">
            <v>2618</v>
          </cell>
          <cell r="C78">
            <v>8</v>
          </cell>
          <cell r="D78">
            <v>3.2073339999999999</v>
          </cell>
        </row>
        <row r="79">
          <cell r="A79">
            <v>100</v>
          </cell>
          <cell r="B79">
            <v>3919</v>
          </cell>
          <cell r="C79">
            <v>0</v>
          </cell>
          <cell r="D79">
            <v>127.398144</v>
          </cell>
        </row>
        <row r="80">
          <cell r="A80">
            <v>100</v>
          </cell>
          <cell r="B80">
            <v>12111</v>
          </cell>
          <cell r="C80">
            <v>0</v>
          </cell>
          <cell r="D80">
            <v>-5.219284</v>
          </cell>
        </row>
        <row r="81">
          <cell r="A81">
            <v>100</v>
          </cell>
          <cell r="B81">
            <v>12118</v>
          </cell>
          <cell r="C81">
            <v>0</v>
          </cell>
          <cell r="D81">
            <v>24.252884000000002</v>
          </cell>
        </row>
        <row r="82">
          <cell r="A82">
            <v>100</v>
          </cell>
          <cell r="B82">
            <v>12161</v>
          </cell>
          <cell r="C82">
            <v>0</v>
          </cell>
          <cell r="D82">
            <v>0.195412</v>
          </cell>
        </row>
        <row r="83">
          <cell r="A83">
            <v>100</v>
          </cell>
          <cell r="B83">
            <v>12164</v>
          </cell>
          <cell r="C83">
            <v>0</v>
          </cell>
          <cell r="D83">
            <v>182.588131</v>
          </cell>
        </row>
        <row r="84">
          <cell r="A84">
            <v>100</v>
          </cell>
          <cell r="B84">
            <v>12169</v>
          </cell>
          <cell r="C84">
            <v>0</v>
          </cell>
          <cell r="D84">
            <v>0.76877399999999996</v>
          </cell>
        </row>
        <row r="85">
          <cell r="A85">
            <v>100</v>
          </cell>
          <cell r="B85">
            <v>12176</v>
          </cell>
          <cell r="C85">
            <v>0</v>
          </cell>
          <cell r="D85">
            <v>-175.12715900000001</v>
          </cell>
        </row>
        <row r="86">
          <cell r="A86">
            <v>100</v>
          </cell>
          <cell r="B86">
            <v>12177</v>
          </cell>
          <cell r="C86">
            <v>0</v>
          </cell>
          <cell r="D86">
            <v>-315.89475299999998</v>
          </cell>
        </row>
        <row r="87">
          <cell r="A87">
            <v>100</v>
          </cell>
          <cell r="B87">
            <v>12178</v>
          </cell>
          <cell r="C87">
            <v>0</v>
          </cell>
          <cell r="D87">
            <v>145.871092</v>
          </cell>
        </row>
        <row r="88">
          <cell r="A88">
            <v>100</v>
          </cell>
          <cell r="B88">
            <v>12191</v>
          </cell>
          <cell r="C88">
            <v>0</v>
          </cell>
          <cell r="D88">
            <v>91.602598</v>
          </cell>
        </row>
        <row r="89">
          <cell r="A89">
            <v>100</v>
          </cell>
          <cell r="B89">
            <v>12560</v>
          </cell>
          <cell r="C89">
            <v>0</v>
          </cell>
          <cell r="D89">
            <v>-27.432794999999999</v>
          </cell>
        </row>
        <row r="90">
          <cell r="A90">
            <v>100</v>
          </cell>
          <cell r="B90">
            <v>12751</v>
          </cell>
          <cell r="C90">
            <v>0</v>
          </cell>
          <cell r="D90">
            <v>0.74369200000000002</v>
          </cell>
        </row>
        <row r="91">
          <cell r="A91">
            <v>100</v>
          </cell>
          <cell r="B91">
            <v>12754</v>
          </cell>
          <cell r="C91">
            <v>0</v>
          </cell>
          <cell r="D91">
            <v>-191.53062</v>
          </cell>
        </row>
        <row r="92">
          <cell r="A92">
            <v>100</v>
          </cell>
          <cell r="B92">
            <v>12756</v>
          </cell>
          <cell r="C92">
            <v>0</v>
          </cell>
          <cell r="D92">
            <v>-22.051822000000001</v>
          </cell>
        </row>
        <row r="93">
          <cell r="A93">
            <v>100</v>
          </cell>
          <cell r="B93">
            <v>12798</v>
          </cell>
          <cell r="C93">
            <v>0</v>
          </cell>
          <cell r="D93">
            <v>-137.98487399999999</v>
          </cell>
        </row>
        <row r="94">
          <cell r="A94">
            <v>100</v>
          </cell>
          <cell r="B94">
            <v>12799</v>
          </cell>
          <cell r="C94">
            <v>0</v>
          </cell>
          <cell r="D94">
            <v>-1.269252</v>
          </cell>
        </row>
        <row r="95">
          <cell r="A95">
            <v>100</v>
          </cell>
          <cell r="B95">
            <v>14289</v>
          </cell>
          <cell r="C95">
            <v>0</v>
          </cell>
          <cell r="D95">
            <v>8.8082999999999995E-2</v>
          </cell>
        </row>
        <row r="96">
          <cell r="A96">
            <v>100</v>
          </cell>
          <cell r="B96">
            <v>14298</v>
          </cell>
          <cell r="C96">
            <v>0</v>
          </cell>
          <cell r="D96">
            <v>1.9999999999999999E-6</v>
          </cell>
        </row>
        <row r="97">
          <cell r="A97">
            <v>100</v>
          </cell>
          <cell r="B97">
            <v>14299</v>
          </cell>
          <cell r="C97">
            <v>0</v>
          </cell>
          <cell r="D97">
            <v>-0.15105499999999999</v>
          </cell>
        </row>
        <row r="98">
          <cell r="A98">
            <v>100</v>
          </cell>
          <cell r="B98">
            <v>16142</v>
          </cell>
          <cell r="C98">
            <v>7</v>
          </cell>
          <cell r="D98">
            <v>36.572405000000003</v>
          </cell>
        </row>
        <row r="99">
          <cell r="A99">
            <v>100</v>
          </cell>
          <cell r="B99">
            <v>16142</v>
          </cell>
          <cell r="C99">
            <v>8</v>
          </cell>
          <cell r="D99">
            <v>-1.0540579999999999</v>
          </cell>
        </row>
        <row r="100">
          <cell r="A100">
            <v>100</v>
          </cell>
          <cell r="B100">
            <v>16161</v>
          </cell>
          <cell r="C100">
            <v>6</v>
          </cell>
          <cell r="D100">
            <v>-1.8030820000000001</v>
          </cell>
        </row>
        <row r="101">
          <cell r="A101">
            <v>100</v>
          </cell>
          <cell r="B101">
            <v>16161</v>
          </cell>
          <cell r="C101">
            <v>7</v>
          </cell>
          <cell r="D101">
            <v>1.2656579999999999</v>
          </cell>
        </row>
        <row r="102">
          <cell r="A102">
            <v>100</v>
          </cell>
          <cell r="B102">
            <v>16161</v>
          </cell>
          <cell r="C102">
            <v>8</v>
          </cell>
          <cell r="D102">
            <v>1.3122999999999999E-2</v>
          </cell>
        </row>
        <row r="103">
          <cell r="A103">
            <v>100</v>
          </cell>
          <cell r="B103">
            <v>22001</v>
          </cell>
          <cell r="C103">
            <v>0</v>
          </cell>
          <cell r="D103">
            <v>-91.491443000000004</v>
          </cell>
        </row>
        <row r="104">
          <cell r="A104">
            <v>100</v>
          </cell>
          <cell r="B104">
            <v>22002</v>
          </cell>
          <cell r="C104">
            <v>0</v>
          </cell>
          <cell r="D104">
            <v>0</v>
          </cell>
        </row>
        <row r="105">
          <cell r="A105">
            <v>100</v>
          </cell>
          <cell r="B105">
            <v>22003</v>
          </cell>
          <cell r="C105">
            <v>0</v>
          </cell>
          <cell r="D105">
            <v>23.450672000000001</v>
          </cell>
        </row>
        <row r="106">
          <cell r="A106">
            <v>100</v>
          </cell>
          <cell r="B106">
            <v>22004</v>
          </cell>
          <cell r="C106">
            <v>0</v>
          </cell>
          <cell r="D106">
            <v>169.235544</v>
          </cell>
        </row>
        <row r="107">
          <cell r="A107">
            <v>100</v>
          </cell>
          <cell r="B107">
            <v>22005</v>
          </cell>
          <cell r="C107">
            <v>0</v>
          </cell>
          <cell r="D107">
            <v>43.850942000000003</v>
          </cell>
        </row>
        <row r="108">
          <cell r="A108">
            <v>100</v>
          </cell>
          <cell r="B108">
            <v>22007</v>
          </cell>
          <cell r="C108">
            <v>0</v>
          </cell>
          <cell r="D108">
            <v>-1.1016300000000001</v>
          </cell>
        </row>
        <row r="109">
          <cell r="A109">
            <v>100</v>
          </cell>
          <cell r="B109">
            <v>22008</v>
          </cell>
          <cell r="C109">
            <v>0</v>
          </cell>
          <cell r="D109">
            <v>-9.7780000000000002E-3</v>
          </cell>
        </row>
        <row r="110">
          <cell r="A110">
            <v>100</v>
          </cell>
          <cell r="B110">
            <v>22011</v>
          </cell>
          <cell r="C110">
            <v>0</v>
          </cell>
          <cell r="D110">
            <v>-1.5720860000000001</v>
          </cell>
        </row>
        <row r="111">
          <cell r="A111">
            <v>100</v>
          </cell>
          <cell r="B111">
            <v>22013</v>
          </cell>
          <cell r="C111">
            <v>0</v>
          </cell>
          <cell r="D111">
            <v>-6.5565999999999999E-2</v>
          </cell>
        </row>
        <row r="112">
          <cell r="A112">
            <v>100</v>
          </cell>
          <cell r="B112">
            <v>22016</v>
          </cell>
          <cell r="C112">
            <v>0</v>
          </cell>
          <cell r="D112">
            <v>0.27713300000000002</v>
          </cell>
        </row>
        <row r="113">
          <cell r="A113">
            <v>100</v>
          </cell>
          <cell r="B113">
            <v>22019</v>
          </cell>
          <cell r="C113">
            <v>0</v>
          </cell>
          <cell r="D113">
            <v>-89.049605999999997</v>
          </cell>
        </row>
        <row r="114">
          <cell r="A114">
            <v>100</v>
          </cell>
          <cell r="B114">
            <v>22162</v>
          </cell>
          <cell r="C114">
            <v>0</v>
          </cell>
          <cell r="D114">
            <v>0.25697999999999999</v>
          </cell>
        </row>
        <row r="115">
          <cell r="A115">
            <v>100</v>
          </cell>
          <cell r="B115">
            <v>22165</v>
          </cell>
          <cell r="C115">
            <v>0</v>
          </cell>
          <cell r="D115">
            <v>6.4621680000000001</v>
          </cell>
        </row>
        <row r="116">
          <cell r="A116">
            <v>100</v>
          </cell>
          <cell r="B116">
            <v>22191</v>
          </cell>
          <cell r="C116">
            <v>0</v>
          </cell>
          <cell r="D116">
            <v>-91.552949999999996</v>
          </cell>
        </row>
        <row r="117">
          <cell r="A117">
            <v>100</v>
          </cell>
          <cell r="B117">
            <v>22751</v>
          </cell>
          <cell r="C117">
            <v>0</v>
          </cell>
          <cell r="D117">
            <v>2719.6283400000002</v>
          </cell>
        </row>
        <row r="118">
          <cell r="A118">
            <v>100</v>
          </cell>
          <cell r="B118">
            <v>22753</v>
          </cell>
          <cell r="C118">
            <v>0</v>
          </cell>
          <cell r="D118">
            <v>22.165965</v>
          </cell>
        </row>
        <row r="119">
          <cell r="A119">
            <v>100</v>
          </cell>
          <cell r="B119">
            <v>22758</v>
          </cell>
          <cell r="C119">
            <v>0</v>
          </cell>
          <cell r="D119">
            <v>-7821.1306299999997</v>
          </cell>
        </row>
        <row r="120">
          <cell r="A120">
            <v>100</v>
          </cell>
          <cell r="B120">
            <v>22761</v>
          </cell>
          <cell r="C120">
            <v>0</v>
          </cell>
          <cell r="D120">
            <v>0.90246899999999997</v>
          </cell>
        </row>
        <row r="121">
          <cell r="A121">
            <v>100</v>
          </cell>
          <cell r="B121">
            <v>22763</v>
          </cell>
          <cell r="C121">
            <v>0</v>
          </cell>
          <cell r="D121">
            <v>-435.46563600000002</v>
          </cell>
        </row>
        <row r="122">
          <cell r="A122">
            <v>100</v>
          </cell>
          <cell r="B122">
            <v>22799</v>
          </cell>
          <cell r="C122">
            <v>0</v>
          </cell>
          <cell r="D122">
            <v>-8.3765000000000006E-2</v>
          </cell>
        </row>
        <row r="123">
          <cell r="A123">
            <v>100</v>
          </cell>
          <cell r="B123">
            <v>26122</v>
          </cell>
          <cell r="C123">
            <v>8</v>
          </cell>
          <cell r="D123">
            <v>5.0567000000000001E-2</v>
          </cell>
        </row>
        <row r="124">
          <cell r="A124">
            <v>100</v>
          </cell>
          <cell r="B124">
            <v>26249</v>
          </cell>
          <cell r="C124">
            <v>8</v>
          </cell>
          <cell r="D124">
            <v>0.19205700000000001</v>
          </cell>
        </row>
        <row r="125">
          <cell r="A125">
            <v>100</v>
          </cell>
          <cell r="B125">
            <v>121761</v>
          </cell>
          <cell r="C125">
            <v>0</v>
          </cell>
          <cell r="D125">
            <v>-3.0694789999999998</v>
          </cell>
        </row>
        <row r="126">
          <cell r="A126">
            <v>100</v>
          </cell>
          <cell r="B126">
            <v>1110</v>
          </cell>
          <cell r="C126">
            <v>0</v>
          </cell>
          <cell r="D126">
            <v>-0.21826500000000004</v>
          </cell>
        </row>
        <row r="127">
          <cell r="A127">
            <v>100</v>
          </cell>
          <cell r="B127">
            <v>1120</v>
          </cell>
          <cell r="C127">
            <v>0</v>
          </cell>
          <cell r="D127">
            <v>-57225.011241000015</v>
          </cell>
        </row>
        <row r="128">
          <cell r="A128">
            <v>100</v>
          </cell>
          <cell r="B128">
            <v>1147</v>
          </cell>
          <cell r="C128">
            <v>0</v>
          </cell>
          <cell r="D128">
            <v>-11.166017999999999</v>
          </cell>
        </row>
        <row r="129">
          <cell r="A129">
            <v>100</v>
          </cell>
          <cell r="B129">
            <v>1170</v>
          </cell>
          <cell r="C129">
            <v>0</v>
          </cell>
          <cell r="D129">
            <v>0</v>
          </cell>
        </row>
        <row r="130">
          <cell r="A130">
            <v>100</v>
          </cell>
          <cell r="B130">
            <v>1177</v>
          </cell>
          <cell r="C130">
            <v>0</v>
          </cell>
          <cell r="D130">
            <v>-3.0375701953744283E-13</v>
          </cell>
        </row>
        <row r="131">
          <cell r="A131">
            <v>100</v>
          </cell>
          <cell r="B131">
            <v>1179</v>
          </cell>
          <cell r="C131">
            <v>0</v>
          </cell>
          <cell r="D131">
            <v>0</v>
          </cell>
        </row>
        <row r="132">
          <cell r="A132">
            <v>100</v>
          </cell>
          <cell r="B132">
            <v>1181</v>
          </cell>
          <cell r="C132">
            <v>0</v>
          </cell>
          <cell r="D132">
            <v>-52.096527999999999</v>
          </cell>
        </row>
        <row r="133">
          <cell r="A133">
            <v>100</v>
          </cell>
          <cell r="B133">
            <v>1182</v>
          </cell>
          <cell r="C133">
            <v>0</v>
          </cell>
          <cell r="D133">
            <v>727.98837800000001</v>
          </cell>
        </row>
        <row r="134">
          <cell r="A134">
            <v>100</v>
          </cell>
          <cell r="B134">
            <v>1183</v>
          </cell>
          <cell r="C134">
            <v>0</v>
          </cell>
          <cell r="D134">
            <v>56156.759245000001</v>
          </cell>
        </row>
        <row r="135">
          <cell r="A135">
            <v>100</v>
          </cell>
          <cell r="B135">
            <v>1184</v>
          </cell>
          <cell r="C135">
            <v>0</v>
          </cell>
          <cell r="D135">
            <v>-955.24339999999995</v>
          </cell>
        </row>
        <row r="136">
          <cell r="A136">
            <v>100</v>
          </cell>
          <cell r="B136">
            <v>1187</v>
          </cell>
          <cell r="C136">
            <v>0</v>
          </cell>
          <cell r="D136">
            <v>10.912237000000005</v>
          </cell>
        </row>
        <row r="137">
          <cell r="A137">
            <v>100</v>
          </cell>
          <cell r="B137">
            <v>1189</v>
          </cell>
          <cell r="C137">
            <v>0</v>
          </cell>
          <cell r="D137">
            <v>-0.41168800000000005</v>
          </cell>
        </row>
        <row r="138">
          <cell r="A138">
            <v>100</v>
          </cell>
          <cell r="B138">
            <v>1211</v>
          </cell>
          <cell r="C138">
            <v>0</v>
          </cell>
          <cell r="D138">
            <v>-10.309421999999998</v>
          </cell>
        </row>
        <row r="139">
          <cell r="A139">
            <v>100</v>
          </cell>
          <cell r="B139">
            <v>1213</v>
          </cell>
          <cell r="C139">
            <v>0</v>
          </cell>
          <cell r="D139">
            <v>-1.0948069999995065</v>
          </cell>
        </row>
        <row r="140">
          <cell r="A140">
            <v>100</v>
          </cell>
          <cell r="B140">
            <v>1214</v>
          </cell>
          <cell r="C140">
            <v>0</v>
          </cell>
          <cell r="D140">
            <v>68.833334999999991</v>
          </cell>
        </row>
        <row r="141">
          <cell r="A141">
            <v>100</v>
          </cell>
          <cell r="B141">
            <v>1215</v>
          </cell>
          <cell r="C141">
            <v>0</v>
          </cell>
          <cell r="D141">
            <v>-8289.997327000001</v>
          </cell>
        </row>
        <row r="142">
          <cell r="A142">
            <v>100</v>
          </cell>
          <cell r="B142">
            <v>1216</v>
          </cell>
          <cell r="C142">
            <v>0</v>
          </cell>
          <cell r="D142">
            <v>-97.270820000000001</v>
          </cell>
        </row>
        <row r="143">
          <cell r="A143">
            <v>100</v>
          </cell>
          <cell r="B143">
            <v>1217</v>
          </cell>
          <cell r="C143">
            <v>0</v>
          </cell>
          <cell r="D143">
            <v>6.6344690000000002</v>
          </cell>
        </row>
        <row r="144">
          <cell r="A144">
            <v>100</v>
          </cell>
          <cell r="B144">
            <v>1219</v>
          </cell>
          <cell r="C144">
            <v>0</v>
          </cell>
          <cell r="D144">
            <v>-68</v>
          </cell>
        </row>
        <row r="145">
          <cell r="A145">
            <v>100</v>
          </cell>
          <cell r="B145">
            <v>1229</v>
          </cell>
          <cell r="C145">
            <v>0</v>
          </cell>
          <cell r="D145">
            <v>2626.408347</v>
          </cell>
        </row>
        <row r="146">
          <cell r="A146">
            <v>100</v>
          </cell>
          <cell r="B146">
            <v>1255</v>
          </cell>
          <cell r="C146">
            <v>7</v>
          </cell>
          <cell r="D146">
            <v>297.87889999999999</v>
          </cell>
        </row>
        <row r="147">
          <cell r="A147">
            <v>100</v>
          </cell>
          <cell r="B147">
            <v>1255</v>
          </cell>
          <cell r="C147">
            <v>8</v>
          </cell>
          <cell r="D147">
            <v>-100</v>
          </cell>
        </row>
        <row r="148">
          <cell r="A148">
            <v>100</v>
          </cell>
          <cell r="B148">
            <v>1279</v>
          </cell>
          <cell r="C148">
            <v>0</v>
          </cell>
          <cell r="D148">
            <v>0</v>
          </cell>
        </row>
        <row r="149">
          <cell r="A149">
            <v>100</v>
          </cell>
          <cell r="B149">
            <v>1622</v>
          </cell>
          <cell r="C149">
            <v>8</v>
          </cell>
          <cell r="D149">
            <v>-136.186667</v>
          </cell>
        </row>
        <row r="150">
          <cell r="A150">
            <v>100</v>
          </cell>
          <cell r="B150">
            <v>1622</v>
          </cell>
          <cell r="C150">
            <v>9</v>
          </cell>
          <cell r="D150">
            <v>-15.854044000000002</v>
          </cell>
        </row>
        <row r="151">
          <cell r="A151">
            <v>100</v>
          </cell>
          <cell r="B151">
            <v>1623</v>
          </cell>
          <cell r="C151">
            <v>9</v>
          </cell>
          <cell r="D151">
            <v>-86.986000000000004</v>
          </cell>
        </row>
        <row r="152">
          <cell r="A152">
            <v>100</v>
          </cell>
          <cell r="B152">
            <v>1625</v>
          </cell>
          <cell r="C152">
            <v>9</v>
          </cell>
          <cell r="D152">
            <v>-7384.3651260000006</v>
          </cell>
        </row>
        <row r="153">
          <cell r="A153">
            <v>100</v>
          </cell>
          <cell r="B153">
            <v>1711</v>
          </cell>
          <cell r="C153">
            <v>7</v>
          </cell>
          <cell r="D153">
            <v>5574.6769789999998</v>
          </cell>
        </row>
        <row r="154">
          <cell r="A154">
            <v>100</v>
          </cell>
          <cell r="B154">
            <v>1735</v>
          </cell>
          <cell r="C154">
            <v>7</v>
          </cell>
          <cell r="D154">
            <v>251.53455500000001</v>
          </cell>
        </row>
        <row r="155">
          <cell r="A155">
            <v>100</v>
          </cell>
          <cell r="B155">
            <v>2212</v>
          </cell>
          <cell r="C155">
            <v>0</v>
          </cell>
          <cell r="D155">
            <v>-14.595368000000063</v>
          </cell>
        </row>
        <row r="156">
          <cell r="A156">
            <v>100</v>
          </cell>
          <cell r="B156">
            <v>2213</v>
          </cell>
          <cell r="C156">
            <v>0</v>
          </cell>
          <cell r="D156">
            <v>100.34533800000001</v>
          </cell>
        </row>
        <row r="157">
          <cell r="A157">
            <v>100</v>
          </cell>
          <cell r="B157">
            <v>2215</v>
          </cell>
          <cell r="C157">
            <v>0</v>
          </cell>
          <cell r="D157">
            <v>8.7475079999999998</v>
          </cell>
        </row>
        <row r="158">
          <cell r="A158">
            <v>100</v>
          </cell>
          <cell r="B158">
            <v>2216</v>
          </cell>
          <cell r="C158">
            <v>0</v>
          </cell>
          <cell r="D158">
            <v>-17.747478999999995</v>
          </cell>
        </row>
        <row r="159">
          <cell r="A159">
            <v>100</v>
          </cell>
          <cell r="B159">
            <v>2218</v>
          </cell>
          <cell r="C159">
            <v>0</v>
          </cell>
          <cell r="D159">
            <v>-106.140851</v>
          </cell>
        </row>
        <row r="160">
          <cell r="A160">
            <v>100</v>
          </cell>
          <cell r="B160">
            <v>2275</v>
          </cell>
          <cell r="C160">
            <v>0</v>
          </cell>
          <cell r="D160">
            <v>74.712861000000274</v>
          </cell>
        </row>
        <row r="161">
          <cell r="A161">
            <v>100</v>
          </cell>
          <cell r="B161">
            <v>2634</v>
          </cell>
          <cell r="C161">
            <v>9</v>
          </cell>
          <cell r="D161">
            <v>-268.52</v>
          </cell>
        </row>
        <row r="162">
          <cell r="A162">
            <v>100</v>
          </cell>
          <cell r="B162">
            <v>2635</v>
          </cell>
          <cell r="C162">
            <v>9</v>
          </cell>
          <cell r="D162">
            <v>2132</v>
          </cell>
        </row>
        <row r="163">
          <cell r="A163">
            <v>100</v>
          </cell>
          <cell r="B163">
            <v>2636</v>
          </cell>
          <cell r="C163">
            <v>9</v>
          </cell>
          <cell r="D163">
            <v>428.16</v>
          </cell>
        </row>
        <row r="164">
          <cell r="A164">
            <v>100</v>
          </cell>
          <cell r="B164">
            <v>3136</v>
          </cell>
          <cell r="C164">
            <v>0</v>
          </cell>
          <cell r="D164">
            <v>29413.911208999998</v>
          </cell>
        </row>
        <row r="165">
          <cell r="A165">
            <v>100</v>
          </cell>
          <cell r="B165">
            <v>3226</v>
          </cell>
          <cell r="C165">
            <v>0</v>
          </cell>
          <cell r="D165">
            <v>-39663.154276000001</v>
          </cell>
        </row>
        <row r="166">
          <cell r="A166">
            <v>100</v>
          </cell>
          <cell r="B166">
            <v>12111</v>
          </cell>
          <cell r="C166">
            <v>0</v>
          </cell>
          <cell r="D166">
            <v>-59.736655000001321</v>
          </cell>
        </row>
        <row r="167">
          <cell r="A167">
            <v>100</v>
          </cell>
          <cell r="B167">
            <v>12122</v>
          </cell>
          <cell r="C167">
            <v>0</v>
          </cell>
          <cell r="D167">
            <v>16.930771</v>
          </cell>
        </row>
        <row r="168">
          <cell r="A168">
            <v>100</v>
          </cell>
          <cell r="B168">
            <v>12123</v>
          </cell>
          <cell r="C168">
            <v>0</v>
          </cell>
          <cell r="D168">
            <v>-42.599700000000006</v>
          </cell>
        </row>
        <row r="169">
          <cell r="A169">
            <v>100</v>
          </cell>
          <cell r="B169">
            <v>12152</v>
          </cell>
          <cell r="C169">
            <v>0</v>
          </cell>
          <cell r="D169">
            <v>92153.952520999999</v>
          </cell>
        </row>
        <row r="170">
          <cell r="A170">
            <v>100</v>
          </cell>
          <cell r="B170">
            <v>12161</v>
          </cell>
          <cell r="C170">
            <v>0</v>
          </cell>
          <cell r="D170">
            <v>7.2000269999999968</v>
          </cell>
        </row>
        <row r="171">
          <cell r="A171">
            <v>100</v>
          </cell>
          <cell r="B171">
            <v>12166</v>
          </cell>
          <cell r="C171">
            <v>0</v>
          </cell>
          <cell r="D171">
            <v>1.3372999999999999E-2</v>
          </cell>
        </row>
        <row r="172">
          <cell r="A172">
            <v>100</v>
          </cell>
          <cell r="B172">
            <v>12168</v>
          </cell>
          <cell r="C172">
            <v>0</v>
          </cell>
          <cell r="D172">
            <v>-0.27347100000000002</v>
          </cell>
        </row>
        <row r="173">
          <cell r="A173">
            <v>100</v>
          </cell>
          <cell r="B173">
            <v>12171</v>
          </cell>
          <cell r="C173">
            <v>0</v>
          </cell>
          <cell r="D173">
            <v>-9.5957030000000021</v>
          </cell>
        </row>
        <row r="174">
          <cell r="A174">
            <v>100</v>
          </cell>
          <cell r="B174">
            <v>12560</v>
          </cell>
          <cell r="C174">
            <v>0</v>
          </cell>
          <cell r="D174">
            <v>917.37488000000008</v>
          </cell>
        </row>
        <row r="175">
          <cell r="A175">
            <v>100</v>
          </cell>
          <cell r="B175">
            <v>12565</v>
          </cell>
          <cell r="C175">
            <v>0</v>
          </cell>
          <cell r="D175">
            <v>-11.745123</v>
          </cell>
        </row>
        <row r="176">
          <cell r="A176">
            <v>100</v>
          </cell>
          <cell r="B176">
            <v>12591</v>
          </cell>
          <cell r="C176">
            <v>0</v>
          </cell>
          <cell r="D176">
            <v>-0.69323399999999991</v>
          </cell>
        </row>
        <row r="177">
          <cell r="A177">
            <v>100</v>
          </cell>
          <cell r="B177">
            <v>13101</v>
          </cell>
          <cell r="C177">
            <v>0</v>
          </cell>
          <cell r="D177">
            <v>70842.801283000008</v>
          </cell>
        </row>
        <row r="178">
          <cell r="A178">
            <v>100</v>
          </cell>
          <cell r="B178">
            <v>13102</v>
          </cell>
          <cell r="C178">
            <v>0</v>
          </cell>
          <cell r="D178">
            <v>60754.498757000001</v>
          </cell>
        </row>
        <row r="179">
          <cell r="A179">
            <v>100</v>
          </cell>
          <cell r="B179">
            <v>13103</v>
          </cell>
          <cell r="C179">
            <v>0</v>
          </cell>
          <cell r="D179">
            <v>122955.9705309999</v>
          </cell>
        </row>
        <row r="180">
          <cell r="A180">
            <v>100</v>
          </cell>
          <cell r="B180">
            <v>13104</v>
          </cell>
          <cell r="C180">
            <v>0</v>
          </cell>
          <cell r="D180">
            <v>70774.582028000004</v>
          </cell>
        </row>
        <row r="181">
          <cell r="A181">
            <v>100</v>
          </cell>
          <cell r="B181">
            <v>13107</v>
          </cell>
          <cell r="C181">
            <v>0</v>
          </cell>
          <cell r="D181">
            <v>-1167.0032900000001</v>
          </cell>
        </row>
        <row r="182">
          <cell r="A182">
            <v>100</v>
          </cell>
          <cell r="B182">
            <v>13108</v>
          </cell>
          <cell r="C182">
            <v>0</v>
          </cell>
          <cell r="D182">
            <v>-804.57593599999996</v>
          </cell>
        </row>
        <row r="183">
          <cell r="A183">
            <v>100</v>
          </cell>
          <cell r="B183">
            <v>13109</v>
          </cell>
          <cell r="C183">
            <v>0</v>
          </cell>
          <cell r="D183">
            <v>-277327.61700199998</v>
          </cell>
        </row>
        <row r="184">
          <cell r="A184">
            <v>100</v>
          </cell>
          <cell r="B184">
            <v>16122</v>
          </cell>
          <cell r="C184">
            <v>7</v>
          </cell>
          <cell r="D184">
            <v>10000</v>
          </cell>
        </row>
        <row r="185">
          <cell r="A185">
            <v>100</v>
          </cell>
          <cell r="B185">
            <v>16122</v>
          </cell>
          <cell r="C185">
            <v>8</v>
          </cell>
          <cell r="D185">
            <v>-2977.6073510000001</v>
          </cell>
        </row>
        <row r="186">
          <cell r="A186">
            <v>100</v>
          </cell>
          <cell r="B186">
            <v>16122</v>
          </cell>
          <cell r="C186">
            <v>9</v>
          </cell>
          <cell r="D186">
            <v>1352.2585829999998</v>
          </cell>
        </row>
        <row r="187">
          <cell r="A187">
            <v>100</v>
          </cell>
          <cell r="B187">
            <v>16126</v>
          </cell>
          <cell r="C187">
            <v>8</v>
          </cell>
          <cell r="D187">
            <v>-31.783743000000001</v>
          </cell>
        </row>
        <row r="188">
          <cell r="A188">
            <v>100</v>
          </cell>
          <cell r="B188">
            <v>16126</v>
          </cell>
          <cell r="C188">
            <v>9</v>
          </cell>
          <cell r="D188">
            <v>26.074425999999999</v>
          </cell>
        </row>
        <row r="189">
          <cell r="A189">
            <v>100</v>
          </cell>
          <cell r="B189">
            <v>16127</v>
          </cell>
          <cell r="C189">
            <v>8</v>
          </cell>
          <cell r="D189">
            <v>-0.953152</v>
          </cell>
        </row>
        <row r="190">
          <cell r="A190">
            <v>100</v>
          </cell>
          <cell r="B190">
            <v>16127</v>
          </cell>
          <cell r="C190">
            <v>9</v>
          </cell>
          <cell r="D190">
            <v>0.75505200000000006</v>
          </cell>
        </row>
        <row r="191">
          <cell r="A191">
            <v>100</v>
          </cell>
          <cell r="B191">
            <v>16132</v>
          </cell>
          <cell r="C191">
            <v>9</v>
          </cell>
          <cell r="D191">
            <v>6.6010849999999994</v>
          </cell>
        </row>
        <row r="192">
          <cell r="A192">
            <v>100</v>
          </cell>
          <cell r="B192">
            <v>16142</v>
          </cell>
          <cell r="C192">
            <v>8</v>
          </cell>
          <cell r="D192">
            <v>-36.085011000000002</v>
          </cell>
        </row>
        <row r="193">
          <cell r="A193">
            <v>100</v>
          </cell>
          <cell r="B193">
            <v>16142</v>
          </cell>
          <cell r="C193">
            <v>9</v>
          </cell>
          <cell r="D193">
            <v>3.7803630000000004</v>
          </cell>
        </row>
        <row r="194">
          <cell r="A194">
            <v>100</v>
          </cell>
          <cell r="B194">
            <v>16151</v>
          </cell>
          <cell r="C194">
            <v>7</v>
          </cell>
          <cell r="D194">
            <v>68</v>
          </cell>
        </row>
        <row r="195">
          <cell r="A195">
            <v>100</v>
          </cell>
          <cell r="B195">
            <v>16152</v>
          </cell>
          <cell r="C195">
            <v>8</v>
          </cell>
          <cell r="D195">
            <v>-13.121580999999999</v>
          </cell>
        </row>
        <row r="196">
          <cell r="A196">
            <v>100</v>
          </cell>
          <cell r="B196">
            <v>16152</v>
          </cell>
          <cell r="C196">
            <v>9</v>
          </cell>
          <cell r="D196">
            <v>3.8016959999999989</v>
          </cell>
        </row>
        <row r="197">
          <cell r="A197">
            <v>100</v>
          </cell>
          <cell r="B197">
            <v>16162</v>
          </cell>
          <cell r="C197">
            <v>8</v>
          </cell>
          <cell r="D197">
            <v>-1.626174</v>
          </cell>
        </row>
        <row r="198">
          <cell r="A198">
            <v>100</v>
          </cell>
          <cell r="B198">
            <v>16162</v>
          </cell>
          <cell r="C198">
            <v>9</v>
          </cell>
          <cell r="D198">
            <v>0.96610299999999982</v>
          </cell>
        </row>
        <row r="199">
          <cell r="A199">
            <v>100</v>
          </cell>
          <cell r="B199">
            <v>22003</v>
          </cell>
          <cell r="C199">
            <v>0</v>
          </cell>
          <cell r="D199">
            <v>1.3792E-2</v>
          </cell>
        </row>
        <row r="200">
          <cell r="A200">
            <v>100</v>
          </cell>
          <cell r="B200">
            <v>22011</v>
          </cell>
          <cell r="C200">
            <v>0</v>
          </cell>
          <cell r="D200">
            <v>-8.4103309999999993</v>
          </cell>
        </row>
        <row r="201">
          <cell r="A201">
            <v>100</v>
          </cell>
          <cell r="B201">
            <v>22016</v>
          </cell>
          <cell r="C201">
            <v>0</v>
          </cell>
          <cell r="D201">
            <v>172.594381</v>
          </cell>
        </row>
        <row r="202">
          <cell r="A202">
            <v>100</v>
          </cell>
          <cell r="B202">
            <v>22017</v>
          </cell>
          <cell r="C202">
            <v>0</v>
          </cell>
          <cell r="D202">
            <v>19.655329999999999</v>
          </cell>
        </row>
        <row r="203">
          <cell r="A203">
            <v>100</v>
          </cell>
          <cell r="B203">
            <v>22019</v>
          </cell>
          <cell r="C203">
            <v>0</v>
          </cell>
          <cell r="D203">
            <v>9.9449820000000013</v>
          </cell>
        </row>
        <row r="204">
          <cell r="A204">
            <v>100</v>
          </cell>
          <cell r="B204">
            <v>22151</v>
          </cell>
          <cell r="C204">
            <v>0</v>
          </cell>
          <cell r="D204">
            <v>-77.102753000000007</v>
          </cell>
        </row>
        <row r="205">
          <cell r="A205">
            <v>100</v>
          </cell>
          <cell r="B205">
            <v>22152</v>
          </cell>
          <cell r="C205">
            <v>0</v>
          </cell>
          <cell r="D205">
            <v>138.61498499999996</v>
          </cell>
        </row>
        <row r="206">
          <cell r="A206">
            <v>100</v>
          </cell>
          <cell r="B206">
            <v>22161</v>
          </cell>
          <cell r="C206">
            <v>0</v>
          </cell>
          <cell r="D206">
            <v>120.45240100000001</v>
          </cell>
        </row>
        <row r="207">
          <cell r="A207">
            <v>100</v>
          </cell>
          <cell r="B207">
            <v>22164</v>
          </cell>
          <cell r="C207">
            <v>0</v>
          </cell>
          <cell r="D207">
            <v>556.45664699999986</v>
          </cell>
        </row>
        <row r="208">
          <cell r="A208">
            <v>100</v>
          </cell>
          <cell r="B208">
            <v>22178</v>
          </cell>
          <cell r="C208">
            <v>0</v>
          </cell>
          <cell r="D208">
            <v>5.0738729999999999</v>
          </cell>
        </row>
        <row r="209">
          <cell r="A209">
            <v>100</v>
          </cell>
          <cell r="B209">
            <v>22179</v>
          </cell>
          <cell r="C209">
            <v>0</v>
          </cell>
          <cell r="D209">
            <v>-62.546292000000008</v>
          </cell>
        </row>
        <row r="210">
          <cell r="A210">
            <v>100</v>
          </cell>
          <cell r="B210">
            <v>22191</v>
          </cell>
          <cell r="C210">
            <v>0</v>
          </cell>
          <cell r="D210">
            <v>1848.0505049999999</v>
          </cell>
        </row>
        <row r="211">
          <cell r="A211">
            <v>100</v>
          </cell>
          <cell r="B211">
            <v>22195</v>
          </cell>
          <cell r="C211">
            <v>0</v>
          </cell>
          <cell r="D211">
            <v>38.381481999999998</v>
          </cell>
        </row>
        <row r="212">
          <cell r="A212">
            <v>100</v>
          </cell>
          <cell r="B212">
            <v>26162</v>
          </cell>
          <cell r="C212">
            <v>8</v>
          </cell>
          <cell r="D212">
            <v>0.46782999999999997</v>
          </cell>
        </row>
        <row r="213">
          <cell r="A213">
            <v>100</v>
          </cell>
          <cell r="B213">
            <v>26162</v>
          </cell>
          <cell r="C213">
            <v>9</v>
          </cell>
          <cell r="D213">
            <v>-0.16351500000000002</v>
          </cell>
        </row>
        <row r="214">
          <cell r="A214">
            <v>100</v>
          </cell>
          <cell r="B214">
            <v>26165</v>
          </cell>
          <cell r="C214">
            <v>8</v>
          </cell>
          <cell r="D214">
            <v>1462.47216</v>
          </cell>
        </row>
        <row r="215">
          <cell r="A215">
            <v>100</v>
          </cell>
          <cell r="B215">
            <v>26165</v>
          </cell>
          <cell r="C215">
            <v>9</v>
          </cell>
          <cell r="D215">
            <v>-778.55662700000005</v>
          </cell>
        </row>
        <row r="216">
          <cell r="A216">
            <v>100</v>
          </cell>
          <cell r="B216">
            <v>26190</v>
          </cell>
          <cell r="C216">
            <v>7</v>
          </cell>
          <cell r="D216">
            <v>-3583.2780360000002</v>
          </cell>
        </row>
        <row r="217">
          <cell r="A217">
            <v>100</v>
          </cell>
          <cell r="B217">
            <v>26196</v>
          </cell>
          <cell r="C217">
            <v>7</v>
          </cell>
          <cell r="D217">
            <v>-1564.7740090000002</v>
          </cell>
        </row>
        <row r="218">
          <cell r="A218">
            <v>100</v>
          </cell>
          <cell r="B218">
            <v>26199</v>
          </cell>
          <cell r="C218">
            <v>9</v>
          </cell>
          <cell r="D218">
            <v>0</v>
          </cell>
        </row>
        <row r="219">
          <cell r="A219">
            <v>100</v>
          </cell>
          <cell r="B219">
            <v>27792</v>
          </cell>
          <cell r="C219">
            <v>0</v>
          </cell>
          <cell r="D219">
            <v>50.444175999999999</v>
          </cell>
        </row>
        <row r="220">
          <cell r="A220">
            <v>100</v>
          </cell>
          <cell r="B220">
            <v>31121</v>
          </cell>
          <cell r="C220">
            <v>0</v>
          </cell>
          <cell r="D220">
            <v>6508.9964359999994</v>
          </cell>
        </row>
        <row r="221">
          <cell r="A221">
            <v>198</v>
          </cell>
          <cell r="B221">
            <v>1623</v>
          </cell>
          <cell r="C221">
            <v>7</v>
          </cell>
          <cell r="D221">
            <v>8012.9973019999998</v>
          </cell>
        </row>
        <row r="222">
          <cell r="A222">
            <v>198</v>
          </cell>
          <cell r="B222">
            <v>1623</v>
          </cell>
          <cell r="C222">
            <v>8</v>
          </cell>
          <cell r="D222">
            <v>-56871.499190000002</v>
          </cell>
        </row>
        <row r="223">
          <cell r="A223">
            <v>198</v>
          </cell>
          <cell r="B223">
            <v>1623</v>
          </cell>
          <cell r="C223">
            <v>9</v>
          </cell>
          <cell r="D223">
            <v>-23320.943347</v>
          </cell>
        </row>
        <row r="224">
          <cell r="A224">
            <v>198</v>
          </cell>
          <cell r="B224">
            <v>16131</v>
          </cell>
          <cell r="C224">
            <v>8</v>
          </cell>
          <cell r="D224">
            <v>-6500</v>
          </cell>
        </row>
        <row r="225">
          <cell r="A225">
            <v>198</v>
          </cell>
          <cell r="B225">
            <v>26132</v>
          </cell>
          <cell r="C225">
            <v>9</v>
          </cell>
          <cell r="D225">
            <v>-3533.2359529999994</v>
          </cell>
        </row>
        <row r="226">
          <cell r="A226">
            <v>200</v>
          </cell>
          <cell r="B226">
            <v>2275</v>
          </cell>
          <cell r="C226">
            <v>0</v>
          </cell>
          <cell r="D226">
            <v>-506.16137699999996</v>
          </cell>
        </row>
        <row r="227">
          <cell r="A227">
            <v>200</v>
          </cell>
          <cell r="B227">
            <v>22141</v>
          </cell>
          <cell r="C227">
            <v>0</v>
          </cell>
          <cell r="D227">
            <v>-6.3528390000000003</v>
          </cell>
        </row>
        <row r="228">
          <cell r="A228">
            <v>300</v>
          </cell>
          <cell r="B228">
            <v>2275</v>
          </cell>
          <cell r="C228">
            <v>0</v>
          </cell>
          <cell r="D228">
            <v>1399.8564319999998</v>
          </cell>
        </row>
        <row r="229">
          <cell r="A229">
            <v>300</v>
          </cell>
          <cell r="B229">
            <v>22171</v>
          </cell>
          <cell r="C229">
            <v>0</v>
          </cell>
          <cell r="D229">
            <v>-0.13350000000000001</v>
          </cell>
        </row>
        <row r="230">
          <cell r="A230">
            <v>300</v>
          </cell>
          <cell r="B230">
            <v>22173</v>
          </cell>
          <cell r="C230">
            <v>0</v>
          </cell>
          <cell r="D230">
            <v>-0.11200400000000021</v>
          </cell>
        </row>
        <row r="231">
          <cell r="A231">
            <v>300</v>
          </cell>
          <cell r="B231">
            <v>22174</v>
          </cell>
          <cell r="C231">
            <v>0</v>
          </cell>
          <cell r="D231">
            <v>0.13350000000000001</v>
          </cell>
        </row>
        <row r="232">
          <cell r="A232">
            <v>300</v>
          </cell>
          <cell r="B232">
            <v>22179</v>
          </cell>
          <cell r="C232">
            <v>0</v>
          </cell>
          <cell r="D232">
            <v>62.546292000000037</v>
          </cell>
        </row>
        <row r="233">
          <cell r="A233">
            <v>400</v>
          </cell>
          <cell r="B233">
            <v>2634</v>
          </cell>
          <cell r="C233">
            <v>7</v>
          </cell>
          <cell r="D233">
            <v>-64055.31</v>
          </cell>
        </row>
        <row r="234">
          <cell r="A234">
            <v>400</v>
          </cell>
          <cell r="B234">
            <v>2634</v>
          </cell>
          <cell r="C234">
            <v>8</v>
          </cell>
          <cell r="D234">
            <v>6604.9197199999999</v>
          </cell>
        </row>
        <row r="235">
          <cell r="A235">
            <v>400</v>
          </cell>
          <cell r="B235">
            <v>2634</v>
          </cell>
          <cell r="C235">
            <v>9</v>
          </cell>
          <cell r="D235">
            <v>8415.7462799999994</v>
          </cell>
        </row>
        <row r="236">
          <cell r="A236">
            <v>400</v>
          </cell>
          <cell r="B236">
            <v>2635</v>
          </cell>
          <cell r="C236">
            <v>8</v>
          </cell>
          <cell r="D236">
            <v>56871.499190000002</v>
          </cell>
        </row>
        <row r="237">
          <cell r="A237">
            <v>400</v>
          </cell>
          <cell r="B237">
            <v>2635</v>
          </cell>
          <cell r="C237">
            <v>9</v>
          </cell>
          <cell r="D237">
            <v>28193.257809999999</v>
          </cell>
        </row>
        <row r="238">
          <cell r="A238">
            <v>400</v>
          </cell>
          <cell r="B238">
            <v>2636</v>
          </cell>
          <cell r="C238">
            <v>7</v>
          </cell>
          <cell r="D238">
            <v>-75411.762302000003</v>
          </cell>
        </row>
        <row r="239">
          <cell r="A239">
            <v>400</v>
          </cell>
          <cell r="B239">
            <v>2636</v>
          </cell>
          <cell r="C239">
            <v>9</v>
          </cell>
          <cell r="D239">
            <v>5577.8123020000003</v>
          </cell>
        </row>
        <row r="240">
          <cell r="A240">
            <v>400</v>
          </cell>
          <cell r="B240">
            <v>22355</v>
          </cell>
          <cell r="C240">
            <v>7</v>
          </cell>
          <cell r="D240">
            <v>-131023</v>
          </cell>
        </row>
        <row r="241">
          <cell r="A241">
            <v>400</v>
          </cell>
          <cell r="B241">
            <v>22355</v>
          </cell>
          <cell r="C241">
            <v>8</v>
          </cell>
          <cell r="D241">
            <v>139272</v>
          </cell>
        </row>
        <row r="242">
          <cell r="A242">
            <v>400</v>
          </cell>
          <cell r="B242">
            <v>26190</v>
          </cell>
          <cell r="C242">
            <v>7</v>
          </cell>
          <cell r="D242">
            <v>-99880.483804999996</v>
          </cell>
        </row>
        <row r="243">
          <cell r="A243">
            <v>400</v>
          </cell>
          <cell r="B243">
            <v>26190</v>
          </cell>
          <cell r="C243">
            <v>8</v>
          </cell>
          <cell r="D243">
            <v>70582.7</v>
          </cell>
        </row>
        <row r="244">
          <cell r="A244">
            <v>400</v>
          </cell>
          <cell r="B244">
            <v>26196</v>
          </cell>
          <cell r="C244">
            <v>7</v>
          </cell>
          <cell r="D244">
            <v>-24728.849355000002</v>
          </cell>
        </row>
        <row r="245">
          <cell r="A245">
            <v>400</v>
          </cell>
          <cell r="B245">
            <v>26196</v>
          </cell>
          <cell r="C245">
            <v>9</v>
          </cell>
          <cell r="D245">
            <v>-57.245829999999998</v>
          </cell>
        </row>
        <row r="246">
          <cell r="A246">
            <v>400</v>
          </cell>
          <cell r="B246">
            <v>26198</v>
          </cell>
          <cell r="C246">
            <v>8</v>
          </cell>
          <cell r="D246">
            <v>807.01576599999999</v>
          </cell>
        </row>
        <row r="247">
          <cell r="A247">
            <v>400</v>
          </cell>
          <cell r="B247">
            <v>26198</v>
          </cell>
          <cell r="C247">
            <v>9</v>
          </cell>
          <cell r="D247">
            <v>-549.95574299999998</v>
          </cell>
        </row>
        <row r="248">
          <cell r="A248">
            <v>400</v>
          </cell>
          <cell r="B248">
            <v>26199</v>
          </cell>
          <cell r="C248">
            <v>7</v>
          </cell>
          <cell r="D248">
            <v>-435.33064999999999</v>
          </cell>
        </row>
        <row r="249">
          <cell r="A249">
            <v>400</v>
          </cell>
          <cell r="B249">
            <v>26199</v>
          </cell>
          <cell r="C249">
            <v>8</v>
          </cell>
          <cell r="D249">
            <v>-81.627762000000004</v>
          </cell>
        </row>
        <row r="250">
          <cell r="A250">
            <v>400</v>
          </cell>
          <cell r="B250">
            <v>26199</v>
          </cell>
          <cell r="C250">
            <v>9</v>
          </cell>
          <cell r="D250">
            <v>103.855552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síða"/>
      <sheetName val="Nýtt yfirlit 1"/>
      <sheetName val="Y2"/>
      <sheetName val="Y3"/>
      <sheetName val="Y4"/>
      <sheetName val="Y5"/>
      <sheetName val="Y6"/>
      <sheetName val="Y7"/>
      <sheetName val="Y8"/>
      <sheetName val="Y13"/>
      <sheetName val="MANUDUR"/>
      <sheetName val="Áætlun"/>
      <sheetName val="EFN_MMB_"/>
      <sheetName val="EFN_HMB_"/>
      <sheetName val="EFN_MAN_"/>
      <sheetName val="Efn_FA"/>
      <sheetName val="EFN_F2"/>
      <sheetName val="Efn_fa_h"/>
      <sheetName val="EFN_FAL"/>
      <sheetName val="efn_f2l"/>
      <sheetName val="mal"/>
      <sheetName val="mal_fa"/>
      <sheetName val="Fjárlög_sund"/>
      <sheetName val="tegsun"/>
      <sheetName val="Tegsun_fyrra"/>
      <sheetName val="Fjarh_man"/>
      <sheetName val="TEKJUR"/>
      <sheetName val="TEKJUR_M"/>
      <sheetName val="TEKJU_FA"/>
      <sheetName val="Fjárheimild mánaða tekjur"/>
      <sheetName val="FJARLTEK"/>
      <sheetName val="Efnahagu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">
          <cell r="A1" t="str">
            <v>Viðfang</v>
          </cell>
          <cell r="B1" t="str">
            <v>Tegund</v>
          </cell>
          <cell r="C1" t="str">
            <v>Mánuður</v>
          </cell>
          <cell r="D1" t="str">
            <v>Lokastaða</v>
          </cell>
        </row>
        <row r="2">
          <cell r="A2">
            <v>100</v>
          </cell>
          <cell r="B2">
            <v>1110</v>
          </cell>
          <cell r="C2">
            <v>0</v>
          </cell>
          <cell r="D2">
            <v>2.6559999999999999E-3</v>
          </cell>
        </row>
        <row r="3">
          <cell r="A3">
            <v>100</v>
          </cell>
          <cell r="B3">
            <v>1111</v>
          </cell>
          <cell r="C3">
            <v>-11.493366</v>
          </cell>
          <cell r="D3">
            <v>7.2150460000000001</v>
          </cell>
        </row>
        <row r="4">
          <cell r="A4">
            <v>100</v>
          </cell>
          <cell r="B4">
            <v>1113</v>
          </cell>
          <cell r="C4">
            <v>8.7859000000000007E-2</v>
          </cell>
          <cell r="D4">
            <v>0.51412599999999997</v>
          </cell>
        </row>
        <row r="5">
          <cell r="A5">
            <v>100</v>
          </cell>
          <cell r="B5">
            <v>1118</v>
          </cell>
          <cell r="C5">
            <v>-2.6927720000000002</v>
          </cell>
          <cell r="D5">
            <v>1.999827</v>
          </cell>
        </row>
        <row r="6">
          <cell r="A6">
            <v>100</v>
          </cell>
          <cell r="B6">
            <v>1120</v>
          </cell>
          <cell r="C6">
            <v>508.67121300000002</v>
          </cell>
          <cell r="D6">
            <v>4968.6091399999996</v>
          </cell>
        </row>
        <row r="7">
          <cell r="A7">
            <v>100</v>
          </cell>
          <cell r="B7">
            <v>1124</v>
          </cell>
          <cell r="C7">
            <v>284.50613499999997</v>
          </cell>
          <cell r="D7">
            <v>-172.34326300000001</v>
          </cell>
        </row>
        <row r="8">
          <cell r="A8">
            <v>100</v>
          </cell>
          <cell r="B8">
            <v>1126</v>
          </cell>
          <cell r="C8">
            <v>269.06129299999998</v>
          </cell>
          <cell r="D8">
            <v>86.10136</v>
          </cell>
        </row>
        <row r="9">
          <cell r="A9">
            <v>100</v>
          </cell>
          <cell r="B9">
            <v>1127</v>
          </cell>
          <cell r="C9">
            <v>-11.608363000000001</v>
          </cell>
          <cell r="D9">
            <v>-158.80878999999999</v>
          </cell>
        </row>
        <row r="10">
          <cell r="A10">
            <v>100</v>
          </cell>
          <cell r="B10">
            <v>1128</v>
          </cell>
          <cell r="C10">
            <v>2.9713120000000002</v>
          </cell>
          <cell r="D10">
            <v>65.978847000000002</v>
          </cell>
        </row>
        <row r="11">
          <cell r="A11">
            <v>100</v>
          </cell>
          <cell r="B11">
            <v>1129</v>
          </cell>
          <cell r="C11">
            <v>1.0423089999999999</v>
          </cell>
          <cell r="D11">
            <v>23.754418999999999</v>
          </cell>
        </row>
        <row r="12">
          <cell r="A12">
            <v>100</v>
          </cell>
          <cell r="B12">
            <v>1139</v>
          </cell>
          <cell r="C12">
            <v>0</v>
          </cell>
          <cell r="D12">
            <v>0</v>
          </cell>
        </row>
        <row r="13">
          <cell r="A13">
            <v>100</v>
          </cell>
          <cell r="B13">
            <v>1142</v>
          </cell>
          <cell r="C13">
            <v>11.012292</v>
          </cell>
          <cell r="D13">
            <v>-49.833444</v>
          </cell>
        </row>
        <row r="14">
          <cell r="A14">
            <v>100</v>
          </cell>
          <cell r="B14">
            <v>1144</v>
          </cell>
          <cell r="C14">
            <v>19.941500000000001</v>
          </cell>
          <cell r="D14">
            <v>56.587738000000002</v>
          </cell>
        </row>
        <row r="15">
          <cell r="A15">
            <v>100</v>
          </cell>
          <cell r="B15">
            <v>1146</v>
          </cell>
          <cell r="C15">
            <v>9.8135159999999999</v>
          </cell>
          <cell r="D15">
            <v>89.123063000000002</v>
          </cell>
        </row>
        <row r="16">
          <cell r="A16">
            <v>100</v>
          </cell>
          <cell r="B16">
            <v>1147</v>
          </cell>
          <cell r="C16">
            <v>-4.1744680000000001</v>
          </cell>
          <cell r="D16">
            <v>-14.002402999999999</v>
          </cell>
        </row>
        <row r="17">
          <cell r="A17">
            <v>100</v>
          </cell>
          <cell r="B17">
            <v>1148</v>
          </cell>
          <cell r="C17">
            <v>-65.760311999999999</v>
          </cell>
          <cell r="D17">
            <v>-16.423345999999999</v>
          </cell>
        </row>
        <row r="18">
          <cell r="A18">
            <v>100</v>
          </cell>
          <cell r="B18">
            <v>1149</v>
          </cell>
          <cell r="C18">
            <v>0</v>
          </cell>
          <cell r="D18">
            <v>-0.30432500000000001</v>
          </cell>
        </row>
        <row r="19">
          <cell r="A19">
            <v>100</v>
          </cell>
          <cell r="B19">
            <v>1181</v>
          </cell>
          <cell r="C19">
            <v>-1.9365779999999999</v>
          </cell>
          <cell r="D19">
            <v>-23.648408</v>
          </cell>
        </row>
        <row r="20">
          <cell r="A20">
            <v>100</v>
          </cell>
          <cell r="B20">
            <v>1183</v>
          </cell>
          <cell r="C20">
            <v>-34.375498</v>
          </cell>
          <cell r="D20">
            <v>-28.192899000000001</v>
          </cell>
        </row>
        <row r="21">
          <cell r="A21">
            <v>100</v>
          </cell>
          <cell r="B21">
            <v>1184</v>
          </cell>
          <cell r="C21">
            <v>-0.99605999999999995</v>
          </cell>
          <cell r="D21">
            <v>-45.211770000000001</v>
          </cell>
        </row>
        <row r="22">
          <cell r="A22">
            <v>100</v>
          </cell>
          <cell r="B22">
            <v>1186</v>
          </cell>
          <cell r="C22">
            <v>0</v>
          </cell>
          <cell r="D22">
            <v>-5.3005370000000003</v>
          </cell>
        </row>
        <row r="23">
          <cell r="A23">
            <v>100</v>
          </cell>
          <cell r="B23">
            <v>1191</v>
          </cell>
          <cell r="C23">
            <v>-77.954364999999996</v>
          </cell>
          <cell r="D23">
            <v>518.09734900000001</v>
          </cell>
        </row>
        <row r="24">
          <cell r="A24">
            <v>100</v>
          </cell>
          <cell r="B24">
            <v>1192</v>
          </cell>
          <cell r="C24">
            <v>-23.182062999999999</v>
          </cell>
          <cell r="D24">
            <v>-9.8426390000000001</v>
          </cell>
        </row>
        <row r="25">
          <cell r="A25">
            <v>100</v>
          </cell>
          <cell r="B25">
            <v>1193</v>
          </cell>
          <cell r="C25">
            <v>-71.052777000000006</v>
          </cell>
          <cell r="D25">
            <v>19.275003000000002</v>
          </cell>
        </row>
        <row r="26">
          <cell r="A26">
            <v>100</v>
          </cell>
          <cell r="B26">
            <v>1194</v>
          </cell>
          <cell r="C26">
            <v>-12.763210000000001</v>
          </cell>
          <cell r="D26">
            <v>-11.678782999999999</v>
          </cell>
        </row>
        <row r="27">
          <cell r="A27">
            <v>100</v>
          </cell>
          <cell r="B27">
            <v>1195</v>
          </cell>
          <cell r="C27">
            <v>-6.1114459999999999</v>
          </cell>
          <cell r="D27">
            <v>4.0669570000000004</v>
          </cell>
        </row>
        <row r="28">
          <cell r="A28">
            <v>100</v>
          </cell>
          <cell r="B28">
            <v>1196</v>
          </cell>
          <cell r="C28">
            <v>-7.1980459999999997</v>
          </cell>
          <cell r="D28">
            <v>8.26098</v>
          </cell>
        </row>
        <row r="29">
          <cell r="A29">
            <v>100</v>
          </cell>
          <cell r="B29">
            <v>1197</v>
          </cell>
          <cell r="C29">
            <v>-5.2903099999999998</v>
          </cell>
          <cell r="D29">
            <v>0.36685000000000001</v>
          </cell>
        </row>
        <row r="30">
          <cell r="A30">
            <v>100</v>
          </cell>
          <cell r="B30">
            <v>1199</v>
          </cell>
          <cell r="C30">
            <v>-12.406306000000001</v>
          </cell>
          <cell r="D30">
            <v>-5.0663</v>
          </cell>
        </row>
        <row r="31">
          <cell r="A31">
            <v>100</v>
          </cell>
          <cell r="B31">
            <v>1210</v>
          </cell>
          <cell r="C31">
            <v>35.95326</v>
          </cell>
          <cell r="D31">
            <v>-56.698112999999999</v>
          </cell>
        </row>
        <row r="32">
          <cell r="A32">
            <v>100</v>
          </cell>
          <cell r="B32">
            <v>1211</v>
          </cell>
          <cell r="C32">
            <v>208.786779</v>
          </cell>
          <cell r="D32">
            <v>532.11408900000004</v>
          </cell>
        </row>
        <row r="33">
          <cell r="A33">
            <v>100</v>
          </cell>
          <cell r="B33">
            <v>1212</v>
          </cell>
          <cell r="C33">
            <v>-6.017309</v>
          </cell>
          <cell r="D33">
            <v>-24.988664</v>
          </cell>
        </row>
        <row r="34">
          <cell r="A34">
            <v>100</v>
          </cell>
          <cell r="B34">
            <v>1213</v>
          </cell>
          <cell r="C34">
            <v>13.44875</v>
          </cell>
          <cell r="D34">
            <v>-63.783859</v>
          </cell>
        </row>
        <row r="35">
          <cell r="A35">
            <v>100</v>
          </cell>
          <cell r="B35">
            <v>1214</v>
          </cell>
          <cell r="C35">
            <v>-2.67916</v>
          </cell>
          <cell r="D35">
            <v>-47.676650000000002</v>
          </cell>
        </row>
        <row r="36">
          <cell r="A36">
            <v>100</v>
          </cell>
          <cell r="B36">
            <v>1215</v>
          </cell>
          <cell r="C36">
            <v>-261.72560900000002</v>
          </cell>
          <cell r="D36">
            <v>-356.94302699999997</v>
          </cell>
        </row>
        <row r="37">
          <cell r="A37">
            <v>100</v>
          </cell>
          <cell r="B37">
            <v>1216</v>
          </cell>
          <cell r="C37">
            <v>72.763660000000002</v>
          </cell>
          <cell r="D37">
            <v>-66.489643999999998</v>
          </cell>
        </row>
        <row r="38">
          <cell r="A38">
            <v>100</v>
          </cell>
          <cell r="B38">
            <v>1217</v>
          </cell>
          <cell r="C38">
            <v>-0.40973399999999999</v>
          </cell>
          <cell r="D38">
            <v>2.5915059999999999</v>
          </cell>
        </row>
        <row r="39">
          <cell r="A39">
            <v>100</v>
          </cell>
          <cell r="B39">
            <v>1218</v>
          </cell>
          <cell r="C39">
            <v>-0.43040899999999999</v>
          </cell>
          <cell r="D39">
            <v>-290.41501699999998</v>
          </cell>
        </row>
        <row r="40">
          <cell r="A40">
            <v>100</v>
          </cell>
          <cell r="B40">
            <v>1219</v>
          </cell>
          <cell r="C40">
            <v>-114.75897000000001</v>
          </cell>
          <cell r="D40">
            <v>-208.13991999999999</v>
          </cell>
        </row>
        <row r="41">
          <cell r="A41">
            <v>100</v>
          </cell>
          <cell r="B41">
            <v>1225</v>
          </cell>
          <cell r="C41">
            <v>-1607.9310270000001</v>
          </cell>
          <cell r="D41">
            <v>-2.621413</v>
          </cell>
        </row>
        <row r="42">
          <cell r="A42">
            <v>100</v>
          </cell>
          <cell r="B42">
            <v>1235</v>
          </cell>
          <cell r="C42">
            <v>0</v>
          </cell>
          <cell r="D42">
            <v>-60</v>
          </cell>
        </row>
        <row r="43">
          <cell r="A43">
            <v>100</v>
          </cell>
          <cell r="B43">
            <v>1259</v>
          </cell>
          <cell r="C43">
            <v>0.449069</v>
          </cell>
          <cell r="D43">
            <v>0.40184300000000001</v>
          </cell>
        </row>
        <row r="44">
          <cell r="A44">
            <v>100</v>
          </cell>
          <cell r="B44">
            <v>1271</v>
          </cell>
          <cell r="C44">
            <v>-0.28390100000000001</v>
          </cell>
          <cell r="D44">
            <v>6.6846000000000003E-2</v>
          </cell>
        </row>
        <row r="45">
          <cell r="A45">
            <v>100</v>
          </cell>
          <cell r="B45">
            <v>1275</v>
          </cell>
          <cell r="C45">
            <v>178.23814999999999</v>
          </cell>
          <cell r="D45">
            <v>413.881057</v>
          </cell>
        </row>
        <row r="46">
          <cell r="A46">
            <v>100</v>
          </cell>
          <cell r="B46">
            <v>1276</v>
          </cell>
          <cell r="C46">
            <v>3318.015292</v>
          </cell>
          <cell r="D46">
            <v>2677.3442719999998</v>
          </cell>
        </row>
        <row r="47">
          <cell r="A47">
            <v>100</v>
          </cell>
          <cell r="B47">
            <v>1278</v>
          </cell>
          <cell r="C47">
            <v>-2.7908970000000002</v>
          </cell>
          <cell r="D47">
            <v>3.1189360000000002</v>
          </cell>
        </row>
        <row r="48">
          <cell r="A48">
            <v>100</v>
          </cell>
          <cell r="B48">
            <v>1279</v>
          </cell>
          <cell r="C48">
            <v>-14.369851000000001</v>
          </cell>
          <cell r="D48">
            <v>-16.284587999999999</v>
          </cell>
        </row>
        <row r="49">
          <cell r="A49">
            <v>100</v>
          </cell>
          <cell r="B49">
            <v>1414</v>
          </cell>
          <cell r="C49">
            <v>0</v>
          </cell>
          <cell r="D49">
            <v>-5.020378</v>
          </cell>
        </row>
        <row r="50">
          <cell r="A50">
            <v>100</v>
          </cell>
          <cell r="B50">
            <v>1424</v>
          </cell>
          <cell r="C50">
            <v>1.6468419999999999</v>
          </cell>
          <cell r="D50">
            <v>2.2806489999999999</v>
          </cell>
        </row>
        <row r="51">
          <cell r="A51">
            <v>100</v>
          </cell>
          <cell r="B51">
            <v>1426</v>
          </cell>
          <cell r="C51">
            <v>4.7969900000000001</v>
          </cell>
          <cell r="D51">
            <v>8.1373119999999997</v>
          </cell>
        </row>
        <row r="52">
          <cell r="A52">
            <v>100</v>
          </cell>
          <cell r="B52">
            <v>1428</v>
          </cell>
          <cell r="C52">
            <v>-3.8140000000000001E-3</v>
          </cell>
          <cell r="D52">
            <v>-4.6615999999999998E-2</v>
          </cell>
        </row>
        <row r="53">
          <cell r="A53">
            <v>100</v>
          </cell>
          <cell r="B53">
            <v>1429</v>
          </cell>
          <cell r="C53">
            <v>11.055115000000001</v>
          </cell>
          <cell r="D53">
            <v>173.24126200000001</v>
          </cell>
        </row>
        <row r="54">
          <cell r="A54">
            <v>100</v>
          </cell>
          <cell r="B54">
            <v>1615</v>
          </cell>
          <cell r="C54">
            <v>-0.63</v>
          </cell>
          <cell r="D54">
            <v>-3.15</v>
          </cell>
        </row>
        <row r="55">
          <cell r="A55">
            <v>100</v>
          </cell>
          <cell r="B55">
            <v>1715</v>
          </cell>
          <cell r="C55">
            <v>0</v>
          </cell>
          <cell r="D55">
            <v>25</v>
          </cell>
        </row>
        <row r="56">
          <cell r="A56">
            <v>100</v>
          </cell>
          <cell r="B56">
            <v>2210</v>
          </cell>
          <cell r="C56">
            <v>1949.5408339999999</v>
          </cell>
          <cell r="D56">
            <v>468.34574800000001</v>
          </cell>
        </row>
        <row r="57">
          <cell r="A57">
            <v>100</v>
          </cell>
          <cell r="B57">
            <v>2211</v>
          </cell>
          <cell r="C57">
            <v>-80.399963999999997</v>
          </cell>
          <cell r="D57">
            <v>617.67172100000005</v>
          </cell>
        </row>
        <row r="58">
          <cell r="A58">
            <v>100</v>
          </cell>
          <cell r="B58">
            <v>2212</v>
          </cell>
          <cell r="C58">
            <v>53.721727000000001</v>
          </cell>
          <cell r="D58">
            <v>17.243663999999999</v>
          </cell>
        </row>
        <row r="59">
          <cell r="A59">
            <v>100</v>
          </cell>
          <cell r="B59">
            <v>2213</v>
          </cell>
          <cell r="C59">
            <v>-3.9940899999999999</v>
          </cell>
          <cell r="D59">
            <v>24.459192999999999</v>
          </cell>
        </row>
        <row r="60">
          <cell r="A60">
            <v>100</v>
          </cell>
          <cell r="B60">
            <v>2214</v>
          </cell>
          <cell r="C60">
            <v>-1.102131</v>
          </cell>
          <cell r="D60">
            <v>138.44356999999999</v>
          </cell>
        </row>
        <row r="61">
          <cell r="A61">
            <v>100</v>
          </cell>
          <cell r="B61">
            <v>2215</v>
          </cell>
          <cell r="C61">
            <v>117.541269</v>
          </cell>
          <cell r="D61">
            <v>209.77472</v>
          </cell>
        </row>
        <row r="62">
          <cell r="A62">
            <v>100</v>
          </cell>
          <cell r="B62">
            <v>2216</v>
          </cell>
          <cell r="C62">
            <v>-475.19665099999997</v>
          </cell>
          <cell r="D62">
            <v>-303.013305</v>
          </cell>
        </row>
        <row r="63">
          <cell r="A63">
            <v>100</v>
          </cell>
          <cell r="B63">
            <v>2217</v>
          </cell>
          <cell r="C63">
            <v>7.8989079999999996</v>
          </cell>
          <cell r="D63">
            <v>114.932604</v>
          </cell>
        </row>
        <row r="64">
          <cell r="A64">
            <v>100</v>
          </cell>
          <cell r="B64">
            <v>2218</v>
          </cell>
          <cell r="C64">
            <v>2.6928770000000002</v>
          </cell>
          <cell r="D64">
            <v>148.15560199999999</v>
          </cell>
        </row>
        <row r="65">
          <cell r="A65">
            <v>100</v>
          </cell>
          <cell r="B65">
            <v>2219</v>
          </cell>
          <cell r="C65">
            <v>-1364.2044539999999</v>
          </cell>
          <cell r="D65">
            <v>-1713.862656</v>
          </cell>
        </row>
        <row r="66">
          <cell r="A66">
            <v>100</v>
          </cell>
          <cell r="B66">
            <v>2238</v>
          </cell>
          <cell r="C66">
            <v>0</v>
          </cell>
          <cell r="D66">
            <v>-1.75</v>
          </cell>
        </row>
        <row r="67">
          <cell r="A67">
            <v>100</v>
          </cell>
          <cell r="B67">
            <v>2238</v>
          </cell>
          <cell r="C67">
            <v>3.1012000000000001E-2</v>
          </cell>
          <cell r="D67">
            <v>0.66236600000000001</v>
          </cell>
        </row>
        <row r="68">
          <cell r="A68">
            <v>100</v>
          </cell>
          <cell r="B68">
            <v>2256</v>
          </cell>
          <cell r="C68">
            <v>0</v>
          </cell>
          <cell r="D68">
            <v>-0.69534099999999999</v>
          </cell>
        </row>
        <row r="69">
          <cell r="A69">
            <v>100</v>
          </cell>
          <cell r="B69">
            <v>2259</v>
          </cell>
          <cell r="C69">
            <v>146.29418899999999</v>
          </cell>
          <cell r="D69">
            <v>-1446.709398</v>
          </cell>
        </row>
        <row r="70">
          <cell r="A70">
            <v>100</v>
          </cell>
          <cell r="B70">
            <v>2271</v>
          </cell>
          <cell r="C70">
            <v>0</v>
          </cell>
          <cell r="D70">
            <v>-3.2000000000000002E-3</v>
          </cell>
        </row>
        <row r="71">
          <cell r="A71">
            <v>100</v>
          </cell>
          <cell r="B71">
            <v>2275</v>
          </cell>
          <cell r="C71">
            <v>-142.16651400000001</v>
          </cell>
          <cell r="D71">
            <v>3203.9514199999999</v>
          </cell>
        </row>
        <row r="72">
          <cell r="A72">
            <v>100</v>
          </cell>
          <cell r="B72">
            <v>2275</v>
          </cell>
          <cell r="C72">
            <v>-3.1012000000000001E-2</v>
          </cell>
          <cell r="D72">
            <v>-3.1012000000000001E-2</v>
          </cell>
        </row>
        <row r="73">
          <cell r="A73">
            <v>100</v>
          </cell>
          <cell r="B73">
            <v>2276</v>
          </cell>
          <cell r="C73">
            <v>923.56939299999999</v>
          </cell>
          <cell r="D73">
            <v>890.35651099999995</v>
          </cell>
        </row>
        <row r="74">
          <cell r="A74">
            <v>100</v>
          </cell>
          <cell r="B74">
            <v>2278</v>
          </cell>
          <cell r="C74">
            <v>9.2669999999999992E-3</v>
          </cell>
          <cell r="D74">
            <v>79.595867999999996</v>
          </cell>
        </row>
        <row r="75">
          <cell r="A75">
            <v>100</v>
          </cell>
          <cell r="B75">
            <v>2279</v>
          </cell>
          <cell r="C75">
            <v>458.35192899999998</v>
          </cell>
          <cell r="D75">
            <v>-123.911575</v>
          </cell>
        </row>
        <row r="76">
          <cell r="A76">
            <v>100</v>
          </cell>
          <cell r="B76">
            <v>2616</v>
          </cell>
          <cell r="C76">
            <v>1.2894490000000001</v>
          </cell>
          <cell r="D76">
            <v>1.2894490000000001</v>
          </cell>
        </row>
        <row r="77">
          <cell r="A77">
            <v>100</v>
          </cell>
          <cell r="B77">
            <v>2618</v>
          </cell>
          <cell r="C77">
            <v>0</v>
          </cell>
          <cell r="D77">
            <v>3.2073339999999999</v>
          </cell>
        </row>
        <row r="78">
          <cell r="A78">
            <v>100</v>
          </cell>
          <cell r="B78">
            <v>3919</v>
          </cell>
          <cell r="C78">
            <v>317.19154300000002</v>
          </cell>
          <cell r="D78">
            <v>278.92797899999999</v>
          </cell>
        </row>
        <row r="79">
          <cell r="A79">
            <v>100</v>
          </cell>
          <cell r="B79">
            <v>12111</v>
          </cell>
          <cell r="C79">
            <v>0</v>
          </cell>
          <cell r="D79">
            <v>-4.3616720000000004</v>
          </cell>
        </row>
        <row r="80">
          <cell r="A80">
            <v>100</v>
          </cell>
          <cell r="B80">
            <v>12118</v>
          </cell>
          <cell r="C80">
            <v>-3.2946770000000001</v>
          </cell>
          <cell r="D80">
            <v>20.755617000000001</v>
          </cell>
        </row>
        <row r="81">
          <cell r="A81">
            <v>100</v>
          </cell>
          <cell r="B81">
            <v>12161</v>
          </cell>
          <cell r="C81">
            <v>0.256963</v>
          </cell>
          <cell r="D81">
            <v>0.19916700000000001</v>
          </cell>
        </row>
        <row r="82">
          <cell r="A82">
            <v>100</v>
          </cell>
          <cell r="B82">
            <v>12164</v>
          </cell>
          <cell r="C82">
            <v>26.600068</v>
          </cell>
          <cell r="D82">
            <v>159.31808699999999</v>
          </cell>
        </row>
        <row r="83">
          <cell r="A83">
            <v>100</v>
          </cell>
          <cell r="B83">
            <v>12169</v>
          </cell>
          <cell r="C83">
            <v>3.4551999999999999E-2</v>
          </cell>
          <cell r="D83">
            <v>1.2954540000000001</v>
          </cell>
        </row>
        <row r="84">
          <cell r="A84">
            <v>100</v>
          </cell>
          <cell r="B84">
            <v>12176</v>
          </cell>
          <cell r="C84">
            <v>407.491983</v>
          </cell>
          <cell r="D84">
            <v>130.97340299999999</v>
          </cell>
        </row>
        <row r="85">
          <cell r="A85">
            <v>100</v>
          </cell>
          <cell r="B85">
            <v>12177</v>
          </cell>
          <cell r="C85">
            <v>-21.793337999999999</v>
          </cell>
          <cell r="D85">
            <v>-296.48413900000003</v>
          </cell>
        </row>
        <row r="86">
          <cell r="A86">
            <v>100</v>
          </cell>
          <cell r="B86">
            <v>12178</v>
          </cell>
          <cell r="C86">
            <v>-145.56437099999999</v>
          </cell>
          <cell r="D86">
            <v>185.54252199999999</v>
          </cell>
        </row>
        <row r="87">
          <cell r="A87">
            <v>100</v>
          </cell>
          <cell r="B87">
            <v>12191</v>
          </cell>
          <cell r="C87">
            <v>-74.190038999999999</v>
          </cell>
          <cell r="D87">
            <v>-12.788824999999999</v>
          </cell>
        </row>
        <row r="88">
          <cell r="A88">
            <v>100</v>
          </cell>
          <cell r="B88">
            <v>12560</v>
          </cell>
          <cell r="C88">
            <v>0</v>
          </cell>
          <cell r="D88">
            <v>-17.264500000000002</v>
          </cell>
        </row>
        <row r="89">
          <cell r="A89">
            <v>100</v>
          </cell>
          <cell r="B89">
            <v>12751</v>
          </cell>
          <cell r="C89">
            <v>0</v>
          </cell>
          <cell r="D89">
            <v>-0.24285699999999999</v>
          </cell>
        </row>
        <row r="90">
          <cell r="A90">
            <v>100</v>
          </cell>
          <cell r="B90">
            <v>12754</v>
          </cell>
          <cell r="C90">
            <v>40.253155</v>
          </cell>
          <cell r="D90">
            <v>-197.49722800000001</v>
          </cell>
        </row>
        <row r="91">
          <cell r="A91">
            <v>100</v>
          </cell>
          <cell r="B91">
            <v>12756</v>
          </cell>
          <cell r="C91">
            <v>0</v>
          </cell>
          <cell r="D91">
            <v>-22.051822000000001</v>
          </cell>
        </row>
        <row r="92">
          <cell r="A92">
            <v>100</v>
          </cell>
          <cell r="B92">
            <v>12798</v>
          </cell>
          <cell r="C92">
            <v>146.263442</v>
          </cell>
          <cell r="D92">
            <v>-22.530657999999999</v>
          </cell>
        </row>
        <row r="93">
          <cell r="A93">
            <v>100</v>
          </cell>
          <cell r="B93">
            <v>12799</v>
          </cell>
          <cell r="C93">
            <v>-0.6</v>
          </cell>
          <cell r="D93">
            <v>-0.92869199999999996</v>
          </cell>
        </row>
        <row r="94">
          <cell r="A94">
            <v>100</v>
          </cell>
          <cell r="B94">
            <v>14289</v>
          </cell>
          <cell r="C94">
            <v>9.0681999999999999E-2</v>
          </cell>
          <cell r="D94">
            <v>0.17704700000000001</v>
          </cell>
        </row>
        <row r="95">
          <cell r="A95">
            <v>100</v>
          </cell>
          <cell r="B95">
            <v>14298</v>
          </cell>
          <cell r="C95">
            <v>0</v>
          </cell>
          <cell r="D95">
            <v>1.9999999999999999E-6</v>
          </cell>
        </row>
        <row r="96">
          <cell r="A96">
            <v>100</v>
          </cell>
          <cell r="B96">
            <v>14299</v>
          </cell>
          <cell r="C96">
            <v>-9.7900000000000005E-4</v>
          </cell>
          <cell r="D96">
            <v>-8.5708999999999994E-2</v>
          </cell>
        </row>
        <row r="97">
          <cell r="A97">
            <v>100</v>
          </cell>
          <cell r="B97">
            <v>16142</v>
          </cell>
          <cell r="C97">
            <v>14.077921999999999</v>
          </cell>
          <cell r="D97">
            <v>39.426082999999998</v>
          </cell>
        </row>
        <row r="98">
          <cell r="A98">
            <v>100</v>
          </cell>
          <cell r="B98">
            <v>16142</v>
          </cell>
          <cell r="C98">
            <v>0</v>
          </cell>
          <cell r="D98">
            <v>-1.0540579999999999</v>
          </cell>
        </row>
        <row r="99">
          <cell r="A99">
            <v>100</v>
          </cell>
          <cell r="B99">
            <v>16161</v>
          </cell>
          <cell r="C99">
            <v>-0.60066699999999995</v>
          </cell>
          <cell r="D99">
            <v>-1.8030820000000001</v>
          </cell>
        </row>
        <row r="100">
          <cell r="A100">
            <v>100</v>
          </cell>
          <cell r="B100">
            <v>16161</v>
          </cell>
          <cell r="C100">
            <v>0.36</v>
          </cell>
          <cell r="D100">
            <v>0.36</v>
          </cell>
        </row>
        <row r="101">
          <cell r="A101">
            <v>100</v>
          </cell>
          <cell r="B101">
            <v>16161</v>
          </cell>
          <cell r="C101">
            <v>0.89980400000000005</v>
          </cell>
          <cell r="D101">
            <v>0.89980400000000005</v>
          </cell>
        </row>
        <row r="102">
          <cell r="A102">
            <v>100</v>
          </cell>
          <cell r="B102">
            <v>22001</v>
          </cell>
          <cell r="C102">
            <v>-20.185504999999999</v>
          </cell>
          <cell r="D102">
            <v>-91.987064000000004</v>
          </cell>
        </row>
        <row r="103">
          <cell r="A103">
            <v>100</v>
          </cell>
          <cell r="B103">
            <v>22002</v>
          </cell>
          <cell r="C103">
            <v>0</v>
          </cell>
          <cell r="D103">
            <v>0.61692999999999998</v>
          </cell>
        </row>
        <row r="104">
          <cell r="A104">
            <v>100</v>
          </cell>
          <cell r="B104">
            <v>22003</v>
          </cell>
          <cell r="C104">
            <v>-120.502393</v>
          </cell>
          <cell r="D104">
            <v>83.928791000000004</v>
          </cell>
        </row>
        <row r="105">
          <cell r="A105">
            <v>100</v>
          </cell>
          <cell r="B105">
            <v>22004</v>
          </cell>
          <cell r="C105">
            <v>-64.200913</v>
          </cell>
          <cell r="D105">
            <v>119.98020200000001</v>
          </cell>
        </row>
        <row r="106">
          <cell r="A106">
            <v>100</v>
          </cell>
          <cell r="B106">
            <v>22005</v>
          </cell>
          <cell r="C106">
            <v>14.029067</v>
          </cell>
          <cell r="D106">
            <v>52.480111999999998</v>
          </cell>
        </row>
        <row r="107">
          <cell r="A107">
            <v>100</v>
          </cell>
          <cell r="B107">
            <v>22007</v>
          </cell>
          <cell r="C107">
            <v>-7.5808439999999999</v>
          </cell>
          <cell r="D107">
            <v>-8.5621720000000003</v>
          </cell>
        </row>
        <row r="108">
          <cell r="A108">
            <v>100</v>
          </cell>
          <cell r="B108">
            <v>22008</v>
          </cell>
          <cell r="C108">
            <v>0.47808600000000001</v>
          </cell>
          <cell r="D108">
            <v>0.97043400000000002</v>
          </cell>
        </row>
        <row r="109">
          <cell r="A109">
            <v>100</v>
          </cell>
          <cell r="B109">
            <v>22011</v>
          </cell>
          <cell r="C109">
            <v>1.7814680000000001</v>
          </cell>
          <cell r="D109">
            <v>1.850886</v>
          </cell>
        </row>
        <row r="110">
          <cell r="A110">
            <v>100</v>
          </cell>
          <cell r="B110">
            <v>22013</v>
          </cell>
          <cell r="C110">
            <v>0</v>
          </cell>
          <cell r="D110">
            <v>-4.2680000000000001E-3</v>
          </cell>
        </row>
        <row r="111">
          <cell r="A111">
            <v>100</v>
          </cell>
          <cell r="B111">
            <v>22016</v>
          </cell>
          <cell r="C111">
            <v>-2.3501999999999999E-2</v>
          </cell>
          <cell r="D111">
            <v>0.19628499999999999</v>
          </cell>
        </row>
        <row r="112">
          <cell r="A112">
            <v>100</v>
          </cell>
          <cell r="B112">
            <v>22019</v>
          </cell>
          <cell r="C112">
            <v>-205.39958300000001</v>
          </cell>
          <cell r="D112">
            <v>587.61924399999998</v>
          </cell>
        </row>
        <row r="113">
          <cell r="A113">
            <v>100</v>
          </cell>
          <cell r="B113">
            <v>22162</v>
          </cell>
          <cell r="C113">
            <v>0.25697999999999999</v>
          </cell>
          <cell r="D113">
            <v>0.25697999999999999</v>
          </cell>
        </row>
        <row r="114">
          <cell r="A114">
            <v>100</v>
          </cell>
          <cell r="B114">
            <v>22165</v>
          </cell>
          <cell r="C114">
            <v>-0.28610999999999998</v>
          </cell>
          <cell r="D114">
            <v>5.6227650000000002</v>
          </cell>
        </row>
        <row r="115">
          <cell r="A115">
            <v>100</v>
          </cell>
          <cell r="B115">
            <v>22191</v>
          </cell>
          <cell r="C115">
            <v>74.181388999999996</v>
          </cell>
          <cell r="D115">
            <v>12.820383</v>
          </cell>
        </row>
        <row r="116">
          <cell r="A116">
            <v>100</v>
          </cell>
          <cell r="B116">
            <v>22751</v>
          </cell>
          <cell r="C116">
            <v>103.852616</v>
          </cell>
          <cell r="D116">
            <v>2925.7638529999999</v>
          </cell>
        </row>
        <row r="117">
          <cell r="A117">
            <v>100</v>
          </cell>
          <cell r="B117">
            <v>22753</v>
          </cell>
          <cell r="C117">
            <v>33.728408999999999</v>
          </cell>
          <cell r="D117">
            <v>20.320884</v>
          </cell>
        </row>
        <row r="118">
          <cell r="A118">
            <v>100</v>
          </cell>
          <cell r="B118">
            <v>22758</v>
          </cell>
          <cell r="C118">
            <v>111.74588300000001</v>
          </cell>
          <cell r="D118">
            <v>-8267.1610099999998</v>
          </cell>
        </row>
        <row r="119">
          <cell r="A119">
            <v>100</v>
          </cell>
          <cell r="B119">
            <v>22761</v>
          </cell>
          <cell r="C119">
            <v>-7.2555999999999995E-2</v>
          </cell>
          <cell r="D119">
            <v>0.84946900000000003</v>
          </cell>
        </row>
        <row r="120">
          <cell r="A120">
            <v>100</v>
          </cell>
          <cell r="B120">
            <v>22763</v>
          </cell>
          <cell r="C120">
            <v>-219.27050199999999</v>
          </cell>
          <cell r="D120">
            <v>-459.655438</v>
          </cell>
        </row>
        <row r="121">
          <cell r="A121">
            <v>100</v>
          </cell>
          <cell r="B121">
            <v>22799</v>
          </cell>
          <cell r="C121">
            <v>0.79447299999999998</v>
          </cell>
          <cell r="D121">
            <v>0.46131699999999998</v>
          </cell>
        </row>
        <row r="122">
          <cell r="A122">
            <v>100</v>
          </cell>
          <cell r="B122">
            <v>26122</v>
          </cell>
          <cell r="C122">
            <v>0</v>
          </cell>
          <cell r="D122">
            <v>5.0567000000000001E-2</v>
          </cell>
        </row>
        <row r="123">
          <cell r="A123">
            <v>100</v>
          </cell>
          <cell r="B123">
            <v>26249</v>
          </cell>
          <cell r="C123">
            <v>0</v>
          </cell>
          <cell r="D123">
            <v>0.13609099999999999</v>
          </cell>
        </row>
        <row r="124">
          <cell r="A124">
            <v>100</v>
          </cell>
          <cell r="B124">
            <v>121761</v>
          </cell>
          <cell r="C124">
            <v>1.7389079999999999</v>
          </cell>
          <cell r="D124">
            <v>-0.206203</v>
          </cell>
        </row>
        <row r="125">
          <cell r="A125">
            <v>100</v>
          </cell>
          <cell r="B125">
            <v>1110</v>
          </cell>
          <cell r="D125">
            <v>-0.21826499999999999</v>
          </cell>
        </row>
        <row r="126">
          <cell r="A126">
            <v>100</v>
          </cell>
          <cell r="B126">
            <v>1120</v>
          </cell>
          <cell r="C126">
            <v>-9036.9737249999998</v>
          </cell>
          <cell r="D126">
            <v>-33261.969650999999</v>
          </cell>
        </row>
        <row r="127">
          <cell r="A127">
            <v>100</v>
          </cell>
          <cell r="B127">
            <v>1147</v>
          </cell>
          <cell r="D127">
            <v>-11.166017999999999</v>
          </cell>
        </row>
        <row r="128">
          <cell r="A128">
            <v>100</v>
          </cell>
          <cell r="B128">
            <v>1170</v>
          </cell>
          <cell r="D128">
            <v>0</v>
          </cell>
        </row>
        <row r="129">
          <cell r="A129">
            <v>100</v>
          </cell>
          <cell r="B129">
            <v>1177</v>
          </cell>
          <cell r="C129">
            <v>0</v>
          </cell>
          <cell r="D129">
            <v>0</v>
          </cell>
        </row>
        <row r="130">
          <cell r="A130">
            <v>100</v>
          </cell>
          <cell r="B130">
            <v>1179</v>
          </cell>
          <cell r="D130">
            <v>0</v>
          </cell>
        </row>
        <row r="131">
          <cell r="A131">
            <v>100</v>
          </cell>
          <cell r="B131">
            <v>1181</v>
          </cell>
          <cell r="C131">
            <v>-4.3211740000000001</v>
          </cell>
          <cell r="D131">
            <v>-11.721659000000001</v>
          </cell>
        </row>
        <row r="132">
          <cell r="A132">
            <v>100</v>
          </cell>
          <cell r="B132">
            <v>1182</v>
          </cell>
          <cell r="C132">
            <v>4.5655799999999997</v>
          </cell>
          <cell r="D132">
            <v>16.507294000000002</v>
          </cell>
        </row>
        <row r="133">
          <cell r="A133">
            <v>100</v>
          </cell>
          <cell r="B133">
            <v>1183</v>
          </cell>
          <cell r="C133">
            <v>61152.718726999999</v>
          </cell>
          <cell r="D133">
            <v>56338.489612999998</v>
          </cell>
        </row>
        <row r="134">
          <cell r="A134">
            <v>100</v>
          </cell>
          <cell r="B134">
            <v>1184</v>
          </cell>
          <cell r="C134">
            <v>-93.680941000000004</v>
          </cell>
          <cell r="D134">
            <v>-945.87530600000002</v>
          </cell>
        </row>
        <row r="135">
          <cell r="A135">
            <v>100</v>
          </cell>
          <cell r="B135">
            <v>1187</v>
          </cell>
          <cell r="C135">
            <v>7.2665569999999997</v>
          </cell>
          <cell r="D135">
            <v>21.973275999999998</v>
          </cell>
        </row>
        <row r="136">
          <cell r="A136">
            <v>100</v>
          </cell>
          <cell r="B136">
            <v>1189</v>
          </cell>
          <cell r="C136">
            <v>0.48215799999999998</v>
          </cell>
          <cell r="D136">
            <v>-0.23069300000000001</v>
          </cell>
        </row>
        <row r="137">
          <cell r="A137">
            <v>100</v>
          </cell>
          <cell r="B137">
            <v>1192</v>
          </cell>
          <cell r="C137">
            <v>724.58262000000002</v>
          </cell>
          <cell r="D137">
            <v>724.58262000000002</v>
          </cell>
        </row>
        <row r="138">
          <cell r="A138">
            <v>100</v>
          </cell>
          <cell r="B138">
            <v>1211</v>
          </cell>
          <cell r="C138">
            <v>-3.8446669999999998</v>
          </cell>
          <cell r="D138">
            <v>-3.2666330000000001</v>
          </cell>
        </row>
        <row r="139">
          <cell r="A139">
            <v>100</v>
          </cell>
          <cell r="B139">
            <v>12111</v>
          </cell>
          <cell r="C139">
            <v>-1006.5432479999999</v>
          </cell>
          <cell r="D139">
            <v>-717.69008799999995</v>
          </cell>
        </row>
        <row r="140">
          <cell r="A140">
            <v>100</v>
          </cell>
          <cell r="B140">
            <v>12122</v>
          </cell>
          <cell r="C140">
            <v>57.567601000000003</v>
          </cell>
          <cell r="D140">
            <v>236.08101400000001</v>
          </cell>
        </row>
        <row r="141">
          <cell r="A141">
            <v>100</v>
          </cell>
          <cell r="B141">
            <v>12123</v>
          </cell>
          <cell r="C141">
            <v>-16.648492999999998</v>
          </cell>
          <cell r="D141">
            <v>-44.893515999999998</v>
          </cell>
        </row>
        <row r="142">
          <cell r="A142">
            <v>100</v>
          </cell>
          <cell r="B142">
            <v>1213</v>
          </cell>
          <cell r="C142">
            <v>-6479.0201939999997</v>
          </cell>
          <cell r="D142">
            <v>-6478.9307500000004</v>
          </cell>
        </row>
        <row r="143">
          <cell r="A143">
            <v>100</v>
          </cell>
          <cell r="B143">
            <v>1214</v>
          </cell>
          <cell r="C143">
            <v>9.8333329999999997</v>
          </cell>
          <cell r="D143">
            <v>59.000002000000002</v>
          </cell>
        </row>
        <row r="144">
          <cell r="A144">
            <v>100</v>
          </cell>
          <cell r="B144">
            <v>1215</v>
          </cell>
          <cell r="C144">
            <v>6.7</v>
          </cell>
          <cell r="D144">
            <v>-8289.9973269999991</v>
          </cell>
        </row>
        <row r="145">
          <cell r="A145">
            <v>100</v>
          </cell>
          <cell r="B145">
            <v>12152</v>
          </cell>
          <cell r="C145">
            <v>92153.952520999999</v>
          </cell>
          <cell r="D145">
            <v>92153.952520999999</v>
          </cell>
        </row>
        <row r="146">
          <cell r="A146">
            <v>100</v>
          </cell>
          <cell r="B146">
            <v>1216</v>
          </cell>
          <cell r="C146">
            <v>-8.1552340000000001</v>
          </cell>
          <cell r="D146">
            <v>-107.11580499999999</v>
          </cell>
        </row>
        <row r="147">
          <cell r="A147">
            <v>100</v>
          </cell>
          <cell r="B147">
            <v>12161</v>
          </cell>
          <cell r="C147">
            <v>1.248146</v>
          </cell>
          <cell r="D147">
            <v>3.7818269999999998</v>
          </cell>
        </row>
        <row r="148">
          <cell r="A148">
            <v>100</v>
          </cell>
          <cell r="B148">
            <v>12166</v>
          </cell>
          <cell r="D148">
            <v>1.3372999999999999E-2</v>
          </cell>
        </row>
        <row r="149">
          <cell r="A149">
            <v>100</v>
          </cell>
          <cell r="B149">
            <v>12168</v>
          </cell>
          <cell r="C149">
            <v>-0.32666000000000001</v>
          </cell>
          <cell r="D149">
            <v>-0.105256</v>
          </cell>
        </row>
        <row r="150">
          <cell r="A150">
            <v>100</v>
          </cell>
          <cell r="B150">
            <v>1217</v>
          </cell>
          <cell r="C150">
            <v>7.0809430000000004</v>
          </cell>
          <cell r="D150">
            <v>6.6344690000000002</v>
          </cell>
        </row>
        <row r="151">
          <cell r="A151">
            <v>100</v>
          </cell>
          <cell r="B151">
            <v>12171</v>
          </cell>
          <cell r="C151">
            <v>-17.541191000000001</v>
          </cell>
          <cell r="D151">
            <v>-33.891190999999999</v>
          </cell>
        </row>
        <row r="152">
          <cell r="A152">
            <v>100</v>
          </cell>
          <cell r="B152">
            <v>1219</v>
          </cell>
          <cell r="D152">
            <v>-68</v>
          </cell>
        </row>
        <row r="153">
          <cell r="A153">
            <v>100</v>
          </cell>
          <cell r="B153">
            <v>1229</v>
          </cell>
          <cell r="C153">
            <v>-644.48432400000002</v>
          </cell>
          <cell r="D153">
            <v>18.018045999999998</v>
          </cell>
        </row>
        <row r="154">
          <cell r="A154">
            <v>100</v>
          </cell>
          <cell r="B154">
            <v>1255</v>
          </cell>
          <cell r="C154">
            <v>-50</v>
          </cell>
          <cell r="D154">
            <v>197.87889999999999</v>
          </cell>
        </row>
        <row r="155">
          <cell r="A155">
            <v>100</v>
          </cell>
          <cell r="B155">
            <v>12560</v>
          </cell>
          <cell r="C155">
            <v>937.19878000000006</v>
          </cell>
          <cell r="D155">
            <v>950.90123000000006</v>
          </cell>
        </row>
        <row r="156">
          <cell r="A156">
            <v>100</v>
          </cell>
          <cell r="B156">
            <v>12565</v>
          </cell>
          <cell r="C156">
            <v>0.41399999999999998</v>
          </cell>
          <cell r="D156">
            <v>-11.823998</v>
          </cell>
        </row>
        <row r="157">
          <cell r="A157">
            <v>100</v>
          </cell>
          <cell r="B157">
            <v>12591</v>
          </cell>
          <cell r="C157">
            <v>-2.9484E-2</v>
          </cell>
          <cell r="D157">
            <v>-0.69323400000000002</v>
          </cell>
        </row>
        <row r="158">
          <cell r="A158">
            <v>100</v>
          </cell>
          <cell r="B158">
            <v>1279</v>
          </cell>
          <cell r="D158">
            <v>0</v>
          </cell>
        </row>
        <row r="159">
          <cell r="A159">
            <v>100</v>
          </cell>
          <cell r="B159">
            <v>13101</v>
          </cell>
          <cell r="C159">
            <v>13737.665729</v>
          </cell>
          <cell r="D159">
            <v>62884.40885</v>
          </cell>
        </row>
        <row r="160">
          <cell r="A160">
            <v>100</v>
          </cell>
          <cell r="B160">
            <v>13102</v>
          </cell>
          <cell r="C160">
            <v>10277.601009</v>
          </cell>
          <cell r="D160">
            <v>50582.362390000002</v>
          </cell>
        </row>
        <row r="161">
          <cell r="A161">
            <v>100</v>
          </cell>
          <cell r="B161">
            <v>13103</v>
          </cell>
          <cell r="C161">
            <v>15697.941076999999</v>
          </cell>
          <cell r="D161">
            <v>96791.464223000003</v>
          </cell>
        </row>
        <row r="162">
          <cell r="A162">
            <v>100</v>
          </cell>
          <cell r="B162">
            <v>13104</v>
          </cell>
          <cell r="C162">
            <v>9643.2767170000006</v>
          </cell>
          <cell r="D162">
            <v>50786.468357999998</v>
          </cell>
        </row>
        <row r="163">
          <cell r="A163">
            <v>100</v>
          </cell>
          <cell r="B163">
            <v>13107</v>
          </cell>
          <cell r="C163">
            <v>-120.95706800000001</v>
          </cell>
          <cell r="D163">
            <v>-1001.637825</v>
          </cell>
        </row>
        <row r="164">
          <cell r="A164">
            <v>100</v>
          </cell>
          <cell r="B164">
            <v>13108</v>
          </cell>
          <cell r="C164">
            <v>-194.88968499999999</v>
          </cell>
          <cell r="D164">
            <v>-685.24858900000004</v>
          </cell>
        </row>
        <row r="165">
          <cell r="A165">
            <v>100</v>
          </cell>
          <cell r="B165">
            <v>13109</v>
          </cell>
          <cell r="C165">
            <v>-43466.340568</v>
          </cell>
          <cell r="D165">
            <v>-228363.437726</v>
          </cell>
        </row>
        <row r="166">
          <cell r="A166">
            <v>100</v>
          </cell>
          <cell r="B166">
            <v>16122</v>
          </cell>
          <cell r="C166">
            <v>262.05773599999998</v>
          </cell>
          <cell r="D166">
            <v>4895.5886760000003</v>
          </cell>
        </row>
        <row r="167">
          <cell r="A167">
            <v>100</v>
          </cell>
          <cell r="B167">
            <v>16126</v>
          </cell>
          <cell r="C167">
            <v>4.9221750000000002</v>
          </cell>
          <cell r="D167">
            <v>-1.771577</v>
          </cell>
        </row>
        <row r="168">
          <cell r="A168">
            <v>100</v>
          </cell>
          <cell r="B168">
            <v>16127</v>
          </cell>
          <cell r="C168">
            <v>0.14207400000000001</v>
          </cell>
          <cell r="D168">
            <v>-8.4436999999999998E-2</v>
          </cell>
        </row>
        <row r="169">
          <cell r="A169">
            <v>100</v>
          </cell>
          <cell r="B169">
            <v>16132</v>
          </cell>
          <cell r="C169">
            <v>1.2694399999999999</v>
          </cell>
          <cell r="D169">
            <v>7.6166369999999999</v>
          </cell>
        </row>
        <row r="170">
          <cell r="A170">
            <v>100</v>
          </cell>
          <cell r="B170">
            <v>16142</v>
          </cell>
          <cell r="C170">
            <v>0.67117400000000005</v>
          </cell>
          <cell r="D170">
            <v>-31.631733000000001</v>
          </cell>
        </row>
        <row r="171">
          <cell r="A171">
            <v>100</v>
          </cell>
          <cell r="B171">
            <v>16151</v>
          </cell>
          <cell r="D171">
            <v>68</v>
          </cell>
        </row>
        <row r="172">
          <cell r="A172">
            <v>100</v>
          </cell>
          <cell r="B172">
            <v>16152</v>
          </cell>
          <cell r="C172">
            <v>0.37007600000000002</v>
          </cell>
          <cell r="D172">
            <v>-7.1551780000000003</v>
          </cell>
        </row>
        <row r="173">
          <cell r="A173">
            <v>100</v>
          </cell>
          <cell r="B173">
            <v>16162</v>
          </cell>
          <cell r="C173">
            <v>0.19950499999999999</v>
          </cell>
          <cell r="D173">
            <v>-0.49617800000000001</v>
          </cell>
        </row>
        <row r="174">
          <cell r="A174">
            <v>100</v>
          </cell>
          <cell r="B174">
            <v>1622</v>
          </cell>
          <cell r="C174">
            <v>-71.682486999999995</v>
          </cell>
          <cell r="D174">
            <v>-121.118959</v>
          </cell>
        </row>
        <row r="175">
          <cell r="A175">
            <v>100</v>
          </cell>
          <cell r="B175">
            <v>1623</v>
          </cell>
          <cell r="C175">
            <v>29.884</v>
          </cell>
          <cell r="D175">
            <v>-60.45</v>
          </cell>
        </row>
        <row r="176">
          <cell r="A176">
            <v>100</v>
          </cell>
          <cell r="B176">
            <v>1625</v>
          </cell>
          <cell r="C176">
            <v>-654.34409200000005</v>
          </cell>
          <cell r="D176">
            <v>-7324.0130010000003</v>
          </cell>
        </row>
        <row r="177">
          <cell r="A177">
            <v>100</v>
          </cell>
          <cell r="B177">
            <v>1711</v>
          </cell>
          <cell r="D177">
            <v>5508.8585220000004</v>
          </cell>
        </row>
        <row r="178">
          <cell r="A178">
            <v>100</v>
          </cell>
          <cell r="B178">
            <v>1735</v>
          </cell>
          <cell r="C178">
            <v>17.484555</v>
          </cell>
          <cell r="D178">
            <v>251.53455500000001</v>
          </cell>
        </row>
        <row r="179">
          <cell r="A179">
            <v>100</v>
          </cell>
          <cell r="B179">
            <v>22003</v>
          </cell>
          <cell r="C179">
            <v>1.3792E-2</v>
          </cell>
          <cell r="D179">
            <v>1.3792E-2</v>
          </cell>
        </row>
        <row r="180">
          <cell r="A180">
            <v>100</v>
          </cell>
          <cell r="B180">
            <v>22011</v>
          </cell>
          <cell r="C180">
            <v>-5.5149710000000001</v>
          </cell>
          <cell r="D180">
            <v>-8.4103309999999993</v>
          </cell>
        </row>
        <row r="181">
          <cell r="A181">
            <v>100</v>
          </cell>
          <cell r="B181">
            <v>22016</v>
          </cell>
          <cell r="D181">
            <v>172.594381</v>
          </cell>
        </row>
        <row r="182">
          <cell r="A182">
            <v>100</v>
          </cell>
          <cell r="B182">
            <v>22017</v>
          </cell>
          <cell r="C182">
            <v>-12.089138</v>
          </cell>
          <cell r="D182">
            <v>23.647368</v>
          </cell>
        </row>
        <row r="183">
          <cell r="A183">
            <v>100</v>
          </cell>
          <cell r="B183">
            <v>22019</v>
          </cell>
          <cell r="D183">
            <v>9.9449819999999995</v>
          </cell>
        </row>
        <row r="184">
          <cell r="A184">
            <v>100</v>
          </cell>
          <cell r="B184">
            <v>2212</v>
          </cell>
          <cell r="C184">
            <v>303.44846200000001</v>
          </cell>
          <cell r="D184">
            <v>-14.883171000000001</v>
          </cell>
        </row>
        <row r="185">
          <cell r="A185">
            <v>100</v>
          </cell>
          <cell r="B185">
            <v>2213</v>
          </cell>
          <cell r="C185">
            <v>11.275327000000001</v>
          </cell>
          <cell r="D185">
            <v>100.345338</v>
          </cell>
        </row>
        <row r="186">
          <cell r="A186">
            <v>100</v>
          </cell>
          <cell r="B186">
            <v>2215</v>
          </cell>
          <cell r="D186">
            <v>8.7475079999999998</v>
          </cell>
        </row>
        <row r="187">
          <cell r="A187">
            <v>100</v>
          </cell>
          <cell r="B187">
            <v>22151</v>
          </cell>
          <cell r="C187">
            <v>-7.8006539999999998</v>
          </cell>
          <cell r="D187">
            <v>37.997860000000003</v>
          </cell>
        </row>
        <row r="188">
          <cell r="A188">
            <v>100</v>
          </cell>
          <cell r="B188">
            <v>22152</v>
          </cell>
          <cell r="C188">
            <v>-98.647333000000003</v>
          </cell>
          <cell r="D188">
            <v>217.05946800000001</v>
          </cell>
        </row>
        <row r="189">
          <cell r="A189">
            <v>100</v>
          </cell>
          <cell r="B189">
            <v>2216</v>
          </cell>
          <cell r="C189">
            <v>1.431E-2</v>
          </cell>
          <cell r="D189">
            <v>-3.1299410000000001</v>
          </cell>
        </row>
        <row r="190">
          <cell r="A190">
            <v>100</v>
          </cell>
          <cell r="B190">
            <v>22161</v>
          </cell>
          <cell r="D190">
            <v>120.45240099999999</v>
          </cell>
        </row>
        <row r="191">
          <cell r="A191">
            <v>100</v>
          </cell>
          <cell r="B191">
            <v>22164</v>
          </cell>
          <cell r="C191">
            <v>8.9469000000000007E-2</v>
          </cell>
          <cell r="D191">
            <v>556.14606300000003</v>
          </cell>
        </row>
        <row r="192">
          <cell r="A192">
            <v>100</v>
          </cell>
          <cell r="B192">
            <v>22178</v>
          </cell>
          <cell r="D192">
            <v>5.0738729999999999</v>
          </cell>
        </row>
        <row r="193">
          <cell r="A193">
            <v>100</v>
          </cell>
          <cell r="B193">
            <v>22179</v>
          </cell>
          <cell r="C193">
            <v>-10.642783</v>
          </cell>
          <cell r="D193">
            <v>-52.190753999999998</v>
          </cell>
        </row>
        <row r="194">
          <cell r="A194">
            <v>100</v>
          </cell>
          <cell r="B194">
            <v>2218</v>
          </cell>
          <cell r="C194">
            <v>-117.868386</v>
          </cell>
          <cell r="D194">
            <v>-15.923605999999999</v>
          </cell>
        </row>
        <row r="195">
          <cell r="A195">
            <v>100</v>
          </cell>
          <cell r="B195">
            <v>22191</v>
          </cell>
          <cell r="C195">
            <v>-9.2933859999999999</v>
          </cell>
          <cell r="D195">
            <v>1836.132429</v>
          </cell>
        </row>
        <row r="196">
          <cell r="A196">
            <v>100</v>
          </cell>
          <cell r="B196">
            <v>22195</v>
          </cell>
          <cell r="C196">
            <v>-6.5649999999999997E-3</v>
          </cell>
          <cell r="D196">
            <v>38.381481999999998</v>
          </cell>
        </row>
        <row r="197">
          <cell r="A197">
            <v>100</v>
          </cell>
          <cell r="B197">
            <v>2275</v>
          </cell>
          <cell r="C197">
            <v>-32.337842000000002</v>
          </cell>
          <cell r="D197">
            <v>250.11019400000001</v>
          </cell>
        </row>
        <row r="198">
          <cell r="A198">
            <v>100</v>
          </cell>
          <cell r="B198">
            <v>26162</v>
          </cell>
          <cell r="C198">
            <v>0.36007299999999998</v>
          </cell>
          <cell r="D198">
            <v>0.28055000000000002</v>
          </cell>
        </row>
        <row r="199">
          <cell r="A199">
            <v>100</v>
          </cell>
          <cell r="B199">
            <v>26165</v>
          </cell>
          <cell r="C199">
            <v>-147.34007299999999</v>
          </cell>
          <cell r="D199">
            <v>-161.911812</v>
          </cell>
        </row>
        <row r="200">
          <cell r="A200">
            <v>100</v>
          </cell>
          <cell r="B200">
            <v>26190</v>
          </cell>
          <cell r="D200">
            <v>-3583.2780360000002</v>
          </cell>
        </row>
        <row r="201">
          <cell r="A201">
            <v>100</v>
          </cell>
          <cell r="B201">
            <v>26196</v>
          </cell>
          <cell r="C201">
            <v>-1562.9051730000001</v>
          </cell>
          <cell r="D201">
            <v>-1602.3513419999999</v>
          </cell>
        </row>
        <row r="202">
          <cell r="A202">
            <v>100</v>
          </cell>
          <cell r="B202">
            <v>26199</v>
          </cell>
          <cell r="D202">
            <v>0</v>
          </cell>
        </row>
        <row r="203">
          <cell r="A203">
            <v>100</v>
          </cell>
          <cell r="B203">
            <v>2634</v>
          </cell>
          <cell r="D203">
            <v>-268.52</v>
          </cell>
        </row>
        <row r="204">
          <cell r="A204">
            <v>100</v>
          </cell>
          <cell r="B204">
            <v>2635</v>
          </cell>
          <cell r="D204">
            <v>2132</v>
          </cell>
        </row>
        <row r="205">
          <cell r="A205">
            <v>100</v>
          </cell>
          <cell r="B205">
            <v>2636</v>
          </cell>
          <cell r="D205">
            <v>428.16</v>
          </cell>
        </row>
        <row r="206">
          <cell r="A206">
            <v>100</v>
          </cell>
          <cell r="B206">
            <v>27792</v>
          </cell>
          <cell r="D206">
            <v>50.444175999999999</v>
          </cell>
        </row>
        <row r="207">
          <cell r="A207">
            <v>100</v>
          </cell>
          <cell r="B207">
            <v>31121</v>
          </cell>
          <cell r="C207">
            <v>732.09894399999996</v>
          </cell>
          <cell r="D207">
            <v>6331.4241730000003</v>
          </cell>
        </row>
        <row r="208">
          <cell r="A208">
            <v>100</v>
          </cell>
          <cell r="B208">
            <v>3136</v>
          </cell>
          <cell r="C208">
            <v>2461.5885349999999</v>
          </cell>
          <cell r="D208">
            <v>28937.212189999998</v>
          </cell>
        </row>
        <row r="209">
          <cell r="A209">
            <v>100</v>
          </cell>
          <cell r="B209">
            <v>3226</v>
          </cell>
          <cell r="C209">
            <v>-4002.5878200000002</v>
          </cell>
          <cell r="D209">
            <v>-37091.087018999999</v>
          </cell>
        </row>
        <row r="210">
          <cell r="A210">
            <v>198</v>
          </cell>
          <cell r="B210">
            <v>1623</v>
          </cell>
          <cell r="C210">
            <v>-50958.501887999999</v>
          </cell>
          <cell r="D210">
            <v>-72048.501887999999</v>
          </cell>
        </row>
        <row r="211">
          <cell r="A211">
            <v>198</v>
          </cell>
          <cell r="B211">
            <v>26132</v>
          </cell>
          <cell r="C211">
            <v>-670.86758599999996</v>
          </cell>
          <cell r="D211">
            <v>-4069.930022</v>
          </cell>
        </row>
        <row r="212">
          <cell r="A212">
            <v>200</v>
          </cell>
          <cell r="B212">
            <v>22141</v>
          </cell>
          <cell r="D212">
            <v>-6.3528390000000003</v>
          </cell>
        </row>
        <row r="213">
          <cell r="A213">
            <v>200</v>
          </cell>
          <cell r="B213">
            <v>2275</v>
          </cell>
          <cell r="C213">
            <v>-36.646208000000001</v>
          </cell>
          <cell r="D213">
            <v>-519.87079500000004</v>
          </cell>
        </row>
        <row r="214">
          <cell r="A214">
            <v>300</v>
          </cell>
          <cell r="B214">
            <v>22171</v>
          </cell>
          <cell r="C214">
            <v>-2.2499999999999999E-2</v>
          </cell>
          <cell r="D214">
            <v>-0.1125</v>
          </cell>
        </row>
        <row r="215">
          <cell r="A215">
            <v>300</v>
          </cell>
          <cell r="B215">
            <v>22173</v>
          </cell>
          <cell r="D215">
            <v>-0.11200400000000001</v>
          </cell>
        </row>
        <row r="216">
          <cell r="A216">
            <v>300</v>
          </cell>
          <cell r="B216">
            <v>22174</v>
          </cell>
          <cell r="C216">
            <v>2.2499999999999999E-2</v>
          </cell>
          <cell r="D216">
            <v>0.1125</v>
          </cell>
        </row>
        <row r="217">
          <cell r="A217">
            <v>300</v>
          </cell>
          <cell r="B217">
            <v>22179</v>
          </cell>
          <cell r="C217">
            <v>10.642783</v>
          </cell>
          <cell r="D217">
            <v>52.190753999999998</v>
          </cell>
        </row>
        <row r="218">
          <cell r="A218">
            <v>300</v>
          </cell>
          <cell r="B218">
            <v>2275</v>
          </cell>
          <cell r="C218">
            <v>-2.931E-3</v>
          </cell>
          <cell r="D218">
            <v>1399.922525</v>
          </cell>
        </row>
        <row r="219">
          <cell r="A219">
            <v>400</v>
          </cell>
          <cell r="B219">
            <v>22355</v>
          </cell>
          <cell r="C219">
            <v>4308</v>
          </cell>
          <cell r="D219">
            <v>10324</v>
          </cell>
        </row>
        <row r="220">
          <cell r="A220">
            <v>400</v>
          </cell>
          <cell r="B220">
            <v>26190</v>
          </cell>
          <cell r="C220">
            <v>-9499.8676439999999</v>
          </cell>
          <cell r="D220">
            <v>-19753.777503000001</v>
          </cell>
        </row>
        <row r="221">
          <cell r="A221">
            <v>400</v>
          </cell>
          <cell r="B221">
            <v>26196</v>
          </cell>
          <cell r="C221">
            <v>-68.673822000000001</v>
          </cell>
          <cell r="D221">
            <v>-16633.028661</v>
          </cell>
        </row>
        <row r="222">
          <cell r="A222">
            <v>400</v>
          </cell>
          <cell r="B222">
            <v>26198</v>
          </cell>
          <cell r="C222">
            <v>-103.687372</v>
          </cell>
          <cell r="D222">
            <v>168.182692</v>
          </cell>
        </row>
        <row r="223">
          <cell r="A223">
            <v>400</v>
          </cell>
          <cell r="B223">
            <v>26199</v>
          </cell>
          <cell r="C223">
            <v>-46.729753000000002</v>
          </cell>
          <cell r="D223">
            <v>-124.105581</v>
          </cell>
        </row>
        <row r="224">
          <cell r="A224">
            <v>400</v>
          </cell>
          <cell r="B224">
            <v>2634</v>
          </cell>
          <cell r="C224">
            <v>-55802.906710000003</v>
          </cell>
          <cell r="D224">
            <v>-50697.555712000001</v>
          </cell>
        </row>
        <row r="225">
          <cell r="A225">
            <v>400</v>
          </cell>
          <cell r="B225">
            <v>2635</v>
          </cell>
          <cell r="C225">
            <v>59601.499190000002</v>
          </cell>
          <cell r="D225">
            <v>84886.499190000002</v>
          </cell>
        </row>
        <row r="226">
          <cell r="A226">
            <v>400</v>
          </cell>
          <cell r="B226">
            <v>2636</v>
          </cell>
          <cell r="C226">
            <v>-74815.712302</v>
          </cell>
          <cell r="D226">
            <v>-69776.462302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"/>
      <sheetName val="M"/>
      <sheetName val="CA"/>
      <sheetName val="CA-Income"/>
      <sheetName val="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DEBT"/>
      <sheetName val="DIS"/>
      <sheetName val="AMO"/>
      <sheetName val="I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ATA"/>
      <sheetName val="IMAE TC Y ACELERACION"/>
      <sheetName val="ACELERACION"/>
      <sheetName val="DATOS"/>
      <sheetName val="LIB-NEG"/>
    </sheetNames>
    <sheetDataSet>
      <sheetData sheetId="0" refreshError="1">
        <row r="45">
          <cell r="B45" t="str">
            <v>E</v>
          </cell>
        </row>
        <row r="46">
          <cell r="B46" t="str">
            <v>F</v>
          </cell>
        </row>
        <row r="47">
          <cell r="B47" t="str">
            <v>M</v>
          </cell>
        </row>
        <row r="48">
          <cell r="B48" t="str">
            <v>A</v>
          </cell>
        </row>
        <row r="49">
          <cell r="B49" t="str">
            <v>M</v>
          </cell>
        </row>
        <row r="50">
          <cell r="B50" t="str">
            <v>J</v>
          </cell>
        </row>
        <row r="51">
          <cell r="B51" t="str">
            <v>J</v>
          </cell>
        </row>
        <row r="52">
          <cell r="B52" t="str">
            <v>A</v>
          </cell>
        </row>
        <row r="53">
          <cell r="B53" t="str">
            <v>S</v>
          </cell>
        </row>
        <row r="54">
          <cell r="B54" t="str">
            <v>O</v>
          </cell>
        </row>
        <row r="55">
          <cell r="B55" t="str">
            <v>N</v>
          </cell>
        </row>
        <row r="56">
          <cell r="B56" t="str">
            <v>D</v>
          </cell>
        </row>
        <row r="57">
          <cell r="B57" t="str">
            <v>E</v>
          </cell>
        </row>
        <row r="58">
          <cell r="B58" t="str">
            <v>F</v>
          </cell>
        </row>
        <row r="59">
          <cell r="B59" t="str">
            <v>M</v>
          </cell>
        </row>
        <row r="60">
          <cell r="B60" t="str">
            <v>A</v>
          </cell>
        </row>
        <row r="61">
          <cell r="B61" t="str">
            <v>M</v>
          </cell>
        </row>
        <row r="62">
          <cell r="B62" t="str">
            <v>J</v>
          </cell>
        </row>
        <row r="63">
          <cell r="B63" t="str">
            <v>J</v>
          </cell>
        </row>
        <row r="64">
          <cell r="B64" t="str">
            <v>A</v>
          </cell>
        </row>
        <row r="65">
          <cell r="B65" t="str">
            <v>S</v>
          </cell>
        </row>
        <row r="66">
          <cell r="B66" t="str">
            <v>O</v>
          </cell>
        </row>
        <row r="67">
          <cell r="B67" t="str">
            <v>N</v>
          </cell>
        </row>
        <row r="68">
          <cell r="B68" t="str">
            <v>D</v>
          </cell>
        </row>
        <row r="69">
          <cell r="B69" t="str">
            <v>E</v>
          </cell>
        </row>
        <row r="70">
          <cell r="B70" t="str">
            <v>F</v>
          </cell>
        </row>
        <row r="71">
          <cell r="B71" t="str">
            <v>M</v>
          </cell>
        </row>
        <row r="72">
          <cell r="B72" t="str">
            <v>A</v>
          </cell>
        </row>
        <row r="73">
          <cell r="B73" t="str">
            <v>M</v>
          </cell>
        </row>
        <row r="74">
          <cell r="B74" t="str">
            <v>J</v>
          </cell>
        </row>
        <row r="75">
          <cell r="B75" t="str">
            <v>J</v>
          </cell>
        </row>
        <row r="76">
          <cell r="B76" t="str">
            <v>A</v>
          </cell>
        </row>
        <row r="77">
          <cell r="B77" t="str">
            <v>S</v>
          </cell>
        </row>
        <row r="78">
          <cell r="B78" t="str">
            <v>O</v>
          </cell>
        </row>
        <row r="79">
          <cell r="B79" t="str">
            <v>N</v>
          </cell>
        </row>
        <row r="80">
          <cell r="B80" t="str">
            <v>D</v>
          </cell>
        </row>
        <row r="81">
          <cell r="B81" t="str">
            <v>E</v>
          </cell>
        </row>
        <row r="82">
          <cell r="B82" t="str">
            <v>F</v>
          </cell>
        </row>
        <row r="83">
          <cell r="B83" t="str">
            <v>M</v>
          </cell>
        </row>
        <row r="84">
          <cell r="B84" t="str">
            <v>A</v>
          </cell>
        </row>
        <row r="85">
          <cell r="B85" t="str">
            <v>M</v>
          </cell>
        </row>
        <row r="86">
          <cell r="B86" t="str">
            <v>J</v>
          </cell>
        </row>
        <row r="87">
          <cell r="B87" t="str">
            <v>J</v>
          </cell>
        </row>
        <row r="88">
          <cell r="B88" t="str">
            <v>A</v>
          </cell>
        </row>
        <row r="89">
          <cell r="B89" t="str">
            <v>S</v>
          </cell>
        </row>
        <row r="90">
          <cell r="B90" t="str">
            <v>O</v>
          </cell>
        </row>
        <row r="91">
          <cell r="B91" t="str">
            <v>N</v>
          </cell>
        </row>
        <row r="92">
          <cell r="B92" t="str">
            <v>D</v>
          </cell>
        </row>
        <row r="93">
          <cell r="B93" t="str">
            <v>E</v>
          </cell>
        </row>
        <row r="94">
          <cell r="B94" t="str">
            <v>F</v>
          </cell>
        </row>
        <row r="95">
          <cell r="B95" t="str">
            <v>M</v>
          </cell>
        </row>
        <row r="96">
          <cell r="B96" t="str">
            <v>A</v>
          </cell>
        </row>
        <row r="97">
          <cell r="B97" t="str">
            <v>M</v>
          </cell>
        </row>
        <row r="98">
          <cell r="B98" t="str">
            <v>J</v>
          </cell>
        </row>
        <row r="99">
          <cell r="B99" t="str">
            <v>J</v>
          </cell>
        </row>
        <row r="100">
          <cell r="B100" t="str">
            <v>A</v>
          </cell>
        </row>
        <row r="101">
          <cell r="B101" t="str">
            <v>S</v>
          </cell>
        </row>
        <row r="102">
          <cell r="B102" t="str">
            <v>O</v>
          </cell>
        </row>
        <row r="103">
          <cell r="B103" t="str">
            <v>N</v>
          </cell>
        </row>
        <row r="104">
          <cell r="B104" t="str">
            <v>D</v>
          </cell>
        </row>
        <row r="105">
          <cell r="B105" t="str">
            <v>E</v>
          </cell>
        </row>
        <row r="106">
          <cell r="B106" t="str">
            <v>F</v>
          </cell>
        </row>
        <row r="107">
          <cell r="B107" t="str">
            <v>M</v>
          </cell>
        </row>
        <row r="108">
          <cell r="B108" t="str">
            <v>A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9"/>
      <sheetName val="Chart2"/>
      <sheetName val="Chart3"/>
      <sheetName val="Chart1"/>
      <sheetName val="BOP-RED40"/>
      <sheetName val="RED41"/>
      <sheetName val="RED42"/>
      <sheetName val="RED43"/>
      <sheetName val="RED44"/>
      <sheetName val="RED45"/>
      <sheetName val="RED46"/>
      <sheetName val="RED47"/>
      <sheetName val="RED48"/>
      <sheetName val="RED49"/>
      <sheetName val="RED51"/>
      <sheetName val="RED50"/>
      <sheetName val="Chart4"/>
      <sheetName val="Chart5"/>
      <sheetName val="Chart6"/>
      <sheetName val="Chart7"/>
      <sheetName val="Chart8"/>
      <sheetName val="Sheet1"/>
      <sheetName val="#REF"/>
      <sheetName val="Table3"/>
      <sheetName val="IMATA"/>
      <sheetName val="Dsrv"/>
      <sheetName val="Dboj"/>
      <sheetName val="Dgg"/>
      <sheetName val="Dgo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">
          <cell r="A1" t="str">
            <v>Table  47.  Ecuador: External Debt 1/</v>
          </cell>
        </row>
        <row r="5">
          <cell r="D5">
            <v>1992</v>
          </cell>
          <cell r="E5">
            <v>1993</v>
          </cell>
          <cell r="F5">
            <v>1994</v>
          </cell>
          <cell r="G5">
            <v>1995</v>
          </cell>
          <cell r="H5">
            <v>1996</v>
          </cell>
          <cell r="I5">
            <v>1997</v>
          </cell>
        </row>
        <row r="8">
          <cell r="A8" t="str">
            <v>(In millions of U.S. dollars)</v>
          </cell>
        </row>
        <row r="10">
          <cell r="A10" t="str">
            <v>Total debt</v>
          </cell>
          <cell r="D10">
            <v>12795</v>
          </cell>
          <cell r="E10">
            <v>13631</v>
          </cell>
          <cell r="F10">
            <v>14589</v>
          </cell>
          <cell r="G10">
            <v>13934</v>
          </cell>
          <cell r="H10">
            <v>14589</v>
          </cell>
          <cell r="I10">
            <v>15198.139999999998</v>
          </cell>
        </row>
        <row r="11">
          <cell r="A11" t="str">
            <v>Private sector</v>
          </cell>
          <cell r="D11">
            <v>800</v>
          </cell>
          <cell r="E11">
            <v>606</v>
          </cell>
          <cell r="F11">
            <v>832</v>
          </cell>
          <cell r="G11">
            <v>1555</v>
          </cell>
          <cell r="H11">
            <v>1958</v>
          </cell>
          <cell r="I11">
            <v>2520.1170000000002</v>
          </cell>
        </row>
        <row r="12">
          <cell r="A12" t="str">
            <v>Public sector</v>
          </cell>
          <cell r="D12">
            <v>11995</v>
          </cell>
          <cell r="E12">
            <v>13025</v>
          </cell>
          <cell r="F12">
            <v>13757</v>
          </cell>
          <cell r="G12">
            <v>12379</v>
          </cell>
          <cell r="H12">
            <v>12631</v>
          </cell>
          <cell r="I12">
            <v>12678.022999999997</v>
          </cell>
        </row>
        <row r="13">
          <cell r="A13" t="str">
            <v xml:space="preserve">   Nonfinancial public sector</v>
          </cell>
          <cell r="D13">
            <v>10611</v>
          </cell>
          <cell r="E13">
            <v>12397</v>
          </cell>
          <cell r="F13">
            <v>12986</v>
          </cell>
          <cell r="G13">
            <v>11597</v>
          </cell>
          <cell r="H13">
            <v>11669</v>
          </cell>
          <cell r="I13">
            <v>11880.722999999998</v>
          </cell>
        </row>
        <row r="14">
          <cell r="A14" t="str">
            <v xml:space="preserve">   Financial public sector</v>
          </cell>
          <cell r="D14">
            <v>1384</v>
          </cell>
          <cell r="E14">
            <v>628</v>
          </cell>
          <cell r="F14">
            <v>771</v>
          </cell>
          <cell r="G14">
            <v>782</v>
          </cell>
          <cell r="H14">
            <v>962</v>
          </cell>
          <cell r="I14">
            <v>797.3</v>
          </cell>
        </row>
        <row r="16">
          <cell r="A16" t="str">
            <v>Total debt</v>
          </cell>
          <cell r="D16">
            <v>12795</v>
          </cell>
          <cell r="E16">
            <v>13631</v>
          </cell>
          <cell r="F16">
            <v>14589</v>
          </cell>
          <cell r="G16">
            <v>13934</v>
          </cell>
          <cell r="H16">
            <v>14589</v>
          </cell>
          <cell r="I16">
            <v>15198.139999999998</v>
          </cell>
        </row>
        <row r="17">
          <cell r="A17" t="str">
            <v>Multilaterals</v>
          </cell>
          <cell r="D17">
            <v>2463</v>
          </cell>
          <cell r="E17">
            <v>2572</v>
          </cell>
          <cell r="F17">
            <v>2928</v>
          </cell>
          <cell r="G17">
            <v>3563</v>
          </cell>
          <cell r="H17">
            <v>3564</v>
          </cell>
          <cell r="I17">
            <v>3479.0499999999997</v>
          </cell>
        </row>
        <row r="18">
          <cell r="A18" t="str">
            <v>Bilaterals</v>
          </cell>
          <cell r="D18">
            <v>2124</v>
          </cell>
          <cell r="E18">
            <v>2200</v>
          </cell>
          <cell r="F18">
            <v>2277</v>
          </cell>
          <cell r="G18">
            <v>2329</v>
          </cell>
          <cell r="H18">
            <v>2345</v>
          </cell>
          <cell r="I18">
            <v>2353.3729999999996</v>
          </cell>
        </row>
        <row r="19">
          <cell r="A19" t="str">
            <v>Commercial banks</v>
          </cell>
          <cell r="D19">
            <v>7895</v>
          </cell>
          <cell r="E19">
            <v>8620</v>
          </cell>
          <cell r="F19">
            <v>9191</v>
          </cell>
          <cell r="G19">
            <v>7910</v>
          </cell>
          <cell r="H19">
            <v>8574</v>
          </cell>
          <cell r="I19">
            <v>9300.7170000000006</v>
          </cell>
        </row>
        <row r="20">
          <cell r="A20" t="str">
            <v xml:space="preserve">Suppliers </v>
          </cell>
          <cell r="D20">
            <v>313</v>
          </cell>
          <cell r="E20">
            <v>239</v>
          </cell>
          <cell r="F20">
            <v>193</v>
          </cell>
          <cell r="G20">
            <v>132</v>
          </cell>
          <cell r="H20">
            <v>106</v>
          </cell>
          <cell r="I20">
            <v>65</v>
          </cell>
        </row>
        <row r="22">
          <cell r="A22" t="str">
            <v>(Shares in percent of total)</v>
          </cell>
        </row>
        <row r="24">
          <cell r="A24" t="str">
            <v>Total debt</v>
          </cell>
          <cell r="D24">
            <v>100</v>
          </cell>
          <cell r="E24">
            <v>100</v>
          </cell>
          <cell r="F24">
            <v>100</v>
          </cell>
          <cell r="G24">
            <v>100</v>
          </cell>
          <cell r="H24">
            <v>100</v>
          </cell>
          <cell r="I24">
            <v>100</v>
          </cell>
        </row>
        <row r="25">
          <cell r="A25" t="str">
            <v>Private sector</v>
          </cell>
          <cell r="D25">
            <v>6.2524423602969907</v>
          </cell>
          <cell r="E25">
            <v>4.4457486611400485</v>
          </cell>
          <cell r="F25">
            <v>5.7029268627047776</v>
          </cell>
          <cell r="G25">
            <v>11.159753121860199</v>
          </cell>
          <cell r="H25">
            <v>13.421070669682639</v>
          </cell>
          <cell r="I25">
            <v>16.581746187362405</v>
          </cell>
        </row>
        <row r="26">
          <cell r="A26" t="str">
            <v>Public sector</v>
          </cell>
          <cell r="D26">
            <v>93.747557639703004</v>
          </cell>
          <cell r="E26">
            <v>95.554251338859956</v>
          </cell>
          <cell r="F26">
            <v>94.297073137295214</v>
          </cell>
          <cell r="G26">
            <v>88.840246878139808</v>
          </cell>
          <cell r="H26">
            <v>86.578929330317365</v>
          </cell>
          <cell r="I26">
            <v>83.418253812637602</v>
          </cell>
        </row>
        <row r="27">
          <cell r="A27" t="str">
            <v xml:space="preserve">   Nonfinancial public sector</v>
          </cell>
          <cell r="D27">
            <v>82.930832356389217</v>
          </cell>
          <cell r="E27">
            <v>90.947105861638917</v>
          </cell>
          <cell r="F27">
            <v>89.012269518130097</v>
          </cell>
          <cell r="G27">
            <v>83.228075211712365</v>
          </cell>
          <cell r="H27">
            <v>79.984920145314959</v>
          </cell>
          <cell r="I27">
            <v>78.172217126569436</v>
          </cell>
        </row>
        <row r="28">
          <cell r="A28" t="str">
            <v xml:space="preserve">   Financial public sector</v>
          </cell>
          <cell r="D28">
            <v>10.816725283313794</v>
          </cell>
          <cell r="E28">
            <v>4.6071454772210405</v>
          </cell>
          <cell r="F28">
            <v>5.2848036191651246</v>
          </cell>
          <cell r="G28">
            <v>5.6121716664274439</v>
          </cell>
          <cell r="H28">
            <v>6.594009185002399</v>
          </cell>
          <cell r="I28">
            <v>5.2460366860681642</v>
          </cell>
        </row>
        <row r="30">
          <cell r="A30" t="str">
            <v>Total debt</v>
          </cell>
          <cell r="D30">
            <v>100</v>
          </cell>
          <cell r="E30">
            <v>100</v>
          </cell>
          <cell r="F30">
            <v>100</v>
          </cell>
          <cell r="G30">
            <v>100</v>
          </cell>
          <cell r="H30">
            <v>100</v>
          </cell>
          <cell r="I30">
            <v>100</v>
          </cell>
        </row>
        <row r="31">
          <cell r="A31" t="str">
            <v>Multilaterals</v>
          </cell>
          <cell r="D31">
            <v>19.24970691676436</v>
          </cell>
          <cell r="E31">
            <v>18.868755043650502</v>
          </cell>
          <cell r="F31">
            <v>20.069915689903354</v>
          </cell>
          <cell r="G31">
            <v>25.570546863786419</v>
          </cell>
          <cell r="H31">
            <v>24.429364589759409</v>
          </cell>
          <cell r="I31">
            <v>22.891288012875261</v>
          </cell>
        </row>
        <row r="32">
          <cell r="A32" t="str">
            <v>Bilaterals</v>
          </cell>
          <cell r="D32">
            <v>16.60023446658851</v>
          </cell>
          <cell r="E32">
            <v>16.139681608099185</v>
          </cell>
          <cell r="F32">
            <v>15.607649599012955</v>
          </cell>
          <cell r="G32">
            <v>16.714511267403473</v>
          </cell>
          <cell r="H32">
            <v>16.073754198368633</v>
          </cell>
          <cell r="I32">
            <v>15.484611932775985</v>
          </cell>
        </row>
        <row r="33">
          <cell r="A33" t="str">
            <v>Commercial banks</v>
          </cell>
          <cell r="D33">
            <v>61.703790543180922</v>
          </cell>
          <cell r="E33">
            <v>63.238207028097712</v>
          </cell>
          <cell r="F33">
            <v>62.999520186441835</v>
          </cell>
          <cell r="G33">
            <v>56.767618774221326</v>
          </cell>
          <cell r="H33">
            <v>58.770306395229277</v>
          </cell>
          <cell r="I33">
            <v>61.196416140396138</v>
          </cell>
        </row>
        <row r="34">
          <cell r="A34" t="str">
            <v xml:space="preserve">Suppliers </v>
          </cell>
          <cell r="D34">
            <v>2.4462680734661979</v>
          </cell>
          <cell r="E34">
            <v>1.7533563201525932</v>
          </cell>
          <cell r="F34">
            <v>1.3229145246418534</v>
          </cell>
          <cell r="G34">
            <v>0.94732309458877562</v>
          </cell>
          <cell r="H34">
            <v>0.72657481664267598</v>
          </cell>
          <cell r="I34">
            <v>0.4276839139526285</v>
          </cell>
        </row>
        <row r="36">
          <cell r="A36" t="str">
            <v>(In percent of GDP)</v>
          </cell>
        </row>
        <row r="38">
          <cell r="A38" t="str">
            <v>Total debt</v>
          </cell>
          <cell r="D38">
            <v>105.6</v>
          </cell>
          <cell r="E38">
            <v>95.294350296892645</v>
          </cell>
          <cell r="F38">
            <v>87.854751631120109</v>
          </cell>
          <cell r="G38">
            <v>77.658463210520594</v>
          </cell>
          <cell r="H38">
            <v>76.15493031267944</v>
          </cell>
          <cell r="I38">
            <v>76.913663967611328</v>
          </cell>
        </row>
        <row r="39">
          <cell r="A39" t="str">
            <v>Private sector</v>
          </cell>
          <cell r="D39">
            <v>6.6025791324736218</v>
          </cell>
          <cell r="E39">
            <v>4.2365473024662128</v>
          </cell>
          <cell r="F39">
            <v>5.0102922309337128</v>
          </cell>
          <cell r="G39">
            <v>8.6664927725247249</v>
          </cell>
          <cell r="H39">
            <v>10.220807015712273</v>
          </cell>
          <cell r="I39">
            <v>12.753628542510123</v>
          </cell>
        </row>
        <row r="40">
          <cell r="A40" t="str">
            <v>Public sector</v>
          </cell>
          <cell r="D40">
            <v>98.997420867526372</v>
          </cell>
          <cell r="E40">
            <v>91.057802994426424</v>
          </cell>
          <cell r="F40">
            <v>82.844459400186395</v>
          </cell>
          <cell r="G40">
            <v>68.991970437995874</v>
          </cell>
          <cell r="H40">
            <v>65.934123296967158</v>
          </cell>
          <cell r="I40">
            <v>64.160035425101199</v>
          </cell>
        </row>
        <row r="41">
          <cell r="A41" t="str">
            <v xml:space="preserve">   Nonfinancial public sector</v>
          </cell>
          <cell r="D41">
            <v>87.574958968347005</v>
          </cell>
          <cell r="E41">
            <v>86.667453644675959</v>
          </cell>
          <cell r="F41">
            <v>78.201508306376425</v>
          </cell>
          <cell r="G41">
            <v>64.63364416911206</v>
          </cell>
          <cell r="H41">
            <v>60.912460197316896</v>
          </cell>
          <cell r="I41">
            <v>58.415385234165257</v>
          </cell>
        </row>
        <row r="42">
          <cell r="A42" t="str">
            <v xml:space="preserve">   Financial public sector</v>
          </cell>
          <cell r="D42">
            <v>11.422461899179366</v>
          </cell>
          <cell r="E42">
            <v>4.3903493497504646</v>
          </cell>
          <cell r="F42">
            <v>4.642951093809967</v>
          </cell>
          <cell r="G42">
            <v>4.3583262688838174</v>
          </cell>
          <cell r="H42">
            <v>5.0216630996502589</v>
          </cell>
          <cell r="I42">
            <v>5.7446501909359462</v>
          </cell>
        </row>
        <row r="44">
          <cell r="A44" t="str">
            <v>Total debt</v>
          </cell>
          <cell r="D44">
            <v>105.6</v>
          </cell>
          <cell r="E44">
            <v>95.294350296892645</v>
          </cell>
          <cell r="F44">
            <v>87.854751631120109</v>
          </cell>
          <cell r="G44">
            <v>77.658463210520594</v>
          </cell>
          <cell r="H44">
            <v>76.15493031267944</v>
          </cell>
          <cell r="I44">
            <v>76.913663967611328</v>
          </cell>
        </row>
        <row r="45">
          <cell r="A45" t="str">
            <v>Multilaterals</v>
          </cell>
          <cell r="D45">
            <v>20.327690504103163</v>
          </cell>
          <cell r="E45">
            <v>17.980857527958907</v>
          </cell>
          <cell r="F45">
            <v>17.632374581939796</v>
          </cell>
          <cell r="G45">
            <v>19.857693728942508</v>
          </cell>
          <cell r="H45">
            <v>18.604165579161663</v>
          </cell>
          <cell r="I45">
            <v>17.60652834008097</v>
          </cell>
        </row>
        <row r="46">
          <cell r="A46" t="str">
            <v>Bilaterals</v>
          </cell>
          <cell r="D46">
            <v>17.529847596717467</v>
          </cell>
          <cell r="E46">
            <v>15.380204728425193</v>
          </cell>
          <cell r="F46">
            <v>13.712061790668345</v>
          </cell>
          <cell r="G46">
            <v>12.980232583414846</v>
          </cell>
          <cell r="H46">
            <v>12.240956308399019</v>
          </cell>
          <cell r="I46">
            <v>11.909782388663965</v>
          </cell>
        </row>
        <row r="47">
          <cell r="A47" t="str">
            <v>Commercial banks</v>
          </cell>
          <cell r="D47">
            <v>65.159202813599052</v>
          </cell>
          <cell r="E47">
            <v>60.262438526829627</v>
          </cell>
          <cell r="F47">
            <v>55.348071988595862</v>
          </cell>
          <cell r="G47">
            <v>44.084860341267259</v>
          </cell>
          <cell r="H47">
            <v>44.756485879835054</v>
          </cell>
          <cell r="I47">
            <v>47.068405870445339</v>
          </cell>
        </row>
        <row r="48">
          <cell r="A48" t="str">
            <v xml:space="preserve">Suppliers </v>
          </cell>
          <cell r="D48">
            <v>2.5832590855803046</v>
          </cell>
          <cell r="E48">
            <v>1.6708495136789188</v>
          </cell>
          <cell r="F48">
            <v>1.1622432699161138</v>
          </cell>
          <cell r="G48">
            <v>0.73567655689598965</v>
          </cell>
          <cell r="H48">
            <v>0.55332254528370828</v>
          </cell>
          <cell r="I48">
            <v>0.3289473684210526</v>
          </cell>
        </row>
        <row r="51">
          <cell r="A51" t="str">
            <v xml:space="preserve">   Sources: Central Bank of Ecuador; and Fund staff estimates.</v>
          </cell>
        </row>
        <row r="53">
          <cell r="A53" t="str">
            <v xml:space="preserve">   1/ Including unpaid late interest and outstanding obligations to the Fund.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síða"/>
      <sheetName val="Nýtt yfirlit 1"/>
      <sheetName val="Y2"/>
      <sheetName val="Y3"/>
      <sheetName val="Y4"/>
      <sheetName val="Y5"/>
      <sheetName val="Y6"/>
      <sheetName val="Y7"/>
      <sheetName val="Y8"/>
      <sheetName val="Y13"/>
      <sheetName val="MANUDUR"/>
      <sheetName val="Áætlun"/>
      <sheetName val="EFN_MMB_"/>
      <sheetName val="EFN_HMB_"/>
      <sheetName val="EFN_MAN_"/>
      <sheetName val="Efn_FA"/>
      <sheetName val="EFN_F2"/>
      <sheetName val="Efn_fa_h"/>
      <sheetName val="EFN_FAL"/>
      <sheetName val="efn_f2l"/>
      <sheetName val="mal"/>
      <sheetName val="mal_fa"/>
      <sheetName val="Fjárlög_sund"/>
      <sheetName val="tegsun"/>
      <sheetName val="Tegsun_fyrra"/>
      <sheetName val="Fjarh_man"/>
      <sheetName val="TEKJUR"/>
      <sheetName val="TEKJUR_M"/>
      <sheetName val="TEKJU_FA"/>
      <sheetName val="Fjárheimild mánaða tekjur"/>
      <sheetName val="FJARLTEK"/>
      <sheetName val="Efnahagu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>
        <row r="1">
          <cell r="A1" t="str">
            <v>RADUNEYTI</v>
          </cell>
          <cell r="B1" t="str">
            <v>STOFNUN</v>
          </cell>
          <cell r="C1" t="str">
            <v>Vidf</v>
          </cell>
          <cell r="D1" t="str">
            <v>Teg</v>
          </cell>
          <cell r="E1" t="str">
            <v>man</v>
          </cell>
          <cell r="F1" t="str">
            <v>sam</v>
          </cell>
        </row>
        <row r="2">
          <cell r="A2">
            <v>0</v>
          </cell>
          <cell r="B2">
            <v>101</v>
          </cell>
          <cell r="C2">
            <v>1</v>
          </cell>
          <cell r="D2">
            <v>4</v>
          </cell>
          <cell r="E2">
            <v>0</v>
          </cell>
          <cell r="F2">
            <v>-0.701878</v>
          </cell>
        </row>
        <row r="3">
          <cell r="A3">
            <v>0</v>
          </cell>
          <cell r="B3">
            <v>101</v>
          </cell>
          <cell r="C3">
            <v>1</v>
          </cell>
          <cell r="D3">
            <v>51</v>
          </cell>
          <cell r="E3">
            <v>9.2080739999999999</v>
          </cell>
          <cell r="F3">
            <v>27.211012</v>
          </cell>
        </row>
        <row r="4">
          <cell r="A4">
            <v>0</v>
          </cell>
          <cell r="B4">
            <v>101</v>
          </cell>
          <cell r="C4">
            <v>1</v>
          </cell>
          <cell r="D4">
            <v>52</v>
          </cell>
          <cell r="E4">
            <v>2.2988270000000002</v>
          </cell>
          <cell r="F4">
            <v>10.970922</v>
          </cell>
        </row>
        <row r="5">
          <cell r="A5">
            <v>0</v>
          </cell>
          <cell r="B5">
            <v>201</v>
          </cell>
          <cell r="C5">
            <v>1</v>
          </cell>
          <cell r="D5">
            <v>4</v>
          </cell>
          <cell r="E5">
            <v>-1.3762620000000001</v>
          </cell>
          <cell r="F5">
            <v>-3.6781100000000002</v>
          </cell>
        </row>
        <row r="6">
          <cell r="A6">
            <v>0</v>
          </cell>
          <cell r="B6">
            <v>201</v>
          </cell>
          <cell r="C6">
            <v>1</v>
          </cell>
          <cell r="D6">
            <v>51</v>
          </cell>
          <cell r="E6">
            <v>109.061683</v>
          </cell>
          <cell r="F6">
            <v>331.60488600000002</v>
          </cell>
        </row>
        <row r="7">
          <cell r="A7">
            <v>0</v>
          </cell>
          <cell r="B7">
            <v>201</v>
          </cell>
          <cell r="C7">
            <v>1</v>
          </cell>
          <cell r="D7">
            <v>52</v>
          </cell>
          <cell r="E7">
            <v>56.027605999999999</v>
          </cell>
          <cell r="F7">
            <v>205.275137</v>
          </cell>
        </row>
        <row r="8">
          <cell r="A8">
            <v>0</v>
          </cell>
          <cell r="B8">
            <v>201</v>
          </cell>
          <cell r="C8">
            <v>1</v>
          </cell>
          <cell r="D8">
            <v>591</v>
          </cell>
          <cell r="E8">
            <v>0</v>
          </cell>
          <cell r="F8">
            <v>19.307569999999998</v>
          </cell>
        </row>
        <row r="9">
          <cell r="A9">
            <v>0</v>
          </cell>
          <cell r="B9">
            <v>201</v>
          </cell>
          <cell r="C9">
            <v>5</v>
          </cell>
          <cell r="D9">
            <v>52</v>
          </cell>
          <cell r="E9">
            <v>0</v>
          </cell>
          <cell r="F9">
            <v>1.272154</v>
          </cell>
        </row>
        <row r="10">
          <cell r="A10">
            <v>0</v>
          </cell>
          <cell r="B10">
            <v>201</v>
          </cell>
          <cell r="C10">
            <v>6</v>
          </cell>
          <cell r="D10">
            <v>52</v>
          </cell>
          <cell r="E10">
            <v>4.1191839999999997</v>
          </cell>
          <cell r="F10">
            <v>9.9810179999999988</v>
          </cell>
        </row>
        <row r="11">
          <cell r="A11">
            <v>0</v>
          </cell>
          <cell r="B11">
            <v>207</v>
          </cell>
          <cell r="C11">
            <v>1</v>
          </cell>
          <cell r="D11">
            <v>51</v>
          </cell>
          <cell r="E11">
            <v>11.797352999999999</v>
          </cell>
          <cell r="F11">
            <v>35.330008999999997</v>
          </cell>
        </row>
        <row r="12">
          <cell r="A12">
            <v>0</v>
          </cell>
          <cell r="B12">
            <v>207</v>
          </cell>
          <cell r="C12">
            <v>1</v>
          </cell>
          <cell r="D12">
            <v>52</v>
          </cell>
          <cell r="E12">
            <v>4.3184649999999998</v>
          </cell>
          <cell r="F12">
            <v>21.852788</v>
          </cell>
        </row>
        <row r="13">
          <cell r="A13">
            <v>0</v>
          </cell>
          <cell r="B13">
            <v>301</v>
          </cell>
          <cell r="C13">
            <v>1</v>
          </cell>
          <cell r="D13">
            <v>51</v>
          </cell>
          <cell r="E13">
            <v>15.586786999999999</v>
          </cell>
          <cell r="F13">
            <v>47.573709999999998</v>
          </cell>
        </row>
        <row r="14">
          <cell r="A14">
            <v>0</v>
          </cell>
          <cell r="B14">
            <v>401</v>
          </cell>
          <cell r="C14">
            <v>1</v>
          </cell>
          <cell r="D14">
            <v>51</v>
          </cell>
          <cell r="E14">
            <v>10.225578000000001</v>
          </cell>
          <cell r="F14">
            <v>30.062118999999999</v>
          </cell>
        </row>
        <row r="15">
          <cell r="A15">
            <v>0</v>
          </cell>
          <cell r="B15">
            <v>401</v>
          </cell>
          <cell r="C15">
            <v>1</v>
          </cell>
          <cell r="D15">
            <v>52</v>
          </cell>
          <cell r="E15">
            <v>0</v>
          </cell>
          <cell r="F15">
            <v>0.122671</v>
          </cell>
        </row>
        <row r="16">
          <cell r="A16">
            <v>0</v>
          </cell>
          <cell r="B16">
            <v>610</v>
          </cell>
          <cell r="C16">
            <v>1</v>
          </cell>
          <cell r="D16">
            <v>51</v>
          </cell>
          <cell r="E16">
            <v>6.1633089999999999</v>
          </cell>
          <cell r="F16">
            <v>19.060234999999999</v>
          </cell>
        </row>
        <row r="17">
          <cell r="A17">
            <v>0</v>
          </cell>
          <cell r="B17">
            <v>610</v>
          </cell>
          <cell r="C17">
            <v>1</v>
          </cell>
          <cell r="D17">
            <v>52</v>
          </cell>
          <cell r="E17">
            <v>1.84199</v>
          </cell>
          <cell r="F17">
            <v>4.9297950000000004</v>
          </cell>
        </row>
        <row r="18">
          <cell r="A18">
            <v>0</v>
          </cell>
          <cell r="B18">
            <v>620</v>
          </cell>
          <cell r="C18">
            <v>1</v>
          </cell>
          <cell r="D18">
            <v>4</v>
          </cell>
          <cell r="E18">
            <v>0</v>
          </cell>
          <cell r="F18">
            <v>-23.146118000000001</v>
          </cell>
        </row>
        <row r="19">
          <cell r="A19">
            <v>0</v>
          </cell>
          <cell r="B19">
            <v>620</v>
          </cell>
          <cell r="C19">
            <v>1</v>
          </cell>
          <cell r="D19">
            <v>51</v>
          </cell>
          <cell r="E19">
            <v>28.156939999999999</v>
          </cell>
          <cell r="F19">
            <v>84.236825999999994</v>
          </cell>
        </row>
        <row r="20">
          <cell r="A20">
            <v>0</v>
          </cell>
          <cell r="B20">
            <v>620</v>
          </cell>
          <cell r="C20">
            <v>1</v>
          </cell>
          <cell r="D20">
            <v>52</v>
          </cell>
          <cell r="E20">
            <v>6.7599689999999999</v>
          </cell>
          <cell r="F20">
            <v>36.646839</v>
          </cell>
        </row>
        <row r="21">
          <cell r="A21">
            <v>0</v>
          </cell>
          <cell r="B21">
            <v>620</v>
          </cell>
          <cell r="C21">
            <v>1</v>
          </cell>
          <cell r="D21">
            <v>591</v>
          </cell>
          <cell r="E21">
            <v>0</v>
          </cell>
          <cell r="F21">
            <v>6.2249999999999996E-3</v>
          </cell>
        </row>
        <row r="22">
          <cell r="A22">
            <v>1</v>
          </cell>
          <cell r="B22">
            <v>1101</v>
          </cell>
          <cell r="C22">
            <v>1</v>
          </cell>
          <cell r="D22">
            <v>4</v>
          </cell>
          <cell r="E22">
            <v>-0.123476</v>
          </cell>
          <cell r="F22">
            <v>-0.123476</v>
          </cell>
        </row>
        <row r="23">
          <cell r="A23">
            <v>1</v>
          </cell>
          <cell r="B23">
            <v>1101</v>
          </cell>
          <cell r="C23">
            <v>1</v>
          </cell>
          <cell r="D23">
            <v>51</v>
          </cell>
          <cell r="E23">
            <v>16.581368000000001</v>
          </cell>
          <cell r="F23">
            <v>47.910040000000002</v>
          </cell>
        </row>
        <row r="24">
          <cell r="A24">
            <v>1</v>
          </cell>
          <cell r="B24">
            <v>1101</v>
          </cell>
          <cell r="C24">
            <v>1</v>
          </cell>
          <cell r="D24">
            <v>52</v>
          </cell>
          <cell r="E24">
            <v>3.9316140000000002</v>
          </cell>
          <cell r="F24">
            <v>15.673632999999999</v>
          </cell>
        </row>
        <row r="25">
          <cell r="A25">
            <v>1</v>
          </cell>
          <cell r="B25">
            <v>1101</v>
          </cell>
          <cell r="C25">
            <v>1</v>
          </cell>
          <cell r="D25">
            <v>591</v>
          </cell>
          <cell r="E25">
            <v>4.0000000000000001E-3</v>
          </cell>
          <cell r="F25">
            <v>4.0000000000000001E-3</v>
          </cell>
        </row>
        <row r="26">
          <cell r="A26">
            <v>1</v>
          </cell>
          <cell r="B26">
            <v>1190</v>
          </cell>
          <cell r="C26">
            <v>1</v>
          </cell>
          <cell r="D26">
            <v>51</v>
          </cell>
          <cell r="E26">
            <v>1.694145</v>
          </cell>
          <cell r="F26">
            <v>6.7242160000000002</v>
          </cell>
        </row>
        <row r="27">
          <cell r="A27">
            <v>1</v>
          </cell>
          <cell r="B27">
            <v>1190</v>
          </cell>
          <cell r="C27">
            <v>1</v>
          </cell>
          <cell r="D27">
            <v>52</v>
          </cell>
          <cell r="E27">
            <v>7.908976</v>
          </cell>
          <cell r="F27">
            <v>26.977376</v>
          </cell>
        </row>
        <row r="28">
          <cell r="A28">
            <v>1</v>
          </cell>
          <cell r="B28">
            <v>1190</v>
          </cell>
          <cell r="C28">
            <v>1</v>
          </cell>
          <cell r="D28">
            <v>591</v>
          </cell>
          <cell r="E28">
            <v>5.5848339999999999</v>
          </cell>
          <cell r="F28">
            <v>33.584834000000001</v>
          </cell>
        </row>
        <row r="29">
          <cell r="A29">
            <v>1</v>
          </cell>
          <cell r="B29">
            <v>1201</v>
          </cell>
          <cell r="C29">
            <v>1</v>
          </cell>
          <cell r="D29">
            <v>51</v>
          </cell>
          <cell r="E29">
            <v>1.141875</v>
          </cell>
          <cell r="F29">
            <v>3.4250470000000002</v>
          </cell>
        </row>
        <row r="30">
          <cell r="A30">
            <v>1</v>
          </cell>
          <cell r="B30">
            <v>1201</v>
          </cell>
          <cell r="C30">
            <v>1</v>
          </cell>
          <cell r="D30">
            <v>52</v>
          </cell>
          <cell r="E30">
            <v>2.1211769999999999</v>
          </cell>
          <cell r="F30">
            <v>7.3210810000000004</v>
          </cell>
        </row>
        <row r="31">
          <cell r="A31">
            <v>1</v>
          </cell>
          <cell r="B31">
            <v>1201</v>
          </cell>
          <cell r="C31">
            <v>5</v>
          </cell>
          <cell r="D31">
            <v>52</v>
          </cell>
          <cell r="E31">
            <v>0.83358900000000002</v>
          </cell>
          <cell r="F31">
            <v>2.9947840000000001</v>
          </cell>
        </row>
        <row r="32">
          <cell r="A32">
            <v>1</v>
          </cell>
          <cell r="B32">
            <v>1203</v>
          </cell>
          <cell r="C32">
            <v>1</v>
          </cell>
          <cell r="D32">
            <v>51</v>
          </cell>
          <cell r="E32">
            <v>0.58080699999999996</v>
          </cell>
          <cell r="F32">
            <v>1.7437469999999999</v>
          </cell>
        </row>
        <row r="33">
          <cell r="A33">
            <v>1</v>
          </cell>
          <cell r="B33">
            <v>1203</v>
          </cell>
          <cell r="C33">
            <v>1</v>
          </cell>
          <cell r="D33">
            <v>52</v>
          </cell>
          <cell r="E33">
            <v>0</v>
          </cell>
          <cell r="F33">
            <v>1.5334E-2</v>
          </cell>
        </row>
        <row r="34">
          <cell r="A34">
            <v>1</v>
          </cell>
          <cell r="B34">
            <v>1203</v>
          </cell>
          <cell r="C34">
            <v>6</v>
          </cell>
          <cell r="D34">
            <v>52</v>
          </cell>
          <cell r="E34">
            <v>0</v>
          </cell>
          <cell r="F34">
            <v>6.2550999999999995E-2</v>
          </cell>
        </row>
        <row r="35">
          <cell r="A35">
            <v>1</v>
          </cell>
          <cell r="B35">
            <v>1231</v>
          </cell>
          <cell r="C35">
            <v>1</v>
          </cell>
          <cell r="D35">
            <v>52</v>
          </cell>
          <cell r="E35">
            <v>-2.9982000000000002E-2</v>
          </cell>
          <cell r="F35">
            <v>0</v>
          </cell>
        </row>
        <row r="36">
          <cell r="A36">
            <v>1</v>
          </cell>
          <cell r="B36">
            <v>1241</v>
          </cell>
          <cell r="C36">
            <v>1</v>
          </cell>
          <cell r="D36">
            <v>4</v>
          </cell>
          <cell r="E36">
            <v>0</v>
          </cell>
          <cell r="F36">
            <v>0.112175</v>
          </cell>
        </row>
        <row r="37">
          <cell r="A37">
            <v>1</v>
          </cell>
          <cell r="B37">
            <v>1241</v>
          </cell>
          <cell r="C37">
            <v>1</v>
          </cell>
          <cell r="D37">
            <v>51</v>
          </cell>
          <cell r="E37">
            <v>1.700785</v>
          </cell>
          <cell r="F37">
            <v>5.143351</v>
          </cell>
        </row>
        <row r="38">
          <cell r="A38">
            <v>1</v>
          </cell>
          <cell r="B38">
            <v>1241</v>
          </cell>
          <cell r="C38">
            <v>1</v>
          </cell>
          <cell r="D38">
            <v>52</v>
          </cell>
          <cell r="E38">
            <v>0.37980700000000001</v>
          </cell>
          <cell r="F38">
            <v>1.5185249999999999</v>
          </cell>
        </row>
        <row r="39">
          <cell r="A39">
            <v>1</v>
          </cell>
          <cell r="B39">
            <v>1261</v>
          </cell>
          <cell r="C39">
            <v>1</v>
          </cell>
          <cell r="D39">
            <v>51</v>
          </cell>
          <cell r="E39">
            <v>0.994502</v>
          </cell>
          <cell r="F39">
            <v>3.1732130000000001</v>
          </cell>
        </row>
        <row r="40">
          <cell r="A40">
            <v>1</v>
          </cell>
          <cell r="B40">
            <v>1261</v>
          </cell>
          <cell r="C40">
            <v>1</v>
          </cell>
          <cell r="D40">
            <v>52</v>
          </cell>
          <cell r="E40">
            <v>1.755973</v>
          </cell>
          <cell r="F40">
            <v>2.7554270000000001</v>
          </cell>
        </row>
        <row r="41">
          <cell r="A41">
            <v>1</v>
          </cell>
          <cell r="B41">
            <v>1271</v>
          </cell>
          <cell r="C41">
            <v>1</v>
          </cell>
          <cell r="D41">
            <v>4</v>
          </cell>
          <cell r="E41">
            <v>-0.25</v>
          </cell>
          <cell r="F41">
            <v>-3.4039220000000001</v>
          </cell>
        </row>
        <row r="42">
          <cell r="A42">
            <v>1</v>
          </cell>
          <cell r="B42">
            <v>1271</v>
          </cell>
          <cell r="C42">
            <v>1</v>
          </cell>
          <cell r="D42">
            <v>51</v>
          </cell>
          <cell r="E42">
            <v>4.0654409999999999</v>
          </cell>
          <cell r="F42">
            <v>12.199471000000001</v>
          </cell>
        </row>
        <row r="43">
          <cell r="A43">
            <v>1</v>
          </cell>
          <cell r="B43">
            <v>1271</v>
          </cell>
          <cell r="C43">
            <v>1</v>
          </cell>
          <cell r="D43">
            <v>52</v>
          </cell>
          <cell r="E43">
            <v>1.917608</v>
          </cell>
          <cell r="F43">
            <v>4.3050110000000004</v>
          </cell>
        </row>
        <row r="44">
          <cell r="A44">
            <v>1</v>
          </cell>
          <cell r="B44">
            <v>1902</v>
          </cell>
          <cell r="C44">
            <v>1</v>
          </cell>
          <cell r="D44">
            <v>4</v>
          </cell>
          <cell r="E44">
            <v>0</v>
          </cell>
          <cell r="F44">
            <v>-1.356E-3</v>
          </cell>
        </row>
        <row r="45">
          <cell r="A45">
            <v>1</v>
          </cell>
          <cell r="B45">
            <v>1902</v>
          </cell>
          <cell r="C45">
            <v>1</v>
          </cell>
          <cell r="D45">
            <v>51</v>
          </cell>
          <cell r="E45">
            <v>2.1579079999999999</v>
          </cell>
          <cell r="F45">
            <v>6.3748180000000003</v>
          </cell>
        </row>
        <row r="46">
          <cell r="A46">
            <v>1</v>
          </cell>
          <cell r="B46">
            <v>1902</v>
          </cell>
          <cell r="C46">
            <v>1</v>
          </cell>
          <cell r="D46">
            <v>52</v>
          </cell>
          <cell r="E46">
            <v>1.7887729999999999</v>
          </cell>
          <cell r="F46">
            <v>5.9357319999999998</v>
          </cell>
        </row>
        <row r="47">
          <cell r="A47">
            <v>1</v>
          </cell>
          <cell r="B47">
            <v>1902</v>
          </cell>
          <cell r="C47">
            <v>1</v>
          </cell>
          <cell r="D47">
            <v>591</v>
          </cell>
          <cell r="E47">
            <v>0</v>
          </cell>
          <cell r="F47">
            <v>1</v>
          </cell>
        </row>
        <row r="48">
          <cell r="A48">
            <v>1</v>
          </cell>
          <cell r="B48">
            <v>1902</v>
          </cell>
          <cell r="C48">
            <v>6</v>
          </cell>
          <cell r="D48">
            <v>52</v>
          </cell>
          <cell r="E48">
            <v>0</v>
          </cell>
          <cell r="F48">
            <v>0.35166799999999998</v>
          </cell>
        </row>
        <row r="49">
          <cell r="A49">
            <v>1</v>
          </cell>
          <cell r="B49">
            <v>1996</v>
          </cell>
          <cell r="C49">
            <v>1</v>
          </cell>
          <cell r="D49">
            <v>51</v>
          </cell>
          <cell r="E49">
            <v>1.2488619999999999</v>
          </cell>
          <cell r="F49">
            <v>3.7376999999999998</v>
          </cell>
        </row>
        <row r="50">
          <cell r="A50">
            <v>1</v>
          </cell>
          <cell r="B50">
            <v>1996</v>
          </cell>
          <cell r="C50">
            <v>1</v>
          </cell>
          <cell r="D50">
            <v>52</v>
          </cell>
          <cell r="E50">
            <v>0.57017399999999996</v>
          </cell>
          <cell r="F50">
            <v>4.508864</v>
          </cell>
        </row>
        <row r="51">
          <cell r="A51">
            <v>1</v>
          </cell>
          <cell r="B51">
            <v>1996</v>
          </cell>
          <cell r="C51">
            <v>6</v>
          </cell>
          <cell r="D51">
            <v>52</v>
          </cell>
          <cell r="E51">
            <v>0.30182999999999999</v>
          </cell>
          <cell r="F51">
            <v>3.0033620000000001</v>
          </cell>
        </row>
        <row r="52">
          <cell r="A52">
            <v>2</v>
          </cell>
          <cell r="B52">
            <v>2101</v>
          </cell>
          <cell r="C52">
            <v>1</v>
          </cell>
          <cell r="D52">
            <v>4</v>
          </cell>
          <cell r="E52">
            <v>-0.03</v>
          </cell>
          <cell r="F52">
            <v>-0.03</v>
          </cell>
        </row>
        <row r="53">
          <cell r="A53">
            <v>2</v>
          </cell>
          <cell r="B53">
            <v>2101</v>
          </cell>
          <cell r="C53">
            <v>1</v>
          </cell>
          <cell r="D53">
            <v>51</v>
          </cell>
          <cell r="E53">
            <v>41.062066999999999</v>
          </cell>
          <cell r="F53">
            <v>123.507445</v>
          </cell>
        </row>
        <row r="54">
          <cell r="A54">
            <v>2</v>
          </cell>
          <cell r="B54">
            <v>2101</v>
          </cell>
          <cell r="C54">
            <v>1</v>
          </cell>
          <cell r="D54">
            <v>52</v>
          </cell>
          <cell r="E54">
            <v>9.1396739999999994</v>
          </cell>
          <cell r="F54">
            <v>29.479458000000001</v>
          </cell>
        </row>
        <row r="55">
          <cell r="A55">
            <v>2</v>
          </cell>
          <cell r="B55">
            <v>2101</v>
          </cell>
          <cell r="C55">
            <v>1</v>
          </cell>
          <cell r="D55">
            <v>591</v>
          </cell>
          <cell r="E55">
            <v>0.42620000000000002</v>
          </cell>
          <cell r="F55">
            <v>0.42620000000000002</v>
          </cell>
        </row>
        <row r="56">
          <cell r="A56">
            <v>2</v>
          </cell>
          <cell r="B56">
            <v>2201</v>
          </cell>
          <cell r="C56">
            <v>1</v>
          </cell>
          <cell r="D56">
            <v>4</v>
          </cell>
          <cell r="E56">
            <v>-276.58711299999999</v>
          </cell>
          <cell r="F56">
            <v>-678.61643700000002</v>
          </cell>
        </row>
        <row r="57">
          <cell r="A57">
            <v>2</v>
          </cell>
          <cell r="B57">
            <v>2201</v>
          </cell>
          <cell r="C57">
            <v>1</v>
          </cell>
          <cell r="D57">
            <v>51</v>
          </cell>
          <cell r="E57">
            <v>667.93155899999999</v>
          </cell>
          <cell r="F57">
            <v>1997.2610340000001</v>
          </cell>
        </row>
        <row r="58">
          <cell r="A58">
            <v>2</v>
          </cell>
          <cell r="B58">
            <v>2201</v>
          </cell>
          <cell r="C58">
            <v>1</v>
          </cell>
          <cell r="D58">
            <v>52</v>
          </cell>
          <cell r="E58">
            <v>200.84231600000001</v>
          </cell>
          <cell r="F58">
            <v>631.43194199999994</v>
          </cell>
        </row>
        <row r="59">
          <cell r="A59">
            <v>2</v>
          </cell>
          <cell r="B59">
            <v>2201</v>
          </cell>
          <cell r="C59">
            <v>1</v>
          </cell>
          <cell r="D59">
            <v>591</v>
          </cell>
          <cell r="E59">
            <v>41.738616</v>
          </cell>
          <cell r="F59">
            <v>232.65274700000001</v>
          </cell>
        </row>
        <row r="60">
          <cell r="A60">
            <v>2</v>
          </cell>
          <cell r="B60">
            <v>2201</v>
          </cell>
          <cell r="C60">
            <v>5</v>
          </cell>
          <cell r="D60">
            <v>51</v>
          </cell>
          <cell r="E60">
            <v>6.315677</v>
          </cell>
          <cell r="F60">
            <v>18.955815000000001</v>
          </cell>
        </row>
        <row r="61">
          <cell r="A61">
            <v>2</v>
          </cell>
          <cell r="B61">
            <v>2201</v>
          </cell>
          <cell r="C61">
            <v>5</v>
          </cell>
          <cell r="D61">
            <v>52</v>
          </cell>
          <cell r="E61">
            <v>13.845162</v>
          </cell>
          <cell r="F61">
            <v>35.079484999999998</v>
          </cell>
        </row>
        <row r="62">
          <cell r="A62">
            <v>2</v>
          </cell>
          <cell r="B62">
            <v>2201</v>
          </cell>
          <cell r="C62">
            <v>6</v>
          </cell>
          <cell r="D62">
            <v>4</v>
          </cell>
          <cell r="E62">
            <v>0</v>
          </cell>
          <cell r="F62">
            <v>-3.125E-2</v>
          </cell>
        </row>
        <row r="63">
          <cell r="A63">
            <v>2</v>
          </cell>
          <cell r="B63">
            <v>2201</v>
          </cell>
          <cell r="C63">
            <v>6</v>
          </cell>
          <cell r="D63">
            <v>52</v>
          </cell>
          <cell r="E63">
            <v>4.9934989999999999</v>
          </cell>
          <cell r="F63">
            <v>19.59572</v>
          </cell>
        </row>
        <row r="64">
          <cell r="A64">
            <v>2</v>
          </cell>
          <cell r="B64">
            <v>2202</v>
          </cell>
          <cell r="C64">
            <v>1</v>
          </cell>
          <cell r="D64">
            <v>4</v>
          </cell>
          <cell r="E64">
            <v>-27.405909999999999</v>
          </cell>
          <cell r="F64">
            <v>-89.522827000000007</v>
          </cell>
        </row>
        <row r="65">
          <cell r="A65">
            <v>2</v>
          </cell>
          <cell r="B65">
            <v>2202</v>
          </cell>
          <cell r="C65">
            <v>1</v>
          </cell>
          <cell r="D65">
            <v>51</v>
          </cell>
          <cell r="E65">
            <v>21.408525000000001</v>
          </cell>
          <cell r="F65">
            <v>65.370559999999998</v>
          </cell>
        </row>
        <row r="66">
          <cell r="A66">
            <v>2</v>
          </cell>
          <cell r="B66">
            <v>2202</v>
          </cell>
          <cell r="C66">
            <v>1</v>
          </cell>
          <cell r="D66">
            <v>52</v>
          </cell>
          <cell r="E66">
            <v>5.4731519999999998</v>
          </cell>
          <cell r="F66">
            <v>28.799150999999998</v>
          </cell>
        </row>
        <row r="67">
          <cell r="A67">
            <v>2</v>
          </cell>
          <cell r="B67">
            <v>2203</v>
          </cell>
          <cell r="C67">
            <v>1</v>
          </cell>
          <cell r="D67">
            <v>4</v>
          </cell>
          <cell r="E67">
            <v>-24.121953000000001</v>
          </cell>
          <cell r="F67">
            <v>-58.246360000000003</v>
          </cell>
        </row>
        <row r="68">
          <cell r="A68">
            <v>2</v>
          </cell>
          <cell r="B68">
            <v>2203</v>
          </cell>
          <cell r="C68">
            <v>1</v>
          </cell>
          <cell r="D68">
            <v>51</v>
          </cell>
          <cell r="E68">
            <v>49.782249</v>
          </cell>
          <cell r="F68">
            <v>147.55233699999999</v>
          </cell>
        </row>
        <row r="69">
          <cell r="A69">
            <v>2</v>
          </cell>
          <cell r="B69">
            <v>2203</v>
          </cell>
          <cell r="C69">
            <v>1</v>
          </cell>
          <cell r="D69">
            <v>52</v>
          </cell>
          <cell r="E69">
            <v>24.462287000000003</v>
          </cell>
          <cell r="F69">
            <v>69.187190000000001</v>
          </cell>
        </row>
        <row r="70">
          <cell r="A70">
            <v>2</v>
          </cell>
          <cell r="B70">
            <v>2203</v>
          </cell>
          <cell r="C70">
            <v>1</v>
          </cell>
          <cell r="D70">
            <v>591</v>
          </cell>
          <cell r="E70">
            <v>10.797598000000001</v>
          </cell>
          <cell r="F70">
            <v>34.81241</v>
          </cell>
        </row>
        <row r="71">
          <cell r="A71">
            <v>2</v>
          </cell>
          <cell r="B71">
            <v>2209</v>
          </cell>
          <cell r="C71">
            <v>1</v>
          </cell>
          <cell r="D71">
            <v>4</v>
          </cell>
          <cell r="E71">
            <v>-1.380169</v>
          </cell>
          <cell r="F71">
            <v>-5.45695</v>
          </cell>
        </row>
        <row r="72">
          <cell r="A72">
            <v>2</v>
          </cell>
          <cell r="B72">
            <v>2209</v>
          </cell>
          <cell r="C72">
            <v>1</v>
          </cell>
          <cell r="D72">
            <v>51</v>
          </cell>
          <cell r="E72">
            <v>19.995754999999999</v>
          </cell>
          <cell r="F72">
            <v>60.526370999999997</v>
          </cell>
        </row>
        <row r="73">
          <cell r="A73">
            <v>2</v>
          </cell>
          <cell r="B73">
            <v>2209</v>
          </cell>
          <cell r="C73">
            <v>1</v>
          </cell>
          <cell r="D73">
            <v>52</v>
          </cell>
          <cell r="E73">
            <v>4.6237599999999999</v>
          </cell>
          <cell r="F73">
            <v>14.402892999999999</v>
          </cell>
        </row>
        <row r="74">
          <cell r="A74">
            <v>2</v>
          </cell>
          <cell r="B74">
            <v>2209</v>
          </cell>
          <cell r="C74">
            <v>1</v>
          </cell>
          <cell r="D74">
            <v>591</v>
          </cell>
          <cell r="E74">
            <v>0.77090000000000003</v>
          </cell>
          <cell r="F74">
            <v>2.5932469999999999</v>
          </cell>
        </row>
        <row r="75">
          <cell r="A75">
            <v>2</v>
          </cell>
          <cell r="B75">
            <v>2210</v>
          </cell>
          <cell r="C75">
            <v>1</v>
          </cell>
          <cell r="D75">
            <v>4</v>
          </cell>
          <cell r="E75">
            <v>-25.067861000000001</v>
          </cell>
          <cell r="F75">
            <v>-75.220072000000002</v>
          </cell>
        </row>
        <row r="76">
          <cell r="A76">
            <v>2</v>
          </cell>
          <cell r="B76">
            <v>2210</v>
          </cell>
          <cell r="C76">
            <v>1</v>
          </cell>
          <cell r="D76">
            <v>51</v>
          </cell>
          <cell r="E76">
            <v>93.194248999999999</v>
          </cell>
          <cell r="F76">
            <v>278.24581999999998</v>
          </cell>
        </row>
        <row r="77">
          <cell r="A77">
            <v>2</v>
          </cell>
          <cell r="B77">
            <v>2210</v>
          </cell>
          <cell r="C77">
            <v>1</v>
          </cell>
          <cell r="D77">
            <v>52</v>
          </cell>
          <cell r="E77">
            <v>41.361964999999998</v>
          </cell>
          <cell r="F77">
            <v>96.904479999999992</v>
          </cell>
        </row>
        <row r="78">
          <cell r="A78">
            <v>2</v>
          </cell>
          <cell r="B78">
            <v>2210</v>
          </cell>
          <cell r="C78">
            <v>1</v>
          </cell>
          <cell r="D78">
            <v>591</v>
          </cell>
          <cell r="E78">
            <v>3.2712379999999999</v>
          </cell>
          <cell r="F78">
            <v>4.5959380000000003</v>
          </cell>
        </row>
        <row r="79">
          <cell r="A79">
            <v>2</v>
          </cell>
          <cell r="B79">
            <v>2216</v>
          </cell>
          <cell r="C79">
            <v>1</v>
          </cell>
          <cell r="D79">
            <v>4</v>
          </cell>
          <cell r="E79">
            <v>-10.781345</v>
          </cell>
          <cell r="F79">
            <v>-42.426867000000001</v>
          </cell>
        </row>
        <row r="80">
          <cell r="A80">
            <v>2</v>
          </cell>
          <cell r="B80">
            <v>2216</v>
          </cell>
          <cell r="C80">
            <v>1</v>
          </cell>
          <cell r="D80">
            <v>51</v>
          </cell>
          <cell r="E80">
            <v>48.159587000000002</v>
          </cell>
          <cell r="F80">
            <v>145.61725799999999</v>
          </cell>
        </row>
        <row r="81">
          <cell r="A81">
            <v>2</v>
          </cell>
          <cell r="B81">
            <v>2216</v>
          </cell>
          <cell r="C81">
            <v>1</v>
          </cell>
          <cell r="D81">
            <v>52</v>
          </cell>
          <cell r="E81">
            <v>37.602342</v>
          </cell>
          <cell r="F81">
            <v>97.586730000000003</v>
          </cell>
        </row>
        <row r="82">
          <cell r="A82">
            <v>2</v>
          </cell>
          <cell r="B82">
            <v>2216</v>
          </cell>
          <cell r="C82">
            <v>1</v>
          </cell>
          <cell r="D82">
            <v>591</v>
          </cell>
          <cell r="E82">
            <v>0</v>
          </cell>
          <cell r="F82">
            <v>2.1061999999999999</v>
          </cell>
        </row>
        <row r="83">
          <cell r="A83">
            <v>2</v>
          </cell>
          <cell r="B83">
            <v>2217</v>
          </cell>
          <cell r="C83">
            <v>1</v>
          </cell>
          <cell r="D83">
            <v>4</v>
          </cell>
          <cell r="E83">
            <v>-17.231717</v>
          </cell>
          <cell r="F83">
            <v>-56.407259000000003</v>
          </cell>
        </row>
        <row r="84">
          <cell r="A84">
            <v>2</v>
          </cell>
          <cell r="B84">
            <v>2217</v>
          </cell>
          <cell r="C84">
            <v>1</v>
          </cell>
          <cell r="D84">
            <v>51</v>
          </cell>
          <cell r="E84">
            <v>23.242902999999998</v>
          </cell>
          <cell r="F84">
            <v>70.849918000000002</v>
          </cell>
        </row>
        <row r="85">
          <cell r="A85">
            <v>2</v>
          </cell>
          <cell r="B85">
            <v>2217</v>
          </cell>
          <cell r="C85">
            <v>1</v>
          </cell>
          <cell r="D85">
            <v>52</v>
          </cell>
          <cell r="E85">
            <v>14.355229</v>
          </cell>
          <cell r="F85">
            <v>40.186474000000004</v>
          </cell>
        </row>
        <row r="86">
          <cell r="A86">
            <v>2</v>
          </cell>
          <cell r="B86">
            <v>2217</v>
          </cell>
          <cell r="C86">
            <v>1</v>
          </cell>
          <cell r="D86">
            <v>591</v>
          </cell>
          <cell r="E86">
            <v>0.30399999999999999</v>
          </cell>
          <cell r="F86">
            <v>1.493825</v>
          </cell>
        </row>
        <row r="87">
          <cell r="A87">
            <v>2</v>
          </cell>
          <cell r="B87">
            <v>2223</v>
          </cell>
          <cell r="C87">
            <v>1</v>
          </cell>
          <cell r="D87">
            <v>4</v>
          </cell>
          <cell r="E87">
            <v>-2.6385519999999998</v>
          </cell>
          <cell r="F87">
            <v>-4.8414700000000002</v>
          </cell>
        </row>
        <row r="88">
          <cell r="A88">
            <v>2</v>
          </cell>
          <cell r="B88">
            <v>2223</v>
          </cell>
          <cell r="C88">
            <v>1</v>
          </cell>
          <cell r="D88">
            <v>51</v>
          </cell>
          <cell r="E88">
            <v>8.4649490000000007</v>
          </cell>
          <cell r="F88">
            <v>22.396432000000001</v>
          </cell>
        </row>
        <row r="89">
          <cell r="A89">
            <v>2</v>
          </cell>
          <cell r="B89">
            <v>2223</v>
          </cell>
          <cell r="C89">
            <v>1</v>
          </cell>
          <cell r="D89">
            <v>52</v>
          </cell>
          <cell r="E89">
            <v>4.0704079999999996</v>
          </cell>
          <cell r="F89">
            <v>8.2357420000000001</v>
          </cell>
        </row>
        <row r="90">
          <cell r="A90">
            <v>2</v>
          </cell>
          <cell r="B90">
            <v>2225</v>
          </cell>
          <cell r="C90">
            <v>1</v>
          </cell>
          <cell r="D90">
            <v>52</v>
          </cell>
          <cell r="E90">
            <v>27.7</v>
          </cell>
          <cell r="F90">
            <v>83.4</v>
          </cell>
        </row>
        <row r="91">
          <cell r="A91">
            <v>2</v>
          </cell>
          <cell r="B91">
            <v>2227</v>
          </cell>
          <cell r="C91">
            <v>1</v>
          </cell>
          <cell r="D91">
            <v>52</v>
          </cell>
          <cell r="E91">
            <v>173.5</v>
          </cell>
          <cell r="F91">
            <v>527</v>
          </cell>
        </row>
        <row r="92">
          <cell r="A92">
            <v>2</v>
          </cell>
          <cell r="B92">
            <v>2228</v>
          </cell>
          <cell r="C92">
            <v>1</v>
          </cell>
          <cell r="D92">
            <v>52</v>
          </cell>
          <cell r="E92">
            <v>53.3</v>
          </cell>
          <cell r="F92">
            <v>161.6</v>
          </cell>
        </row>
        <row r="93">
          <cell r="A93">
            <v>2</v>
          </cell>
          <cell r="B93">
            <v>2231</v>
          </cell>
          <cell r="C93">
            <v>1</v>
          </cell>
          <cell r="D93">
            <v>4</v>
          </cell>
          <cell r="E93">
            <v>-2.0172300000000001</v>
          </cell>
          <cell r="F93">
            <v>-6.5401680000000004</v>
          </cell>
        </row>
        <row r="94">
          <cell r="A94">
            <v>2</v>
          </cell>
          <cell r="B94">
            <v>2231</v>
          </cell>
          <cell r="C94">
            <v>1</v>
          </cell>
          <cell r="D94">
            <v>51</v>
          </cell>
          <cell r="E94">
            <v>13.877228000000001</v>
          </cell>
          <cell r="F94">
            <v>39.421909999999997</v>
          </cell>
        </row>
        <row r="95">
          <cell r="A95">
            <v>2</v>
          </cell>
          <cell r="B95">
            <v>2231</v>
          </cell>
          <cell r="C95">
            <v>1</v>
          </cell>
          <cell r="D95">
            <v>52</v>
          </cell>
          <cell r="E95">
            <v>9.2078389999999999</v>
          </cell>
          <cell r="F95">
            <v>18.946834000000003</v>
          </cell>
        </row>
        <row r="96">
          <cell r="A96">
            <v>2</v>
          </cell>
          <cell r="B96">
            <v>2231</v>
          </cell>
          <cell r="C96">
            <v>1</v>
          </cell>
          <cell r="D96">
            <v>591</v>
          </cell>
          <cell r="E96">
            <v>1.049491</v>
          </cell>
          <cell r="F96">
            <v>3.31216</v>
          </cell>
        </row>
        <row r="97">
          <cell r="A97">
            <v>2</v>
          </cell>
          <cell r="B97">
            <v>2235</v>
          </cell>
          <cell r="C97">
            <v>6</v>
          </cell>
          <cell r="D97">
            <v>591</v>
          </cell>
          <cell r="E97">
            <v>19.704000000000001</v>
          </cell>
          <cell r="F97">
            <v>59.79</v>
          </cell>
        </row>
        <row r="98">
          <cell r="A98">
            <v>2</v>
          </cell>
          <cell r="B98">
            <v>2236</v>
          </cell>
          <cell r="C98">
            <v>1</v>
          </cell>
          <cell r="D98">
            <v>4</v>
          </cell>
          <cell r="E98">
            <v>0</v>
          </cell>
          <cell r="F98">
            <v>-0.46500000000000002</v>
          </cell>
        </row>
        <row r="99">
          <cell r="A99">
            <v>2</v>
          </cell>
          <cell r="B99">
            <v>2236</v>
          </cell>
          <cell r="C99">
            <v>1</v>
          </cell>
          <cell r="D99">
            <v>52</v>
          </cell>
          <cell r="E99">
            <v>2.9307850000000002</v>
          </cell>
          <cell r="F99">
            <v>10.870308</v>
          </cell>
        </row>
        <row r="100">
          <cell r="A100">
            <v>2</v>
          </cell>
          <cell r="B100">
            <v>2236</v>
          </cell>
          <cell r="C100">
            <v>1</v>
          </cell>
          <cell r="D100">
            <v>591</v>
          </cell>
          <cell r="E100">
            <v>187.952</v>
          </cell>
          <cell r="F100">
            <v>214.271929</v>
          </cell>
        </row>
        <row r="101">
          <cell r="A101">
            <v>2</v>
          </cell>
          <cell r="B101">
            <v>2238</v>
          </cell>
          <cell r="C101">
            <v>6</v>
          </cell>
          <cell r="D101">
            <v>52</v>
          </cell>
          <cell r="E101">
            <v>8.1366999999999995E-2</v>
          </cell>
          <cell r="F101">
            <v>0.16843900000000001</v>
          </cell>
        </row>
        <row r="102">
          <cell r="A102">
            <v>2</v>
          </cell>
          <cell r="B102">
            <v>2238</v>
          </cell>
          <cell r="C102">
            <v>6</v>
          </cell>
          <cell r="D102">
            <v>591</v>
          </cell>
          <cell r="E102">
            <v>6.2679999999999998</v>
          </cell>
          <cell r="F102">
            <v>25.444717000000001</v>
          </cell>
        </row>
        <row r="103">
          <cell r="A103">
            <v>2</v>
          </cell>
          <cell r="B103">
            <v>2239</v>
          </cell>
          <cell r="C103">
            <v>1</v>
          </cell>
          <cell r="D103">
            <v>52</v>
          </cell>
          <cell r="E103">
            <v>0.10934000000000001</v>
          </cell>
          <cell r="F103">
            <v>0.219694</v>
          </cell>
        </row>
        <row r="104">
          <cell r="A104">
            <v>2</v>
          </cell>
          <cell r="B104">
            <v>2239</v>
          </cell>
          <cell r="C104">
            <v>1</v>
          </cell>
          <cell r="D104">
            <v>591</v>
          </cell>
          <cell r="E104">
            <v>8.2550000000000008</v>
          </cell>
          <cell r="F104">
            <v>22.18</v>
          </cell>
        </row>
        <row r="105">
          <cell r="A105">
            <v>2</v>
          </cell>
          <cell r="B105">
            <v>2269</v>
          </cell>
          <cell r="C105">
            <v>6</v>
          </cell>
          <cell r="D105">
            <v>52</v>
          </cell>
          <cell r="E105">
            <v>0</v>
          </cell>
          <cell r="F105">
            <v>1.6992160000000001</v>
          </cell>
        </row>
        <row r="106">
          <cell r="A106">
            <v>2</v>
          </cell>
          <cell r="B106">
            <v>2269</v>
          </cell>
          <cell r="C106">
            <v>6</v>
          </cell>
          <cell r="D106">
            <v>591</v>
          </cell>
          <cell r="E106">
            <v>50</v>
          </cell>
          <cell r="F106">
            <v>56.129232999999999</v>
          </cell>
        </row>
        <row r="107">
          <cell r="A107">
            <v>2</v>
          </cell>
          <cell r="B107">
            <v>2299</v>
          </cell>
          <cell r="C107">
            <v>1</v>
          </cell>
          <cell r="D107">
            <v>4</v>
          </cell>
          <cell r="E107">
            <v>-7.9485200000000003</v>
          </cell>
          <cell r="F107">
            <v>-7.9485200000000003</v>
          </cell>
        </row>
        <row r="108">
          <cell r="A108">
            <v>2</v>
          </cell>
          <cell r="B108">
            <v>2299</v>
          </cell>
          <cell r="C108">
            <v>1</v>
          </cell>
          <cell r="D108">
            <v>51</v>
          </cell>
          <cell r="E108">
            <v>0.15463199999999999</v>
          </cell>
          <cell r="F108">
            <v>2.6941869999999999</v>
          </cell>
        </row>
        <row r="109">
          <cell r="A109">
            <v>2</v>
          </cell>
          <cell r="B109">
            <v>2299</v>
          </cell>
          <cell r="C109">
            <v>1</v>
          </cell>
          <cell r="D109">
            <v>52</v>
          </cell>
          <cell r="E109">
            <v>1.1419760000000001</v>
          </cell>
          <cell r="F109">
            <v>3.523787</v>
          </cell>
        </row>
        <row r="110">
          <cell r="A110">
            <v>2</v>
          </cell>
          <cell r="B110">
            <v>2299</v>
          </cell>
          <cell r="C110">
            <v>1</v>
          </cell>
          <cell r="D110">
            <v>591</v>
          </cell>
          <cell r="E110">
            <v>3.95</v>
          </cell>
          <cell r="F110">
            <v>21.505506</v>
          </cell>
        </row>
        <row r="111">
          <cell r="A111">
            <v>2</v>
          </cell>
          <cell r="B111">
            <v>2301</v>
          </cell>
          <cell r="C111">
            <v>1</v>
          </cell>
          <cell r="D111">
            <v>4</v>
          </cell>
          <cell r="E111">
            <v>-0.23469100000000001</v>
          </cell>
          <cell r="F111">
            <v>-1.197203</v>
          </cell>
        </row>
        <row r="112">
          <cell r="A112">
            <v>2</v>
          </cell>
          <cell r="B112">
            <v>2301</v>
          </cell>
          <cell r="C112">
            <v>1</v>
          </cell>
          <cell r="D112">
            <v>51</v>
          </cell>
          <cell r="E112">
            <v>38.708613</v>
          </cell>
          <cell r="F112">
            <v>113.68082</v>
          </cell>
        </row>
        <row r="113">
          <cell r="A113">
            <v>2</v>
          </cell>
          <cell r="B113">
            <v>2301</v>
          </cell>
          <cell r="C113">
            <v>1</v>
          </cell>
          <cell r="D113">
            <v>52</v>
          </cell>
          <cell r="E113">
            <v>4.7370580000000002</v>
          </cell>
          <cell r="F113">
            <v>17.322944</v>
          </cell>
        </row>
        <row r="114">
          <cell r="A114">
            <v>2</v>
          </cell>
          <cell r="B114">
            <v>2301</v>
          </cell>
          <cell r="C114">
            <v>1</v>
          </cell>
          <cell r="D114">
            <v>591</v>
          </cell>
          <cell r="E114">
            <v>0</v>
          </cell>
          <cell r="F114">
            <v>2E-3</v>
          </cell>
        </row>
        <row r="115">
          <cell r="A115">
            <v>2</v>
          </cell>
          <cell r="B115">
            <v>2302</v>
          </cell>
          <cell r="C115">
            <v>1</v>
          </cell>
          <cell r="D115">
            <v>4</v>
          </cell>
          <cell r="E115">
            <v>-0.61846000000000001</v>
          </cell>
          <cell r="F115">
            <v>-1.847105</v>
          </cell>
        </row>
        <row r="116">
          <cell r="A116">
            <v>2</v>
          </cell>
          <cell r="B116">
            <v>2302</v>
          </cell>
          <cell r="C116">
            <v>1</v>
          </cell>
          <cell r="D116">
            <v>51</v>
          </cell>
          <cell r="E116">
            <v>34.538080000000001</v>
          </cell>
          <cell r="F116">
            <v>105.292136</v>
          </cell>
        </row>
        <row r="117">
          <cell r="A117">
            <v>2</v>
          </cell>
          <cell r="B117">
            <v>2302</v>
          </cell>
          <cell r="C117">
            <v>1</v>
          </cell>
          <cell r="D117">
            <v>52</v>
          </cell>
          <cell r="E117">
            <v>12.209649000000001</v>
          </cell>
          <cell r="F117">
            <v>23.900310000000001</v>
          </cell>
        </row>
        <row r="118">
          <cell r="A118">
            <v>2</v>
          </cell>
          <cell r="B118">
            <v>2302</v>
          </cell>
          <cell r="C118">
            <v>1</v>
          </cell>
          <cell r="D118">
            <v>591</v>
          </cell>
          <cell r="E118">
            <v>0.01</v>
          </cell>
          <cell r="F118">
            <v>1.5900000000000001E-2</v>
          </cell>
        </row>
        <row r="119">
          <cell r="A119">
            <v>2</v>
          </cell>
          <cell r="B119">
            <v>2303</v>
          </cell>
          <cell r="C119">
            <v>1</v>
          </cell>
          <cell r="D119">
            <v>4</v>
          </cell>
          <cell r="E119">
            <v>-0.114249</v>
          </cell>
          <cell r="F119">
            <v>-0.80899500000000002</v>
          </cell>
        </row>
        <row r="120">
          <cell r="A120">
            <v>2</v>
          </cell>
          <cell r="B120">
            <v>2303</v>
          </cell>
          <cell r="C120">
            <v>1</v>
          </cell>
          <cell r="D120">
            <v>51</v>
          </cell>
          <cell r="E120">
            <v>11.754422999999999</v>
          </cell>
          <cell r="F120">
            <v>34.008986</v>
          </cell>
        </row>
        <row r="121">
          <cell r="A121">
            <v>2</v>
          </cell>
          <cell r="B121">
            <v>2303</v>
          </cell>
          <cell r="C121">
            <v>1</v>
          </cell>
          <cell r="D121">
            <v>52</v>
          </cell>
          <cell r="E121">
            <v>4.2367340000000002</v>
          </cell>
          <cell r="F121">
            <v>11.635492000000001</v>
          </cell>
        </row>
        <row r="122">
          <cell r="A122">
            <v>2</v>
          </cell>
          <cell r="B122">
            <v>2304</v>
          </cell>
          <cell r="C122">
            <v>1</v>
          </cell>
          <cell r="D122">
            <v>4</v>
          </cell>
          <cell r="E122">
            <v>-1.4114979999999999</v>
          </cell>
          <cell r="F122">
            <v>-5.5615079999999999</v>
          </cell>
        </row>
        <row r="123">
          <cell r="A123">
            <v>2</v>
          </cell>
          <cell r="B123">
            <v>2304</v>
          </cell>
          <cell r="C123">
            <v>1</v>
          </cell>
          <cell r="D123">
            <v>51</v>
          </cell>
          <cell r="E123">
            <v>55.650776999999998</v>
          </cell>
          <cell r="F123">
            <v>164.26980499999999</v>
          </cell>
        </row>
        <row r="124">
          <cell r="A124">
            <v>2</v>
          </cell>
          <cell r="B124">
            <v>2304</v>
          </cell>
          <cell r="C124">
            <v>1</v>
          </cell>
          <cell r="D124">
            <v>52</v>
          </cell>
          <cell r="E124">
            <v>19.604434999999999</v>
          </cell>
          <cell r="F124">
            <v>58.869151000000002</v>
          </cell>
        </row>
        <row r="125">
          <cell r="A125">
            <v>2</v>
          </cell>
          <cell r="B125">
            <v>2305</v>
          </cell>
          <cell r="C125">
            <v>1</v>
          </cell>
          <cell r="D125">
            <v>4</v>
          </cell>
          <cell r="E125">
            <v>-9.5440000000000005</v>
          </cell>
          <cell r="F125">
            <v>-11.2271</v>
          </cell>
        </row>
        <row r="126">
          <cell r="A126">
            <v>2</v>
          </cell>
          <cell r="B126">
            <v>2305</v>
          </cell>
          <cell r="C126">
            <v>1</v>
          </cell>
          <cell r="D126">
            <v>51</v>
          </cell>
          <cell r="E126">
            <v>31.799493999999999</v>
          </cell>
          <cell r="F126">
            <v>92.639870000000002</v>
          </cell>
        </row>
        <row r="127">
          <cell r="A127">
            <v>2</v>
          </cell>
          <cell r="B127">
            <v>2305</v>
          </cell>
          <cell r="C127">
            <v>1</v>
          </cell>
          <cell r="D127">
            <v>52</v>
          </cell>
          <cell r="E127">
            <v>7.2960120000000002</v>
          </cell>
          <cell r="F127">
            <v>24.483111999999998</v>
          </cell>
        </row>
        <row r="128">
          <cell r="A128">
            <v>2</v>
          </cell>
          <cell r="B128">
            <v>2306</v>
          </cell>
          <cell r="C128">
            <v>1</v>
          </cell>
          <cell r="D128">
            <v>4</v>
          </cell>
          <cell r="E128">
            <v>-0.74115500000000001</v>
          </cell>
          <cell r="F128">
            <v>-5.1696910000000003</v>
          </cell>
        </row>
        <row r="129">
          <cell r="A129">
            <v>2</v>
          </cell>
          <cell r="B129">
            <v>2306</v>
          </cell>
          <cell r="C129">
            <v>1</v>
          </cell>
          <cell r="D129">
            <v>51</v>
          </cell>
          <cell r="E129">
            <v>15.983484000000001</v>
          </cell>
          <cell r="F129">
            <v>47.874467000000003</v>
          </cell>
        </row>
        <row r="130">
          <cell r="A130">
            <v>2</v>
          </cell>
          <cell r="B130">
            <v>2306</v>
          </cell>
          <cell r="C130">
            <v>1</v>
          </cell>
          <cell r="D130">
            <v>52</v>
          </cell>
          <cell r="E130">
            <v>8.3175270000000001</v>
          </cell>
          <cell r="F130">
            <v>25.310039</v>
          </cell>
        </row>
        <row r="131">
          <cell r="A131">
            <v>2</v>
          </cell>
          <cell r="B131">
            <v>2306</v>
          </cell>
          <cell r="C131">
            <v>1</v>
          </cell>
          <cell r="D131">
            <v>591</v>
          </cell>
          <cell r="E131">
            <v>0</v>
          </cell>
          <cell r="F131">
            <v>5.0000000000000001E-3</v>
          </cell>
        </row>
        <row r="132">
          <cell r="A132">
            <v>2</v>
          </cell>
          <cell r="B132">
            <v>2307</v>
          </cell>
          <cell r="C132">
            <v>1</v>
          </cell>
          <cell r="D132">
            <v>4</v>
          </cell>
          <cell r="E132">
            <v>-0.96566300000000005</v>
          </cell>
          <cell r="F132">
            <v>-3.0305089999999999</v>
          </cell>
        </row>
        <row r="133">
          <cell r="A133">
            <v>2</v>
          </cell>
          <cell r="B133">
            <v>2307</v>
          </cell>
          <cell r="C133">
            <v>1</v>
          </cell>
          <cell r="D133">
            <v>51</v>
          </cell>
          <cell r="E133">
            <v>21.202866</v>
          </cell>
          <cell r="F133">
            <v>57.406841999999997</v>
          </cell>
        </row>
        <row r="134">
          <cell r="A134">
            <v>2</v>
          </cell>
          <cell r="B134">
            <v>2307</v>
          </cell>
          <cell r="C134">
            <v>1</v>
          </cell>
          <cell r="D134">
            <v>52</v>
          </cell>
          <cell r="E134">
            <v>5.2145989999999998</v>
          </cell>
          <cell r="F134">
            <v>14.839061999999998</v>
          </cell>
        </row>
        <row r="135">
          <cell r="A135">
            <v>2</v>
          </cell>
          <cell r="B135">
            <v>2307</v>
          </cell>
          <cell r="C135">
            <v>1</v>
          </cell>
          <cell r="D135">
            <v>591</v>
          </cell>
          <cell r="E135">
            <v>5.0000000000000001E-3</v>
          </cell>
          <cell r="F135">
            <v>6.4999999999999997E-3</v>
          </cell>
        </row>
        <row r="136">
          <cell r="A136">
            <v>2</v>
          </cell>
          <cell r="B136">
            <v>2308</v>
          </cell>
          <cell r="C136">
            <v>1</v>
          </cell>
          <cell r="D136">
            <v>4</v>
          </cell>
          <cell r="E136">
            <v>0</v>
          </cell>
          <cell r="F136">
            <v>-25.544309999999999</v>
          </cell>
        </row>
        <row r="137">
          <cell r="A137">
            <v>2</v>
          </cell>
          <cell r="B137">
            <v>2308</v>
          </cell>
          <cell r="C137">
            <v>1</v>
          </cell>
          <cell r="D137">
            <v>51</v>
          </cell>
          <cell r="E137">
            <v>52.913848999999999</v>
          </cell>
          <cell r="F137">
            <v>151.83494999999999</v>
          </cell>
        </row>
        <row r="138">
          <cell r="A138">
            <v>2</v>
          </cell>
          <cell r="B138">
            <v>2308</v>
          </cell>
          <cell r="C138">
            <v>1</v>
          </cell>
          <cell r="D138">
            <v>52</v>
          </cell>
          <cell r="E138">
            <v>15.293944</v>
          </cell>
          <cell r="F138">
            <v>49.542440999999997</v>
          </cell>
        </row>
        <row r="139">
          <cell r="A139">
            <v>2</v>
          </cell>
          <cell r="B139">
            <v>2309</v>
          </cell>
          <cell r="C139">
            <v>1</v>
          </cell>
          <cell r="D139">
            <v>4</v>
          </cell>
          <cell r="E139">
            <v>-1.6719550000000001</v>
          </cell>
          <cell r="F139">
            <v>-12.766095</v>
          </cell>
        </row>
        <row r="140">
          <cell r="A140">
            <v>2</v>
          </cell>
          <cell r="B140">
            <v>2309</v>
          </cell>
          <cell r="C140">
            <v>1</v>
          </cell>
          <cell r="D140">
            <v>51</v>
          </cell>
          <cell r="E140">
            <v>27.101046</v>
          </cell>
          <cell r="F140">
            <v>80.465007</v>
          </cell>
        </row>
        <row r="141">
          <cell r="A141">
            <v>2</v>
          </cell>
          <cell r="B141">
            <v>2309</v>
          </cell>
          <cell r="C141">
            <v>1</v>
          </cell>
          <cell r="D141">
            <v>52</v>
          </cell>
          <cell r="E141">
            <v>9.4257829999999991</v>
          </cell>
          <cell r="F141">
            <v>23.992141999999998</v>
          </cell>
        </row>
        <row r="142">
          <cell r="A142">
            <v>2</v>
          </cell>
          <cell r="B142">
            <v>2309</v>
          </cell>
          <cell r="C142">
            <v>1</v>
          </cell>
          <cell r="D142">
            <v>591</v>
          </cell>
          <cell r="E142">
            <v>0.04</v>
          </cell>
          <cell r="F142">
            <v>0.04</v>
          </cell>
        </row>
        <row r="143">
          <cell r="A143">
            <v>2</v>
          </cell>
          <cell r="B143">
            <v>2316</v>
          </cell>
          <cell r="C143">
            <v>1</v>
          </cell>
          <cell r="D143">
            <v>4</v>
          </cell>
          <cell r="E143">
            <v>-0.39697700000000002</v>
          </cell>
          <cell r="F143">
            <v>-2.0317940000000001</v>
          </cell>
        </row>
        <row r="144">
          <cell r="A144">
            <v>2</v>
          </cell>
          <cell r="B144">
            <v>2316</v>
          </cell>
          <cell r="C144">
            <v>1</v>
          </cell>
          <cell r="D144">
            <v>51</v>
          </cell>
          <cell r="E144">
            <v>0.44817400000000002</v>
          </cell>
          <cell r="F144">
            <v>1.344522</v>
          </cell>
        </row>
        <row r="145">
          <cell r="A145">
            <v>2</v>
          </cell>
          <cell r="B145">
            <v>2316</v>
          </cell>
          <cell r="C145">
            <v>1</v>
          </cell>
          <cell r="D145">
            <v>52</v>
          </cell>
          <cell r="E145">
            <v>0.54946799999999996</v>
          </cell>
          <cell r="F145">
            <v>2.570729</v>
          </cell>
        </row>
        <row r="146">
          <cell r="A146">
            <v>2</v>
          </cell>
          <cell r="B146">
            <v>2316</v>
          </cell>
          <cell r="C146">
            <v>1</v>
          </cell>
          <cell r="D146">
            <v>591</v>
          </cell>
          <cell r="E146">
            <v>4</v>
          </cell>
          <cell r="F146">
            <v>4</v>
          </cell>
        </row>
        <row r="147">
          <cell r="A147">
            <v>2</v>
          </cell>
          <cell r="B147">
            <v>2316</v>
          </cell>
          <cell r="C147">
            <v>5</v>
          </cell>
          <cell r="D147">
            <v>4</v>
          </cell>
          <cell r="E147">
            <v>-3.155052</v>
          </cell>
          <cell r="F147">
            <v>-10.419423</v>
          </cell>
        </row>
        <row r="148">
          <cell r="A148">
            <v>2</v>
          </cell>
          <cell r="B148">
            <v>2316</v>
          </cell>
          <cell r="C148">
            <v>5</v>
          </cell>
          <cell r="D148">
            <v>52</v>
          </cell>
          <cell r="E148">
            <v>20.279610999999999</v>
          </cell>
          <cell r="F148">
            <v>55.186954999999998</v>
          </cell>
        </row>
        <row r="149">
          <cell r="A149">
            <v>2</v>
          </cell>
          <cell r="B149">
            <v>2318</v>
          </cell>
          <cell r="C149">
            <v>6</v>
          </cell>
          <cell r="D149">
            <v>51</v>
          </cell>
          <cell r="E149">
            <v>0</v>
          </cell>
          <cell r="F149">
            <v>2.7460000000000002E-3</v>
          </cell>
        </row>
        <row r="150">
          <cell r="A150">
            <v>2</v>
          </cell>
          <cell r="B150">
            <v>2318</v>
          </cell>
          <cell r="C150">
            <v>6</v>
          </cell>
          <cell r="D150">
            <v>52</v>
          </cell>
          <cell r="E150">
            <v>0.359931</v>
          </cell>
          <cell r="F150">
            <v>3.699567</v>
          </cell>
        </row>
        <row r="151">
          <cell r="A151">
            <v>2</v>
          </cell>
          <cell r="B151">
            <v>2318</v>
          </cell>
          <cell r="C151">
            <v>6</v>
          </cell>
          <cell r="D151">
            <v>591</v>
          </cell>
          <cell r="E151">
            <v>20</v>
          </cell>
          <cell r="F151">
            <v>31.560096999999999</v>
          </cell>
        </row>
        <row r="152">
          <cell r="A152">
            <v>2</v>
          </cell>
          <cell r="B152">
            <v>2319</v>
          </cell>
          <cell r="C152">
            <v>1</v>
          </cell>
          <cell r="D152">
            <v>4</v>
          </cell>
          <cell r="E152">
            <v>-4.5765000000000002</v>
          </cell>
          <cell r="F152">
            <v>-4.5765000000000002</v>
          </cell>
        </row>
        <row r="153">
          <cell r="A153">
            <v>2</v>
          </cell>
          <cell r="B153">
            <v>2319</v>
          </cell>
          <cell r="C153">
            <v>1</v>
          </cell>
          <cell r="D153">
            <v>51</v>
          </cell>
          <cell r="E153">
            <v>2.8421919999999998</v>
          </cell>
          <cell r="F153">
            <v>9.9350950000000005</v>
          </cell>
        </row>
        <row r="154">
          <cell r="A154">
            <v>2</v>
          </cell>
          <cell r="B154">
            <v>2319</v>
          </cell>
          <cell r="C154">
            <v>1</v>
          </cell>
          <cell r="D154">
            <v>52</v>
          </cell>
          <cell r="E154">
            <v>14.280767000000001</v>
          </cell>
          <cell r="F154">
            <v>27.083622999999999</v>
          </cell>
        </row>
        <row r="155">
          <cell r="A155">
            <v>2</v>
          </cell>
          <cell r="B155">
            <v>2319</v>
          </cell>
          <cell r="C155">
            <v>1</v>
          </cell>
          <cell r="D155">
            <v>591</v>
          </cell>
          <cell r="E155">
            <v>60.466425999999998</v>
          </cell>
          <cell r="F155">
            <v>120.720522</v>
          </cell>
        </row>
        <row r="156">
          <cell r="A156">
            <v>2</v>
          </cell>
          <cell r="B156">
            <v>2350</v>
          </cell>
          <cell r="C156">
            <v>1</v>
          </cell>
          <cell r="D156">
            <v>4</v>
          </cell>
          <cell r="E156">
            <v>-0.64434999999999998</v>
          </cell>
          <cell r="F156">
            <v>-14.919340999999999</v>
          </cell>
        </row>
        <row r="157">
          <cell r="A157">
            <v>2</v>
          </cell>
          <cell r="B157">
            <v>2350</v>
          </cell>
          <cell r="C157">
            <v>1</v>
          </cell>
          <cell r="D157">
            <v>51</v>
          </cell>
          <cell r="E157">
            <v>68.359531000000004</v>
          </cell>
          <cell r="F157">
            <v>202.97445300000001</v>
          </cell>
        </row>
        <row r="158">
          <cell r="A158">
            <v>2</v>
          </cell>
          <cell r="B158">
            <v>2350</v>
          </cell>
          <cell r="C158">
            <v>1</v>
          </cell>
          <cell r="D158">
            <v>52</v>
          </cell>
          <cell r="E158">
            <v>9.6277740000000005</v>
          </cell>
          <cell r="F158">
            <v>43.127026000000001</v>
          </cell>
        </row>
        <row r="159">
          <cell r="A159">
            <v>2</v>
          </cell>
          <cell r="B159">
            <v>2350</v>
          </cell>
          <cell r="C159">
            <v>1</v>
          </cell>
          <cell r="D159">
            <v>591</v>
          </cell>
          <cell r="E159">
            <v>1.6E-2</v>
          </cell>
          <cell r="F159">
            <v>1.6E-2</v>
          </cell>
        </row>
        <row r="160">
          <cell r="A160">
            <v>2</v>
          </cell>
          <cell r="B160">
            <v>2351</v>
          </cell>
          <cell r="C160">
            <v>1</v>
          </cell>
          <cell r="D160">
            <v>4</v>
          </cell>
          <cell r="E160">
            <v>-1.2663819999999999</v>
          </cell>
          <cell r="F160">
            <v>-7.733212</v>
          </cell>
        </row>
        <row r="161">
          <cell r="A161">
            <v>2</v>
          </cell>
          <cell r="B161">
            <v>2351</v>
          </cell>
          <cell r="C161">
            <v>1</v>
          </cell>
          <cell r="D161">
            <v>51</v>
          </cell>
          <cell r="E161">
            <v>64.540629999999993</v>
          </cell>
          <cell r="F161">
            <v>193.31801400000001</v>
          </cell>
        </row>
        <row r="162">
          <cell r="A162">
            <v>2</v>
          </cell>
          <cell r="B162">
            <v>2351</v>
          </cell>
          <cell r="C162">
            <v>1</v>
          </cell>
          <cell r="D162">
            <v>52</v>
          </cell>
          <cell r="E162">
            <v>11.500851999999998</v>
          </cell>
          <cell r="F162">
            <v>27.760987</v>
          </cell>
        </row>
        <row r="163">
          <cell r="A163">
            <v>2</v>
          </cell>
          <cell r="B163">
            <v>2351</v>
          </cell>
          <cell r="C163">
            <v>1</v>
          </cell>
          <cell r="D163">
            <v>591</v>
          </cell>
          <cell r="E163">
            <v>3.1261909999999999</v>
          </cell>
          <cell r="F163">
            <v>3.8741829999999999</v>
          </cell>
        </row>
        <row r="164">
          <cell r="A164">
            <v>2</v>
          </cell>
          <cell r="B164">
            <v>2352</v>
          </cell>
          <cell r="C164">
            <v>1</v>
          </cell>
          <cell r="D164">
            <v>4</v>
          </cell>
          <cell r="E164">
            <v>-4.2224680000000001</v>
          </cell>
          <cell r="F164">
            <v>-12.719707</v>
          </cell>
        </row>
        <row r="165">
          <cell r="A165">
            <v>2</v>
          </cell>
          <cell r="B165">
            <v>2352</v>
          </cell>
          <cell r="C165">
            <v>1</v>
          </cell>
          <cell r="D165">
            <v>51</v>
          </cell>
          <cell r="E165">
            <v>41.046484</v>
          </cell>
          <cell r="F165">
            <v>122.253046</v>
          </cell>
        </row>
        <row r="166">
          <cell r="A166">
            <v>2</v>
          </cell>
          <cell r="B166">
            <v>2352</v>
          </cell>
          <cell r="C166">
            <v>1</v>
          </cell>
          <cell r="D166">
            <v>52</v>
          </cell>
          <cell r="E166">
            <v>12.363747999999999</v>
          </cell>
          <cell r="F166">
            <v>34.896425999999998</v>
          </cell>
        </row>
        <row r="167">
          <cell r="A167">
            <v>2</v>
          </cell>
          <cell r="B167">
            <v>2352</v>
          </cell>
          <cell r="C167">
            <v>1</v>
          </cell>
          <cell r="D167">
            <v>591</v>
          </cell>
          <cell r="E167">
            <v>6.0000000000000001E-3</v>
          </cell>
          <cell r="F167">
            <v>7.4999999999999997E-3</v>
          </cell>
        </row>
        <row r="168">
          <cell r="A168">
            <v>2</v>
          </cell>
          <cell r="B168">
            <v>2353</v>
          </cell>
          <cell r="C168">
            <v>1</v>
          </cell>
          <cell r="D168">
            <v>4</v>
          </cell>
          <cell r="E168">
            <v>-0.1045</v>
          </cell>
          <cell r="F168">
            <v>-6.8192199999999996</v>
          </cell>
        </row>
        <row r="169">
          <cell r="A169">
            <v>2</v>
          </cell>
          <cell r="B169">
            <v>2353</v>
          </cell>
          <cell r="C169">
            <v>1</v>
          </cell>
          <cell r="D169">
            <v>51</v>
          </cell>
          <cell r="E169">
            <v>47.754792000000002</v>
          </cell>
          <cell r="F169">
            <v>138.29172500000001</v>
          </cell>
        </row>
        <row r="170">
          <cell r="A170">
            <v>2</v>
          </cell>
          <cell r="B170">
            <v>2353</v>
          </cell>
          <cell r="C170">
            <v>1</v>
          </cell>
          <cell r="D170">
            <v>52</v>
          </cell>
          <cell r="E170">
            <v>14.292992</v>
          </cell>
          <cell r="F170">
            <v>44.651710999999999</v>
          </cell>
        </row>
        <row r="171">
          <cell r="A171">
            <v>2</v>
          </cell>
          <cell r="B171">
            <v>2353</v>
          </cell>
          <cell r="C171">
            <v>1</v>
          </cell>
          <cell r="D171">
            <v>591</v>
          </cell>
          <cell r="E171">
            <v>7.8174999999999994E-2</v>
          </cell>
          <cell r="F171">
            <v>0.23449600000000001</v>
          </cell>
        </row>
        <row r="172">
          <cell r="A172">
            <v>2</v>
          </cell>
          <cell r="B172">
            <v>2354</v>
          </cell>
          <cell r="C172">
            <v>1</v>
          </cell>
          <cell r="D172">
            <v>4</v>
          </cell>
          <cell r="E172">
            <v>-7.5228659999999996</v>
          </cell>
          <cell r="F172">
            <v>-15.202316</v>
          </cell>
        </row>
        <row r="173">
          <cell r="A173">
            <v>2</v>
          </cell>
          <cell r="B173">
            <v>2354</v>
          </cell>
          <cell r="C173">
            <v>1</v>
          </cell>
          <cell r="D173">
            <v>51</v>
          </cell>
          <cell r="E173">
            <v>34.849950999999997</v>
          </cell>
          <cell r="F173">
            <v>102.443099</v>
          </cell>
        </row>
        <row r="174">
          <cell r="A174">
            <v>2</v>
          </cell>
          <cell r="B174">
            <v>2354</v>
          </cell>
          <cell r="C174">
            <v>1</v>
          </cell>
          <cell r="D174">
            <v>52</v>
          </cell>
          <cell r="E174">
            <v>11.18371</v>
          </cell>
          <cell r="F174">
            <v>38.607585</v>
          </cell>
        </row>
        <row r="175">
          <cell r="A175">
            <v>2</v>
          </cell>
          <cell r="B175">
            <v>2355</v>
          </cell>
          <cell r="C175">
            <v>1</v>
          </cell>
          <cell r="D175">
            <v>4</v>
          </cell>
          <cell r="E175">
            <v>-1.0200000000000001E-2</v>
          </cell>
          <cell r="F175">
            <v>-1.0930120000000001</v>
          </cell>
        </row>
        <row r="176">
          <cell r="A176">
            <v>2</v>
          </cell>
          <cell r="B176">
            <v>2355</v>
          </cell>
          <cell r="C176">
            <v>1</v>
          </cell>
          <cell r="D176">
            <v>51</v>
          </cell>
          <cell r="E176">
            <v>13.864858</v>
          </cell>
          <cell r="F176">
            <v>41.589840000000002</v>
          </cell>
        </row>
        <row r="177">
          <cell r="A177">
            <v>2</v>
          </cell>
          <cell r="B177">
            <v>2355</v>
          </cell>
          <cell r="C177">
            <v>1</v>
          </cell>
          <cell r="D177">
            <v>52</v>
          </cell>
          <cell r="E177">
            <v>3.9558409999999999</v>
          </cell>
          <cell r="F177">
            <v>9.741301</v>
          </cell>
        </row>
        <row r="178">
          <cell r="A178">
            <v>2</v>
          </cell>
          <cell r="B178">
            <v>2355</v>
          </cell>
          <cell r="C178">
            <v>1</v>
          </cell>
          <cell r="D178">
            <v>591</v>
          </cell>
          <cell r="E178">
            <v>5.0000000000000001E-3</v>
          </cell>
          <cell r="F178">
            <v>7.4999999999999997E-3</v>
          </cell>
        </row>
        <row r="179">
          <cell r="A179">
            <v>2</v>
          </cell>
          <cell r="B179">
            <v>2356</v>
          </cell>
          <cell r="C179">
            <v>1</v>
          </cell>
          <cell r="D179">
            <v>4</v>
          </cell>
          <cell r="E179">
            <v>0</v>
          </cell>
          <cell r="F179">
            <v>-1.9092750000000001</v>
          </cell>
        </row>
        <row r="180">
          <cell r="A180">
            <v>2</v>
          </cell>
          <cell r="B180">
            <v>2356</v>
          </cell>
          <cell r="C180">
            <v>1</v>
          </cell>
          <cell r="D180">
            <v>51</v>
          </cell>
          <cell r="E180">
            <v>20.985876999999999</v>
          </cell>
          <cell r="F180">
            <v>62.606853000000001</v>
          </cell>
        </row>
        <row r="181">
          <cell r="A181">
            <v>2</v>
          </cell>
          <cell r="B181">
            <v>2356</v>
          </cell>
          <cell r="C181">
            <v>1</v>
          </cell>
          <cell r="D181">
            <v>52</v>
          </cell>
          <cell r="E181">
            <v>5.7691299999999996</v>
          </cell>
          <cell r="F181">
            <v>20.147176999999999</v>
          </cell>
        </row>
        <row r="182">
          <cell r="A182">
            <v>2</v>
          </cell>
          <cell r="B182">
            <v>2357</v>
          </cell>
          <cell r="C182">
            <v>1</v>
          </cell>
          <cell r="D182">
            <v>4</v>
          </cell>
          <cell r="E182">
            <v>-3.1085120000000002</v>
          </cell>
          <cell r="F182">
            <v>-13.049087</v>
          </cell>
        </row>
        <row r="183">
          <cell r="A183">
            <v>2</v>
          </cell>
          <cell r="B183">
            <v>2357</v>
          </cell>
          <cell r="C183">
            <v>1</v>
          </cell>
          <cell r="D183">
            <v>51</v>
          </cell>
          <cell r="E183">
            <v>52.264209000000001</v>
          </cell>
          <cell r="F183">
            <v>154.582686</v>
          </cell>
        </row>
        <row r="184">
          <cell r="A184">
            <v>2</v>
          </cell>
          <cell r="B184">
            <v>2357</v>
          </cell>
          <cell r="C184">
            <v>1</v>
          </cell>
          <cell r="D184">
            <v>52</v>
          </cell>
          <cell r="E184">
            <v>19.246665</v>
          </cell>
          <cell r="F184">
            <v>47.734974999999999</v>
          </cell>
        </row>
        <row r="185">
          <cell r="A185">
            <v>2</v>
          </cell>
          <cell r="B185">
            <v>2357</v>
          </cell>
          <cell r="C185">
            <v>1</v>
          </cell>
          <cell r="D185">
            <v>591</v>
          </cell>
          <cell r="E185">
            <v>3.8999999999999998E-3</v>
          </cell>
          <cell r="F185">
            <v>3.8999999999999998E-3</v>
          </cell>
        </row>
        <row r="186">
          <cell r="A186">
            <v>2</v>
          </cell>
          <cell r="B186">
            <v>2358</v>
          </cell>
          <cell r="C186">
            <v>1</v>
          </cell>
          <cell r="D186">
            <v>4</v>
          </cell>
          <cell r="E186">
            <v>-1.2744709999999999</v>
          </cell>
          <cell r="F186">
            <v>-3.4098519999999999</v>
          </cell>
        </row>
        <row r="187">
          <cell r="A187">
            <v>2</v>
          </cell>
          <cell r="B187">
            <v>2358</v>
          </cell>
          <cell r="C187">
            <v>1</v>
          </cell>
          <cell r="D187">
            <v>51</v>
          </cell>
          <cell r="E187">
            <v>13.995849</v>
          </cell>
          <cell r="F187">
            <v>42.957335999999998</v>
          </cell>
        </row>
        <row r="188">
          <cell r="A188">
            <v>2</v>
          </cell>
          <cell r="B188">
            <v>2358</v>
          </cell>
          <cell r="C188">
            <v>1</v>
          </cell>
          <cell r="D188">
            <v>52</v>
          </cell>
          <cell r="E188">
            <v>4.0684420000000001</v>
          </cell>
          <cell r="F188">
            <v>12.298223999999999</v>
          </cell>
        </row>
        <row r="189">
          <cell r="A189">
            <v>2</v>
          </cell>
          <cell r="B189">
            <v>2358</v>
          </cell>
          <cell r="C189">
            <v>1</v>
          </cell>
          <cell r="D189">
            <v>591</v>
          </cell>
          <cell r="E189">
            <v>0.2</v>
          </cell>
          <cell r="F189">
            <v>1.5000739999999999</v>
          </cell>
        </row>
        <row r="190">
          <cell r="A190">
            <v>2</v>
          </cell>
          <cell r="B190">
            <v>2359</v>
          </cell>
          <cell r="C190">
            <v>1</v>
          </cell>
          <cell r="D190">
            <v>51</v>
          </cell>
          <cell r="E190">
            <v>81.364223999999993</v>
          </cell>
          <cell r="F190">
            <v>241.31700900000001</v>
          </cell>
        </row>
        <row r="191">
          <cell r="A191">
            <v>2</v>
          </cell>
          <cell r="B191">
            <v>2359</v>
          </cell>
          <cell r="C191">
            <v>1</v>
          </cell>
          <cell r="D191">
            <v>52</v>
          </cell>
          <cell r="E191">
            <v>14.714791999999999</v>
          </cell>
          <cell r="F191">
            <v>46.516070000000006</v>
          </cell>
        </row>
        <row r="192">
          <cell r="A192">
            <v>2</v>
          </cell>
          <cell r="B192">
            <v>2359</v>
          </cell>
          <cell r="C192">
            <v>1</v>
          </cell>
          <cell r="D192">
            <v>591</v>
          </cell>
          <cell r="E192">
            <v>0</v>
          </cell>
          <cell r="F192">
            <v>3.3840620000000001</v>
          </cell>
        </row>
        <row r="193">
          <cell r="A193">
            <v>2</v>
          </cell>
          <cell r="B193">
            <v>2360</v>
          </cell>
          <cell r="C193">
            <v>1</v>
          </cell>
          <cell r="D193">
            <v>4</v>
          </cell>
          <cell r="E193">
            <v>-0.70645100000000005</v>
          </cell>
          <cell r="F193">
            <v>-6.4874499999999999</v>
          </cell>
        </row>
        <row r="194">
          <cell r="A194">
            <v>2</v>
          </cell>
          <cell r="B194">
            <v>2360</v>
          </cell>
          <cell r="C194">
            <v>1</v>
          </cell>
          <cell r="D194">
            <v>51</v>
          </cell>
          <cell r="E194">
            <v>34.669640999999999</v>
          </cell>
          <cell r="F194">
            <v>111.54390600000001</v>
          </cell>
        </row>
        <row r="195">
          <cell r="A195">
            <v>2</v>
          </cell>
          <cell r="B195">
            <v>2360</v>
          </cell>
          <cell r="C195">
            <v>1</v>
          </cell>
          <cell r="D195">
            <v>52</v>
          </cell>
          <cell r="E195">
            <v>8.1543019999999995</v>
          </cell>
          <cell r="F195">
            <v>23.001923999999999</v>
          </cell>
        </row>
        <row r="196">
          <cell r="A196">
            <v>2</v>
          </cell>
          <cell r="B196">
            <v>2360</v>
          </cell>
          <cell r="C196">
            <v>1</v>
          </cell>
          <cell r="D196">
            <v>591</v>
          </cell>
          <cell r="E196">
            <v>0.183616</v>
          </cell>
          <cell r="F196">
            <v>0.38361600000000001</v>
          </cell>
        </row>
        <row r="197">
          <cell r="A197">
            <v>2</v>
          </cell>
          <cell r="B197">
            <v>2361</v>
          </cell>
          <cell r="C197">
            <v>1</v>
          </cell>
          <cell r="D197">
            <v>4</v>
          </cell>
          <cell r="E197">
            <v>-2.023174</v>
          </cell>
          <cell r="F197">
            <v>-4.0191990000000004</v>
          </cell>
        </row>
        <row r="198">
          <cell r="A198">
            <v>2</v>
          </cell>
          <cell r="B198">
            <v>2361</v>
          </cell>
          <cell r="C198">
            <v>1</v>
          </cell>
          <cell r="D198">
            <v>51</v>
          </cell>
          <cell r="E198">
            <v>8.8169350000000009</v>
          </cell>
          <cell r="F198">
            <v>27.411666</v>
          </cell>
        </row>
        <row r="199">
          <cell r="A199">
            <v>2</v>
          </cell>
          <cell r="B199">
            <v>2361</v>
          </cell>
          <cell r="C199">
            <v>1</v>
          </cell>
          <cell r="D199">
            <v>52</v>
          </cell>
          <cell r="E199">
            <v>4.228866</v>
          </cell>
          <cell r="F199">
            <v>10.820191999999999</v>
          </cell>
        </row>
        <row r="200">
          <cell r="A200">
            <v>2</v>
          </cell>
          <cell r="B200">
            <v>2361</v>
          </cell>
          <cell r="C200">
            <v>1</v>
          </cell>
          <cell r="D200">
            <v>591</v>
          </cell>
          <cell r="E200">
            <v>0.215</v>
          </cell>
          <cell r="F200">
            <v>0.26700000000000002</v>
          </cell>
        </row>
        <row r="201">
          <cell r="A201">
            <v>2</v>
          </cell>
          <cell r="B201">
            <v>2362</v>
          </cell>
          <cell r="C201">
            <v>1</v>
          </cell>
          <cell r="D201">
            <v>4</v>
          </cell>
          <cell r="E201">
            <v>-0.175016</v>
          </cell>
          <cell r="F201">
            <v>-0.50909899999999997</v>
          </cell>
        </row>
        <row r="202">
          <cell r="A202">
            <v>2</v>
          </cell>
          <cell r="B202">
            <v>2362</v>
          </cell>
          <cell r="C202">
            <v>1</v>
          </cell>
          <cell r="D202">
            <v>51</v>
          </cell>
          <cell r="E202">
            <v>9.3676999999999992</v>
          </cell>
          <cell r="F202">
            <v>27.943878999999999</v>
          </cell>
        </row>
        <row r="203">
          <cell r="A203">
            <v>2</v>
          </cell>
          <cell r="B203">
            <v>2362</v>
          </cell>
          <cell r="C203">
            <v>1</v>
          </cell>
          <cell r="D203">
            <v>52</v>
          </cell>
          <cell r="E203">
            <v>2.2523089999999999</v>
          </cell>
          <cell r="F203">
            <v>6.4153409999999997</v>
          </cell>
        </row>
        <row r="204">
          <cell r="A204">
            <v>2</v>
          </cell>
          <cell r="B204">
            <v>2363</v>
          </cell>
          <cell r="C204">
            <v>1</v>
          </cell>
          <cell r="D204">
            <v>4</v>
          </cell>
          <cell r="E204">
            <v>-1.422963</v>
          </cell>
          <cell r="F204">
            <v>-5.0237340000000001</v>
          </cell>
        </row>
        <row r="205">
          <cell r="A205">
            <v>2</v>
          </cell>
          <cell r="B205">
            <v>2363</v>
          </cell>
          <cell r="C205">
            <v>1</v>
          </cell>
          <cell r="D205">
            <v>51</v>
          </cell>
          <cell r="E205">
            <v>9.0783159999999992</v>
          </cell>
          <cell r="F205">
            <v>28.508454</v>
          </cell>
        </row>
        <row r="206">
          <cell r="A206">
            <v>2</v>
          </cell>
          <cell r="B206">
            <v>2363</v>
          </cell>
          <cell r="C206">
            <v>1</v>
          </cell>
          <cell r="D206">
            <v>52</v>
          </cell>
          <cell r="E206">
            <v>5.6468680000000004</v>
          </cell>
          <cell r="F206">
            <v>13.169169999999999</v>
          </cell>
        </row>
        <row r="207">
          <cell r="A207">
            <v>2</v>
          </cell>
          <cell r="B207">
            <v>2363</v>
          </cell>
          <cell r="C207">
            <v>1</v>
          </cell>
          <cell r="D207">
            <v>591</v>
          </cell>
          <cell r="E207">
            <v>2E-3</v>
          </cell>
          <cell r="F207">
            <v>2E-3</v>
          </cell>
        </row>
        <row r="208">
          <cell r="A208">
            <v>2</v>
          </cell>
          <cell r="B208">
            <v>2365</v>
          </cell>
          <cell r="C208">
            <v>1</v>
          </cell>
          <cell r="D208">
            <v>4</v>
          </cell>
          <cell r="E208">
            <v>-3.2265649999999999</v>
          </cell>
          <cell r="F208">
            <v>-19.683209999999999</v>
          </cell>
        </row>
        <row r="209">
          <cell r="A209">
            <v>2</v>
          </cell>
          <cell r="B209">
            <v>2365</v>
          </cell>
          <cell r="C209">
            <v>1</v>
          </cell>
          <cell r="D209">
            <v>51</v>
          </cell>
          <cell r="E209">
            <v>66.490943000000001</v>
          </cell>
          <cell r="F209">
            <v>199.426017</v>
          </cell>
        </row>
        <row r="210">
          <cell r="A210">
            <v>2</v>
          </cell>
          <cell r="B210">
            <v>2365</v>
          </cell>
          <cell r="C210">
            <v>1</v>
          </cell>
          <cell r="D210">
            <v>52</v>
          </cell>
          <cell r="E210">
            <v>13.743464999999999</v>
          </cell>
          <cell r="F210">
            <v>50.411876999999997</v>
          </cell>
        </row>
        <row r="211">
          <cell r="A211">
            <v>2</v>
          </cell>
          <cell r="B211">
            <v>2365</v>
          </cell>
          <cell r="C211">
            <v>1</v>
          </cell>
          <cell r="D211">
            <v>591</v>
          </cell>
          <cell r="E211">
            <v>0.3</v>
          </cell>
          <cell r="F211">
            <v>0.64739999999999998</v>
          </cell>
        </row>
        <row r="212">
          <cell r="A212">
            <v>2</v>
          </cell>
          <cell r="B212">
            <v>2367</v>
          </cell>
          <cell r="C212">
            <v>1</v>
          </cell>
          <cell r="D212">
            <v>4</v>
          </cell>
          <cell r="E212">
            <v>-1.8339970000000001</v>
          </cell>
          <cell r="F212">
            <v>-4.3134420000000002</v>
          </cell>
        </row>
        <row r="213">
          <cell r="A213">
            <v>2</v>
          </cell>
          <cell r="B213">
            <v>2367</v>
          </cell>
          <cell r="C213">
            <v>1</v>
          </cell>
          <cell r="D213">
            <v>51</v>
          </cell>
          <cell r="E213">
            <v>14.851646000000001</v>
          </cell>
          <cell r="F213">
            <v>44.641897</v>
          </cell>
        </row>
        <row r="214">
          <cell r="A214">
            <v>2</v>
          </cell>
          <cell r="B214">
            <v>2367</v>
          </cell>
          <cell r="C214">
            <v>1</v>
          </cell>
          <cell r="D214">
            <v>52</v>
          </cell>
          <cell r="E214">
            <v>4.1143859999999997</v>
          </cell>
          <cell r="F214">
            <v>14.000157</v>
          </cell>
        </row>
        <row r="215">
          <cell r="A215">
            <v>2</v>
          </cell>
          <cell r="B215">
            <v>2367</v>
          </cell>
          <cell r="C215">
            <v>1</v>
          </cell>
          <cell r="D215">
            <v>591</v>
          </cell>
          <cell r="E215">
            <v>5.0000000000000001E-3</v>
          </cell>
          <cell r="F215">
            <v>5.0000000000000001E-3</v>
          </cell>
        </row>
        <row r="216">
          <cell r="A216">
            <v>2</v>
          </cell>
          <cell r="B216">
            <v>2368</v>
          </cell>
          <cell r="C216">
            <v>1</v>
          </cell>
          <cell r="D216">
            <v>52</v>
          </cell>
          <cell r="E216">
            <v>11.0776</v>
          </cell>
          <cell r="F216">
            <v>38.832799999999999</v>
          </cell>
        </row>
        <row r="217">
          <cell r="A217">
            <v>2</v>
          </cell>
          <cell r="B217">
            <v>2369</v>
          </cell>
          <cell r="C217">
            <v>1</v>
          </cell>
          <cell r="D217">
            <v>52</v>
          </cell>
          <cell r="E217">
            <v>13.2889</v>
          </cell>
          <cell r="F217">
            <v>39.864899999999999</v>
          </cell>
        </row>
        <row r="218">
          <cell r="A218">
            <v>2</v>
          </cell>
          <cell r="B218">
            <v>2370</v>
          </cell>
          <cell r="C218">
            <v>1</v>
          </cell>
          <cell r="D218">
            <v>4</v>
          </cell>
          <cell r="E218">
            <v>0</v>
          </cell>
          <cell r="F218">
            <v>-2.0261000000000001E-2</v>
          </cell>
        </row>
        <row r="219">
          <cell r="A219">
            <v>2</v>
          </cell>
          <cell r="B219">
            <v>2370</v>
          </cell>
          <cell r="C219">
            <v>1</v>
          </cell>
          <cell r="D219">
            <v>51</v>
          </cell>
          <cell r="E219">
            <v>6.4632050000000003</v>
          </cell>
          <cell r="F219">
            <v>19.646833000000001</v>
          </cell>
        </row>
        <row r="220">
          <cell r="A220">
            <v>2</v>
          </cell>
          <cell r="B220">
            <v>2370</v>
          </cell>
          <cell r="C220">
            <v>1</v>
          </cell>
          <cell r="D220">
            <v>52</v>
          </cell>
          <cell r="E220">
            <v>0.763019</v>
          </cell>
          <cell r="F220">
            <v>2.1058759999999999</v>
          </cell>
        </row>
        <row r="221">
          <cell r="A221">
            <v>2</v>
          </cell>
          <cell r="B221">
            <v>2430</v>
          </cell>
          <cell r="C221">
            <v>1</v>
          </cell>
          <cell r="D221">
            <v>4</v>
          </cell>
          <cell r="E221">
            <v>-2.2961770000000001</v>
          </cell>
          <cell r="F221">
            <v>-8.6557309999999994</v>
          </cell>
        </row>
        <row r="222">
          <cell r="A222">
            <v>2</v>
          </cell>
          <cell r="B222">
            <v>2430</v>
          </cell>
          <cell r="C222">
            <v>1</v>
          </cell>
          <cell r="D222">
            <v>51</v>
          </cell>
          <cell r="E222">
            <v>8.4358520000000006</v>
          </cell>
          <cell r="F222">
            <v>24.442689000000001</v>
          </cell>
        </row>
        <row r="223">
          <cell r="A223">
            <v>2</v>
          </cell>
          <cell r="B223">
            <v>2430</v>
          </cell>
          <cell r="C223">
            <v>1</v>
          </cell>
          <cell r="D223">
            <v>52</v>
          </cell>
          <cell r="E223">
            <v>1.555825</v>
          </cell>
          <cell r="F223">
            <v>6.9360620000000006</v>
          </cell>
        </row>
        <row r="224">
          <cell r="A224">
            <v>2</v>
          </cell>
          <cell r="B224">
            <v>2441</v>
          </cell>
          <cell r="C224">
            <v>1</v>
          </cell>
          <cell r="D224">
            <v>52</v>
          </cell>
          <cell r="E224">
            <v>20.030283000000001</v>
          </cell>
          <cell r="F224">
            <v>80.091578999999996</v>
          </cell>
        </row>
        <row r="225">
          <cell r="A225">
            <v>2</v>
          </cell>
          <cell r="B225">
            <v>2451</v>
          </cell>
          <cell r="C225">
            <v>1</v>
          </cell>
          <cell r="D225">
            <v>51</v>
          </cell>
          <cell r="E225">
            <v>0.53878000000000004</v>
          </cell>
          <cell r="F225">
            <v>1.6163400000000001</v>
          </cell>
        </row>
        <row r="226">
          <cell r="A226">
            <v>2</v>
          </cell>
          <cell r="B226">
            <v>2451</v>
          </cell>
          <cell r="C226">
            <v>1</v>
          </cell>
          <cell r="D226">
            <v>52</v>
          </cell>
          <cell r="E226">
            <v>0.66444800000000004</v>
          </cell>
          <cell r="F226">
            <v>0.66600700000000002</v>
          </cell>
        </row>
        <row r="227">
          <cell r="A227">
            <v>2</v>
          </cell>
          <cell r="B227">
            <v>2451</v>
          </cell>
          <cell r="C227">
            <v>1</v>
          </cell>
          <cell r="D227">
            <v>591</v>
          </cell>
          <cell r="E227">
            <v>132.04900000000001</v>
          </cell>
          <cell r="F227">
            <v>363.81799999999998</v>
          </cell>
        </row>
        <row r="228">
          <cell r="A228">
            <v>2</v>
          </cell>
          <cell r="B228">
            <v>2504</v>
          </cell>
          <cell r="C228">
            <v>1</v>
          </cell>
          <cell r="D228">
            <v>52</v>
          </cell>
          <cell r="E228">
            <v>180.9</v>
          </cell>
          <cell r="F228">
            <v>600.9</v>
          </cell>
        </row>
        <row r="229">
          <cell r="A229">
            <v>2</v>
          </cell>
          <cell r="B229">
            <v>2514</v>
          </cell>
          <cell r="C229">
            <v>1</v>
          </cell>
          <cell r="D229">
            <v>51</v>
          </cell>
          <cell r="E229">
            <v>0.64218399999999998</v>
          </cell>
          <cell r="F229">
            <v>1.926552</v>
          </cell>
        </row>
        <row r="230">
          <cell r="A230">
            <v>2</v>
          </cell>
          <cell r="B230">
            <v>2516</v>
          </cell>
          <cell r="C230">
            <v>1</v>
          </cell>
          <cell r="D230">
            <v>4</v>
          </cell>
          <cell r="E230">
            <v>-11.820658</v>
          </cell>
          <cell r="F230">
            <v>-14.63937</v>
          </cell>
        </row>
        <row r="231">
          <cell r="A231">
            <v>2</v>
          </cell>
          <cell r="B231">
            <v>2516</v>
          </cell>
          <cell r="C231">
            <v>1</v>
          </cell>
          <cell r="D231">
            <v>51</v>
          </cell>
          <cell r="E231">
            <v>38.917144999999998</v>
          </cell>
          <cell r="F231">
            <v>113.171865</v>
          </cell>
        </row>
        <row r="232">
          <cell r="A232">
            <v>2</v>
          </cell>
          <cell r="B232">
            <v>2516</v>
          </cell>
          <cell r="C232">
            <v>1</v>
          </cell>
          <cell r="D232">
            <v>52</v>
          </cell>
          <cell r="E232">
            <v>28.503796999999999</v>
          </cell>
          <cell r="F232">
            <v>39.159725000000002</v>
          </cell>
        </row>
        <row r="233">
          <cell r="A233">
            <v>2</v>
          </cell>
          <cell r="B233">
            <v>2516</v>
          </cell>
          <cell r="C233">
            <v>1</v>
          </cell>
          <cell r="D233">
            <v>591</v>
          </cell>
          <cell r="E233">
            <v>5.0000000000000001E-3</v>
          </cell>
          <cell r="F233">
            <v>0.01</v>
          </cell>
        </row>
        <row r="234">
          <cell r="A234">
            <v>2</v>
          </cell>
          <cell r="B234">
            <v>2541</v>
          </cell>
          <cell r="C234">
            <v>1</v>
          </cell>
          <cell r="D234">
            <v>52</v>
          </cell>
          <cell r="E234">
            <v>2.92</v>
          </cell>
          <cell r="F234">
            <v>7.7380000000000004</v>
          </cell>
        </row>
        <row r="235">
          <cell r="A235">
            <v>2</v>
          </cell>
          <cell r="B235">
            <v>2551</v>
          </cell>
          <cell r="C235">
            <v>1</v>
          </cell>
          <cell r="D235">
            <v>52</v>
          </cell>
          <cell r="E235">
            <v>5.3029999999999999</v>
          </cell>
          <cell r="F235">
            <v>9.3979999999999997</v>
          </cell>
        </row>
        <row r="236">
          <cell r="A236">
            <v>2</v>
          </cell>
          <cell r="B236">
            <v>2581</v>
          </cell>
          <cell r="C236">
            <v>1</v>
          </cell>
          <cell r="D236">
            <v>52</v>
          </cell>
          <cell r="E236">
            <v>88.323362000000003</v>
          </cell>
          <cell r="F236">
            <v>239.94776200000001</v>
          </cell>
        </row>
        <row r="237">
          <cell r="A237">
            <v>2</v>
          </cell>
          <cell r="B237">
            <v>2720</v>
          </cell>
          <cell r="C237">
            <v>1</v>
          </cell>
          <cell r="D237">
            <v>52</v>
          </cell>
          <cell r="E237">
            <v>0.109662</v>
          </cell>
          <cell r="F237">
            <v>2.5198619999999998</v>
          </cell>
        </row>
        <row r="238">
          <cell r="A238">
            <v>2</v>
          </cell>
          <cell r="B238">
            <v>2720</v>
          </cell>
          <cell r="C238">
            <v>1</v>
          </cell>
          <cell r="D238">
            <v>591</v>
          </cell>
          <cell r="E238">
            <v>62.24</v>
          </cell>
          <cell r="F238">
            <v>87.392999000000003</v>
          </cell>
        </row>
        <row r="239">
          <cell r="A239">
            <v>2</v>
          </cell>
          <cell r="B239">
            <v>2725</v>
          </cell>
          <cell r="C239">
            <v>1</v>
          </cell>
          <cell r="D239">
            <v>4</v>
          </cell>
          <cell r="E239">
            <v>0</v>
          </cell>
          <cell r="F239">
            <v>-3.4904289999999998</v>
          </cell>
        </row>
        <row r="240">
          <cell r="A240">
            <v>2</v>
          </cell>
          <cell r="B240">
            <v>2725</v>
          </cell>
          <cell r="C240">
            <v>1</v>
          </cell>
          <cell r="D240">
            <v>51</v>
          </cell>
          <cell r="E240">
            <v>10.834353999999999</v>
          </cell>
          <cell r="F240">
            <v>32.842342000000002</v>
          </cell>
        </row>
        <row r="241">
          <cell r="A241">
            <v>2</v>
          </cell>
          <cell r="B241">
            <v>2725</v>
          </cell>
          <cell r="C241">
            <v>1</v>
          </cell>
          <cell r="D241">
            <v>52</v>
          </cell>
          <cell r="E241">
            <v>22.331068999999999</v>
          </cell>
          <cell r="F241">
            <v>55.083903999999997</v>
          </cell>
        </row>
        <row r="242">
          <cell r="A242">
            <v>2</v>
          </cell>
          <cell r="B242">
            <v>2872</v>
          </cell>
          <cell r="C242">
            <v>1</v>
          </cell>
          <cell r="D242">
            <v>51</v>
          </cell>
          <cell r="E242">
            <v>13.058902</v>
          </cell>
          <cell r="F242">
            <v>39.158223999999997</v>
          </cell>
        </row>
        <row r="243">
          <cell r="A243">
            <v>2</v>
          </cell>
          <cell r="B243">
            <v>2872</v>
          </cell>
          <cell r="C243">
            <v>1</v>
          </cell>
          <cell r="D243">
            <v>52</v>
          </cell>
          <cell r="E243">
            <v>0</v>
          </cell>
          <cell r="F243">
            <v>0.97539500000000001</v>
          </cell>
        </row>
        <row r="244">
          <cell r="A244">
            <v>2</v>
          </cell>
          <cell r="B244">
            <v>2872</v>
          </cell>
          <cell r="C244">
            <v>1</v>
          </cell>
          <cell r="D244">
            <v>591</v>
          </cell>
          <cell r="E244">
            <v>269</v>
          </cell>
          <cell r="F244">
            <v>5269</v>
          </cell>
        </row>
        <row r="245">
          <cell r="A245">
            <v>2</v>
          </cell>
          <cell r="B245">
            <v>2884</v>
          </cell>
          <cell r="C245">
            <v>1</v>
          </cell>
          <cell r="D245">
            <v>591</v>
          </cell>
          <cell r="E245">
            <v>0</v>
          </cell>
          <cell r="F245">
            <v>300</v>
          </cell>
        </row>
        <row r="246">
          <cell r="A246">
            <v>2</v>
          </cell>
          <cell r="B246">
            <v>2901</v>
          </cell>
          <cell r="C246">
            <v>1</v>
          </cell>
          <cell r="D246">
            <v>4</v>
          </cell>
          <cell r="E246">
            <v>-0.8</v>
          </cell>
          <cell r="F246">
            <v>-0.8</v>
          </cell>
        </row>
        <row r="247">
          <cell r="A247">
            <v>2</v>
          </cell>
          <cell r="B247">
            <v>2901</v>
          </cell>
          <cell r="C247">
            <v>1</v>
          </cell>
          <cell r="D247">
            <v>51</v>
          </cell>
          <cell r="E247">
            <v>5.8155029999999996</v>
          </cell>
          <cell r="F247">
            <v>17.849807999999999</v>
          </cell>
        </row>
        <row r="248">
          <cell r="A248">
            <v>2</v>
          </cell>
          <cell r="B248">
            <v>2901</v>
          </cell>
          <cell r="C248">
            <v>1</v>
          </cell>
          <cell r="D248">
            <v>52</v>
          </cell>
          <cell r="E248">
            <v>2.5602179999999999</v>
          </cell>
          <cell r="F248">
            <v>7.7084299999999999</v>
          </cell>
        </row>
        <row r="249">
          <cell r="A249">
            <v>2</v>
          </cell>
          <cell r="B249">
            <v>2902</v>
          </cell>
          <cell r="C249">
            <v>1</v>
          </cell>
          <cell r="D249">
            <v>4</v>
          </cell>
          <cell r="E249">
            <v>-7.0304080000000004</v>
          </cell>
          <cell r="F249">
            <v>-24.532975</v>
          </cell>
        </row>
        <row r="250">
          <cell r="A250">
            <v>2</v>
          </cell>
          <cell r="B250">
            <v>2902</v>
          </cell>
          <cell r="C250">
            <v>1</v>
          </cell>
          <cell r="D250">
            <v>51</v>
          </cell>
          <cell r="E250">
            <v>15.667173</v>
          </cell>
          <cell r="F250">
            <v>48.312206000000003</v>
          </cell>
        </row>
        <row r="251">
          <cell r="A251">
            <v>2</v>
          </cell>
          <cell r="B251">
            <v>2902</v>
          </cell>
          <cell r="C251">
            <v>1</v>
          </cell>
          <cell r="D251">
            <v>52</v>
          </cell>
          <cell r="E251">
            <v>14.14751</v>
          </cell>
          <cell r="F251">
            <v>42.911561999999996</v>
          </cell>
        </row>
        <row r="252">
          <cell r="A252">
            <v>2</v>
          </cell>
          <cell r="B252">
            <v>2902</v>
          </cell>
          <cell r="C252">
            <v>1</v>
          </cell>
          <cell r="D252">
            <v>591</v>
          </cell>
          <cell r="E252">
            <v>5.6005000000000003</v>
          </cell>
          <cell r="F252">
            <v>5.6059999999999999</v>
          </cell>
        </row>
        <row r="253">
          <cell r="A253">
            <v>2</v>
          </cell>
          <cell r="B253">
            <v>2902</v>
          </cell>
          <cell r="C253">
            <v>5</v>
          </cell>
          <cell r="D253">
            <v>51</v>
          </cell>
          <cell r="E253">
            <v>0.42144900000000002</v>
          </cell>
          <cell r="F253">
            <v>1.2833540000000001</v>
          </cell>
        </row>
        <row r="254">
          <cell r="A254">
            <v>2</v>
          </cell>
          <cell r="B254">
            <v>2902</v>
          </cell>
          <cell r="C254">
            <v>5</v>
          </cell>
          <cell r="D254">
            <v>52</v>
          </cell>
          <cell r="E254">
            <v>0.33758300000000002</v>
          </cell>
          <cell r="F254">
            <v>1.4177200000000001</v>
          </cell>
        </row>
        <row r="255">
          <cell r="A255">
            <v>2</v>
          </cell>
          <cell r="B255">
            <v>2902</v>
          </cell>
          <cell r="C255">
            <v>5</v>
          </cell>
          <cell r="D255">
            <v>591</v>
          </cell>
          <cell r="E255">
            <v>20</v>
          </cell>
          <cell r="F255">
            <v>20</v>
          </cell>
        </row>
        <row r="256">
          <cell r="A256">
            <v>2</v>
          </cell>
          <cell r="B256">
            <v>2903</v>
          </cell>
          <cell r="C256">
            <v>1</v>
          </cell>
          <cell r="D256">
            <v>4</v>
          </cell>
          <cell r="E256">
            <v>-1.5878060000000001</v>
          </cell>
          <cell r="F256">
            <v>-2.6344120000000002</v>
          </cell>
        </row>
        <row r="257">
          <cell r="A257">
            <v>2</v>
          </cell>
          <cell r="B257">
            <v>2903</v>
          </cell>
          <cell r="C257">
            <v>1</v>
          </cell>
          <cell r="D257">
            <v>51</v>
          </cell>
          <cell r="E257">
            <v>13.794442</v>
          </cell>
          <cell r="F257">
            <v>42.605626000000001</v>
          </cell>
        </row>
        <row r="258">
          <cell r="A258">
            <v>2</v>
          </cell>
          <cell r="B258">
            <v>2903</v>
          </cell>
          <cell r="C258">
            <v>1</v>
          </cell>
          <cell r="D258">
            <v>52</v>
          </cell>
          <cell r="E258">
            <v>4.3991290000000003</v>
          </cell>
          <cell r="F258">
            <v>24.973731999999998</v>
          </cell>
        </row>
        <row r="259">
          <cell r="A259">
            <v>2</v>
          </cell>
          <cell r="B259">
            <v>2903</v>
          </cell>
          <cell r="C259">
            <v>1</v>
          </cell>
          <cell r="D259">
            <v>591</v>
          </cell>
          <cell r="E259">
            <v>5.0000000000000001E-3</v>
          </cell>
          <cell r="F259">
            <v>5.0000000000000001E-3</v>
          </cell>
        </row>
        <row r="260">
          <cell r="A260">
            <v>2</v>
          </cell>
          <cell r="B260">
            <v>2904</v>
          </cell>
          <cell r="C260">
            <v>1</v>
          </cell>
          <cell r="D260">
            <v>4</v>
          </cell>
          <cell r="E260">
            <v>-1.6950529999999999</v>
          </cell>
          <cell r="F260">
            <v>-2.3188939999999998</v>
          </cell>
        </row>
        <row r="261">
          <cell r="A261">
            <v>2</v>
          </cell>
          <cell r="B261">
            <v>2904</v>
          </cell>
          <cell r="C261">
            <v>1</v>
          </cell>
          <cell r="D261">
            <v>51</v>
          </cell>
          <cell r="E261">
            <v>3.926685</v>
          </cell>
          <cell r="F261">
            <v>11.303369999999999</v>
          </cell>
        </row>
        <row r="262">
          <cell r="A262">
            <v>2</v>
          </cell>
          <cell r="B262">
            <v>2904</v>
          </cell>
          <cell r="C262">
            <v>1</v>
          </cell>
          <cell r="D262">
            <v>52</v>
          </cell>
          <cell r="E262">
            <v>5.5720470000000004</v>
          </cell>
          <cell r="F262">
            <v>16.085381999999999</v>
          </cell>
        </row>
        <row r="263">
          <cell r="A263">
            <v>2</v>
          </cell>
          <cell r="B263">
            <v>2904</v>
          </cell>
          <cell r="C263">
            <v>1</v>
          </cell>
          <cell r="D263">
            <v>591</v>
          </cell>
          <cell r="E263">
            <v>1.9E-2</v>
          </cell>
          <cell r="F263">
            <v>1.9E-2</v>
          </cell>
        </row>
        <row r="264">
          <cell r="A264">
            <v>2</v>
          </cell>
          <cell r="B264">
            <v>2905</v>
          </cell>
          <cell r="C264">
            <v>1</v>
          </cell>
          <cell r="D264">
            <v>4</v>
          </cell>
          <cell r="E264">
            <v>-2.2384539999999999</v>
          </cell>
          <cell r="F264">
            <v>-11.150055999999999</v>
          </cell>
        </row>
        <row r="265">
          <cell r="A265">
            <v>2</v>
          </cell>
          <cell r="B265">
            <v>2905</v>
          </cell>
          <cell r="C265">
            <v>1</v>
          </cell>
          <cell r="D265">
            <v>51</v>
          </cell>
          <cell r="E265">
            <v>34.892874999999997</v>
          </cell>
          <cell r="F265">
            <v>103.40602</v>
          </cell>
        </row>
        <row r="266">
          <cell r="A266">
            <v>2</v>
          </cell>
          <cell r="B266">
            <v>2905</v>
          </cell>
          <cell r="C266">
            <v>1</v>
          </cell>
          <cell r="D266">
            <v>52</v>
          </cell>
          <cell r="E266">
            <v>80.26614099999999</v>
          </cell>
          <cell r="F266">
            <v>294.76300299999997</v>
          </cell>
        </row>
        <row r="267">
          <cell r="A267">
            <v>2</v>
          </cell>
          <cell r="B267">
            <v>2906</v>
          </cell>
          <cell r="C267">
            <v>1</v>
          </cell>
          <cell r="D267">
            <v>4</v>
          </cell>
          <cell r="E267">
            <v>-0.30369200000000002</v>
          </cell>
          <cell r="F267">
            <v>-0.37519200000000003</v>
          </cell>
        </row>
        <row r="268">
          <cell r="A268">
            <v>2</v>
          </cell>
          <cell r="B268">
            <v>2906</v>
          </cell>
          <cell r="C268">
            <v>1</v>
          </cell>
          <cell r="D268">
            <v>51</v>
          </cell>
          <cell r="E268">
            <v>0.82633999999999996</v>
          </cell>
          <cell r="F268">
            <v>2.297453</v>
          </cell>
        </row>
        <row r="269">
          <cell r="A269">
            <v>2</v>
          </cell>
          <cell r="B269">
            <v>2906</v>
          </cell>
          <cell r="C269">
            <v>1</v>
          </cell>
          <cell r="D269">
            <v>52</v>
          </cell>
          <cell r="E269">
            <v>0.61338000000000004</v>
          </cell>
          <cell r="F269">
            <v>1.960067</v>
          </cell>
        </row>
        <row r="270">
          <cell r="A270">
            <v>2</v>
          </cell>
          <cell r="B270">
            <v>2907</v>
          </cell>
          <cell r="C270">
            <v>1</v>
          </cell>
          <cell r="D270">
            <v>4</v>
          </cell>
          <cell r="E270">
            <v>-0.87365599999999999</v>
          </cell>
          <cell r="F270">
            <v>-3.1863090000000001</v>
          </cell>
        </row>
        <row r="271">
          <cell r="A271">
            <v>2</v>
          </cell>
          <cell r="B271">
            <v>2907</v>
          </cell>
          <cell r="C271">
            <v>1</v>
          </cell>
          <cell r="D271">
            <v>51</v>
          </cell>
          <cell r="E271">
            <v>7.4903399999999998</v>
          </cell>
          <cell r="F271">
            <v>22.030905000000001</v>
          </cell>
        </row>
        <row r="272">
          <cell r="A272">
            <v>2</v>
          </cell>
          <cell r="B272">
            <v>2907</v>
          </cell>
          <cell r="C272">
            <v>1</v>
          </cell>
          <cell r="D272">
            <v>52</v>
          </cell>
          <cell r="E272">
            <v>5.118258</v>
          </cell>
          <cell r="F272">
            <v>25.131224</v>
          </cell>
        </row>
        <row r="273">
          <cell r="A273">
            <v>2</v>
          </cell>
          <cell r="B273">
            <v>2908</v>
          </cell>
          <cell r="C273">
            <v>1</v>
          </cell>
          <cell r="D273">
            <v>4</v>
          </cell>
          <cell r="E273">
            <v>-3.2139000000000001E-2</v>
          </cell>
          <cell r="F273">
            <v>-6.5639000000000003E-2</v>
          </cell>
        </row>
        <row r="274">
          <cell r="A274">
            <v>2</v>
          </cell>
          <cell r="B274">
            <v>2908</v>
          </cell>
          <cell r="C274">
            <v>1</v>
          </cell>
          <cell r="D274">
            <v>51</v>
          </cell>
          <cell r="E274">
            <v>2.2860969999999998</v>
          </cell>
          <cell r="F274">
            <v>6.8563770000000002</v>
          </cell>
        </row>
        <row r="275">
          <cell r="A275">
            <v>2</v>
          </cell>
          <cell r="B275">
            <v>2908</v>
          </cell>
          <cell r="C275">
            <v>1</v>
          </cell>
          <cell r="D275">
            <v>52</v>
          </cell>
          <cell r="E275">
            <v>4.7679739999999997</v>
          </cell>
          <cell r="F275">
            <v>8.3273080000000004</v>
          </cell>
        </row>
        <row r="276">
          <cell r="A276">
            <v>2</v>
          </cell>
          <cell r="B276">
            <v>2909</v>
          </cell>
          <cell r="C276">
            <v>1</v>
          </cell>
          <cell r="D276">
            <v>4</v>
          </cell>
          <cell r="E276">
            <v>-0.35199999999999998</v>
          </cell>
          <cell r="F276">
            <v>-0.38200000000000001</v>
          </cell>
        </row>
        <row r="277">
          <cell r="A277">
            <v>2</v>
          </cell>
          <cell r="B277">
            <v>2909</v>
          </cell>
          <cell r="C277">
            <v>1</v>
          </cell>
          <cell r="D277">
            <v>51</v>
          </cell>
          <cell r="E277">
            <v>3.805704</v>
          </cell>
          <cell r="F277">
            <v>9.9983140000000006</v>
          </cell>
        </row>
        <row r="278">
          <cell r="A278">
            <v>2</v>
          </cell>
          <cell r="B278">
            <v>2909</v>
          </cell>
          <cell r="C278">
            <v>1</v>
          </cell>
          <cell r="D278">
            <v>52</v>
          </cell>
          <cell r="E278">
            <v>4.2971690000000002</v>
          </cell>
          <cell r="F278">
            <v>12.810054999999998</v>
          </cell>
        </row>
        <row r="279">
          <cell r="A279">
            <v>2</v>
          </cell>
          <cell r="B279">
            <v>2909</v>
          </cell>
          <cell r="C279">
            <v>1</v>
          </cell>
          <cell r="D279">
            <v>591</v>
          </cell>
          <cell r="E279">
            <v>0.03</v>
          </cell>
          <cell r="F279">
            <v>5.5E-2</v>
          </cell>
        </row>
        <row r="280">
          <cell r="A280">
            <v>2</v>
          </cell>
          <cell r="B280">
            <v>2911</v>
          </cell>
          <cell r="C280">
            <v>1</v>
          </cell>
          <cell r="D280">
            <v>51</v>
          </cell>
          <cell r="E280">
            <v>1.6543509999999999</v>
          </cell>
          <cell r="F280">
            <v>3.6716319999999998</v>
          </cell>
        </row>
        <row r="281">
          <cell r="A281">
            <v>2</v>
          </cell>
          <cell r="B281">
            <v>2911</v>
          </cell>
          <cell r="C281">
            <v>1</v>
          </cell>
          <cell r="D281">
            <v>52</v>
          </cell>
          <cell r="E281">
            <v>0.358794</v>
          </cell>
          <cell r="F281">
            <v>1.420571</v>
          </cell>
        </row>
        <row r="282">
          <cell r="A282">
            <v>2</v>
          </cell>
          <cell r="B282">
            <v>2913</v>
          </cell>
          <cell r="C282">
            <v>1</v>
          </cell>
          <cell r="D282">
            <v>4</v>
          </cell>
          <cell r="E282">
            <v>-9.6880999999999995E-2</v>
          </cell>
          <cell r="F282">
            <v>-0.272059</v>
          </cell>
        </row>
        <row r="283">
          <cell r="A283">
            <v>2</v>
          </cell>
          <cell r="B283">
            <v>2913</v>
          </cell>
          <cell r="C283">
            <v>1</v>
          </cell>
          <cell r="D283">
            <v>51</v>
          </cell>
          <cell r="E283">
            <v>1.6668080000000001</v>
          </cell>
          <cell r="F283">
            <v>4.7731089999999998</v>
          </cell>
        </row>
        <row r="284">
          <cell r="A284">
            <v>2</v>
          </cell>
          <cell r="B284">
            <v>2913</v>
          </cell>
          <cell r="C284">
            <v>1</v>
          </cell>
          <cell r="D284">
            <v>52</v>
          </cell>
          <cell r="E284">
            <v>0.43802099999999999</v>
          </cell>
          <cell r="F284">
            <v>1.420085</v>
          </cell>
        </row>
        <row r="285">
          <cell r="A285">
            <v>2</v>
          </cell>
          <cell r="B285">
            <v>2913</v>
          </cell>
          <cell r="C285">
            <v>5</v>
          </cell>
          <cell r="D285">
            <v>52</v>
          </cell>
          <cell r="E285">
            <v>0</v>
          </cell>
          <cell r="F285">
            <v>0.56555500000000003</v>
          </cell>
        </row>
        <row r="286">
          <cell r="A286">
            <v>2</v>
          </cell>
          <cell r="B286">
            <v>2918</v>
          </cell>
          <cell r="C286">
            <v>1</v>
          </cell>
          <cell r="D286">
            <v>51</v>
          </cell>
          <cell r="E286">
            <v>0.78241499999999997</v>
          </cell>
          <cell r="F286">
            <v>1.968798</v>
          </cell>
        </row>
        <row r="287">
          <cell r="A287">
            <v>2</v>
          </cell>
          <cell r="B287">
            <v>2918</v>
          </cell>
          <cell r="C287">
            <v>1</v>
          </cell>
          <cell r="D287">
            <v>52</v>
          </cell>
          <cell r="E287">
            <v>0.12478499999999999</v>
          </cell>
          <cell r="F287">
            <v>0.60901899999999998</v>
          </cell>
        </row>
        <row r="288">
          <cell r="A288">
            <v>2</v>
          </cell>
          <cell r="B288">
            <v>2918</v>
          </cell>
          <cell r="C288">
            <v>1</v>
          </cell>
          <cell r="D288">
            <v>591</v>
          </cell>
          <cell r="E288">
            <v>18.9375</v>
          </cell>
          <cell r="F288">
            <v>20.075503999999999</v>
          </cell>
        </row>
        <row r="289">
          <cell r="A289">
            <v>2</v>
          </cell>
          <cell r="B289">
            <v>2919</v>
          </cell>
          <cell r="C289">
            <v>1</v>
          </cell>
          <cell r="D289">
            <v>52</v>
          </cell>
          <cell r="E289">
            <v>8.0058000000000004E-2</v>
          </cell>
          <cell r="F289">
            <v>0.13927200000000001</v>
          </cell>
        </row>
        <row r="290">
          <cell r="A290">
            <v>2</v>
          </cell>
          <cell r="B290">
            <v>2919</v>
          </cell>
          <cell r="C290">
            <v>1</v>
          </cell>
          <cell r="D290">
            <v>591</v>
          </cell>
          <cell r="E290">
            <v>23.734999999999999</v>
          </cell>
          <cell r="F290">
            <v>57.844999999999999</v>
          </cell>
        </row>
        <row r="291">
          <cell r="A291">
            <v>2</v>
          </cell>
          <cell r="B291">
            <v>2919</v>
          </cell>
          <cell r="C291">
            <v>6</v>
          </cell>
          <cell r="D291">
            <v>591</v>
          </cell>
          <cell r="E291">
            <v>24.7</v>
          </cell>
          <cell r="F291">
            <v>37.9</v>
          </cell>
        </row>
        <row r="292">
          <cell r="A292">
            <v>2</v>
          </cell>
          <cell r="B292">
            <v>2969</v>
          </cell>
          <cell r="C292">
            <v>6</v>
          </cell>
          <cell r="D292">
            <v>52</v>
          </cell>
          <cell r="E292">
            <v>0</v>
          </cell>
          <cell r="F292">
            <v>0.17532700000000001</v>
          </cell>
        </row>
        <row r="293">
          <cell r="A293">
            <v>2</v>
          </cell>
          <cell r="B293">
            <v>2969</v>
          </cell>
          <cell r="C293">
            <v>6</v>
          </cell>
          <cell r="D293">
            <v>591</v>
          </cell>
          <cell r="E293">
            <v>0</v>
          </cell>
          <cell r="F293">
            <v>6</v>
          </cell>
        </row>
        <row r="294">
          <cell r="A294">
            <v>2</v>
          </cell>
          <cell r="B294">
            <v>2971</v>
          </cell>
          <cell r="C294">
            <v>1</v>
          </cell>
          <cell r="D294">
            <v>52</v>
          </cell>
          <cell r="E294">
            <v>268.16666700000002</v>
          </cell>
          <cell r="F294">
            <v>804.500001</v>
          </cell>
        </row>
        <row r="295">
          <cell r="A295">
            <v>2</v>
          </cell>
          <cell r="B295">
            <v>2972</v>
          </cell>
          <cell r="C295">
            <v>1</v>
          </cell>
          <cell r="D295">
            <v>51</v>
          </cell>
          <cell r="E295">
            <v>6.574249</v>
          </cell>
          <cell r="F295">
            <v>19.237067</v>
          </cell>
        </row>
        <row r="296">
          <cell r="A296">
            <v>2</v>
          </cell>
          <cell r="B296">
            <v>2972</v>
          </cell>
          <cell r="C296">
            <v>1</v>
          </cell>
          <cell r="D296">
            <v>52</v>
          </cell>
          <cell r="E296">
            <v>1.7014180000000001</v>
          </cell>
          <cell r="F296">
            <v>8.9221819999999994</v>
          </cell>
        </row>
        <row r="297">
          <cell r="A297">
            <v>2</v>
          </cell>
          <cell r="B297">
            <v>2973</v>
          </cell>
          <cell r="C297">
            <v>1</v>
          </cell>
          <cell r="D297">
            <v>4</v>
          </cell>
          <cell r="E297">
            <v>-43.754854000000002</v>
          </cell>
          <cell r="F297">
            <v>-74.381052999999994</v>
          </cell>
        </row>
        <row r="298">
          <cell r="A298">
            <v>2</v>
          </cell>
          <cell r="B298">
            <v>2973</v>
          </cell>
          <cell r="C298">
            <v>1</v>
          </cell>
          <cell r="D298">
            <v>51</v>
          </cell>
          <cell r="E298">
            <v>60.154305000000001</v>
          </cell>
          <cell r="F298">
            <v>186.370001</v>
          </cell>
        </row>
        <row r="299">
          <cell r="A299">
            <v>2</v>
          </cell>
          <cell r="B299">
            <v>2973</v>
          </cell>
          <cell r="C299">
            <v>1</v>
          </cell>
          <cell r="D299">
            <v>52</v>
          </cell>
          <cell r="E299">
            <v>28.671557999999997</v>
          </cell>
          <cell r="F299">
            <v>82.155514999999994</v>
          </cell>
        </row>
        <row r="300">
          <cell r="A300">
            <v>2</v>
          </cell>
          <cell r="B300">
            <v>2974</v>
          </cell>
          <cell r="C300">
            <v>1</v>
          </cell>
          <cell r="D300">
            <v>4</v>
          </cell>
          <cell r="E300">
            <v>-8.7595749999999999</v>
          </cell>
          <cell r="F300">
            <v>-17.116962000000001</v>
          </cell>
        </row>
        <row r="301">
          <cell r="A301">
            <v>2</v>
          </cell>
          <cell r="B301">
            <v>2974</v>
          </cell>
          <cell r="C301">
            <v>1</v>
          </cell>
          <cell r="D301">
            <v>51</v>
          </cell>
          <cell r="E301">
            <v>43.705216999999998</v>
          </cell>
          <cell r="F301">
            <v>132.090577</v>
          </cell>
        </row>
        <row r="302">
          <cell r="A302">
            <v>2</v>
          </cell>
          <cell r="B302">
            <v>2974</v>
          </cell>
          <cell r="C302">
            <v>1</v>
          </cell>
          <cell r="D302">
            <v>52</v>
          </cell>
          <cell r="E302">
            <v>19.87124</v>
          </cell>
          <cell r="F302">
            <v>53.868665</v>
          </cell>
        </row>
        <row r="303">
          <cell r="A303">
            <v>2</v>
          </cell>
          <cell r="B303">
            <v>2977</v>
          </cell>
          <cell r="C303">
            <v>1</v>
          </cell>
          <cell r="D303">
            <v>591</v>
          </cell>
          <cell r="E303">
            <v>6.2672420000000004</v>
          </cell>
          <cell r="F303">
            <v>16.315846000000001</v>
          </cell>
        </row>
        <row r="304">
          <cell r="A304">
            <v>2</v>
          </cell>
          <cell r="B304">
            <v>2978</v>
          </cell>
          <cell r="C304">
            <v>1</v>
          </cell>
          <cell r="D304">
            <v>51</v>
          </cell>
          <cell r="E304">
            <v>3.3960629999999998</v>
          </cell>
          <cell r="F304">
            <v>4.0872080000000004</v>
          </cell>
        </row>
        <row r="305">
          <cell r="A305">
            <v>2</v>
          </cell>
          <cell r="B305">
            <v>2978</v>
          </cell>
          <cell r="C305">
            <v>1</v>
          </cell>
          <cell r="D305">
            <v>52</v>
          </cell>
          <cell r="E305">
            <v>2.2030000000000001E-3</v>
          </cell>
          <cell r="F305">
            <v>0.13570499999999999</v>
          </cell>
        </row>
        <row r="306">
          <cell r="A306">
            <v>2</v>
          </cell>
          <cell r="B306">
            <v>2978</v>
          </cell>
          <cell r="C306">
            <v>1</v>
          </cell>
          <cell r="D306">
            <v>591</v>
          </cell>
          <cell r="E306">
            <v>28.035784</v>
          </cell>
          <cell r="F306">
            <v>60.580697999999998</v>
          </cell>
        </row>
        <row r="307">
          <cell r="A307">
            <v>2</v>
          </cell>
          <cell r="B307">
            <v>2979</v>
          </cell>
          <cell r="C307">
            <v>1</v>
          </cell>
          <cell r="D307">
            <v>51</v>
          </cell>
          <cell r="E307">
            <v>1.4397770000000001</v>
          </cell>
          <cell r="F307">
            <v>3.800745</v>
          </cell>
        </row>
        <row r="308">
          <cell r="A308">
            <v>2</v>
          </cell>
          <cell r="B308">
            <v>2979</v>
          </cell>
          <cell r="C308">
            <v>1</v>
          </cell>
          <cell r="D308">
            <v>52</v>
          </cell>
          <cell r="E308">
            <v>1.9661820000000001</v>
          </cell>
          <cell r="F308">
            <v>5.2098279999999999</v>
          </cell>
        </row>
        <row r="309">
          <cell r="A309">
            <v>2</v>
          </cell>
          <cell r="B309">
            <v>2979</v>
          </cell>
          <cell r="C309">
            <v>6</v>
          </cell>
          <cell r="D309">
            <v>4</v>
          </cell>
          <cell r="E309">
            <v>-15</v>
          </cell>
          <cell r="F309">
            <v>-18.899999999999999</v>
          </cell>
        </row>
        <row r="310">
          <cell r="A310">
            <v>2</v>
          </cell>
          <cell r="B310">
            <v>2979</v>
          </cell>
          <cell r="C310">
            <v>6</v>
          </cell>
          <cell r="D310">
            <v>51</v>
          </cell>
          <cell r="E310">
            <v>0.57771499999999998</v>
          </cell>
          <cell r="F310">
            <v>1.7331449999999999</v>
          </cell>
        </row>
        <row r="311">
          <cell r="A311">
            <v>2</v>
          </cell>
          <cell r="B311">
            <v>2979</v>
          </cell>
          <cell r="C311">
            <v>6</v>
          </cell>
          <cell r="D311">
            <v>52</v>
          </cell>
          <cell r="E311">
            <v>1.3446130000000001</v>
          </cell>
          <cell r="F311">
            <v>6.2213409999999998</v>
          </cell>
        </row>
        <row r="312">
          <cell r="A312">
            <v>2</v>
          </cell>
          <cell r="B312">
            <v>2979</v>
          </cell>
          <cell r="C312">
            <v>6</v>
          </cell>
          <cell r="D312">
            <v>591</v>
          </cell>
          <cell r="E312">
            <v>15.1</v>
          </cell>
          <cell r="F312">
            <v>37.85</v>
          </cell>
        </row>
        <row r="313">
          <cell r="A313">
            <v>2</v>
          </cell>
          <cell r="B313">
            <v>2980</v>
          </cell>
          <cell r="C313">
            <v>6</v>
          </cell>
          <cell r="D313">
            <v>4</v>
          </cell>
          <cell r="E313">
            <v>-0.16586300000000001</v>
          </cell>
          <cell r="F313">
            <v>-0.16586300000000001</v>
          </cell>
        </row>
        <row r="314">
          <cell r="A314">
            <v>2</v>
          </cell>
          <cell r="B314">
            <v>2980</v>
          </cell>
          <cell r="C314">
            <v>6</v>
          </cell>
          <cell r="D314">
            <v>51</v>
          </cell>
          <cell r="E314">
            <v>0</v>
          </cell>
          <cell r="F314">
            <v>0.124184</v>
          </cell>
        </row>
        <row r="315">
          <cell r="A315">
            <v>2</v>
          </cell>
          <cell r="B315">
            <v>2980</v>
          </cell>
          <cell r="C315">
            <v>6</v>
          </cell>
          <cell r="D315">
            <v>52</v>
          </cell>
          <cell r="E315">
            <v>0.81033599999999995</v>
          </cell>
          <cell r="F315">
            <v>0.81033599999999995</v>
          </cell>
        </row>
        <row r="316">
          <cell r="A316">
            <v>2</v>
          </cell>
          <cell r="B316">
            <v>2981</v>
          </cell>
          <cell r="C316">
            <v>1</v>
          </cell>
          <cell r="D316">
            <v>4</v>
          </cell>
          <cell r="E316">
            <v>-5.267E-3</v>
          </cell>
          <cell r="F316">
            <v>-0.52354599999999996</v>
          </cell>
        </row>
        <row r="317">
          <cell r="A317">
            <v>2</v>
          </cell>
          <cell r="B317">
            <v>2981</v>
          </cell>
          <cell r="C317">
            <v>1</v>
          </cell>
          <cell r="D317">
            <v>51</v>
          </cell>
          <cell r="E317">
            <v>3.02121</v>
          </cell>
          <cell r="F317">
            <v>9.3440630000000002</v>
          </cell>
        </row>
        <row r="318">
          <cell r="A318">
            <v>2</v>
          </cell>
          <cell r="B318">
            <v>2981</v>
          </cell>
          <cell r="C318">
            <v>1</v>
          </cell>
          <cell r="D318">
            <v>52</v>
          </cell>
          <cell r="E318">
            <v>3.420623</v>
          </cell>
          <cell r="F318">
            <v>10.086902</v>
          </cell>
        </row>
        <row r="319">
          <cell r="A319">
            <v>2</v>
          </cell>
          <cell r="B319">
            <v>2981</v>
          </cell>
          <cell r="C319">
            <v>1</v>
          </cell>
          <cell r="D319">
            <v>591</v>
          </cell>
          <cell r="E319">
            <v>15.106109</v>
          </cell>
          <cell r="F319">
            <v>44.690868000000002</v>
          </cell>
        </row>
        <row r="320">
          <cell r="A320">
            <v>2</v>
          </cell>
          <cell r="B320">
            <v>2982</v>
          </cell>
          <cell r="C320">
            <v>1</v>
          </cell>
          <cell r="D320">
            <v>4</v>
          </cell>
          <cell r="E320">
            <v>-8.0063999999999996E-2</v>
          </cell>
          <cell r="F320">
            <v>-8.0063999999999996E-2</v>
          </cell>
        </row>
        <row r="321">
          <cell r="A321">
            <v>2</v>
          </cell>
          <cell r="B321">
            <v>2982</v>
          </cell>
          <cell r="C321">
            <v>1</v>
          </cell>
          <cell r="D321">
            <v>51</v>
          </cell>
          <cell r="E321">
            <v>3.7571469999999998</v>
          </cell>
          <cell r="F321">
            <v>55.091729999999998</v>
          </cell>
        </row>
        <row r="322">
          <cell r="A322">
            <v>2</v>
          </cell>
          <cell r="B322">
            <v>2982</v>
          </cell>
          <cell r="C322">
            <v>1</v>
          </cell>
          <cell r="D322">
            <v>52</v>
          </cell>
          <cell r="E322">
            <v>3.0905149999999999</v>
          </cell>
          <cell r="F322">
            <v>10.517315999999999</v>
          </cell>
        </row>
        <row r="323">
          <cell r="A323">
            <v>2</v>
          </cell>
          <cell r="B323">
            <v>2982</v>
          </cell>
          <cell r="C323">
            <v>1</v>
          </cell>
          <cell r="D323">
            <v>591</v>
          </cell>
          <cell r="E323">
            <v>54.086500000000001</v>
          </cell>
          <cell r="F323">
            <v>150.13300000000001</v>
          </cell>
        </row>
        <row r="324">
          <cell r="A324">
            <v>2</v>
          </cell>
          <cell r="B324">
            <v>2983</v>
          </cell>
          <cell r="C324">
            <v>1</v>
          </cell>
          <cell r="D324">
            <v>51</v>
          </cell>
          <cell r="E324">
            <v>0.240032</v>
          </cell>
          <cell r="F324">
            <v>0.72009900000000004</v>
          </cell>
        </row>
        <row r="325">
          <cell r="A325">
            <v>2</v>
          </cell>
          <cell r="B325">
            <v>2983</v>
          </cell>
          <cell r="C325">
            <v>1</v>
          </cell>
          <cell r="D325">
            <v>52</v>
          </cell>
          <cell r="E325">
            <v>0</v>
          </cell>
          <cell r="F325">
            <v>5.2002E-2</v>
          </cell>
        </row>
        <row r="326">
          <cell r="A326">
            <v>2</v>
          </cell>
          <cell r="B326">
            <v>2983</v>
          </cell>
          <cell r="C326">
            <v>1</v>
          </cell>
          <cell r="D326">
            <v>591</v>
          </cell>
          <cell r="E326">
            <v>14.99</v>
          </cell>
          <cell r="F326">
            <v>27.73</v>
          </cell>
        </row>
        <row r="327">
          <cell r="A327">
            <v>2</v>
          </cell>
          <cell r="B327">
            <v>2984</v>
          </cell>
          <cell r="C327">
            <v>1</v>
          </cell>
          <cell r="D327">
            <v>4</v>
          </cell>
          <cell r="E327">
            <v>-3.0223810000000002</v>
          </cell>
          <cell r="F327">
            <v>-18.407088000000002</v>
          </cell>
        </row>
        <row r="328">
          <cell r="A328">
            <v>2</v>
          </cell>
          <cell r="B328">
            <v>2984</v>
          </cell>
          <cell r="C328">
            <v>1</v>
          </cell>
          <cell r="D328">
            <v>52</v>
          </cell>
          <cell r="E328">
            <v>0.94833999999999996</v>
          </cell>
          <cell r="F328">
            <v>11.128676</v>
          </cell>
        </row>
        <row r="329">
          <cell r="A329">
            <v>2</v>
          </cell>
          <cell r="B329">
            <v>2984</v>
          </cell>
          <cell r="C329">
            <v>1</v>
          </cell>
          <cell r="D329">
            <v>591</v>
          </cell>
          <cell r="E329">
            <v>3.8515000000000001</v>
          </cell>
          <cell r="F329">
            <v>6.8514999999999997</v>
          </cell>
        </row>
        <row r="330">
          <cell r="A330">
            <v>2</v>
          </cell>
          <cell r="B330">
            <v>2985</v>
          </cell>
          <cell r="C330">
            <v>1</v>
          </cell>
          <cell r="D330">
            <v>4</v>
          </cell>
          <cell r="E330">
            <v>-1.5688070000000001</v>
          </cell>
          <cell r="F330">
            <v>-3.2873860000000001</v>
          </cell>
        </row>
        <row r="331">
          <cell r="A331">
            <v>2</v>
          </cell>
          <cell r="B331">
            <v>2985</v>
          </cell>
          <cell r="C331">
            <v>1</v>
          </cell>
          <cell r="D331">
            <v>51</v>
          </cell>
          <cell r="E331">
            <v>0.68157199999999996</v>
          </cell>
          <cell r="F331">
            <v>2.7700809999999998</v>
          </cell>
        </row>
        <row r="332">
          <cell r="A332">
            <v>2</v>
          </cell>
          <cell r="B332">
            <v>2985</v>
          </cell>
          <cell r="C332">
            <v>1</v>
          </cell>
          <cell r="D332">
            <v>52</v>
          </cell>
          <cell r="E332">
            <v>2.9108450000000001</v>
          </cell>
          <cell r="F332">
            <v>16.381967</v>
          </cell>
        </row>
        <row r="333">
          <cell r="A333">
            <v>2</v>
          </cell>
          <cell r="B333">
            <v>2985</v>
          </cell>
          <cell r="C333">
            <v>1</v>
          </cell>
          <cell r="D333">
            <v>591</v>
          </cell>
          <cell r="E333">
            <v>0.41912899999999997</v>
          </cell>
          <cell r="F333">
            <v>0.41912899999999997</v>
          </cell>
        </row>
        <row r="334">
          <cell r="A334">
            <v>2</v>
          </cell>
          <cell r="B334">
            <v>2988</v>
          </cell>
          <cell r="C334">
            <v>1</v>
          </cell>
          <cell r="D334">
            <v>51</v>
          </cell>
          <cell r="E334">
            <v>2.4771000000000001E-2</v>
          </cell>
          <cell r="F334">
            <v>7.4313000000000004E-2</v>
          </cell>
        </row>
        <row r="335">
          <cell r="A335">
            <v>2</v>
          </cell>
          <cell r="B335">
            <v>2988</v>
          </cell>
          <cell r="C335">
            <v>1</v>
          </cell>
          <cell r="D335">
            <v>52</v>
          </cell>
          <cell r="E335">
            <v>0.101218</v>
          </cell>
          <cell r="F335">
            <v>0.20377400000000001</v>
          </cell>
        </row>
        <row r="336">
          <cell r="A336">
            <v>2</v>
          </cell>
          <cell r="B336">
            <v>2988</v>
          </cell>
          <cell r="C336">
            <v>1</v>
          </cell>
          <cell r="D336">
            <v>591</v>
          </cell>
          <cell r="E336">
            <v>16.899999999999999</v>
          </cell>
          <cell r="F336">
            <v>50.26</v>
          </cell>
        </row>
        <row r="337">
          <cell r="A337">
            <v>2</v>
          </cell>
          <cell r="B337">
            <v>2989</v>
          </cell>
          <cell r="C337">
            <v>1</v>
          </cell>
          <cell r="D337">
            <v>51</v>
          </cell>
          <cell r="E337">
            <v>1.5769299999999999</v>
          </cell>
          <cell r="F337">
            <v>4.7307899999999998</v>
          </cell>
        </row>
        <row r="338">
          <cell r="A338">
            <v>2</v>
          </cell>
          <cell r="B338">
            <v>2989</v>
          </cell>
          <cell r="C338">
            <v>1</v>
          </cell>
          <cell r="D338">
            <v>52</v>
          </cell>
          <cell r="E338">
            <v>0</v>
          </cell>
          <cell r="F338">
            <v>1.1169999999999999E-2</v>
          </cell>
        </row>
        <row r="339">
          <cell r="A339">
            <v>2</v>
          </cell>
          <cell r="B339">
            <v>2989</v>
          </cell>
          <cell r="C339">
            <v>1</v>
          </cell>
          <cell r="D339">
            <v>591</v>
          </cell>
          <cell r="E339">
            <v>22.31</v>
          </cell>
          <cell r="F339">
            <v>79.099999999999994</v>
          </cell>
        </row>
        <row r="340">
          <cell r="A340">
            <v>2</v>
          </cell>
          <cell r="B340">
            <v>2989</v>
          </cell>
          <cell r="C340">
            <v>6</v>
          </cell>
          <cell r="D340">
            <v>591</v>
          </cell>
          <cell r="E340">
            <v>2</v>
          </cell>
          <cell r="F340">
            <v>2</v>
          </cell>
        </row>
        <row r="341">
          <cell r="A341">
            <v>2</v>
          </cell>
          <cell r="B341">
            <v>2999</v>
          </cell>
          <cell r="C341">
            <v>1</v>
          </cell>
          <cell r="D341">
            <v>4</v>
          </cell>
          <cell r="E341">
            <v>-5.1722599999999996</v>
          </cell>
          <cell r="F341">
            <v>-5.1722599999999996</v>
          </cell>
        </row>
        <row r="342">
          <cell r="A342">
            <v>2</v>
          </cell>
          <cell r="B342">
            <v>2999</v>
          </cell>
          <cell r="C342">
            <v>1</v>
          </cell>
          <cell r="D342">
            <v>51</v>
          </cell>
          <cell r="E342">
            <v>0.60081899999999999</v>
          </cell>
          <cell r="F342">
            <v>1.1949110000000001</v>
          </cell>
        </row>
        <row r="343">
          <cell r="A343">
            <v>2</v>
          </cell>
          <cell r="B343">
            <v>2999</v>
          </cell>
          <cell r="C343">
            <v>1</v>
          </cell>
          <cell r="D343">
            <v>52</v>
          </cell>
          <cell r="E343">
            <v>0.14204900000000001</v>
          </cell>
          <cell r="F343">
            <v>1.5744149999999999</v>
          </cell>
        </row>
        <row r="344">
          <cell r="A344">
            <v>2</v>
          </cell>
          <cell r="B344">
            <v>2999</v>
          </cell>
          <cell r="C344">
            <v>1</v>
          </cell>
          <cell r="D344">
            <v>591</v>
          </cell>
          <cell r="E344">
            <v>9.3249999999999993</v>
          </cell>
          <cell r="F344">
            <v>49.268624000000003</v>
          </cell>
        </row>
        <row r="345">
          <cell r="A345">
            <v>2</v>
          </cell>
          <cell r="B345">
            <v>2999</v>
          </cell>
          <cell r="C345">
            <v>6</v>
          </cell>
          <cell r="D345">
            <v>591</v>
          </cell>
          <cell r="E345">
            <v>2.8</v>
          </cell>
          <cell r="F345">
            <v>10.5</v>
          </cell>
        </row>
        <row r="346">
          <cell r="A346">
            <v>3</v>
          </cell>
          <cell r="B346">
            <v>3101</v>
          </cell>
          <cell r="C346">
            <v>1</v>
          </cell>
          <cell r="D346">
            <v>4</v>
          </cell>
          <cell r="E346">
            <v>-15.319240000000001</v>
          </cell>
          <cell r="F346">
            <v>-6.34877</v>
          </cell>
        </row>
        <row r="347">
          <cell r="A347">
            <v>3</v>
          </cell>
          <cell r="B347">
            <v>3101</v>
          </cell>
          <cell r="C347">
            <v>1</v>
          </cell>
          <cell r="D347">
            <v>51</v>
          </cell>
          <cell r="E347">
            <v>60.132367000000002</v>
          </cell>
          <cell r="F347">
            <v>181.72327200000001</v>
          </cell>
        </row>
        <row r="348">
          <cell r="A348">
            <v>3</v>
          </cell>
          <cell r="B348">
            <v>3101</v>
          </cell>
          <cell r="C348">
            <v>1</v>
          </cell>
          <cell r="D348">
            <v>52</v>
          </cell>
          <cell r="E348">
            <v>22.126140000000003</v>
          </cell>
          <cell r="F348">
            <v>104.251316</v>
          </cell>
        </row>
        <row r="349">
          <cell r="A349">
            <v>3</v>
          </cell>
          <cell r="B349">
            <v>3101</v>
          </cell>
          <cell r="C349">
            <v>1</v>
          </cell>
          <cell r="D349">
            <v>591</v>
          </cell>
          <cell r="E349">
            <v>3.25</v>
          </cell>
          <cell r="F349">
            <v>4.6377230000000003</v>
          </cell>
        </row>
        <row r="350">
          <cell r="A350">
            <v>3</v>
          </cell>
          <cell r="B350">
            <v>3111</v>
          </cell>
          <cell r="C350">
            <v>1</v>
          </cell>
          <cell r="D350">
            <v>51</v>
          </cell>
          <cell r="E350">
            <v>19.226375999999998</v>
          </cell>
          <cell r="F350">
            <v>52.988059999999997</v>
          </cell>
        </row>
        <row r="351">
          <cell r="A351">
            <v>3</v>
          </cell>
          <cell r="B351">
            <v>3111</v>
          </cell>
          <cell r="C351">
            <v>1</v>
          </cell>
          <cell r="D351">
            <v>52</v>
          </cell>
          <cell r="E351">
            <v>3.0969690000000001</v>
          </cell>
          <cell r="F351">
            <v>9.600575000000001</v>
          </cell>
        </row>
        <row r="352">
          <cell r="A352">
            <v>3</v>
          </cell>
          <cell r="B352">
            <v>3111</v>
          </cell>
          <cell r="C352">
            <v>1</v>
          </cell>
          <cell r="D352">
            <v>591</v>
          </cell>
          <cell r="E352">
            <v>0</v>
          </cell>
          <cell r="F352">
            <v>1.2917E-2</v>
          </cell>
        </row>
        <row r="353">
          <cell r="A353">
            <v>3</v>
          </cell>
          <cell r="B353">
            <v>3190</v>
          </cell>
          <cell r="C353">
            <v>1</v>
          </cell>
          <cell r="D353">
            <v>4</v>
          </cell>
          <cell r="E353">
            <v>-8.4449999999999994E-3</v>
          </cell>
          <cell r="F353">
            <v>-8.4449999999999994E-3</v>
          </cell>
        </row>
        <row r="354">
          <cell r="A354">
            <v>3</v>
          </cell>
          <cell r="B354">
            <v>3190</v>
          </cell>
          <cell r="C354">
            <v>1</v>
          </cell>
          <cell r="D354">
            <v>51</v>
          </cell>
          <cell r="E354">
            <v>3.2103579999999998</v>
          </cell>
          <cell r="F354">
            <v>7.6597229999999996</v>
          </cell>
        </row>
        <row r="355">
          <cell r="A355">
            <v>3</v>
          </cell>
          <cell r="B355">
            <v>3190</v>
          </cell>
          <cell r="C355">
            <v>1</v>
          </cell>
          <cell r="D355">
            <v>52</v>
          </cell>
          <cell r="E355">
            <v>28.414508000000001</v>
          </cell>
          <cell r="F355">
            <v>71.801828</v>
          </cell>
        </row>
        <row r="356">
          <cell r="A356">
            <v>3</v>
          </cell>
          <cell r="B356">
            <v>3190</v>
          </cell>
          <cell r="C356">
            <v>1</v>
          </cell>
          <cell r="D356">
            <v>591</v>
          </cell>
          <cell r="E356">
            <v>5.5</v>
          </cell>
          <cell r="F356">
            <v>-13.448363000000001</v>
          </cell>
        </row>
        <row r="357">
          <cell r="A357">
            <v>3</v>
          </cell>
          <cell r="B357">
            <v>3214</v>
          </cell>
          <cell r="C357">
            <v>1</v>
          </cell>
          <cell r="D357">
            <v>4</v>
          </cell>
          <cell r="E357">
            <v>-0.42701800000000001</v>
          </cell>
          <cell r="F357">
            <v>-1.0019480000000001</v>
          </cell>
        </row>
        <row r="358">
          <cell r="A358">
            <v>3</v>
          </cell>
          <cell r="B358">
            <v>3214</v>
          </cell>
          <cell r="C358">
            <v>1</v>
          </cell>
          <cell r="D358">
            <v>51</v>
          </cell>
          <cell r="E358">
            <v>39.928679000000002</v>
          </cell>
          <cell r="F358">
            <v>115.36228300000001</v>
          </cell>
        </row>
        <row r="359">
          <cell r="A359">
            <v>3</v>
          </cell>
          <cell r="B359">
            <v>3214</v>
          </cell>
          <cell r="C359">
            <v>1</v>
          </cell>
          <cell r="D359">
            <v>52</v>
          </cell>
          <cell r="E359">
            <v>37.303288999999999</v>
          </cell>
          <cell r="F359">
            <v>85.983629000000008</v>
          </cell>
        </row>
        <row r="360">
          <cell r="A360">
            <v>3</v>
          </cell>
          <cell r="B360">
            <v>3300</v>
          </cell>
          <cell r="C360">
            <v>1</v>
          </cell>
          <cell r="D360">
            <v>4</v>
          </cell>
          <cell r="E360">
            <v>-1.4831490000000001</v>
          </cell>
          <cell r="F360">
            <v>-5.169848</v>
          </cell>
        </row>
        <row r="361">
          <cell r="A361">
            <v>3</v>
          </cell>
          <cell r="B361">
            <v>3300</v>
          </cell>
          <cell r="C361">
            <v>1</v>
          </cell>
          <cell r="D361">
            <v>51</v>
          </cell>
          <cell r="E361">
            <v>111.184613</v>
          </cell>
          <cell r="F361">
            <v>339.99852600000003</v>
          </cell>
        </row>
        <row r="362">
          <cell r="A362">
            <v>3</v>
          </cell>
          <cell r="B362">
            <v>3300</v>
          </cell>
          <cell r="C362">
            <v>1</v>
          </cell>
          <cell r="D362">
            <v>52</v>
          </cell>
          <cell r="E362">
            <v>196.23215199999999</v>
          </cell>
          <cell r="F362">
            <v>438.26687300000003</v>
          </cell>
        </row>
        <row r="363">
          <cell r="A363">
            <v>3</v>
          </cell>
          <cell r="B363">
            <v>3300</v>
          </cell>
          <cell r="C363">
            <v>1</v>
          </cell>
          <cell r="D363">
            <v>591</v>
          </cell>
          <cell r="E363">
            <v>1</v>
          </cell>
          <cell r="F363">
            <v>1</v>
          </cell>
        </row>
        <row r="364">
          <cell r="A364">
            <v>3</v>
          </cell>
          <cell r="B364">
            <v>3300</v>
          </cell>
          <cell r="C364">
            <v>5</v>
          </cell>
          <cell r="D364">
            <v>52</v>
          </cell>
          <cell r="E364">
            <v>0</v>
          </cell>
          <cell r="F364">
            <v>0.86269899999999999</v>
          </cell>
        </row>
        <row r="365">
          <cell r="A365">
            <v>3</v>
          </cell>
          <cell r="B365">
            <v>3300</v>
          </cell>
          <cell r="C365">
            <v>6</v>
          </cell>
          <cell r="D365">
            <v>51</v>
          </cell>
          <cell r="E365">
            <v>0</v>
          </cell>
          <cell r="F365">
            <v>4.7576E-2</v>
          </cell>
        </row>
        <row r="366">
          <cell r="A366">
            <v>3</v>
          </cell>
          <cell r="B366">
            <v>3300</v>
          </cell>
          <cell r="C366">
            <v>6</v>
          </cell>
          <cell r="D366">
            <v>52</v>
          </cell>
          <cell r="E366">
            <v>0.45270500000000002</v>
          </cell>
          <cell r="F366">
            <v>2.709174</v>
          </cell>
        </row>
        <row r="367">
          <cell r="A367">
            <v>3</v>
          </cell>
          <cell r="B367">
            <v>3390</v>
          </cell>
          <cell r="C367">
            <v>1</v>
          </cell>
          <cell r="D367">
            <v>4</v>
          </cell>
          <cell r="E367">
            <v>-6.3833149999999996</v>
          </cell>
          <cell r="F367">
            <v>-6.781371</v>
          </cell>
        </row>
        <row r="368">
          <cell r="A368">
            <v>3</v>
          </cell>
          <cell r="B368">
            <v>3390</v>
          </cell>
          <cell r="C368">
            <v>1</v>
          </cell>
          <cell r="D368">
            <v>51</v>
          </cell>
          <cell r="E368">
            <v>32.784300000000002</v>
          </cell>
          <cell r="F368">
            <v>91.145425000000003</v>
          </cell>
        </row>
        <row r="369">
          <cell r="A369">
            <v>3</v>
          </cell>
          <cell r="B369">
            <v>3390</v>
          </cell>
          <cell r="C369">
            <v>1</v>
          </cell>
          <cell r="D369">
            <v>52</v>
          </cell>
          <cell r="E369">
            <v>20.015536000000001</v>
          </cell>
          <cell r="F369">
            <v>63.078488</v>
          </cell>
        </row>
        <row r="370">
          <cell r="A370">
            <v>3</v>
          </cell>
          <cell r="B370">
            <v>3390</v>
          </cell>
          <cell r="C370">
            <v>1</v>
          </cell>
          <cell r="D370">
            <v>591</v>
          </cell>
          <cell r="E370">
            <v>42.680664</v>
          </cell>
          <cell r="F370">
            <v>92.114825999999994</v>
          </cell>
        </row>
        <row r="371">
          <cell r="A371">
            <v>3</v>
          </cell>
          <cell r="B371">
            <v>3391</v>
          </cell>
          <cell r="C371">
            <v>1</v>
          </cell>
          <cell r="D371">
            <v>51</v>
          </cell>
          <cell r="E371">
            <v>13.270579</v>
          </cell>
          <cell r="F371">
            <v>41.333345000000001</v>
          </cell>
        </row>
        <row r="372">
          <cell r="A372">
            <v>3</v>
          </cell>
          <cell r="B372">
            <v>3391</v>
          </cell>
          <cell r="C372">
            <v>1</v>
          </cell>
          <cell r="D372">
            <v>52</v>
          </cell>
          <cell r="E372">
            <v>1.7954429999999999</v>
          </cell>
          <cell r="F372">
            <v>67.441395999999997</v>
          </cell>
        </row>
        <row r="373">
          <cell r="A373">
            <v>3</v>
          </cell>
          <cell r="B373">
            <v>3391</v>
          </cell>
          <cell r="C373">
            <v>1</v>
          </cell>
          <cell r="D373">
            <v>591</v>
          </cell>
          <cell r="E373">
            <v>108.76719300000001</v>
          </cell>
          <cell r="F373">
            <v>182.68921599999999</v>
          </cell>
        </row>
        <row r="374">
          <cell r="A374">
            <v>3</v>
          </cell>
          <cell r="B374">
            <v>3401</v>
          </cell>
          <cell r="C374">
            <v>1</v>
          </cell>
          <cell r="D374">
            <v>4</v>
          </cell>
          <cell r="E374">
            <v>-0.1</v>
          </cell>
          <cell r="F374">
            <v>-0.25</v>
          </cell>
        </row>
        <row r="375">
          <cell r="A375">
            <v>3</v>
          </cell>
          <cell r="B375">
            <v>3401</v>
          </cell>
          <cell r="C375">
            <v>1</v>
          </cell>
          <cell r="D375">
            <v>591</v>
          </cell>
          <cell r="E375">
            <v>355.80022400000001</v>
          </cell>
          <cell r="F375">
            <v>1126.6225710000001</v>
          </cell>
        </row>
        <row r="376">
          <cell r="A376">
            <v>3</v>
          </cell>
          <cell r="B376">
            <v>3611</v>
          </cell>
          <cell r="C376">
            <v>1</v>
          </cell>
          <cell r="D376">
            <v>591</v>
          </cell>
          <cell r="E376">
            <v>28.641634</v>
          </cell>
          <cell r="F376">
            <v>89.002852000000004</v>
          </cell>
        </row>
        <row r="377">
          <cell r="A377">
            <v>4</v>
          </cell>
          <cell r="B377">
            <v>4101</v>
          </cell>
          <cell r="C377">
            <v>1</v>
          </cell>
          <cell r="D377">
            <v>4</v>
          </cell>
          <cell r="E377">
            <v>-5.0000000000000001E-3</v>
          </cell>
          <cell r="F377">
            <v>-8.0000000000000002E-3</v>
          </cell>
        </row>
        <row r="378">
          <cell r="A378">
            <v>4</v>
          </cell>
          <cell r="B378">
            <v>4101</v>
          </cell>
          <cell r="C378">
            <v>1</v>
          </cell>
          <cell r="D378">
            <v>51</v>
          </cell>
          <cell r="E378">
            <v>22.583016000000001</v>
          </cell>
          <cell r="F378">
            <v>66.297417999999993</v>
          </cell>
        </row>
        <row r="379">
          <cell r="A379">
            <v>4</v>
          </cell>
          <cell r="B379">
            <v>4101</v>
          </cell>
          <cell r="C379">
            <v>1</v>
          </cell>
          <cell r="D379">
            <v>52</v>
          </cell>
          <cell r="E379">
            <v>10.907496</v>
          </cell>
          <cell r="F379">
            <v>26.628944000000001</v>
          </cell>
        </row>
        <row r="380">
          <cell r="A380">
            <v>4</v>
          </cell>
          <cell r="B380">
            <v>4101</v>
          </cell>
          <cell r="C380">
            <v>1</v>
          </cell>
          <cell r="D380">
            <v>591</v>
          </cell>
          <cell r="E380">
            <v>0</v>
          </cell>
          <cell r="F380">
            <v>1.29122</v>
          </cell>
        </row>
        <row r="381">
          <cell r="A381">
            <v>4</v>
          </cell>
          <cell r="B381">
            <v>4190</v>
          </cell>
          <cell r="C381">
            <v>1</v>
          </cell>
          <cell r="D381">
            <v>4</v>
          </cell>
          <cell r="E381">
            <v>-2.3146640000000001</v>
          </cell>
          <cell r="F381">
            <v>-2.3146640000000001</v>
          </cell>
        </row>
        <row r="382">
          <cell r="A382">
            <v>4</v>
          </cell>
          <cell r="B382">
            <v>4190</v>
          </cell>
          <cell r="C382">
            <v>1</v>
          </cell>
          <cell r="D382">
            <v>51</v>
          </cell>
          <cell r="E382">
            <v>0.28531899999999999</v>
          </cell>
          <cell r="F382">
            <v>0.85595699999999997</v>
          </cell>
        </row>
        <row r="383">
          <cell r="A383">
            <v>4</v>
          </cell>
          <cell r="B383">
            <v>4190</v>
          </cell>
          <cell r="C383">
            <v>1</v>
          </cell>
          <cell r="D383">
            <v>52</v>
          </cell>
          <cell r="E383">
            <v>0.95526800000000001</v>
          </cell>
          <cell r="F383">
            <v>11.904925</v>
          </cell>
        </row>
        <row r="384">
          <cell r="A384">
            <v>4</v>
          </cell>
          <cell r="B384">
            <v>4190</v>
          </cell>
          <cell r="C384">
            <v>1</v>
          </cell>
          <cell r="D384">
            <v>591</v>
          </cell>
          <cell r="E384">
            <v>55.18817</v>
          </cell>
          <cell r="F384">
            <v>140.77752000000001</v>
          </cell>
        </row>
        <row r="385">
          <cell r="A385">
            <v>4</v>
          </cell>
          <cell r="B385">
            <v>4215</v>
          </cell>
          <cell r="C385">
            <v>1</v>
          </cell>
          <cell r="D385">
            <v>4</v>
          </cell>
          <cell r="E385">
            <v>-0.634328</v>
          </cell>
          <cell r="F385">
            <v>-6.9257160000000004</v>
          </cell>
        </row>
        <row r="386">
          <cell r="A386">
            <v>4</v>
          </cell>
          <cell r="B386">
            <v>4215</v>
          </cell>
          <cell r="C386">
            <v>1</v>
          </cell>
          <cell r="D386">
            <v>51</v>
          </cell>
          <cell r="E386">
            <v>48.198445</v>
          </cell>
          <cell r="F386">
            <v>141.38904099999999</v>
          </cell>
        </row>
        <row r="387">
          <cell r="A387">
            <v>4</v>
          </cell>
          <cell r="B387">
            <v>4215</v>
          </cell>
          <cell r="C387">
            <v>1</v>
          </cell>
          <cell r="D387">
            <v>52</v>
          </cell>
          <cell r="E387">
            <v>12.293453</v>
          </cell>
          <cell r="F387">
            <v>38.794342999999998</v>
          </cell>
        </row>
        <row r="388">
          <cell r="A388">
            <v>4</v>
          </cell>
          <cell r="B388">
            <v>4217</v>
          </cell>
          <cell r="C388">
            <v>1</v>
          </cell>
          <cell r="D388">
            <v>51</v>
          </cell>
          <cell r="E388">
            <v>0.80011500000000002</v>
          </cell>
          <cell r="F388">
            <v>2.7408890000000001</v>
          </cell>
        </row>
        <row r="389">
          <cell r="A389">
            <v>4</v>
          </cell>
          <cell r="B389">
            <v>4217</v>
          </cell>
          <cell r="C389">
            <v>1</v>
          </cell>
          <cell r="D389">
            <v>52</v>
          </cell>
          <cell r="E389">
            <v>0.39142500000000002</v>
          </cell>
          <cell r="F389">
            <v>0.819936</v>
          </cell>
        </row>
        <row r="390">
          <cell r="A390">
            <v>4</v>
          </cell>
          <cell r="B390">
            <v>4234</v>
          </cell>
          <cell r="C390">
            <v>1</v>
          </cell>
          <cell r="D390">
            <v>4</v>
          </cell>
          <cell r="E390">
            <v>-0.179977</v>
          </cell>
          <cell r="F390">
            <v>-3.5601980000000002</v>
          </cell>
        </row>
        <row r="391">
          <cell r="A391">
            <v>4</v>
          </cell>
          <cell r="B391">
            <v>4234</v>
          </cell>
          <cell r="C391">
            <v>1</v>
          </cell>
          <cell r="D391">
            <v>51</v>
          </cell>
          <cell r="E391">
            <v>48.328612999999997</v>
          </cell>
          <cell r="F391">
            <v>148.512359</v>
          </cell>
        </row>
        <row r="392">
          <cell r="A392">
            <v>4</v>
          </cell>
          <cell r="B392">
            <v>4234</v>
          </cell>
          <cell r="C392">
            <v>1</v>
          </cell>
          <cell r="D392">
            <v>52</v>
          </cell>
          <cell r="E392">
            <v>27.173650000000002</v>
          </cell>
          <cell r="F392">
            <v>72.733445000000003</v>
          </cell>
        </row>
        <row r="393">
          <cell r="A393">
            <v>4</v>
          </cell>
          <cell r="B393">
            <v>4234</v>
          </cell>
          <cell r="C393">
            <v>1</v>
          </cell>
          <cell r="D393">
            <v>591</v>
          </cell>
          <cell r="E393">
            <v>0.40699999999999997</v>
          </cell>
          <cell r="F393">
            <v>0.40699999999999997</v>
          </cell>
        </row>
        <row r="394">
          <cell r="A394">
            <v>4</v>
          </cell>
          <cell r="B394">
            <v>4331</v>
          </cell>
          <cell r="C394">
            <v>1</v>
          </cell>
          <cell r="D394">
            <v>4</v>
          </cell>
          <cell r="E394">
            <v>0</v>
          </cell>
          <cell r="F394">
            <v>-5.1149999999999998E-3</v>
          </cell>
        </row>
        <row r="395">
          <cell r="A395">
            <v>4</v>
          </cell>
          <cell r="B395">
            <v>4331</v>
          </cell>
          <cell r="C395">
            <v>1</v>
          </cell>
          <cell r="D395">
            <v>51</v>
          </cell>
          <cell r="E395">
            <v>2.472302</v>
          </cell>
          <cell r="F395">
            <v>7.2065239999999999</v>
          </cell>
        </row>
        <row r="396">
          <cell r="A396">
            <v>4</v>
          </cell>
          <cell r="B396">
            <v>4331</v>
          </cell>
          <cell r="C396">
            <v>1</v>
          </cell>
          <cell r="D396">
            <v>52</v>
          </cell>
          <cell r="E396">
            <v>1.5638190000000001</v>
          </cell>
          <cell r="F396">
            <v>4.2674269999999996</v>
          </cell>
        </row>
        <row r="397">
          <cell r="A397">
            <v>4</v>
          </cell>
          <cell r="B397">
            <v>4331</v>
          </cell>
          <cell r="C397">
            <v>1</v>
          </cell>
          <cell r="D397">
            <v>591</v>
          </cell>
          <cell r="E397">
            <v>1.2961199999999999</v>
          </cell>
          <cell r="F397">
            <v>1.799177</v>
          </cell>
        </row>
        <row r="398">
          <cell r="A398">
            <v>4</v>
          </cell>
          <cell r="B398">
            <v>4332</v>
          </cell>
          <cell r="C398">
            <v>1</v>
          </cell>
          <cell r="D398">
            <v>51</v>
          </cell>
          <cell r="E398">
            <v>2.4214799999999999</v>
          </cell>
          <cell r="F398">
            <v>7.3352599999999999</v>
          </cell>
        </row>
        <row r="399">
          <cell r="A399">
            <v>4</v>
          </cell>
          <cell r="B399">
            <v>4332</v>
          </cell>
          <cell r="C399">
            <v>1</v>
          </cell>
          <cell r="D399">
            <v>52</v>
          </cell>
          <cell r="E399">
            <v>2.4704E-2</v>
          </cell>
          <cell r="F399">
            <v>0.73728499999999997</v>
          </cell>
        </row>
        <row r="400">
          <cell r="A400">
            <v>4</v>
          </cell>
          <cell r="B400">
            <v>4334</v>
          </cell>
          <cell r="C400">
            <v>1</v>
          </cell>
          <cell r="D400">
            <v>51</v>
          </cell>
          <cell r="E400">
            <v>1.3011619999999999</v>
          </cell>
          <cell r="F400">
            <v>3.9033180000000001</v>
          </cell>
        </row>
        <row r="401">
          <cell r="A401">
            <v>4</v>
          </cell>
          <cell r="B401">
            <v>4334</v>
          </cell>
          <cell r="C401">
            <v>1</v>
          </cell>
          <cell r="D401">
            <v>52</v>
          </cell>
          <cell r="E401">
            <v>0.48261799999999999</v>
          </cell>
          <cell r="F401">
            <v>1.1892750000000001</v>
          </cell>
        </row>
        <row r="402">
          <cell r="A402">
            <v>4</v>
          </cell>
          <cell r="B402">
            <v>4334</v>
          </cell>
          <cell r="C402">
            <v>1</v>
          </cell>
          <cell r="D402">
            <v>591</v>
          </cell>
          <cell r="E402">
            <v>0.495612</v>
          </cell>
          <cell r="F402">
            <v>0.495612</v>
          </cell>
        </row>
        <row r="403">
          <cell r="A403">
            <v>4</v>
          </cell>
          <cell r="B403">
            <v>4335</v>
          </cell>
          <cell r="C403">
            <v>1</v>
          </cell>
          <cell r="D403">
            <v>4</v>
          </cell>
          <cell r="E403">
            <v>-0.01</v>
          </cell>
          <cell r="F403">
            <v>-0.03</v>
          </cell>
        </row>
        <row r="404">
          <cell r="A404">
            <v>4</v>
          </cell>
          <cell r="B404">
            <v>4335</v>
          </cell>
          <cell r="C404">
            <v>1</v>
          </cell>
          <cell r="D404">
            <v>51</v>
          </cell>
          <cell r="E404">
            <v>1.391227</v>
          </cell>
          <cell r="F404">
            <v>4.1541550000000003</v>
          </cell>
        </row>
        <row r="405">
          <cell r="A405">
            <v>4</v>
          </cell>
          <cell r="B405">
            <v>4335</v>
          </cell>
          <cell r="C405">
            <v>1</v>
          </cell>
          <cell r="D405">
            <v>52</v>
          </cell>
          <cell r="E405">
            <v>0.95963799999999999</v>
          </cell>
          <cell r="F405">
            <v>1.392781</v>
          </cell>
        </row>
        <row r="406">
          <cell r="A406">
            <v>4</v>
          </cell>
          <cell r="B406">
            <v>4335</v>
          </cell>
          <cell r="C406">
            <v>1</v>
          </cell>
          <cell r="D406">
            <v>591</v>
          </cell>
          <cell r="E406">
            <v>0</v>
          </cell>
          <cell r="F406">
            <v>1.4999999999999999E-2</v>
          </cell>
        </row>
        <row r="407">
          <cell r="A407">
            <v>4</v>
          </cell>
          <cell r="B407">
            <v>4336</v>
          </cell>
          <cell r="C407">
            <v>1</v>
          </cell>
          <cell r="D407">
            <v>4</v>
          </cell>
          <cell r="E407">
            <v>0</v>
          </cell>
          <cell r="F407">
            <v>-0.1</v>
          </cell>
        </row>
        <row r="408">
          <cell r="A408">
            <v>4</v>
          </cell>
          <cell r="B408">
            <v>4336</v>
          </cell>
          <cell r="C408">
            <v>1</v>
          </cell>
          <cell r="D408">
            <v>51</v>
          </cell>
          <cell r="E408">
            <v>1.2729159999999999</v>
          </cell>
          <cell r="F408">
            <v>4.5819210000000004</v>
          </cell>
        </row>
        <row r="409">
          <cell r="A409">
            <v>4</v>
          </cell>
          <cell r="B409">
            <v>4336</v>
          </cell>
          <cell r="C409">
            <v>1</v>
          </cell>
          <cell r="D409">
            <v>52</v>
          </cell>
          <cell r="E409">
            <v>0.54451700000000003</v>
          </cell>
          <cell r="F409">
            <v>0.96203000000000005</v>
          </cell>
        </row>
        <row r="410">
          <cell r="A410">
            <v>4</v>
          </cell>
          <cell r="B410">
            <v>4401</v>
          </cell>
          <cell r="C410">
            <v>1</v>
          </cell>
          <cell r="D410">
            <v>4</v>
          </cell>
          <cell r="E410">
            <v>-19.668247000000001</v>
          </cell>
          <cell r="F410">
            <v>-85.026484999999994</v>
          </cell>
        </row>
        <row r="411">
          <cell r="A411">
            <v>4</v>
          </cell>
          <cell r="B411">
            <v>4401</v>
          </cell>
          <cell r="C411">
            <v>1</v>
          </cell>
          <cell r="D411">
            <v>51</v>
          </cell>
          <cell r="E411">
            <v>103.911275</v>
          </cell>
          <cell r="F411">
            <v>276.06662399999999</v>
          </cell>
        </row>
        <row r="412">
          <cell r="A412">
            <v>4</v>
          </cell>
          <cell r="B412">
            <v>4401</v>
          </cell>
          <cell r="C412">
            <v>1</v>
          </cell>
          <cell r="D412">
            <v>52</v>
          </cell>
          <cell r="E412">
            <v>149.16021000000001</v>
          </cell>
          <cell r="F412">
            <v>246.16905299999999</v>
          </cell>
        </row>
        <row r="413">
          <cell r="A413">
            <v>4</v>
          </cell>
          <cell r="B413">
            <v>4401</v>
          </cell>
          <cell r="C413">
            <v>1</v>
          </cell>
          <cell r="D413">
            <v>591</v>
          </cell>
          <cell r="E413">
            <v>3.0389539999999999</v>
          </cell>
          <cell r="F413">
            <v>8.3775539999999999</v>
          </cell>
        </row>
        <row r="414">
          <cell r="A414">
            <v>4</v>
          </cell>
          <cell r="B414">
            <v>4405</v>
          </cell>
          <cell r="C414">
            <v>1</v>
          </cell>
          <cell r="D414">
            <v>4</v>
          </cell>
          <cell r="E414">
            <v>-3.4969999999999999</v>
          </cell>
          <cell r="F414">
            <v>-5.6402760000000001</v>
          </cell>
        </row>
        <row r="415">
          <cell r="A415">
            <v>4</v>
          </cell>
          <cell r="B415">
            <v>4405</v>
          </cell>
          <cell r="C415">
            <v>1</v>
          </cell>
          <cell r="D415">
            <v>51</v>
          </cell>
          <cell r="E415">
            <v>11.912515000000001</v>
          </cell>
          <cell r="F415">
            <v>34.412536000000003</v>
          </cell>
        </row>
        <row r="416">
          <cell r="A416">
            <v>4</v>
          </cell>
          <cell r="B416">
            <v>4405</v>
          </cell>
          <cell r="C416">
            <v>1</v>
          </cell>
          <cell r="D416">
            <v>52</v>
          </cell>
          <cell r="E416">
            <v>4.9748540000000006</v>
          </cell>
          <cell r="F416">
            <v>9.7406499999999987</v>
          </cell>
        </row>
        <row r="417">
          <cell r="A417">
            <v>4</v>
          </cell>
          <cell r="B417">
            <v>4411</v>
          </cell>
          <cell r="C417">
            <v>1</v>
          </cell>
          <cell r="D417">
            <v>52</v>
          </cell>
          <cell r="E417">
            <v>38.582273000000001</v>
          </cell>
          <cell r="F417">
            <v>144.25119699999999</v>
          </cell>
        </row>
        <row r="418">
          <cell r="A418">
            <v>4</v>
          </cell>
          <cell r="B418">
            <v>4413</v>
          </cell>
          <cell r="C418">
            <v>1</v>
          </cell>
          <cell r="D418">
            <v>4</v>
          </cell>
          <cell r="E418">
            <v>-99.121739000000005</v>
          </cell>
          <cell r="F418">
            <v>-169.99401599999999</v>
          </cell>
        </row>
        <row r="419">
          <cell r="A419">
            <v>4</v>
          </cell>
          <cell r="B419">
            <v>4413</v>
          </cell>
          <cell r="C419">
            <v>1</v>
          </cell>
          <cell r="D419">
            <v>51</v>
          </cell>
          <cell r="E419">
            <v>0</v>
          </cell>
          <cell r="F419">
            <v>0.220883</v>
          </cell>
        </row>
        <row r="420">
          <cell r="A420">
            <v>4</v>
          </cell>
          <cell r="B420">
            <v>4413</v>
          </cell>
          <cell r="C420">
            <v>1</v>
          </cell>
          <cell r="D420">
            <v>52</v>
          </cell>
          <cell r="E420">
            <v>1.091E-2</v>
          </cell>
          <cell r="F420">
            <v>9.7729999999999997E-2</v>
          </cell>
        </row>
        <row r="421">
          <cell r="A421">
            <v>4</v>
          </cell>
          <cell r="B421">
            <v>4413</v>
          </cell>
          <cell r="C421">
            <v>1</v>
          </cell>
          <cell r="D421">
            <v>591</v>
          </cell>
          <cell r="E421">
            <v>0</v>
          </cell>
          <cell r="F421">
            <v>13.53</v>
          </cell>
        </row>
        <row r="422">
          <cell r="A422">
            <v>4</v>
          </cell>
          <cell r="B422">
            <v>4417</v>
          </cell>
          <cell r="C422">
            <v>1</v>
          </cell>
          <cell r="D422">
            <v>52</v>
          </cell>
          <cell r="E422">
            <v>0.48098000000000002</v>
          </cell>
          <cell r="F422">
            <v>2.7960029999999998</v>
          </cell>
        </row>
        <row r="423">
          <cell r="A423">
            <v>4</v>
          </cell>
          <cell r="B423">
            <v>4417</v>
          </cell>
          <cell r="C423">
            <v>1</v>
          </cell>
          <cell r="D423">
            <v>591</v>
          </cell>
          <cell r="E423">
            <v>0</v>
          </cell>
          <cell r="F423">
            <v>10.1</v>
          </cell>
        </row>
        <row r="424">
          <cell r="A424">
            <v>4</v>
          </cell>
          <cell r="B424">
            <v>4421</v>
          </cell>
          <cell r="C424">
            <v>1</v>
          </cell>
          <cell r="D424">
            <v>4</v>
          </cell>
          <cell r="E424">
            <v>-3.2369500000000002</v>
          </cell>
          <cell r="F424">
            <v>-9.6219389999999994</v>
          </cell>
        </row>
        <row r="425">
          <cell r="A425">
            <v>4</v>
          </cell>
          <cell r="B425">
            <v>4421</v>
          </cell>
          <cell r="C425">
            <v>1</v>
          </cell>
          <cell r="D425">
            <v>51</v>
          </cell>
          <cell r="E425">
            <v>1.2753319999999999</v>
          </cell>
          <cell r="F425">
            <v>3.9345910000000002</v>
          </cell>
        </row>
        <row r="426">
          <cell r="A426">
            <v>4</v>
          </cell>
          <cell r="B426">
            <v>4421</v>
          </cell>
          <cell r="C426">
            <v>1</v>
          </cell>
          <cell r="D426">
            <v>52</v>
          </cell>
          <cell r="E426">
            <v>3.525579</v>
          </cell>
          <cell r="F426">
            <v>7.3224030000000004</v>
          </cell>
        </row>
        <row r="427">
          <cell r="A427">
            <v>4</v>
          </cell>
          <cell r="B427">
            <v>4423</v>
          </cell>
          <cell r="C427">
            <v>1</v>
          </cell>
          <cell r="D427">
            <v>4</v>
          </cell>
          <cell r="E427">
            <v>-0.981873</v>
          </cell>
          <cell r="F427">
            <v>-6.2366080000000004</v>
          </cell>
        </row>
        <row r="428">
          <cell r="A428">
            <v>4</v>
          </cell>
          <cell r="B428">
            <v>4423</v>
          </cell>
          <cell r="C428">
            <v>1</v>
          </cell>
          <cell r="D428">
            <v>51</v>
          </cell>
          <cell r="E428">
            <v>3.8965879999999999</v>
          </cell>
          <cell r="F428">
            <v>11.672222</v>
          </cell>
        </row>
        <row r="429">
          <cell r="A429">
            <v>4</v>
          </cell>
          <cell r="B429">
            <v>4423</v>
          </cell>
          <cell r="C429">
            <v>1</v>
          </cell>
          <cell r="D429">
            <v>52</v>
          </cell>
          <cell r="E429">
            <v>2.466215</v>
          </cell>
          <cell r="F429">
            <v>6.3973240000000002</v>
          </cell>
        </row>
        <row r="430">
          <cell r="A430">
            <v>4</v>
          </cell>
          <cell r="B430">
            <v>4483</v>
          </cell>
          <cell r="C430">
            <v>1</v>
          </cell>
          <cell r="D430">
            <v>591</v>
          </cell>
          <cell r="E430">
            <v>7</v>
          </cell>
          <cell r="F430">
            <v>11.9</v>
          </cell>
        </row>
        <row r="431">
          <cell r="A431">
            <v>4</v>
          </cell>
          <cell r="B431">
            <v>4487</v>
          </cell>
          <cell r="C431">
            <v>1</v>
          </cell>
          <cell r="D431">
            <v>51</v>
          </cell>
          <cell r="E431">
            <v>1.316195</v>
          </cell>
          <cell r="F431">
            <v>3.948585</v>
          </cell>
        </row>
        <row r="432">
          <cell r="A432">
            <v>4</v>
          </cell>
          <cell r="B432">
            <v>4487</v>
          </cell>
          <cell r="C432">
            <v>1</v>
          </cell>
          <cell r="D432">
            <v>52</v>
          </cell>
          <cell r="E432">
            <v>0.65185700000000002</v>
          </cell>
          <cell r="F432">
            <v>1.558236</v>
          </cell>
        </row>
        <row r="433">
          <cell r="A433">
            <v>4</v>
          </cell>
          <cell r="B433">
            <v>4801</v>
          </cell>
          <cell r="C433">
            <v>1</v>
          </cell>
          <cell r="D433">
            <v>591</v>
          </cell>
          <cell r="E433">
            <v>450.81543099999999</v>
          </cell>
          <cell r="F433">
            <v>1509.1164240000001</v>
          </cell>
        </row>
        <row r="434">
          <cell r="A434">
            <v>4</v>
          </cell>
          <cell r="B434">
            <v>4805</v>
          </cell>
          <cell r="C434">
            <v>1</v>
          </cell>
          <cell r="D434">
            <v>591</v>
          </cell>
          <cell r="E434">
            <v>655.33991500000002</v>
          </cell>
          <cell r="F434">
            <v>1346.829745</v>
          </cell>
        </row>
        <row r="435">
          <cell r="A435">
            <v>4</v>
          </cell>
          <cell r="B435">
            <v>4807</v>
          </cell>
          <cell r="C435">
            <v>1</v>
          </cell>
          <cell r="D435">
            <v>591</v>
          </cell>
          <cell r="E435">
            <v>16.694519</v>
          </cell>
          <cell r="F435">
            <v>48.152855000000002</v>
          </cell>
        </row>
        <row r="436">
          <cell r="A436">
            <v>4</v>
          </cell>
          <cell r="B436">
            <v>4811</v>
          </cell>
          <cell r="C436">
            <v>1</v>
          </cell>
          <cell r="D436">
            <v>591</v>
          </cell>
          <cell r="E436">
            <v>46.383333</v>
          </cell>
          <cell r="F436">
            <v>139.14999900000001</v>
          </cell>
        </row>
        <row r="437">
          <cell r="A437">
            <v>4</v>
          </cell>
          <cell r="B437">
            <v>4818</v>
          </cell>
          <cell r="C437">
            <v>1</v>
          </cell>
          <cell r="D437">
            <v>591</v>
          </cell>
          <cell r="E437">
            <v>0.70122200000000001</v>
          </cell>
          <cell r="F437">
            <v>23.257282</v>
          </cell>
        </row>
        <row r="438">
          <cell r="A438">
            <v>4</v>
          </cell>
          <cell r="B438">
            <v>4821</v>
          </cell>
          <cell r="C438">
            <v>1</v>
          </cell>
          <cell r="D438">
            <v>51</v>
          </cell>
          <cell r="E438">
            <v>1.402404</v>
          </cell>
          <cell r="F438">
            <v>4.0904689999999997</v>
          </cell>
        </row>
        <row r="439">
          <cell r="A439">
            <v>4</v>
          </cell>
          <cell r="B439">
            <v>4821</v>
          </cell>
          <cell r="C439">
            <v>1</v>
          </cell>
          <cell r="D439">
            <v>52</v>
          </cell>
          <cell r="E439">
            <v>0.47751100000000002</v>
          </cell>
          <cell r="F439">
            <v>0.884741</v>
          </cell>
        </row>
        <row r="440">
          <cell r="A440">
            <v>4</v>
          </cell>
          <cell r="B440">
            <v>4821</v>
          </cell>
          <cell r="C440">
            <v>1</v>
          </cell>
          <cell r="D440">
            <v>591</v>
          </cell>
          <cell r="E440">
            <v>54.465000000000003</v>
          </cell>
          <cell r="F440">
            <v>72.974999999999994</v>
          </cell>
        </row>
        <row r="441">
          <cell r="A441">
            <v>4</v>
          </cell>
          <cell r="B441">
            <v>4827</v>
          </cell>
          <cell r="C441">
            <v>1</v>
          </cell>
          <cell r="D441">
            <v>591</v>
          </cell>
          <cell r="E441">
            <v>98.029307000000003</v>
          </cell>
          <cell r="F441">
            <v>330.46386999999999</v>
          </cell>
        </row>
        <row r="442">
          <cell r="A442">
            <v>4</v>
          </cell>
          <cell r="B442">
            <v>4831</v>
          </cell>
          <cell r="C442">
            <v>6</v>
          </cell>
          <cell r="D442">
            <v>4</v>
          </cell>
          <cell r="E442">
            <v>-0.58416699999999999</v>
          </cell>
          <cell r="F442">
            <v>-0.99616700000000002</v>
          </cell>
        </row>
        <row r="443">
          <cell r="A443">
            <v>4</v>
          </cell>
          <cell r="B443">
            <v>4831</v>
          </cell>
          <cell r="C443">
            <v>6</v>
          </cell>
          <cell r="D443">
            <v>51</v>
          </cell>
          <cell r="E443">
            <v>3.773326</v>
          </cell>
          <cell r="F443">
            <v>10.732006999999999</v>
          </cell>
        </row>
        <row r="444">
          <cell r="A444">
            <v>4</v>
          </cell>
          <cell r="B444">
            <v>4831</v>
          </cell>
          <cell r="C444">
            <v>6</v>
          </cell>
          <cell r="D444">
            <v>52</v>
          </cell>
          <cell r="E444">
            <v>2.5471119999999998</v>
          </cell>
          <cell r="F444">
            <v>5.1378890000000004</v>
          </cell>
        </row>
        <row r="445">
          <cell r="A445">
            <v>4</v>
          </cell>
          <cell r="B445">
            <v>4851</v>
          </cell>
          <cell r="C445">
            <v>1</v>
          </cell>
          <cell r="D445">
            <v>52</v>
          </cell>
          <cell r="E445">
            <v>0</v>
          </cell>
          <cell r="F445">
            <v>0.381249</v>
          </cell>
        </row>
        <row r="446">
          <cell r="A446">
            <v>4</v>
          </cell>
          <cell r="B446">
            <v>4851</v>
          </cell>
          <cell r="C446">
            <v>1</v>
          </cell>
          <cell r="D446">
            <v>591</v>
          </cell>
          <cell r="E446">
            <v>0</v>
          </cell>
          <cell r="F446">
            <v>15.990907</v>
          </cell>
        </row>
        <row r="447">
          <cell r="A447">
            <v>4</v>
          </cell>
          <cell r="B447">
            <v>4853</v>
          </cell>
          <cell r="C447">
            <v>1</v>
          </cell>
          <cell r="D447">
            <v>591</v>
          </cell>
          <cell r="E447">
            <v>0.83</v>
          </cell>
          <cell r="F447">
            <v>2.4900000000000002</v>
          </cell>
        </row>
        <row r="448">
          <cell r="A448">
            <v>4</v>
          </cell>
          <cell r="B448">
            <v>4891</v>
          </cell>
          <cell r="C448">
            <v>1</v>
          </cell>
          <cell r="D448">
            <v>591</v>
          </cell>
          <cell r="E448">
            <v>1</v>
          </cell>
          <cell r="F448">
            <v>1</v>
          </cell>
        </row>
        <row r="449">
          <cell r="A449">
            <v>4</v>
          </cell>
          <cell r="B449">
            <v>4891</v>
          </cell>
          <cell r="C449">
            <v>6</v>
          </cell>
          <cell r="D449">
            <v>591</v>
          </cell>
          <cell r="E449">
            <v>5</v>
          </cell>
          <cell r="F449">
            <v>15</v>
          </cell>
        </row>
        <row r="450">
          <cell r="A450">
            <v>6</v>
          </cell>
          <cell r="B450">
            <v>6101</v>
          </cell>
          <cell r="C450">
            <v>1</v>
          </cell>
          <cell r="D450">
            <v>4</v>
          </cell>
          <cell r="E450">
            <v>0</v>
          </cell>
          <cell r="F450">
            <v>-3.0458099999999999</v>
          </cell>
        </row>
        <row r="451">
          <cell r="A451">
            <v>6</v>
          </cell>
          <cell r="B451">
            <v>6101</v>
          </cell>
          <cell r="C451">
            <v>1</v>
          </cell>
          <cell r="D451">
            <v>51</v>
          </cell>
          <cell r="E451">
            <v>24.431540999999999</v>
          </cell>
          <cell r="F451">
            <v>67.806117</v>
          </cell>
        </row>
        <row r="452">
          <cell r="A452">
            <v>6</v>
          </cell>
          <cell r="B452">
            <v>6101</v>
          </cell>
          <cell r="C452">
            <v>1</v>
          </cell>
          <cell r="D452">
            <v>52</v>
          </cell>
          <cell r="E452">
            <v>10.241591999999999</v>
          </cell>
          <cell r="F452">
            <v>29.071860000000001</v>
          </cell>
        </row>
        <row r="453">
          <cell r="A453">
            <v>6</v>
          </cell>
          <cell r="B453">
            <v>6101</v>
          </cell>
          <cell r="C453">
            <v>1</v>
          </cell>
          <cell r="D453">
            <v>591</v>
          </cell>
          <cell r="E453">
            <v>4.265E-2</v>
          </cell>
          <cell r="F453">
            <v>5.9650000000000002E-2</v>
          </cell>
        </row>
        <row r="454">
          <cell r="A454">
            <v>6</v>
          </cell>
          <cell r="B454">
            <v>6102</v>
          </cell>
          <cell r="C454">
            <v>1</v>
          </cell>
          <cell r="D454">
            <v>4</v>
          </cell>
          <cell r="E454">
            <v>0</v>
          </cell>
          <cell r="F454">
            <v>-0.28000000000000003</v>
          </cell>
        </row>
        <row r="455">
          <cell r="A455">
            <v>6</v>
          </cell>
          <cell r="B455">
            <v>6102</v>
          </cell>
          <cell r="C455">
            <v>1</v>
          </cell>
          <cell r="D455">
            <v>51</v>
          </cell>
          <cell r="E455">
            <v>1.268588</v>
          </cell>
          <cell r="F455">
            <v>3.731271</v>
          </cell>
        </row>
        <row r="456">
          <cell r="A456">
            <v>6</v>
          </cell>
          <cell r="B456">
            <v>6102</v>
          </cell>
          <cell r="C456">
            <v>1</v>
          </cell>
          <cell r="D456">
            <v>52</v>
          </cell>
          <cell r="E456">
            <v>0.41240599999999999</v>
          </cell>
          <cell r="F456">
            <v>2.4978929999999999</v>
          </cell>
        </row>
        <row r="457">
          <cell r="A457">
            <v>6</v>
          </cell>
          <cell r="B457">
            <v>6111</v>
          </cell>
          <cell r="C457">
            <v>1</v>
          </cell>
          <cell r="D457">
            <v>51</v>
          </cell>
          <cell r="E457">
            <v>23.143637999999999</v>
          </cell>
          <cell r="F457">
            <v>23.270790000000002</v>
          </cell>
        </row>
        <row r="458">
          <cell r="A458">
            <v>6</v>
          </cell>
          <cell r="B458">
            <v>6111</v>
          </cell>
          <cell r="C458">
            <v>1</v>
          </cell>
          <cell r="D458">
            <v>52</v>
          </cell>
          <cell r="E458">
            <v>11.145030999999999</v>
          </cell>
          <cell r="F458">
            <v>22.547329000000001</v>
          </cell>
        </row>
        <row r="459">
          <cell r="A459">
            <v>6</v>
          </cell>
          <cell r="B459">
            <v>6111</v>
          </cell>
          <cell r="C459">
            <v>1</v>
          </cell>
          <cell r="D459">
            <v>591</v>
          </cell>
          <cell r="E459">
            <v>132.31570199999999</v>
          </cell>
          <cell r="F459">
            <v>133.587422</v>
          </cell>
        </row>
        <row r="460">
          <cell r="A460">
            <v>6</v>
          </cell>
          <cell r="B460">
            <v>6190</v>
          </cell>
          <cell r="C460">
            <v>1</v>
          </cell>
          <cell r="D460">
            <v>4</v>
          </cell>
          <cell r="E460">
            <v>-1.4750000000000001</v>
          </cell>
          <cell r="F460">
            <v>-2.771217</v>
          </cell>
        </row>
        <row r="461">
          <cell r="A461">
            <v>6</v>
          </cell>
          <cell r="B461">
            <v>6190</v>
          </cell>
          <cell r="C461">
            <v>1</v>
          </cell>
          <cell r="D461">
            <v>51</v>
          </cell>
          <cell r="E461">
            <v>2.2506059999999999</v>
          </cell>
          <cell r="F461">
            <v>7.0914599999999997</v>
          </cell>
        </row>
        <row r="462">
          <cell r="A462">
            <v>6</v>
          </cell>
          <cell r="B462">
            <v>6190</v>
          </cell>
          <cell r="C462">
            <v>1</v>
          </cell>
          <cell r="D462">
            <v>52</v>
          </cell>
          <cell r="E462">
            <v>5.3040099999999999</v>
          </cell>
          <cell r="F462">
            <v>19.258347000000001</v>
          </cell>
        </row>
        <row r="463">
          <cell r="A463">
            <v>6</v>
          </cell>
          <cell r="B463">
            <v>6190</v>
          </cell>
          <cell r="C463">
            <v>1</v>
          </cell>
          <cell r="D463">
            <v>591</v>
          </cell>
          <cell r="E463">
            <v>9.32</v>
          </cell>
          <cell r="F463">
            <v>23.572023000000002</v>
          </cell>
        </row>
        <row r="464">
          <cell r="A464">
            <v>6</v>
          </cell>
          <cell r="B464">
            <v>6201</v>
          </cell>
          <cell r="C464">
            <v>1</v>
          </cell>
          <cell r="D464">
            <v>4</v>
          </cell>
          <cell r="E464">
            <v>-3.4667999999999997E-2</v>
          </cell>
          <cell r="F464">
            <v>-0.212668</v>
          </cell>
        </row>
        <row r="465">
          <cell r="A465">
            <v>6</v>
          </cell>
          <cell r="B465">
            <v>6201</v>
          </cell>
          <cell r="C465">
            <v>1</v>
          </cell>
          <cell r="D465">
            <v>51</v>
          </cell>
          <cell r="E465">
            <v>5.482208</v>
          </cell>
          <cell r="F465">
            <v>16.621869</v>
          </cell>
        </row>
        <row r="466">
          <cell r="A466">
            <v>6</v>
          </cell>
          <cell r="B466">
            <v>6201</v>
          </cell>
          <cell r="C466">
            <v>1</v>
          </cell>
          <cell r="D466">
            <v>52</v>
          </cell>
          <cell r="E466">
            <v>4.2939469999999993</v>
          </cell>
          <cell r="F466">
            <v>9.0753649999999997</v>
          </cell>
        </row>
        <row r="467">
          <cell r="A467">
            <v>6</v>
          </cell>
          <cell r="B467">
            <v>6210</v>
          </cell>
          <cell r="C467">
            <v>1</v>
          </cell>
          <cell r="D467">
            <v>4</v>
          </cell>
          <cell r="E467">
            <v>-2.5399999999999999E-4</v>
          </cell>
          <cell r="F467">
            <v>-4.1223999999999997E-2</v>
          </cell>
        </row>
        <row r="468">
          <cell r="A468">
            <v>6</v>
          </cell>
          <cell r="B468">
            <v>6210</v>
          </cell>
          <cell r="C468">
            <v>1</v>
          </cell>
          <cell r="D468">
            <v>51</v>
          </cell>
          <cell r="E468">
            <v>64.284232000000003</v>
          </cell>
          <cell r="F468">
            <v>189.08381499999999</v>
          </cell>
        </row>
        <row r="469">
          <cell r="A469">
            <v>6</v>
          </cell>
          <cell r="B469">
            <v>6210</v>
          </cell>
          <cell r="C469">
            <v>1</v>
          </cell>
          <cell r="D469">
            <v>52</v>
          </cell>
          <cell r="E469">
            <v>15.595883000000001</v>
          </cell>
          <cell r="F469">
            <v>44.068154999999997</v>
          </cell>
        </row>
        <row r="470">
          <cell r="A470">
            <v>6</v>
          </cell>
          <cell r="B470">
            <v>6210</v>
          </cell>
          <cell r="C470">
            <v>1</v>
          </cell>
          <cell r="D470">
            <v>591</v>
          </cell>
          <cell r="E470">
            <v>0</v>
          </cell>
          <cell r="F470">
            <v>8.6890999999999996E-2</v>
          </cell>
        </row>
        <row r="471">
          <cell r="A471">
            <v>6</v>
          </cell>
          <cell r="B471">
            <v>6231</v>
          </cell>
          <cell r="C471">
            <v>1</v>
          </cell>
          <cell r="D471">
            <v>4</v>
          </cell>
          <cell r="E471">
            <v>-8.5636650000000003</v>
          </cell>
          <cell r="F471">
            <v>-26.763760000000001</v>
          </cell>
        </row>
        <row r="472">
          <cell r="A472">
            <v>6</v>
          </cell>
          <cell r="B472">
            <v>6231</v>
          </cell>
          <cell r="C472">
            <v>1</v>
          </cell>
          <cell r="D472">
            <v>51</v>
          </cell>
          <cell r="E472">
            <v>5.5517999999999998E-2</v>
          </cell>
          <cell r="F472">
            <v>0.15160999999999999</v>
          </cell>
        </row>
        <row r="473">
          <cell r="A473">
            <v>6</v>
          </cell>
          <cell r="B473">
            <v>6231</v>
          </cell>
          <cell r="C473">
            <v>1</v>
          </cell>
          <cell r="D473">
            <v>52</v>
          </cell>
          <cell r="E473">
            <v>57.428001999999999</v>
          </cell>
          <cell r="F473">
            <v>156.79180299999999</v>
          </cell>
        </row>
        <row r="474">
          <cell r="A474">
            <v>6</v>
          </cell>
          <cell r="B474">
            <v>6231</v>
          </cell>
          <cell r="C474">
            <v>1</v>
          </cell>
          <cell r="D474">
            <v>591</v>
          </cell>
          <cell r="E474">
            <v>0.6</v>
          </cell>
          <cell r="F474">
            <v>1.2</v>
          </cell>
        </row>
        <row r="475">
          <cell r="A475">
            <v>6</v>
          </cell>
          <cell r="B475">
            <v>6232</v>
          </cell>
          <cell r="C475">
            <v>1</v>
          </cell>
          <cell r="D475">
            <v>4</v>
          </cell>
          <cell r="E475">
            <v>-0.15198200000000001</v>
          </cell>
          <cell r="F475">
            <v>-4.7620389999999997</v>
          </cell>
        </row>
        <row r="476">
          <cell r="A476">
            <v>6</v>
          </cell>
          <cell r="B476">
            <v>6232</v>
          </cell>
          <cell r="C476">
            <v>1</v>
          </cell>
          <cell r="D476">
            <v>51</v>
          </cell>
          <cell r="E476">
            <v>1.166064</v>
          </cell>
          <cell r="F476">
            <v>3.5480960000000001</v>
          </cell>
        </row>
        <row r="477">
          <cell r="A477">
            <v>6</v>
          </cell>
          <cell r="B477">
            <v>6232</v>
          </cell>
          <cell r="C477">
            <v>1</v>
          </cell>
          <cell r="D477">
            <v>52</v>
          </cell>
          <cell r="E477">
            <v>37.636983000000001</v>
          </cell>
          <cell r="F477">
            <v>80.913726999999994</v>
          </cell>
        </row>
        <row r="478">
          <cell r="A478">
            <v>6</v>
          </cell>
          <cell r="B478">
            <v>6235</v>
          </cell>
          <cell r="C478">
            <v>1</v>
          </cell>
          <cell r="D478">
            <v>4</v>
          </cell>
          <cell r="E478">
            <v>-0.270901</v>
          </cell>
          <cell r="F478">
            <v>-0.105879</v>
          </cell>
        </row>
        <row r="479">
          <cell r="A479">
            <v>6</v>
          </cell>
          <cell r="B479">
            <v>6235</v>
          </cell>
          <cell r="C479">
            <v>1</v>
          </cell>
          <cell r="D479">
            <v>51</v>
          </cell>
          <cell r="E479">
            <v>0.41795700000000002</v>
          </cell>
          <cell r="F479">
            <v>1.253871</v>
          </cell>
        </row>
        <row r="480">
          <cell r="A480">
            <v>6</v>
          </cell>
          <cell r="B480">
            <v>6235</v>
          </cell>
          <cell r="C480">
            <v>1</v>
          </cell>
          <cell r="D480">
            <v>52</v>
          </cell>
          <cell r="E480">
            <v>1.3225929999999999</v>
          </cell>
          <cell r="F480">
            <v>3.2037960000000001</v>
          </cell>
        </row>
        <row r="481">
          <cell r="A481">
            <v>6</v>
          </cell>
          <cell r="B481">
            <v>6235</v>
          </cell>
          <cell r="C481">
            <v>1</v>
          </cell>
          <cell r="D481">
            <v>591</v>
          </cell>
          <cell r="E481">
            <v>12.314373</v>
          </cell>
          <cell r="F481">
            <v>23.899773</v>
          </cell>
        </row>
        <row r="482">
          <cell r="A482">
            <v>6</v>
          </cell>
          <cell r="B482">
            <v>6251</v>
          </cell>
          <cell r="C482">
            <v>1</v>
          </cell>
          <cell r="D482">
            <v>51</v>
          </cell>
          <cell r="E482">
            <v>4.006831</v>
          </cell>
          <cell r="F482">
            <v>11.684606</v>
          </cell>
        </row>
        <row r="483">
          <cell r="A483">
            <v>6</v>
          </cell>
          <cell r="B483">
            <v>6251</v>
          </cell>
          <cell r="C483">
            <v>1</v>
          </cell>
          <cell r="D483">
            <v>52</v>
          </cell>
          <cell r="E483">
            <v>1.1500809999999999</v>
          </cell>
          <cell r="F483">
            <v>2.8178450000000002</v>
          </cell>
        </row>
        <row r="484">
          <cell r="A484">
            <v>6</v>
          </cell>
          <cell r="B484">
            <v>6251</v>
          </cell>
          <cell r="C484">
            <v>1</v>
          </cell>
          <cell r="D484">
            <v>591</v>
          </cell>
          <cell r="E484">
            <v>0</v>
          </cell>
          <cell r="F484">
            <v>7.1999999999999995E-2</v>
          </cell>
        </row>
        <row r="485">
          <cell r="A485">
            <v>6</v>
          </cell>
          <cell r="B485">
            <v>6301</v>
          </cell>
          <cell r="C485">
            <v>1</v>
          </cell>
          <cell r="D485">
            <v>51</v>
          </cell>
          <cell r="E485">
            <v>8.0892309999999998</v>
          </cell>
          <cell r="F485">
            <v>25.506176</v>
          </cell>
        </row>
        <row r="486">
          <cell r="A486">
            <v>6</v>
          </cell>
          <cell r="B486">
            <v>6301</v>
          </cell>
          <cell r="C486">
            <v>1</v>
          </cell>
          <cell r="D486">
            <v>52</v>
          </cell>
          <cell r="E486">
            <v>2.0706500000000001</v>
          </cell>
          <cell r="F486">
            <v>6.6757520000000001</v>
          </cell>
        </row>
        <row r="487">
          <cell r="A487">
            <v>6</v>
          </cell>
          <cell r="B487">
            <v>6303</v>
          </cell>
          <cell r="C487">
            <v>1</v>
          </cell>
          <cell r="D487">
            <v>4</v>
          </cell>
          <cell r="E487">
            <v>-70.460301000000001</v>
          </cell>
          <cell r="F487">
            <v>-122.500145</v>
          </cell>
        </row>
        <row r="488">
          <cell r="A488">
            <v>6</v>
          </cell>
          <cell r="B488">
            <v>6303</v>
          </cell>
          <cell r="C488">
            <v>1</v>
          </cell>
          <cell r="D488">
            <v>51</v>
          </cell>
          <cell r="E488">
            <v>76.783451999999997</v>
          </cell>
          <cell r="F488">
            <v>236.402322</v>
          </cell>
        </row>
        <row r="489">
          <cell r="A489">
            <v>6</v>
          </cell>
          <cell r="B489">
            <v>6303</v>
          </cell>
          <cell r="C489">
            <v>1</v>
          </cell>
          <cell r="D489">
            <v>52</v>
          </cell>
          <cell r="E489">
            <v>57.380423</v>
          </cell>
          <cell r="F489">
            <v>143.531857</v>
          </cell>
        </row>
        <row r="490">
          <cell r="A490">
            <v>6</v>
          </cell>
          <cell r="B490">
            <v>6303</v>
          </cell>
          <cell r="C490">
            <v>1</v>
          </cell>
          <cell r="D490">
            <v>591</v>
          </cell>
          <cell r="E490">
            <v>0.143208</v>
          </cell>
          <cell r="F490">
            <v>0.175208</v>
          </cell>
        </row>
        <row r="491">
          <cell r="A491">
            <v>6</v>
          </cell>
          <cell r="B491">
            <v>6303</v>
          </cell>
          <cell r="C491">
            <v>6</v>
          </cell>
          <cell r="D491">
            <v>52</v>
          </cell>
          <cell r="E491">
            <v>0</v>
          </cell>
          <cell r="F491">
            <v>8.1710170000000009</v>
          </cell>
        </row>
        <row r="492">
          <cell r="A492">
            <v>6</v>
          </cell>
          <cell r="B492">
            <v>6305</v>
          </cell>
          <cell r="C492">
            <v>1</v>
          </cell>
          <cell r="D492">
            <v>4</v>
          </cell>
          <cell r="E492">
            <v>0</v>
          </cell>
          <cell r="F492">
            <v>-0.159694</v>
          </cell>
        </row>
        <row r="493">
          <cell r="A493">
            <v>6</v>
          </cell>
          <cell r="B493">
            <v>6305</v>
          </cell>
          <cell r="C493">
            <v>1</v>
          </cell>
          <cell r="D493">
            <v>51</v>
          </cell>
          <cell r="E493">
            <v>14.831167000000001</v>
          </cell>
          <cell r="F493">
            <v>43.972141999999998</v>
          </cell>
        </row>
        <row r="494">
          <cell r="A494">
            <v>6</v>
          </cell>
          <cell r="B494">
            <v>6305</v>
          </cell>
          <cell r="C494">
            <v>1</v>
          </cell>
          <cell r="D494">
            <v>52</v>
          </cell>
          <cell r="E494">
            <v>6.1883379999999999</v>
          </cell>
          <cell r="F494">
            <v>16.625353</v>
          </cell>
        </row>
        <row r="495">
          <cell r="A495">
            <v>6</v>
          </cell>
          <cell r="B495">
            <v>6309</v>
          </cell>
          <cell r="C495">
            <v>1</v>
          </cell>
          <cell r="D495">
            <v>51</v>
          </cell>
          <cell r="E495">
            <v>15.478963</v>
          </cell>
          <cell r="F495">
            <v>45.384238000000003</v>
          </cell>
        </row>
        <row r="496">
          <cell r="A496">
            <v>6</v>
          </cell>
          <cell r="B496">
            <v>6309</v>
          </cell>
          <cell r="C496">
            <v>1</v>
          </cell>
          <cell r="D496">
            <v>52</v>
          </cell>
          <cell r="E496">
            <v>5.282235</v>
          </cell>
          <cell r="F496">
            <v>17.182817</v>
          </cell>
        </row>
        <row r="497">
          <cell r="A497">
            <v>6</v>
          </cell>
          <cell r="B497">
            <v>6309</v>
          </cell>
          <cell r="C497">
            <v>1</v>
          </cell>
          <cell r="D497">
            <v>591</v>
          </cell>
          <cell r="E497">
            <v>0</v>
          </cell>
          <cell r="F497">
            <v>3.8899999999999998E-3</v>
          </cell>
        </row>
        <row r="498">
          <cell r="A498">
            <v>6</v>
          </cell>
          <cell r="B498">
            <v>6310</v>
          </cell>
          <cell r="C498">
            <v>1</v>
          </cell>
          <cell r="D498">
            <v>4</v>
          </cell>
          <cell r="E498">
            <v>-3.1277949999999999</v>
          </cell>
          <cell r="F498">
            <v>-11.367637</v>
          </cell>
        </row>
        <row r="499">
          <cell r="A499">
            <v>6</v>
          </cell>
          <cell r="B499">
            <v>6310</v>
          </cell>
          <cell r="C499">
            <v>1</v>
          </cell>
          <cell r="D499">
            <v>51</v>
          </cell>
          <cell r="E499">
            <v>204.98954900000001</v>
          </cell>
          <cell r="F499">
            <v>624.24345600000004</v>
          </cell>
        </row>
        <row r="500">
          <cell r="A500">
            <v>6</v>
          </cell>
          <cell r="B500">
            <v>6310</v>
          </cell>
          <cell r="C500">
            <v>1</v>
          </cell>
          <cell r="D500">
            <v>52</v>
          </cell>
          <cell r="E500">
            <v>59.417751000000003</v>
          </cell>
          <cell r="F500">
            <v>144.23810500000002</v>
          </cell>
        </row>
        <row r="501">
          <cell r="A501">
            <v>6</v>
          </cell>
          <cell r="B501">
            <v>6310</v>
          </cell>
          <cell r="C501">
            <v>1</v>
          </cell>
          <cell r="D501">
            <v>591</v>
          </cell>
          <cell r="E501">
            <v>0.2</v>
          </cell>
          <cell r="F501">
            <v>0.2</v>
          </cell>
        </row>
        <row r="502">
          <cell r="A502">
            <v>6</v>
          </cell>
          <cell r="B502">
            <v>6312</v>
          </cell>
          <cell r="C502">
            <v>1</v>
          </cell>
          <cell r="D502">
            <v>4</v>
          </cell>
          <cell r="E502">
            <v>-9.0631170000000001</v>
          </cell>
          <cell r="F502">
            <v>-9.7477049999999998</v>
          </cell>
        </row>
        <row r="503">
          <cell r="A503">
            <v>6</v>
          </cell>
          <cell r="B503">
            <v>6312</v>
          </cell>
          <cell r="C503">
            <v>1</v>
          </cell>
          <cell r="D503">
            <v>51</v>
          </cell>
          <cell r="E503">
            <v>61.407128999999998</v>
          </cell>
          <cell r="F503">
            <v>182.98823899999999</v>
          </cell>
        </row>
        <row r="504">
          <cell r="A504">
            <v>6</v>
          </cell>
          <cell r="B504">
            <v>6312</v>
          </cell>
          <cell r="C504">
            <v>1</v>
          </cell>
          <cell r="D504">
            <v>52</v>
          </cell>
          <cell r="E504">
            <v>17.860639000000003</v>
          </cell>
          <cell r="F504">
            <v>41.376829999999998</v>
          </cell>
        </row>
        <row r="505">
          <cell r="A505">
            <v>6</v>
          </cell>
          <cell r="B505">
            <v>6312</v>
          </cell>
          <cell r="C505">
            <v>1</v>
          </cell>
          <cell r="D505">
            <v>591</v>
          </cell>
          <cell r="E505">
            <v>6.4732999999999999E-2</v>
          </cell>
          <cell r="F505">
            <v>6.4732999999999999E-2</v>
          </cell>
        </row>
        <row r="506">
          <cell r="A506">
            <v>6</v>
          </cell>
          <cell r="B506">
            <v>6325</v>
          </cell>
          <cell r="C506">
            <v>1</v>
          </cell>
          <cell r="D506">
            <v>52</v>
          </cell>
          <cell r="E506">
            <v>23.622975</v>
          </cell>
          <cell r="F506">
            <v>70.626953</v>
          </cell>
        </row>
        <row r="507">
          <cell r="A507">
            <v>6</v>
          </cell>
          <cell r="B507">
            <v>6390</v>
          </cell>
          <cell r="C507">
            <v>1</v>
          </cell>
          <cell r="D507">
            <v>52</v>
          </cell>
          <cell r="E507">
            <v>0</v>
          </cell>
          <cell r="F507">
            <v>33.794241</v>
          </cell>
        </row>
        <row r="508">
          <cell r="A508">
            <v>6</v>
          </cell>
          <cell r="B508">
            <v>6390</v>
          </cell>
          <cell r="C508">
            <v>1</v>
          </cell>
          <cell r="D508">
            <v>591</v>
          </cell>
          <cell r="E508">
            <v>0</v>
          </cell>
          <cell r="F508">
            <v>0.75</v>
          </cell>
        </row>
        <row r="509">
          <cell r="A509">
            <v>6</v>
          </cell>
          <cell r="B509">
            <v>6395</v>
          </cell>
          <cell r="C509">
            <v>1</v>
          </cell>
          <cell r="D509">
            <v>4</v>
          </cell>
          <cell r="E509">
            <v>-11.102247</v>
          </cell>
          <cell r="F509">
            <v>-33.704379000000003</v>
          </cell>
        </row>
        <row r="510">
          <cell r="A510">
            <v>6</v>
          </cell>
          <cell r="B510">
            <v>6395</v>
          </cell>
          <cell r="C510">
            <v>1</v>
          </cell>
          <cell r="D510">
            <v>51</v>
          </cell>
          <cell r="E510">
            <v>103.040413</v>
          </cell>
          <cell r="F510">
            <v>315.35531800000001</v>
          </cell>
        </row>
        <row r="511">
          <cell r="A511">
            <v>6</v>
          </cell>
          <cell r="B511">
            <v>6395</v>
          </cell>
          <cell r="C511">
            <v>1</v>
          </cell>
          <cell r="D511">
            <v>52</v>
          </cell>
          <cell r="E511">
            <v>110.43658600000001</v>
          </cell>
          <cell r="F511">
            <v>307.380672</v>
          </cell>
        </row>
        <row r="512">
          <cell r="A512">
            <v>6</v>
          </cell>
          <cell r="B512">
            <v>6395</v>
          </cell>
          <cell r="C512">
            <v>1</v>
          </cell>
          <cell r="D512">
            <v>591</v>
          </cell>
          <cell r="E512">
            <v>0</v>
          </cell>
          <cell r="F512">
            <v>0.60499999999999998</v>
          </cell>
        </row>
        <row r="513">
          <cell r="A513">
            <v>6</v>
          </cell>
          <cell r="B513">
            <v>6395</v>
          </cell>
          <cell r="C513">
            <v>5</v>
          </cell>
          <cell r="D513">
            <v>4</v>
          </cell>
          <cell r="E513">
            <v>-5.4190000000000002E-3</v>
          </cell>
          <cell r="F513">
            <v>-5.4190000000000002E-3</v>
          </cell>
        </row>
        <row r="514">
          <cell r="A514">
            <v>6</v>
          </cell>
          <cell r="B514">
            <v>6395</v>
          </cell>
          <cell r="C514">
            <v>5</v>
          </cell>
          <cell r="D514">
            <v>52</v>
          </cell>
          <cell r="E514">
            <v>8.8342339999999986</v>
          </cell>
          <cell r="F514">
            <v>14.762212</v>
          </cell>
        </row>
        <row r="515">
          <cell r="A515">
            <v>6</v>
          </cell>
          <cell r="B515">
            <v>6395</v>
          </cell>
          <cell r="C515">
            <v>6</v>
          </cell>
          <cell r="D515">
            <v>4</v>
          </cell>
          <cell r="E515">
            <v>-1.7597999999999999E-2</v>
          </cell>
          <cell r="F515">
            <v>-1.7597999999999999E-2</v>
          </cell>
        </row>
        <row r="516">
          <cell r="A516">
            <v>6</v>
          </cell>
          <cell r="B516">
            <v>6395</v>
          </cell>
          <cell r="C516">
            <v>6</v>
          </cell>
          <cell r="D516">
            <v>52</v>
          </cell>
          <cell r="E516">
            <v>7.3112999999999997E-2</v>
          </cell>
          <cell r="F516">
            <v>8.1684000000000007E-2</v>
          </cell>
        </row>
        <row r="517">
          <cell r="A517">
            <v>6</v>
          </cell>
          <cell r="B517">
            <v>6396</v>
          </cell>
          <cell r="C517">
            <v>6</v>
          </cell>
          <cell r="D517">
            <v>4</v>
          </cell>
          <cell r="E517">
            <v>0</v>
          </cell>
          <cell r="F517">
            <v>-3.0764E-2</v>
          </cell>
        </row>
        <row r="518">
          <cell r="A518">
            <v>6</v>
          </cell>
          <cell r="B518">
            <v>6396</v>
          </cell>
          <cell r="C518">
            <v>6</v>
          </cell>
          <cell r="D518">
            <v>52</v>
          </cell>
          <cell r="E518">
            <v>10.921505</v>
          </cell>
          <cell r="F518">
            <v>859.16341499999999</v>
          </cell>
        </row>
        <row r="519">
          <cell r="A519">
            <v>6</v>
          </cell>
          <cell r="B519">
            <v>6397</v>
          </cell>
          <cell r="C519">
            <v>1</v>
          </cell>
          <cell r="D519">
            <v>52</v>
          </cell>
          <cell r="E519">
            <v>3.7133090000000002</v>
          </cell>
          <cell r="F519">
            <v>20.903548000000001</v>
          </cell>
        </row>
        <row r="520">
          <cell r="A520">
            <v>6</v>
          </cell>
          <cell r="B520">
            <v>6398</v>
          </cell>
          <cell r="C520">
            <v>1</v>
          </cell>
          <cell r="D520">
            <v>4</v>
          </cell>
          <cell r="E520">
            <v>0</v>
          </cell>
          <cell r="F520">
            <v>-0.16602700000000001</v>
          </cell>
        </row>
        <row r="521">
          <cell r="A521">
            <v>6</v>
          </cell>
          <cell r="B521">
            <v>6398</v>
          </cell>
          <cell r="C521">
            <v>1</v>
          </cell>
          <cell r="D521">
            <v>51</v>
          </cell>
          <cell r="E521">
            <v>7.7923929999999997</v>
          </cell>
          <cell r="F521">
            <v>23.808685000000001</v>
          </cell>
        </row>
        <row r="522">
          <cell r="A522">
            <v>6</v>
          </cell>
          <cell r="B522">
            <v>6398</v>
          </cell>
          <cell r="C522">
            <v>1</v>
          </cell>
          <cell r="D522">
            <v>52</v>
          </cell>
          <cell r="E522">
            <v>6.4395189999999998</v>
          </cell>
          <cell r="F522">
            <v>20.048857000000002</v>
          </cell>
        </row>
        <row r="523">
          <cell r="A523">
            <v>6</v>
          </cell>
          <cell r="B523">
            <v>6398</v>
          </cell>
          <cell r="C523">
            <v>1</v>
          </cell>
          <cell r="D523">
            <v>591</v>
          </cell>
          <cell r="E523">
            <v>1.4999999999999999E-2</v>
          </cell>
          <cell r="F523">
            <v>4.4999999999999998E-2</v>
          </cell>
        </row>
        <row r="524">
          <cell r="A524">
            <v>6</v>
          </cell>
          <cell r="B524">
            <v>6411</v>
          </cell>
          <cell r="C524">
            <v>1</v>
          </cell>
          <cell r="D524">
            <v>4</v>
          </cell>
          <cell r="E524">
            <v>-0.35095799999999999</v>
          </cell>
          <cell r="F524">
            <v>-0.70157099999999994</v>
          </cell>
        </row>
        <row r="525">
          <cell r="A525">
            <v>6</v>
          </cell>
          <cell r="B525">
            <v>6411</v>
          </cell>
          <cell r="C525">
            <v>1</v>
          </cell>
          <cell r="D525">
            <v>51</v>
          </cell>
          <cell r="E525">
            <v>19.742683</v>
          </cell>
          <cell r="F525">
            <v>59.156950000000002</v>
          </cell>
        </row>
        <row r="526">
          <cell r="A526">
            <v>6</v>
          </cell>
          <cell r="B526">
            <v>6411</v>
          </cell>
          <cell r="C526">
            <v>1</v>
          </cell>
          <cell r="D526">
            <v>52</v>
          </cell>
          <cell r="E526">
            <v>4.7779799999999994</v>
          </cell>
          <cell r="F526">
            <v>17.627317000000001</v>
          </cell>
        </row>
        <row r="527">
          <cell r="A527">
            <v>6</v>
          </cell>
          <cell r="B527">
            <v>6412</v>
          </cell>
          <cell r="C527">
            <v>1</v>
          </cell>
          <cell r="D527">
            <v>4</v>
          </cell>
          <cell r="E527">
            <v>-0.177425</v>
          </cell>
          <cell r="F527">
            <v>-0.61350499999999997</v>
          </cell>
        </row>
        <row r="528">
          <cell r="A528">
            <v>6</v>
          </cell>
          <cell r="B528">
            <v>6412</v>
          </cell>
          <cell r="C528">
            <v>1</v>
          </cell>
          <cell r="D528">
            <v>51</v>
          </cell>
          <cell r="E528">
            <v>10.804192</v>
          </cell>
          <cell r="F528">
            <v>34.002046</v>
          </cell>
        </row>
        <row r="529">
          <cell r="A529">
            <v>6</v>
          </cell>
          <cell r="B529">
            <v>6412</v>
          </cell>
          <cell r="C529">
            <v>1</v>
          </cell>
          <cell r="D529">
            <v>52</v>
          </cell>
          <cell r="E529">
            <v>1.9773529999999999</v>
          </cell>
          <cell r="F529">
            <v>6.2335000000000003</v>
          </cell>
        </row>
        <row r="530">
          <cell r="A530">
            <v>6</v>
          </cell>
          <cell r="B530">
            <v>6412</v>
          </cell>
          <cell r="C530">
            <v>1</v>
          </cell>
          <cell r="D530">
            <v>591</v>
          </cell>
          <cell r="E530">
            <v>4.0000000000000001E-3</v>
          </cell>
          <cell r="F530">
            <v>6.0000000000000001E-3</v>
          </cell>
        </row>
        <row r="531">
          <cell r="A531">
            <v>6</v>
          </cell>
          <cell r="B531">
            <v>6413</v>
          </cell>
          <cell r="C531">
            <v>1</v>
          </cell>
          <cell r="D531">
            <v>51</v>
          </cell>
          <cell r="E531">
            <v>10.504479</v>
          </cell>
          <cell r="F531">
            <v>32.397033999999998</v>
          </cell>
        </row>
        <row r="532">
          <cell r="A532">
            <v>6</v>
          </cell>
          <cell r="B532">
            <v>6413</v>
          </cell>
          <cell r="C532">
            <v>1</v>
          </cell>
          <cell r="D532">
            <v>52</v>
          </cell>
          <cell r="E532">
            <v>2.9971869999999998</v>
          </cell>
          <cell r="F532">
            <v>8.2670779999999997</v>
          </cell>
        </row>
        <row r="533">
          <cell r="A533">
            <v>6</v>
          </cell>
          <cell r="B533">
            <v>6414</v>
          </cell>
          <cell r="C533">
            <v>1</v>
          </cell>
          <cell r="D533">
            <v>4</v>
          </cell>
          <cell r="E533">
            <v>-3.1585000000000002E-2</v>
          </cell>
          <cell r="F533">
            <v>-2.1627339999999999</v>
          </cell>
        </row>
        <row r="534">
          <cell r="A534">
            <v>6</v>
          </cell>
          <cell r="B534">
            <v>6414</v>
          </cell>
          <cell r="C534">
            <v>1</v>
          </cell>
          <cell r="D534">
            <v>51</v>
          </cell>
          <cell r="E534">
            <v>11.231182</v>
          </cell>
          <cell r="F534">
            <v>35.190300999999998</v>
          </cell>
        </row>
        <row r="535">
          <cell r="A535">
            <v>6</v>
          </cell>
          <cell r="B535">
            <v>6414</v>
          </cell>
          <cell r="C535">
            <v>1</v>
          </cell>
          <cell r="D535">
            <v>52</v>
          </cell>
          <cell r="E535">
            <v>2.5317729999999998</v>
          </cell>
          <cell r="F535">
            <v>7.4851279999999996</v>
          </cell>
        </row>
        <row r="536">
          <cell r="A536">
            <v>6</v>
          </cell>
          <cell r="B536">
            <v>6415</v>
          </cell>
          <cell r="C536">
            <v>1</v>
          </cell>
          <cell r="D536">
            <v>51</v>
          </cell>
          <cell r="E536">
            <v>1.587046</v>
          </cell>
          <cell r="F536">
            <v>4.6127950000000002</v>
          </cell>
        </row>
        <row r="537">
          <cell r="A537">
            <v>6</v>
          </cell>
          <cell r="B537">
            <v>6415</v>
          </cell>
          <cell r="C537">
            <v>1</v>
          </cell>
          <cell r="D537">
            <v>52</v>
          </cell>
          <cell r="E537">
            <v>0.50138799999999994</v>
          </cell>
          <cell r="F537">
            <v>1.156182</v>
          </cell>
        </row>
        <row r="538">
          <cell r="A538">
            <v>6</v>
          </cell>
          <cell r="B538">
            <v>6416</v>
          </cell>
          <cell r="C538">
            <v>1</v>
          </cell>
          <cell r="D538">
            <v>4</v>
          </cell>
          <cell r="E538">
            <v>0</v>
          </cell>
          <cell r="F538">
            <v>-1E-3</v>
          </cell>
        </row>
        <row r="539">
          <cell r="A539">
            <v>6</v>
          </cell>
          <cell r="B539">
            <v>6416</v>
          </cell>
          <cell r="C539">
            <v>1</v>
          </cell>
          <cell r="D539">
            <v>51</v>
          </cell>
          <cell r="E539">
            <v>1.9826239999999999</v>
          </cell>
          <cell r="F539">
            <v>6.4120039999999996</v>
          </cell>
        </row>
        <row r="540">
          <cell r="A540">
            <v>6</v>
          </cell>
          <cell r="B540">
            <v>6416</v>
          </cell>
          <cell r="C540">
            <v>1</v>
          </cell>
          <cell r="D540">
            <v>52</v>
          </cell>
          <cell r="E540">
            <v>0.51995000000000002</v>
          </cell>
          <cell r="F540">
            <v>1.523002</v>
          </cell>
        </row>
        <row r="541">
          <cell r="A541">
            <v>6</v>
          </cell>
          <cell r="B541">
            <v>6417</v>
          </cell>
          <cell r="C541">
            <v>1</v>
          </cell>
          <cell r="D541">
            <v>4</v>
          </cell>
          <cell r="E541">
            <v>-0.37560500000000002</v>
          </cell>
          <cell r="F541">
            <v>-0.85171799999999998</v>
          </cell>
        </row>
        <row r="542">
          <cell r="A542">
            <v>6</v>
          </cell>
          <cell r="B542">
            <v>6417</v>
          </cell>
          <cell r="C542">
            <v>1</v>
          </cell>
          <cell r="D542">
            <v>51</v>
          </cell>
          <cell r="E542">
            <v>2.0279799999999999</v>
          </cell>
          <cell r="F542">
            <v>6.3813659999999999</v>
          </cell>
        </row>
        <row r="543">
          <cell r="A543">
            <v>6</v>
          </cell>
          <cell r="B543">
            <v>6417</v>
          </cell>
          <cell r="C543">
            <v>1</v>
          </cell>
          <cell r="D543">
            <v>52</v>
          </cell>
          <cell r="E543">
            <v>0.49406899999999998</v>
          </cell>
          <cell r="F543">
            <v>0.957009</v>
          </cell>
        </row>
        <row r="544">
          <cell r="A544">
            <v>6</v>
          </cell>
          <cell r="B544">
            <v>6417</v>
          </cell>
          <cell r="C544">
            <v>1</v>
          </cell>
          <cell r="D544">
            <v>591</v>
          </cell>
          <cell r="E544">
            <v>0</v>
          </cell>
          <cell r="F544">
            <v>6.2249999999999996E-3</v>
          </cell>
        </row>
        <row r="545">
          <cell r="A545">
            <v>6</v>
          </cell>
          <cell r="B545">
            <v>6418</v>
          </cell>
          <cell r="C545">
            <v>1</v>
          </cell>
          <cell r="D545">
            <v>4</v>
          </cell>
          <cell r="E545">
            <v>-1.7329999999999999E-3</v>
          </cell>
          <cell r="F545">
            <v>-0.35207300000000002</v>
          </cell>
        </row>
        <row r="546">
          <cell r="A546">
            <v>6</v>
          </cell>
          <cell r="B546">
            <v>6418</v>
          </cell>
          <cell r="C546">
            <v>1</v>
          </cell>
          <cell r="D546">
            <v>51</v>
          </cell>
          <cell r="E546">
            <v>18.990019</v>
          </cell>
          <cell r="F546">
            <v>60.590276000000003</v>
          </cell>
        </row>
        <row r="547">
          <cell r="A547">
            <v>6</v>
          </cell>
          <cell r="B547">
            <v>6418</v>
          </cell>
          <cell r="C547">
            <v>1</v>
          </cell>
          <cell r="D547">
            <v>52</v>
          </cell>
          <cell r="E547">
            <v>3.9124089999999998</v>
          </cell>
          <cell r="F547">
            <v>13.678464</v>
          </cell>
        </row>
        <row r="548">
          <cell r="A548">
            <v>6</v>
          </cell>
          <cell r="B548">
            <v>6418</v>
          </cell>
          <cell r="C548">
            <v>1</v>
          </cell>
          <cell r="D548">
            <v>591</v>
          </cell>
          <cell r="E548">
            <v>8.9999999999999993E-3</v>
          </cell>
          <cell r="F548">
            <v>1.2E-2</v>
          </cell>
        </row>
        <row r="549">
          <cell r="A549">
            <v>6</v>
          </cell>
          <cell r="B549">
            <v>6419</v>
          </cell>
          <cell r="C549">
            <v>1</v>
          </cell>
          <cell r="D549">
            <v>51</v>
          </cell>
          <cell r="E549">
            <v>1.8529899999999999</v>
          </cell>
          <cell r="F549">
            <v>5.5418839999999996</v>
          </cell>
        </row>
        <row r="550">
          <cell r="A550">
            <v>6</v>
          </cell>
          <cell r="B550">
            <v>6419</v>
          </cell>
          <cell r="C550">
            <v>1</v>
          </cell>
          <cell r="D550">
            <v>52</v>
          </cell>
          <cell r="E550">
            <v>0.32451400000000002</v>
          </cell>
          <cell r="F550">
            <v>0.90981400000000001</v>
          </cell>
        </row>
        <row r="551">
          <cell r="A551">
            <v>6</v>
          </cell>
          <cell r="B551">
            <v>6420</v>
          </cell>
          <cell r="C551">
            <v>1</v>
          </cell>
          <cell r="D551">
            <v>4</v>
          </cell>
          <cell r="E551">
            <v>0</v>
          </cell>
          <cell r="F551">
            <v>-0.55000000000000004</v>
          </cell>
        </row>
        <row r="552">
          <cell r="A552">
            <v>6</v>
          </cell>
          <cell r="B552">
            <v>6420</v>
          </cell>
          <cell r="C552">
            <v>1</v>
          </cell>
          <cell r="D552">
            <v>51</v>
          </cell>
          <cell r="E552">
            <v>11.540725</v>
          </cell>
          <cell r="F552">
            <v>34.956386000000002</v>
          </cell>
        </row>
        <row r="553">
          <cell r="A553">
            <v>6</v>
          </cell>
          <cell r="B553">
            <v>6420</v>
          </cell>
          <cell r="C553">
            <v>1</v>
          </cell>
          <cell r="D553">
            <v>52</v>
          </cell>
          <cell r="E553">
            <v>3.08921</v>
          </cell>
          <cell r="F553">
            <v>6.9001539999999997</v>
          </cell>
        </row>
        <row r="554">
          <cell r="A554">
            <v>6</v>
          </cell>
          <cell r="B554">
            <v>6420</v>
          </cell>
          <cell r="C554">
            <v>1</v>
          </cell>
          <cell r="D554">
            <v>591</v>
          </cell>
          <cell r="E554">
            <v>3.5000000000000001E-3</v>
          </cell>
          <cell r="F554">
            <v>3.0949999999999998E-2</v>
          </cell>
        </row>
        <row r="555">
          <cell r="A555">
            <v>6</v>
          </cell>
          <cell r="B555">
            <v>6421</v>
          </cell>
          <cell r="C555">
            <v>1</v>
          </cell>
          <cell r="D555">
            <v>4</v>
          </cell>
          <cell r="E555">
            <v>-1.4999999999999999E-4</v>
          </cell>
          <cell r="F555">
            <v>-2.3999999999999998E-3</v>
          </cell>
        </row>
        <row r="556">
          <cell r="A556">
            <v>6</v>
          </cell>
          <cell r="B556">
            <v>6421</v>
          </cell>
          <cell r="C556">
            <v>1</v>
          </cell>
          <cell r="D556">
            <v>51</v>
          </cell>
          <cell r="E556">
            <v>9.3961780000000008</v>
          </cell>
          <cell r="F556">
            <v>29.008258999999999</v>
          </cell>
        </row>
        <row r="557">
          <cell r="A557">
            <v>6</v>
          </cell>
          <cell r="B557">
            <v>6421</v>
          </cell>
          <cell r="C557">
            <v>1</v>
          </cell>
          <cell r="D557">
            <v>52</v>
          </cell>
          <cell r="E557">
            <v>2.3750110000000002</v>
          </cell>
          <cell r="F557">
            <v>5.2246940000000004</v>
          </cell>
        </row>
        <row r="558">
          <cell r="A558">
            <v>6</v>
          </cell>
          <cell r="B558">
            <v>6421</v>
          </cell>
          <cell r="C558">
            <v>1</v>
          </cell>
          <cell r="D558">
            <v>591</v>
          </cell>
          <cell r="E558">
            <v>0</v>
          </cell>
          <cell r="F558">
            <v>6.2249999999999996E-3</v>
          </cell>
        </row>
        <row r="559">
          <cell r="A559">
            <v>6</v>
          </cell>
          <cell r="B559">
            <v>6422</v>
          </cell>
          <cell r="C559">
            <v>1</v>
          </cell>
          <cell r="D559">
            <v>51</v>
          </cell>
          <cell r="E559">
            <v>2.9504239999999999</v>
          </cell>
          <cell r="F559">
            <v>8.7747679999999999</v>
          </cell>
        </row>
        <row r="560">
          <cell r="A560">
            <v>6</v>
          </cell>
          <cell r="B560">
            <v>6422</v>
          </cell>
          <cell r="C560">
            <v>1</v>
          </cell>
          <cell r="D560">
            <v>52</v>
          </cell>
          <cell r="E560">
            <v>0.81808999999999998</v>
          </cell>
          <cell r="F560">
            <v>2.5339610000000001</v>
          </cell>
        </row>
        <row r="561">
          <cell r="A561">
            <v>6</v>
          </cell>
          <cell r="B561">
            <v>6424</v>
          </cell>
          <cell r="C561">
            <v>1</v>
          </cell>
          <cell r="D561">
            <v>4</v>
          </cell>
          <cell r="E561">
            <v>-4.914E-3</v>
          </cell>
          <cell r="F561">
            <v>-0.69624699999999995</v>
          </cell>
        </row>
        <row r="562">
          <cell r="A562">
            <v>6</v>
          </cell>
          <cell r="B562">
            <v>6424</v>
          </cell>
          <cell r="C562">
            <v>1</v>
          </cell>
          <cell r="D562">
            <v>51</v>
          </cell>
          <cell r="E562">
            <v>29.676012</v>
          </cell>
          <cell r="F562">
            <v>93.377072999999996</v>
          </cell>
        </row>
        <row r="563">
          <cell r="A563">
            <v>6</v>
          </cell>
          <cell r="B563">
            <v>6424</v>
          </cell>
          <cell r="C563">
            <v>1</v>
          </cell>
          <cell r="D563">
            <v>52</v>
          </cell>
          <cell r="E563">
            <v>9.3654340000000005</v>
          </cell>
          <cell r="F563">
            <v>23.634271999999999</v>
          </cell>
        </row>
        <row r="564">
          <cell r="A564">
            <v>6</v>
          </cell>
          <cell r="B564">
            <v>6425</v>
          </cell>
          <cell r="C564">
            <v>1</v>
          </cell>
          <cell r="D564">
            <v>4</v>
          </cell>
          <cell r="E564">
            <v>-0.12174699999999999</v>
          </cell>
          <cell r="F564">
            <v>-0.56303099999999995</v>
          </cell>
        </row>
        <row r="565">
          <cell r="A565">
            <v>6</v>
          </cell>
          <cell r="B565">
            <v>6425</v>
          </cell>
          <cell r="C565">
            <v>1</v>
          </cell>
          <cell r="D565">
            <v>51</v>
          </cell>
          <cell r="E565">
            <v>10.326594</v>
          </cell>
          <cell r="F565">
            <v>33.186610000000002</v>
          </cell>
        </row>
        <row r="566">
          <cell r="A566">
            <v>6</v>
          </cell>
          <cell r="B566">
            <v>6425</v>
          </cell>
          <cell r="C566">
            <v>1</v>
          </cell>
          <cell r="D566">
            <v>52</v>
          </cell>
          <cell r="E566">
            <v>2.7631860000000001</v>
          </cell>
          <cell r="F566">
            <v>7.1122989999999993</v>
          </cell>
        </row>
        <row r="567">
          <cell r="A567">
            <v>6</v>
          </cell>
          <cell r="B567">
            <v>6425</v>
          </cell>
          <cell r="C567">
            <v>1</v>
          </cell>
          <cell r="D567">
            <v>591</v>
          </cell>
          <cell r="E567">
            <v>5.0000000000000001E-3</v>
          </cell>
          <cell r="F567">
            <v>5.0000000000000001E-3</v>
          </cell>
        </row>
        <row r="568">
          <cell r="A568">
            <v>6</v>
          </cell>
          <cell r="B568">
            <v>6426</v>
          </cell>
          <cell r="C568">
            <v>1</v>
          </cell>
          <cell r="D568">
            <v>4</v>
          </cell>
          <cell r="E568">
            <v>3.3579999999999999E-2</v>
          </cell>
          <cell r="F568">
            <v>-0.48991000000000001</v>
          </cell>
        </row>
        <row r="569">
          <cell r="A569">
            <v>6</v>
          </cell>
          <cell r="B569">
            <v>6426</v>
          </cell>
          <cell r="C569">
            <v>1</v>
          </cell>
          <cell r="D569">
            <v>51</v>
          </cell>
          <cell r="E569">
            <v>11.110509</v>
          </cell>
          <cell r="F569">
            <v>33.243943000000002</v>
          </cell>
        </row>
        <row r="570">
          <cell r="A570">
            <v>6</v>
          </cell>
          <cell r="B570">
            <v>6426</v>
          </cell>
          <cell r="C570">
            <v>1</v>
          </cell>
          <cell r="D570">
            <v>52</v>
          </cell>
          <cell r="E570">
            <v>3.3298350000000001</v>
          </cell>
          <cell r="F570">
            <v>7.6073709999999997</v>
          </cell>
        </row>
        <row r="571">
          <cell r="A571">
            <v>6</v>
          </cell>
          <cell r="B571">
            <v>6426</v>
          </cell>
          <cell r="C571">
            <v>1</v>
          </cell>
          <cell r="D571">
            <v>591</v>
          </cell>
          <cell r="E571">
            <v>2.5000000000000001E-3</v>
          </cell>
          <cell r="F571">
            <v>2.5000000000000001E-3</v>
          </cell>
        </row>
        <row r="572">
          <cell r="A572">
            <v>6</v>
          </cell>
          <cell r="B572">
            <v>6428</v>
          </cell>
          <cell r="C572">
            <v>1</v>
          </cell>
          <cell r="D572">
            <v>4</v>
          </cell>
          <cell r="E572">
            <v>-2.8226999999999999E-2</v>
          </cell>
          <cell r="F572">
            <v>-0.66230100000000003</v>
          </cell>
        </row>
        <row r="573">
          <cell r="A573">
            <v>6</v>
          </cell>
          <cell r="B573">
            <v>6428</v>
          </cell>
          <cell r="C573">
            <v>1</v>
          </cell>
          <cell r="D573">
            <v>51</v>
          </cell>
          <cell r="E573">
            <v>15.574858000000001</v>
          </cell>
          <cell r="F573">
            <v>48.114866999999997</v>
          </cell>
        </row>
        <row r="574">
          <cell r="A574">
            <v>6</v>
          </cell>
          <cell r="B574">
            <v>6428</v>
          </cell>
          <cell r="C574">
            <v>1</v>
          </cell>
          <cell r="D574">
            <v>52</v>
          </cell>
          <cell r="E574">
            <v>4.3414859999999997</v>
          </cell>
          <cell r="F574">
            <v>9.8585910000000005</v>
          </cell>
        </row>
        <row r="575">
          <cell r="A575">
            <v>6</v>
          </cell>
          <cell r="B575">
            <v>6429</v>
          </cell>
          <cell r="C575">
            <v>1</v>
          </cell>
          <cell r="D575">
            <v>51</v>
          </cell>
          <cell r="E575">
            <v>2.4818410000000002</v>
          </cell>
          <cell r="F575">
            <v>7.5808929999999997</v>
          </cell>
        </row>
        <row r="576">
          <cell r="A576">
            <v>6</v>
          </cell>
          <cell r="B576">
            <v>6429</v>
          </cell>
          <cell r="C576">
            <v>1</v>
          </cell>
          <cell r="D576">
            <v>52</v>
          </cell>
          <cell r="E576">
            <v>0.46487400000000001</v>
          </cell>
          <cell r="F576">
            <v>1.530661</v>
          </cell>
        </row>
        <row r="577">
          <cell r="A577">
            <v>6</v>
          </cell>
          <cell r="B577">
            <v>6429</v>
          </cell>
          <cell r="C577">
            <v>1</v>
          </cell>
          <cell r="D577">
            <v>591</v>
          </cell>
          <cell r="E577">
            <v>0</v>
          </cell>
          <cell r="F577">
            <v>2.6224999999999998E-2</v>
          </cell>
        </row>
        <row r="578">
          <cell r="A578">
            <v>6</v>
          </cell>
          <cell r="B578">
            <v>6430</v>
          </cell>
          <cell r="C578">
            <v>1</v>
          </cell>
          <cell r="D578">
            <v>4</v>
          </cell>
          <cell r="E578">
            <v>-0.52200000000000002</v>
          </cell>
          <cell r="F578">
            <v>-1.2822</v>
          </cell>
        </row>
        <row r="579">
          <cell r="A579">
            <v>6</v>
          </cell>
          <cell r="B579">
            <v>6430</v>
          </cell>
          <cell r="C579">
            <v>1</v>
          </cell>
          <cell r="D579">
            <v>51</v>
          </cell>
          <cell r="E579">
            <v>2.5331399999999999</v>
          </cell>
          <cell r="F579">
            <v>7.5893319999999997</v>
          </cell>
        </row>
        <row r="580">
          <cell r="A580">
            <v>6</v>
          </cell>
          <cell r="B580">
            <v>6430</v>
          </cell>
          <cell r="C580">
            <v>1</v>
          </cell>
          <cell r="D580">
            <v>52</v>
          </cell>
          <cell r="E580">
            <v>0.722271</v>
          </cell>
          <cell r="F580">
            <v>1.817825</v>
          </cell>
        </row>
        <row r="581">
          <cell r="A581">
            <v>6</v>
          </cell>
          <cell r="B581">
            <v>6431</v>
          </cell>
          <cell r="C581">
            <v>1</v>
          </cell>
          <cell r="D581">
            <v>4</v>
          </cell>
          <cell r="E581">
            <v>-8.3199999999999995E-4</v>
          </cell>
          <cell r="F581">
            <v>-0.358402</v>
          </cell>
        </row>
        <row r="582">
          <cell r="A582">
            <v>6</v>
          </cell>
          <cell r="B582">
            <v>6431</v>
          </cell>
          <cell r="C582">
            <v>1</v>
          </cell>
          <cell r="D582">
            <v>51</v>
          </cell>
          <cell r="E582">
            <v>9.0530030000000004</v>
          </cell>
          <cell r="F582">
            <v>27.059273000000001</v>
          </cell>
        </row>
        <row r="583">
          <cell r="A583">
            <v>6</v>
          </cell>
          <cell r="B583">
            <v>6431</v>
          </cell>
          <cell r="C583">
            <v>1</v>
          </cell>
          <cell r="D583">
            <v>52</v>
          </cell>
          <cell r="E583">
            <v>4.9458359999999999</v>
          </cell>
          <cell r="F583">
            <v>10.061143</v>
          </cell>
        </row>
        <row r="584">
          <cell r="A584">
            <v>6</v>
          </cell>
          <cell r="B584">
            <v>6431</v>
          </cell>
          <cell r="C584">
            <v>1</v>
          </cell>
          <cell r="D584">
            <v>591</v>
          </cell>
          <cell r="E584">
            <v>2E-3</v>
          </cell>
          <cell r="F584">
            <v>1.4449999999999999E-2</v>
          </cell>
        </row>
        <row r="585">
          <cell r="A585">
            <v>6</v>
          </cell>
          <cell r="B585">
            <v>6432</v>
          </cell>
          <cell r="C585">
            <v>1</v>
          </cell>
          <cell r="D585">
            <v>4</v>
          </cell>
          <cell r="E585">
            <v>-1.032592</v>
          </cell>
          <cell r="F585">
            <v>-3.3534799999999998</v>
          </cell>
        </row>
        <row r="586">
          <cell r="A586">
            <v>6</v>
          </cell>
          <cell r="B586">
            <v>6432</v>
          </cell>
          <cell r="C586">
            <v>1</v>
          </cell>
          <cell r="D586">
            <v>51</v>
          </cell>
          <cell r="E586">
            <v>11.411253</v>
          </cell>
          <cell r="F586">
            <v>34.212575000000001</v>
          </cell>
        </row>
        <row r="587">
          <cell r="A587">
            <v>6</v>
          </cell>
          <cell r="B587">
            <v>6432</v>
          </cell>
          <cell r="C587">
            <v>1</v>
          </cell>
          <cell r="D587">
            <v>52</v>
          </cell>
          <cell r="E587">
            <v>2.9549349999999999</v>
          </cell>
          <cell r="F587">
            <v>6.5434369999999999</v>
          </cell>
        </row>
        <row r="588">
          <cell r="A588">
            <v>6</v>
          </cell>
          <cell r="B588">
            <v>6432</v>
          </cell>
          <cell r="C588">
            <v>1</v>
          </cell>
          <cell r="D588">
            <v>591</v>
          </cell>
          <cell r="E588">
            <v>0</v>
          </cell>
          <cell r="F588">
            <v>7.0000000000000001E-3</v>
          </cell>
        </row>
        <row r="589">
          <cell r="A589">
            <v>6</v>
          </cell>
          <cell r="B589">
            <v>6433</v>
          </cell>
          <cell r="C589">
            <v>1</v>
          </cell>
          <cell r="D589">
            <v>4</v>
          </cell>
          <cell r="E589">
            <v>-7.5591000000000005E-2</v>
          </cell>
          <cell r="F589">
            <v>-0.67923999999999995</v>
          </cell>
        </row>
        <row r="590">
          <cell r="A590">
            <v>6</v>
          </cell>
          <cell r="B590">
            <v>6433</v>
          </cell>
          <cell r="C590">
            <v>1</v>
          </cell>
          <cell r="D590">
            <v>51</v>
          </cell>
          <cell r="E590">
            <v>23.667356000000002</v>
          </cell>
          <cell r="F590">
            <v>72.192925000000002</v>
          </cell>
        </row>
        <row r="591">
          <cell r="A591">
            <v>6</v>
          </cell>
          <cell r="B591">
            <v>6433</v>
          </cell>
          <cell r="C591">
            <v>1</v>
          </cell>
          <cell r="D591">
            <v>52</v>
          </cell>
          <cell r="E591">
            <v>6.165133</v>
          </cell>
          <cell r="F591">
            <v>15.124382000000001</v>
          </cell>
        </row>
        <row r="592">
          <cell r="A592">
            <v>6</v>
          </cell>
          <cell r="B592">
            <v>6433</v>
          </cell>
          <cell r="C592">
            <v>1</v>
          </cell>
          <cell r="D592">
            <v>591</v>
          </cell>
          <cell r="E592">
            <v>1.2999999999999999E-2</v>
          </cell>
          <cell r="F592">
            <v>1.55E-2</v>
          </cell>
        </row>
        <row r="593">
          <cell r="A593">
            <v>6</v>
          </cell>
          <cell r="B593">
            <v>6434</v>
          </cell>
          <cell r="C593">
            <v>1</v>
          </cell>
          <cell r="D593">
            <v>4</v>
          </cell>
          <cell r="E593">
            <v>-1.4E-3</v>
          </cell>
          <cell r="F593">
            <v>-7.7000000000000002E-3</v>
          </cell>
        </row>
        <row r="594">
          <cell r="A594">
            <v>6</v>
          </cell>
          <cell r="B594">
            <v>6434</v>
          </cell>
          <cell r="C594">
            <v>1</v>
          </cell>
          <cell r="D594">
            <v>51</v>
          </cell>
          <cell r="E594">
            <v>8.8335380000000008</v>
          </cell>
          <cell r="F594">
            <v>26.378639</v>
          </cell>
        </row>
        <row r="595">
          <cell r="A595">
            <v>6</v>
          </cell>
          <cell r="B595">
            <v>6434</v>
          </cell>
          <cell r="C595">
            <v>1</v>
          </cell>
          <cell r="D595">
            <v>52</v>
          </cell>
          <cell r="E595">
            <v>2.260265</v>
          </cell>
          <cell r="F595">
            <v>6.6544030000000003</v>
          </cell>
        </row>
        <row r="596">
          <cell r="A596">
            <v>6</v>
          </cell>
          <cell r="B596">
            <v>6434</v>
          </cell>
          <cell r="C596">
            <v>1</v>
          </cell>
          <cell r="D596">
            <v>591</v>
          </cell>
          <cell r="E596">
            <v>0</v>
          </cell>
          <cell r="F596">
            <v>1.2449999999999999E-2</v>
          </cell>
        </row>
        <row r="597">
          <cell r="A597">
            <v>6</v>
          </cell>
          <cell r="B597">
            <v>6436</v>
          </cell>
          <cell r="C597">
            <v>1</v>
          </cell>
          <cell r="D597">
            <v>4</v>
          </cell>
          <cell r="E597">
            <v>-0.31689499999999998</v>
          </cell>
          <cell r="F597">
            <v>-0.33383600000000002</v>
          </cell>
        </row>
        <row r="598">
          <cell r="A598">
            <v>6</v>
          </cell>
          <cell r="B598">
            <v>6436</v>
          </cell>
          <cell r="C598">
            <v>1</v>
          </cell>
          <cell r="D598">
            <v>51</v>
          </cell>
          <cell r="E598">
            <v>11.320283999999999</v>
          </cell>
          <cell r="F598">
            <v>33.823062999999998</v>
          </cell>
        </row>
        <row r="599">
          <cell r="A599">
            <v>6</v>
          </cell>
          <cell r="B599">
            <v>6436</v>
          </cell>
          <cell r="C599">
            <v>1</v>
          </cell>
          <cell r="D599">
            <v>52</v>
          </cell>
          <cell r="E599">
            <v>2.989293</v>
          </cell>
          <cell r="F599">
            <v>9.8666070000000001</v>
          </cell>
        </row>
        <row r="600">
          <cell r="A600">
            <v>6</v>
          </cell>
          <cell r="B600">
            <v>6437</v>
          </cell>
          <cell r="C600">
            <v>1</v>
          </cell>
          <cell r="D600">
            <v>4</v>
          </cell>
          <cell r="E600">
            <v>-0.33913599999999999</v>
          </cell>
          <cell r="F600">
            <v>-0.48102600000000001</v>
          </cell>
        </row>
        <row r="601">
          <cell r="A601">
            <v>6</v>
          </cell>
          <cell r="B601">
            <v>6437</v>
          </cell>
          <cell r="C601">
            <v>1</v>
          </cell>
          <cell r="D601">
            <v>51</v>
          </cell>
          <cell r="E601">
            <v>10.616929000000001</v>
          </cell>
          <cell r="F601">
            <v>31.844867000000001</v>
          </cell>
        </row>
        <row r="602">
          <cell r="A602">
            <v>6</v>
          </cell>
          <cell r="B602">
            <v>6437</v>
          </cell>
          <cell r="C602">
            <v>1</v>
          </cell>
          <cell r="D602">
            <v>52</v>
          </cell>
          <cell r="E602">
            <v>2.8530709999999999</v>
          </cell>
          <cell r="F602">
            <v>11.639861</v>
          </cell>
        </row>
        <row r="603">
          <cell r="A603">
            <v>6</v>
          </cell>
          <cell r="B603">
            <v>6437</v>
          </cell>
          <cell r="C603">
            <v>1</v>
          </cell>
          <cell r="D603">
            <v>591</v>
          </cell>
          <cell r="E603">
            <v>0</v>
          </cell>
          <cell r="F603">
            <v>1.8675000000000001E-2</v>
          </cell>
        </row>
        <row r="604">
          <cell r="A604">
            <v>6</v>
          </cell>
          <cell r="B604">
            <v>6490</v>
          </cell>
          <cell r="C604">
            <v>1</v>
          </cell>
          <cell r="D604">
            <v>51</v>
          </cell>
          <cell r="E604">
            <v>0</v>
          </cell>
          <cell r="F604">
            <v>0.61174300000000004</v>
          </cell>
        </row>
        <row r="605">
          <cell r="A605">
            <v>6</v>
          </cell>
          <cell r="B605">
            <v>6490</v>
          </cell>
          <cell r="C605">
            <v>1</v>
          </cell>
          <cell r="D605">
            <v>52</v>
          </cell>
          <cell r="E605">
            <v>13.526676999999999</v>
          </cell>
          <cell r="F605">
            <v>34.226632000000002</v>
          </cell>
        </row>
        <row r="606">
          <cell r="A606">
            <v>6</v>
          </cell>
          <cell r="B606">
            <v>6491</v>
          </cell>
          <cell r="C606">
            <v>5</v>
          </cell>
          <cell r="D606">
            <v>52</v>
          </cell>
          <cell r="E606">
            <v>0</v>
          </cell>
          <cell r="F606">
            <v>0.14138999999999999</v>
          </cell>
        </row>
        <row r="607">
          <cell r="A607">
            <v>6</v>
          </cell>
          <cell r="B607">
            <v>6491</v>
          </cell>
          <cell r="C607">
            <v>6</v>
          </cell>
          <cell r="D607">
            <v>52</v>
          </cell>
          <cell r="E607">
            <v>59.406807000000001</v>
          </cell>
          <cell r="F607">
            <v>59.406807000000001</v>
          </cell>
        </row>
        <row r="608">
          <cell r="A608">
            <v>6</v>
          </cell>
          <cell r="B608">
            <v>6501</v>
          </cell>
          <cell r="C608">
            <v>1</v>
          </cell>
          <cell r="D608">
            <v>4</v>
          </cell>
          <cell r="E608">
            <v>-8.8179049999999997</v>
          </cell>
          <cell r="F608">
            <v>-20.872700999999999</v>
          </cell>
        </row>
        <row r="609">
          <cell r="A609">
            <v>6</v>
          </cell>
          <cell r="B609">
            <v>6501</v>
          </cell>
          <cell r="C609">
            <v>1</v>
          </cell>
          <cell r="D609">
            <v>51</v>
          </cell>
          <cell r="E609">
            <v>67.176914999999994</v>
          </cell>
          <cell r="F609">
            <v>199.41972699999999</v>
          </cell>
        </row>
        <row r="610">
          <cell r="A610">
            <v>6</v>
          </cell>
          <cell r="B610">
            <v>6501</v>
          </cell>
          <cell r="C610">
            <v>1</v>
          </cell>
          <cell r="D610">
            <v>52</v>
          </cell>
          <cell r="E610">
            <v>38.983382999999996</v>
          </cell>
          <cell r="F610">
            <v>100.08263799999999</v>
          </cell>
        </row>
        <row r="611">
          <cell r="A611">
            <v>6</v>
          </cell>
          <cell r="B611">
            <v>6501</v>
          </cell>
          <cell r="C611">
            <v>1</v>
          </cell>
          <cell r="D611">
            <v>591</v>
          </cell>
          <cell r="E611">
            <v>1.1056250000000001</v>
          </cell>
          <cell r="F611">
            <v>2.728523</v>
          </cell>
        </row>
        <row r="612">
          <cell r="A612">
            <v>6</v>
          </cell>
          <cell r="B612">
            <v>6591</v>
          </cell>
          <cell r="C612">
            <v>6</v>
          </cell>
          <cell r="D612">
            <v>52</v>
          </cell>
          <cell r="E612">
            <v>3.5000000000000003E-2</v>
          </cell>
          <cell r="F612">
            <v>3.2730090000000001</v>
          </cell>
        </row>
        <row r="613">
          <cell r="A613">
            <v>6</v>
          </cell>
          <cell r="B613">
            <v>6601</v>
          </cell>
          <cell r="C613">
            <v>1</v>
          </cell>
          <cell r="D613">
            <v>4</v>
          </cell>
          <cell r="E613">
            <v>0</v>
          </cell>
          <cell r="F613">
            <v>-13.093254999999999</v>
          </cell>
        </row>
        <row r="614">
          <cell r="A614">
            <v>6</v>
          </cell>
          <cell r="B614">
            <v>6601</v>
          </cell>
          <cell r="C614">
            <v>1</v>
          </cell>
          <cell r="D614">
            <v>51</v>
          </cell>
          <cell r="E614">
            <v>32.123457000000002</v>
          </cell>
          <cell r="F614">
            <v>94.758228000000003</v>
          </cell>
        </row>
        <row r="615">
          <cell r="A615">
            <v>6</v>
          </cell>
          <cell r="B615">
            <v>6601</v>
          </cell>
          <cell r="C615">
            <v>1</v>
          </cell>
          <cell r="D615">
            <v>52</v>
          </cell>
          <cell r="E615">
            <v>12.932812</v>
          </cell>
          <cell r="F615">
            <v>55.531408999999996</v>
          </cell>
        </row>
        <row r="616">
          <cell r="A616">
            <v>6</v>
          </cell>
          <cell r="B616">
            <v>6601</v>
          </cell>
          <cell r="C616">
            <v>1</v>
          </cell>
          <cell r="D616">
            <v>591</v>
          </cell>
          <cell r="E616">
            <v>9.5999999999999992E-3</v>
          </cell>
          <cell r="F616">
            <v>1.46E-2</v>
          </cell>
        </row>
        <row r="617">
          <cell r="A617">
            <v>6</v>
          </cell>
          <cell r="B617">
            <v>6605</v>
          </cell>
          <cell r="C617">
            <v>1</v>
          </cell>
          <cell r="D617">
            <v>4</v>
          </cell>
          <cell r="E617">
            <v>-0.10988000000000001</v>
          </cell>
          <cell r="F617">
            <v>-0.11812</v>
          </cell>
        </row>
        <row r="618">
          <cell r="A618">
            <v>6</v>
          </cell>
          <cell r="B618">
            <v>6605</v>
          </cell>
          <cell r="C618">
            <v>1</v>
          </cell>
          <cell r="D618">
            <v>51</v>
          </cell>
          <cell r="E618">
            <v>12.249295999999999</v>
          </cell>
          <cell r="F618">
            <v>35.973208</v>
          </cell>
        </row>
        <row r="619">
          <cell r="A619">
            <v>6</v>
          </cell>
          <cell r="B619">
            <v>6605</v>
          </cell>
          <cell r="C619">
            <v>1</v>
          </cell>
          <cell r="D619">
            <v>52</v>
          </cell>
          <cell r="E619">
            <v>12.469184</v>
          </cell>
          <cell r="F619">
            <v>47.893667000000001</v>
          </cell>
        </row>
        <row r="620">
          <cell r="A620">
            <v>6</v>
          </cell>
          <cell r="B620">
            <v>6701</v>
          </cell>
          <cell r="C620">
            <v>1</v>
          </cell>
          <cell r="D620">
            <v>4</v>
          </cell>
          <cell r="E620">
            <v>-7.5241809999999996</v>
          </cell>
          <cell r="F620">
            <v>-25.478553000000002</v>
          </cell>
        </row>
        <row r="621">
          <cell r="A621">
            <v>6</v>
          </cell>
          <cell r="B621">
            <v>6701</v>
          </cell>
          <cell r="C621">
            <v>1</v>
          </cell>
          <cell r="D621">
            <v>51</v>
          </cell>
          <cell r="E621">
            <v>114.236338</v>
          </cell>
          <cell r="F621">
            <v>346.56702899999999</v>
          </cell>
        </row>
        <row r="622">
          <cell r="A622">
            <v>6</v>
          </cell>
          <cell r="B622">
            <v>6701</v>
          </cell>
          <cell r="C622">
            <v>1</v>
          </cell>
          <cell r="D622">
            <v>52</v>
          </cell>
          <cell r="E622">
            <v>16.400506</v>
          </cell>
          <cell r="F622">
            <v>49.374417999999999</v>
          </cell>
        </row>
        <row r="623">
          <cell r="A623">
            <v>6</v>
          </cell>
          <cell r="B623">
            <v>6701</v>
          </cell>
          <cell r="C623">
            <v>6</v>
          </cell>
          <cell r="D623">
            <v>591</v>
          </cell>
          <cell r="E623">
            <v>0</v>
          </cell>
          <cell r="F623">
            <v>6.9</v>
          </cell>
        </row>
        <row r="624">
          <cell r="A624">
            <v>6</v>
          </cell>
          <cell r="B624">
            <v>6705</v>
          </cell>
          <cell r="C624">
            <v>1</v>
          </cell>
          <cell r="D624">
            <v>591</v>
          </cell>
          <cell r="E624">
            <v>21.377155999999999</v>
          </cell>
          <cell r="F624">
            <v>64.131467999999998</v>
          </cell>
        </row>
        <row r="625">
          <cell r="A625">
            <v>6</v>
          </cell>
          <cell r="B625">
            <v>6707</v>
          </cell>
          <cell r="C625">
            <v>1</v>
          </cell>
          <cell r="D625">
            <v>591</v>
          </cell>
          <cell r="E625">
            <v>6.85</v>
          </cell>
          <cell r="F625">
            <v>20.55</v>
          </cell>
        </row>
        <row r="626">
          <cell r="A626">
            <v>6</v>
          </cell>
          <cell r="B626">
            <v>6733</v>
          </cell>
          <cell r="C626">
            <v>1</v>
          </cell>
          <cell r="D626">
            <v>52</v>
          </cell>
          <cell r="E626">
            <v>82.792190000000005</v>
          </cell>
          <cell r="F626">
            <v>254.87348399999999</v>
          </cell>
        </row>
        <row r="627">
          <cell r="A627">
            <v>6</v>
          </cell>
          <cell r="B627">
            <v>6735</v>
          </cell>
          <cell r="C627">
            <v>1</v>
          </cell>
          <cell r="D627">
            <v>591</v>
          </cell>
          <cell r="E627">
            <v>170.21570800000001</v>
          </cell>
          <cell r="F627">
            <v>510.64712400000002</v>
          </cell>
        </row>
        <row r="628">
          <cell r="A628">
            <v>6</v>
          </cell>
          <cell r="B628">
            <v>6736</v>
          </cell>
          <cell r="C628">
            <v>1</v>
          </cell>
          <cell r="D628">
            <v>591</v>
          </cell>
          <cell r="E628">
            <v>27.655760999999998</v>
          </cell>
          <cell r="F628">
            <v>82.967282999999995</v>
          </cell>
        </row>
        <row r="629">
          <cell r="A629">
            <v>6</v>
          </cell>
          <cell r="B629">
            <v>6801</v>
          </cell>
          <cell r="C629">
            <v>1</v>
          </cell>
          <cell r="D629">
            <v>4</v>
          </cell>
          <cell r="E629">
            <v>-0.42473</v>
          </cell>
          <cell r="F629">
            <v>-2.4567320000000001</v>
          </cell>
        </row>
        <row r="630">
          <cell r="A630">
            <v>6</v>
          </cell>
          <cell r="B630">
            <v>6801</v>
          </cell>
          <cell r="C630">
            <v>1</v>
          </cell>
          <cell r="D630">
            <v>51</v>
          </cell>
          <cell r="E630">
            <v>10.336449999999999</v>
          </cell>
          <cell r="F630">
            <v>30.732037999999999</v>
          </cell>
        </row>
        <row r="631">
          <cell r="A631">
            <v>6</v>
          </cell>
          <cell r="B631">
            <v>6801</v>
          </cell>
          <cell r="C631">
            <v>1</v>
          </cell>
          <cell r="D631">
            <v>52</v>
          </cell>
          <cell r="E631">
            <v>3.394755</v>
          </cell>
          <cell r="F631">
            <v>12.187007999999999</v>
          </cell>
        </row>
        <row r="632">
          <cell r="A632">
            <v>6</v>
          </cell>
          <cell r="B632">
            <v>6805</v>
          </cell>
          <cell r="C632">
            <v>1</v>
          </cell>
          <cell r="D632">
            <v>51</v>
          </cell>
          <cell r="E632">
            <v>0.81841900000000001</v>
          </cell>
          <cell r="F632">
            <v>2.4565839999999999</v>
          </cell>
        </row>
        <row r="633">
          <cell r="A633">
            <v>6</v>
          </cell>
          <cell r="B633">
            <v>6805</v>
          </cell>
          <cell r="C633">
            <v>1</v>
          </cell>
          <cell r="D633">
            <v>52</v>
          </cell>
          <cell r="E633">
            <v>1.8242999999999999E-2</v>
          </cell>
          <cell r="F633">
            <v>0.13606299999999999</v>
          </cell>
        </row>
        <row r="634">
          <cell r="A634">
            <v>7</v>
          </cell>
          <cell r="B634">
            <v>7101</v>
          </cell>
          <cell r="C634">
            <v>1</v>
          </cell>
          <cell r="D634">
            <v>4</v>
          </cell>
          <cell r="E634">
            <v>-13.795500000000001</v>
          </cell>
          <cell r="F634">
            <v>-14.117319</v>
          </cell>
        </row>
        <row r="635">
          <cell r="A635">
            <v>7</v>
          </cell>
          <cell r="B635">
            <v>7101</v>
          </cell>
          <cell r="C635">
            <v>1</v>
          </cell>
          <cell r="D635">
            <v>51</v>
          </cell>
          <cell r="E635">
            <v>23.470928000000001</v>
          </cell>
          <cell r="F635">
            <v>71.354394999999997</v>
          </cell>
        </row>
        <row r="636">
          <cell r="A636">
            <v>7</v>
          </cell>
          <cell r="B636">
            <v>7101</v>
          </cell>
          <cell r="C636">
            <v>1</v>
          </cell>
          <cell r="D636">
            <v>52</v>
          </cell>
          <cell r="E636">
            <v>7.5503580000000001</v>
          </cell>
          <cell r="F636">
            <v>21.205916999999999</v>
          </cell>
        </row>
        <row r="637">
          <cell r="A637">
            <v>7</v>
          </cell>
          <cell r="B637">
            <v>7101</v>
          </cell>
          <cell r="C637">
            <v>1</v>
          </cell>
          <cell r="D637">
            <v>591</v>
          </cell>
          <cell r="E637">
            <v>1.0062E-2</v>
          </cell>
          <cell r="F637">
            <v>1.0062E-2</v>
          </cell>
        </row>
        <row r="638">
          <cell r="A638">
            <v>7</v>
          </cell>
          <cell r="B638">
            <v>7190</v>
          </cell>
          <cell r="C638">
            <v>1</v>
          </cell>
          <cell r="D638">
            <v>4</v>
          </cell>
          <cell r="E638">
            <v>0</v>
          </cell>
          <cell r="F638">
            <v>-15.037191</v>
          </cell>
        </row>
        <row r="639">
          <cell r="A639">
            <v>7</v>
          </cell>
          <cell r="B639">
            <v>7190</v>
          </cell>
          <cell r="C639">
            <v>1</v>
          </cell>
          <cell r="D639">
            <v>51</v>
          </cell>
          <cell r="E639">
            <v>5.6122329999999998</v>
          </cell>
          <cell r="F639">
            <v>14.485208999999999</v>
          </cell>
        </row>
        <row r="640">
          <cell r="A640">
            <v>7</v>
          </cell>
          <cell r="B640">
            <v>7190</v>
          </cell>
          <cell r="C640">
            <v>1</v>
          </cell>
          <cell r="D640">
            <v>52</v>
          </cell>
          <cell r="E640">
            <v>3.0510640000000002</v>
          </cell>
          <cell r="F640">
            <v>9.1447669999999999</v>
          </cell>
        </row>
        <row r="641">
          <cell r="A641">
            <v>7</v>
          </cell>
          <cell r="B641">
            <v>7190</v>
          </cell>
          <cell r="C641">
            <v>1</v>
          </cell>
          <cell r="D641">
            <v>591</v>
          </cell>
          <cell r="E641">
            <v>5.6755620000000002</v>
          </cell>
          <cell r="F641">
            <v>5.6755620000000002</v>
          </cell>
        </row>
        <row r="642">
          <cell r="A642">
            <v>7</v>
          </cell>
          <cell r="B642">
            <v>7205</v>
          </cell>
          <cell r="C642">
            <v>6</v>
          </cell>
          <cell r="D642">
            <v>591</v>
          </cell>
          <cell r="E642">
            <v>36.33</v>
          </cell>
          <cell r="F642">
            <v>108.99</v>
          </cell>
        </row>
        <row r="643">
          <cell r="A643">
            <v>7</v>
          </cell>
          <cell r="B643">
            <v>7207</v>
          </cell>
          <cell r="C643">
            <v>6</v>
          </cell>
          <cell r="D643">
            <v>591</v>
          </cell>
          <cell r="E643">
            <v>2.5</v>
          </cell>
          <cell r="F643">
            <v>7.5</v>
          </cell>
        </row>
        <row r="644">
          <cell r="A644">
            <v>7</v>
          </cell>
          <cell r="B644">
            <v>7302</v>
          </cell>
          <cell r="C644">
            <v>1</v>
          </cell>
          <cell r="D644">
            <v>4</v>
          </cell>
          <cell r="E644">
            <v>0</v>
          </cell>
          <cell r="F644">
            <v>-0.05</v>
          </cell>
        </row>
        <row r="645">
          <cell r="A645">
            <v>7</v>
          </cell>
          <cell r="B645">
            <v>7302</v>
          </cell>
          <cell r="C645">
            <v>1</v>
          </cell>
          <cell r="D645">
            <v>51</v>
          </cell>
          <cell r="E645">
            <v>1.832346</v>
          </cell>
          <cell r="F645">
            <v>5.497636</v>
          </cell>
        </row>
        <row r="646">
          <cell r="A646">
            <v>7</v>
          </cell>
          <cell r="B646">
            <v>7302</v>
          </cell>
          <cell r="C646">
            <v>1</v>
          </cell>
          <cell r="D646">
            <v>52</v>
          </cell>
          <cell r="E646">
            <v>3.018443</v>
          </cell>
          <cell r="F646">
            <v>9.0205760000000001</v>
          </cell>
        </row>
        <row r="647">
          <cell r="A647">
            <v>7</v>
          </cell>
          <cell r="B647">
            <v>7302</v>
          </cell>
          <cell r="C647">
            <v>1</v>
          </cell>
          <cell r="D647">
            <v>591</v>
          </cell>
          <cell r="E647">
            <v>0</v>
          </cell>
          <cell r="F647">
            <v>5.0000000000000001E-3</v>
          </cell>
        </row>
        <row r="648">
          <cell r="A648">
            <v>7</v>
          </cell>
          <cell r="B648">
            <v>7313</v>
          </cell>
          <cell r="C648">
            <v>1</v>
          </cell>
          <cell r="D648">
            <v>4</v>
          </cell>
          <cell r="E648">
            <v>0</v>
          </cell>
          <cell r="F648">
            <v>-0.69899800000000001</v>
          </cell>
        </row>
        <row r="649">
          <cell r="A649">
            <v>7</v>
          </cell>
          <cell r="B649">
            <v>7313</v>
          </cell>
          <cell r="C649">
            <v>1</v>
          </cell>
          <cell r="D649">
            <v>51</v>
          </cell>
          <cell r="E649">
            <v>4.1108750000000001</v>
          </cell>
          <cell r="F649">
            <v>11.865539999999999</v>
          </cell>
        </row>
        <row r="650">
          <cell r="A650">
            <v>7</v>
          </cell>
          <cell r="B650">
            <v>7313</v>
          </cell>
          <cell r="C650">
            <v>1</v>
          </cell>
          <cell r="D650">
            <v>52</v>
          </cell>
          <cell r="E650">
            <v>1.2954369999999999</v>
          </cell>
          <cell r="F650">
            <v>6.5515660000000002</v>
          </cell>
        </row>
        <row r="651">
          <cell r="A651">
            <v>7</v>
          </cell>
          <cell r="B651">
            <v>7313</v>
          </cell>
          <cell r="C651">
            <v>1</v>
          </cell>
          <cell r="D651">
            <v>591</v>
          </cell>
          <cell r="E651">
            <v>4.54</v>
          </cell>
          <cell r="F651">
            <v>8.5714629999999996</v>
          </cell>
        </row>
        <row r="652">
          <cell r="A652">
            <v>7</v>
          </cell>
          <cell r="B652">
            <v>7331</v>
          </cell>
          <cell r="C652">
            <v>1</v>
          </cell>
          <cell r="D652">
            <v>4</v>
          </cell>
          <cell r="E652">
            <v>-8.1229680000000002</v>
          </cell>
          <cell r="F652">
            <v>-22.160458999999999</v>
          </cell>
        </row>
        <row r="653">
          <cell r="A653">
            <v>7</v>
          </cell>
          <cell r="B653">
            <v>7331</v>
          </cell>
          <cell r="C653">
            <v>1</v>
          </cell>
          <cell r="D653">
            <v>51</v>
          </cell>
          <cell r="E653">
            <v>33.751235999999999</v>
          </cell>
          <cell r="F653">
            <v>100.876446</v>
          </cell>
        </row>
        <row r="654">
          <cell r="A654">
            <v>7</v>
          </cell>
          <cell r="B654">
            <v>7331</v>
          </cell>
          <cell r="C654">
            <v>1</v>
          </cell>
          <cell r="D654">
            <v>52</v>
          </cell>
          <cell r="E654">
            <v>8.3350000000000009</v>
          </cell>
          <cell r="F654">
            <v>27.088132999999999</v>
          </cell>
        </row>
        <row r="655">
          <cell r="A655">
            <v>7</v>
          </cell>
          <cell r="B655">
            <v>7400</v>
          </cell>
          <cell r="C655">
            <v>1</v>
          </cell>
          <cell r="D655">
            <v>4</v>
          </cell>
          <cell r="E655">
            <v>-1.3814029999999999</v>
          </cell>
          <cell r="F655">
            <v>-1.657403</v>
          </cell>
        </row>
        <row r="656">
          <cell r="A656">
            <v>7</v>
          </cell>
          <cell r="B656">
            <v>7400</v>
          </cell>
          <cell r="C656">
            <v>1</v>
          </cell>
          <cell r="D656">
            <v>51</v>
          </cell>
          <cell r="E656">
            <v>28.292245999999999</v>
          </cell>
          <cell r="F656">
            <v>82.477670000000003</v>
          </cell>
        </row>
        <row r="657">
          <cell r="A657">
            <v>7</v>
          </cell>
          <cell r="B657">
            <v>7400</v>
          </cell>
          <cell r="C657">
            <v>1</v>
          </cell>
          <cell r="D657">
            <v>52</v>
          </cell>
          <cell r="E657">
            <v>42.872682999999995</v>
          </cell>
          <cell r="F657">
            <v>145.75987000000001</v>
          </cell>
        </row>
        <row r="658">
          <cell r="A658">
            <v>7</v>
          </cell>
          <cell r="B658">
            <v>7400</v>
          </cell>
          <cell r="C658">
            <v>1</v>
          </cell>
          <cell r="D658">
            <v>591</v>
          </cell>
          <cell r="E658">
            <v>9.5999999999999992E-3</v>
          </cell>
          <cell r="F658">
            <v>1.26E-2</v>
          </cell>
        </row>
        <row r="659">
          <cell r="A659">
            <v>7</v>
          </cell>
          <cell r="B659">
            <v>7505</v>
          </cell>
          <cell r="C659">
            <v>1</v>
          </cell>
          <cell r="D659">
            <v>4</v>
          </cell>
          <cell r="E659">
            <v>-75.955084999999997</v>
          </cell>
          <cell r="F659">
            <v>-242.92178699999999</v>
          </cell>
        </row>
        <row r="660">
          <cell r="A660">
            <v>7</v>
          </cell>
          <cell r="B660">
            <v>7505</v>
          </cell>
          <cell r="C660">
            <v>1</v>
          </cell>
          <cell r="D660">
            <v>52</v>
          </cell>
          <cell r="E660">
            <v>70.601958999999994</v>
          </cell>
          <cell r="F660">
            <v>207.06102300000001</v>
          </cell>
        </row>
        <row r="661">
          <cell r="A661">
            <v>7</v>
          </cell>
          <cell r="B661">
            <v>7505</v>
          </cell>
          <cell r="C661">
            <v>6</v>
          </cell>
          <cell r="D661">
            <v>52</v>
          </cell>
          <cell r="E661">
            <v>0</v>
          </cell>
          <cell r="F661">
            <v>0.61750000000000005</v>
          </cell>
        </row>
        <row r="662">
          <cell r="A662">
            <v>7</v>
          </cell>
          <cell r="B662">
            <v>7515</v>
          </cell>
          <cell r="C662">
            <v>5</v>
          </cell>
          <cell r="D662">
            <v>52</v>
          </cell>
          <cell r="E662">
            <v>13.68</v>
          </cell>
          <cell r="F662">
            <v>13.68</v>
          </cell>
        </row>
        <row r="663">
          <cell r="A663">
            <v>7</v>
          </cell>
          <cell r="B663">
            <v>7515</v>
          </cell>
          <cell r="C663">
            <v>6</v>
          </cell>
          <cell r="D663">
            <v>51</v>
          </cell>
          <cell r="E663">
            <v>1.7677999999999999E-2</v>
          </cell>
          <cell r="F663">
            <v>5.3034999999999999E-2</v>
          </cell>
        </row>
        <row r="664">
          <cell r="A664">
            <v>7</v>
          </cell>
          <cell r="B664">
            <v>7515</v>
          </cell>
          <cell r="C664">
            <v>6</v>
          </cell>
          <cell r="D664">
            <v>52</v>
          </cell>
          <cell r="E664">
            <v>1.5122999999999999E-2</v>
          </cell>
          <cell r="F664">
            <v>8.6400000000000005E-2</v>
          </cell>
        </row>
        <row r="665">
          <cell r="A665">
            <v>7</v>
          </cell>
          <cell r="B665">
            <v>7521</v>
          </cell>
          <cell r="C665">
            <v>1</v>
          </cell>
          <cell r="D665">
            <v>52</v>
          </cell>
          <cell r="E665">
            <v>142.040763</v>
          </cell>
          <cell r="F665">
            <v>401.71194300000002</v>
          </cell>
        </row>
        <row r="666">
          <cell r="A666">
            <v>7</v>
          </cell>
          <cell r="B666">
            <v>7522</v>
          </cell>
          <cell r="C666">
            <v>1</v>
          </cell>
          <cell r="D666">
            <v>52</v>
          </cell>
          <cell r="E666">
            <v>120.66927</v>
          </cell>
          <cell r="F666">
            <v>346.90194700000001</v>
          </cell>
        </row>
        <row r="667">
          <cell r="A667">
            <v>7</v>
          </cell>
          <cell r="B667">
            <v>7523</v>
          </cell>
          <cell r="C667">
            <v>1</v>
          </cell>
          <cell r="D667">
            <v>52</v>
          </cell>
          <cell r="E667">
            <v>127.906125</v>
          </cell>
          <cell r="F667">
            <v>368.406384</v>
          </cell>
        </row>
        <row r="668">
          <cell r="A668">
            <v>7</v>
          </cell>
          <cell r="B668">
            <v>7527</v>
          </cell>
          <cell r="C668">
            <v>1</v>
          </cell>
          <cell r="D668">
            <v>52</v>
          </cell>
          <cell r="E668">
            <v>25.211295</v>
          </cell>
          <cell r="F668">
            <v>72.094173999999995</v>
          </cell>
        </row>
        <row r="669">
          <cell r="A669">
            <v>7</v>
          </cell>
          <cell r="B669">
            <v>7530</v>
          </cell>
          <cell r="C669">
            <v>1</v>
          </cell>
          <cell r="D669">
            <v>52</v>
          </cell>
          <cell r="E669">
            <v>20.588339999999999</v>
          </cell>
          <cell r="F669">
            <v>56.19791</v>
          </cell>
        </row>
        <row r="670">
          <cell r="A670">
            <v>7</v>
          </cell>
          <cell r="B670">
            <v>7531</v>
          </cell>
          <cell r="C670">
            <v>1</v>
          </cell>
          <cell r="D670">
            <v>52</v>
          </cell>
          <cell r="E670">
            <v>12.933232</v>
          </cell>
          <cell r="F670">
            <v>37.687083000000001</v>
          </cell>
        </row>
        <row r="671">
          <cell r="A671">
            <v>7</v>
          </cell>
          <cell r="B671">
            <v>7532</v>
          </cell>
          <cell r="C671">
            <v>1</v>
          </cell>
          <cell r="D671">
            <v>52</v>
          </cell>
          <cell r="E671">
            <v>14.194849</v>
          </cell>
          <cell r="F671">
            <v>39.512273</v>
          </cell>
        </row>
        <row r="672">
          <cell r="A672">
            <v>7</v>
          </cell>
          <cell r="B672">
            <v>7533</v>
          </cell>
          <cell r="C672">
            <v>1</v>
          </cell>
          <cell r="D672">
            <v>52</v>
          </cell>
          <cell r="E672">
            <v>8.2030480000000008</v>
          </cell>
          <cell r="F672">
            <v>23.406659999999999</v>
          </cell>
        </row>
        <row r="673">
          <cell r="A673">
            <v>7</v>
          </cell>
          <cell r="B673">
            <v>7534</v>
          </cell>
          <cell r="C673">
            <v>1</v>
          </cell>
          <cell r="D673">
            <v>52</v>
          </cell>
          <cell r="E673">
            <v>13.111335</v>
          </cell>
          <cell r="F673">
            <v>39.289634999999997</v>
          </cell>
        </row>
        <row r="674">
          <cell r="A674">
            <v>7</v>
          </cell>
          <cell r="B674">
            <v>7535</v>
          </cell>
          <cell r="C674">
            <v>1</v>
          </cell>
          <cell r="D674">
            <v>52</v>
          </cell>
          <cell r="E674">
            <v>23.941022</v>
          </cell>
          <cell r="F674">
            <v>68.126915999999994</v>
          </cell>
        </row>
        <row r="675">
          <cell r="A675">
            <v>7</v>
          </cell>
          <cell r="B675">
            <v>7536</v>
          </cell>
          <cell r="C675">
            <v>1</v>
          </cell>
          <cell r="D675">
            <v>52</v>
          </cell>
          <cell r="E675">
            <v>38.857517000000001</v>
          </cell>
          <cell r="F675">
            <v>116.969964</v>
          </cell>
        </row>
        <row r="676">
          <cell r="A676">
            <v>7</v>
          </cell>
          <cell r="B676">
            <v>7537</v>
          </cell>
          <cell r="C676">
            <v>1</v>
          </cell>
          <cell r="D676">
            <v>52</v>
          </cell>
          <cell r="E676">
            <v>21.635947999999999</v>
          </cell>
          <cell r="F676">
            <v>65.119776999999999</v>
          </cell>
        </row>
        <row r="677">
          <cell r="A677">
            <v>7</v>
          </cell>
          <cell r="B677">
            <v>7538</v>
          </cell>
          <cell r="C677">
            <v>1</v>
          </cell>
          <cell r="D677">
            <v>52</v>
          </cell>
          <cell r="E677">
            <v>7.2155750000000003</v>
          </cell>
          <cell r="F677">
            <v>24.056622999999998</v>
          </cell>
        </row>
        <row r="678">
          <cell r="A678">
            <v>7</v>
          </cell>
          <cell r="B678">
            <v>7539</v>
          </cell>
          <cell r="C678">
            <v>1</v>
          </cell>
          <cell r="D678">
            <v>52</v>
          </cell>
          <cell r="E678">
            <v>4.8967799999999997</v>
          </cell>
          <cell r="F678">
            <v>16.15117</v>
          </cell>
        </row>
        <row r="679">
          <cell r="A679">
            <v>7</v>
          </cell>
          <cell r="B679">
            <v>7540</v>
          </cell>
          <cell r="C679">
            <v>1</v>
          </cell>
          <cell r="D679">
            <v>52</v>
          </cell>
          <cell r="E679">
            <v>5.42706</v>
          </cell>
          <cell r="F679">
            <v>15.586086</v>
          </cell>
        </row>
        <row r="680">
          <cell r="A680">
            <v>7</v>
          </cell>
          <cell r="B680">
            <v>7542</v>
          </cell>
          <cell r="C680">
            <v>1</v>
          </cell>
          <cell r="D680">
            <v>52</v>
          </cell>
          <cell r="E680">
            <v>9.0952760000000001</v>
          </cell>
          <cell r="F680">
            <v>26.709095999999999</v>
          </cell>
        </row>
        <row r="681">
          <cell r="A681">
            <v>7</v>
          </cell>
          <cell r="B681">
            <v>7543</v>
          </cell>
          <cell r="C681">
            <v>1</v>
          </cell>
          <cell r="D681">
            <v>52</v>
          </cell>
          <cell r="E681">
            <v>20.308461000000001</v>
          </cell>
          <cell r="F681">
            <v>61.632666999999998</v>
          </cell>
        </row>
        <row r="682">
          <cell r="A682">
            <v>7</v>
          </cell>
          <cell r="B682">
            <v>7545</v>
          </cell>
          <cell r="C682">
            <v>1</v>
          </cell>
          <cell r="D682">
            <v>52</v>
          </cell>
          <cell r="E682">
            <v>11.199916999999999</v>
          </cell>
          <cell r="F682">
            <v>32.333866999999998</v>
          </cell>
        </row>
        <row r="683">
          <cell r="A683">
            <v>7</v>
          </cell>
          <cell r="B683">
            <v>7547</v>
          </cell>
          <cell r="C683">
            <v>1</v>
          </cell>
          <cell r="D683">
            <v>52</v>
          </cell>
          <cell r="E683">
            <v>7.8994169999999997</v>
          </cell>
          <cell r="F683">
            <v>25.688637</v>
          </cell>
        </row>
        <row r="684">
          <cell r="A684">
            <v>7</v>
          </cell>
          <cell r="B684">
            <v>7548</v>
          </cell>
          <cell r="C684">
            <v>1</v>
          </cell>
          <cell r="D684">
            <v>52</v>
          </cell>
          <cell r="E684">
            <v>9.2226350000000004</v>
          </cell>
          <cell r="F684">
            <v>26.433897999999999</v>
          </cell>
        </row>
        <row r="685">
          <cell r="A685">
            <v>7</v>
          </cell>
          <cell r="B685">
            <v>7549</v>
          </cell>
          <cell r="C685">
            <v>1</v>
          </cell>
          <cell r="D685">
            <v>52</v>
          </cell>
          <cell r="E685">
            <v>18.559443000000002</v>
          </cell>
          <cell r="F685">
            <v>56.032451000000002</v>
          </cell>
        </row>
        <row r="686">
          <cell r="A686">
            <v>7</v>
          </cell>
          <cell r="B686">
            <v>7550</v>
          </cell>
          <cell r="C686">
            <v>1</v>
          </cell>
          <cell r="D686">
            <v>52</v>
          </cell>
          <cell r="E686">
            <v>49.831620999999998</v>
          </cell>
          <cell r="F686">
            <v>152.549993</v>
          </cell>
        </row>
        <row r="687">
          <cell r="A687">
            <v>7</v>
          </cell>
          <cell r="B687">
            <v>7551</v>
          </cell>
          <cell r="C687">
            <v>1</v>
          </cell>
          <cell r="D687">
            <v>52</v>
          </cell>
          <cell r="E687">
            <v>19.047685000000001</v>
          </cell>
          <cell r="F687">
            <v>57.977043999999999</v>
          </cell>
        </row>
        <row r="688">
          <cell r="A688">
            <v>7</v>
          </cell>
          <cell r="B688">
            <v>7552</v>
          </cell>
          <cell r="C688">
            <v>1</v>
          </cell>
          <cell r="D688">
            <v>52</v>
          </cell>
          <cell r="E688">
            <v>26.358602999999999</v>
          </cell>
          <cell r="F688">
            <v>76.440726999999995</v>
          </cell>
        </row>
        <row r="689">
          <cell r="A689">
            <v>7</v>
          </cell>
          <cell r="B689">
            <v>7553</v>
          </cell>
          <cell r="C689">
            <v>1</v>
          </cell>
          <cell r="D689">
            <v>52</v>
          </cell>
          <cell r="E689">
            <v>31.296168000000002</v>
          </cell>
          <cell r="F689">
            <v>93.299076999999997</v>
          </cell>
        </row>
        <row r="690">
          <cell r="A690">
            <v>7</v>
          </cell>
          <cell r="B690">
            <v>7555</v>
          </cell>
          <cell r="C690">
            <v>1</v>
          </cell>
          <cell r="D690">
            <v>52</v>
          </cell>
          <cell r="E690">
            <v>35.022407000000001</v>
          </cell>
          <cell r="F690">
            <v>108.464688</v>
          </cell>
        </row>
        <row r="691">
          <cell r="A691">
            <v>7</v>
          </cell>
          <cell r="B691">
            <v>7556</v>
          </cell>
          <cell r="C691">
            <v>1</v>
          </cell>
          <cell r="D691">
            <v>52</v>
          </cell>
          <cell r="E691">
            <v>0.69080399999999997</v>
          </cell>
          <cell r="F691">
            <v>0.69080399999999997</v>
          </cell>
        </row>
        <row r="692">
          <cell r="A692">
            <v>7</v>
          </cell>
          <cell r="B692">
            <v>7557</v>
          </cell>
          <cell r="C692">
            <v>1</v>
          </cell>
          <cell r="D692">
            <v>52</v>
          </cell>
          <cell r="E692">
            <v>0</v>
          </cell>
          <cell r="F692">
            <v>9.3222760000000005</v>
          </cell>
        </row>
        <row r="693">
          <cell r="A693">
            <v>7</v>
          </cell>
          <cell r="B693">
            <v>7558</v>
          </cell>
          <cell r="C693">
            <v>1</v>
          </cell>
          <cell r="D693">
            <v>52</v>
          </cell>
          <cell r="E693">
            <v>4.3006320000000002</v>
          </cell>
          <cell r="F693">
            <v>11.738281000000001</v>
          </cell>
        </row>
        <row r="694">
          <cell r="A694">
            <v>7</v>
          </cell>
          <cell r="B694">
            <v>7559</v>
          </cell>
          <cell r="C694">
            <v>1</v>
          </cell>
          <cell r="D694">
            <v>52</v>
          </cell>
          <cell r="E694">
            <v>0</v>
          </cell>
          <cell r="F694">
            <v>20.500775000000001</v>
          </cell>
        </row>
        <row r="695">
          <cell r="A695">
            <v>7</v>
          </cell>
          <cell r="B695">
            <v>7560</v>
          </cell>
          <cell r="C695">
            <v>1</v>
          </cell>
          <cell r="D695">
            <v>52</v>
          </cell>
          <cell r="E695">
            <v>6.2224750000000002</v>
          </cell>
          <cell r="F695">
            <v>18.519656999999999</v>
          </cell>
        </row>
        <row r="696">
          <cell r="A696">
            <v>7</v>
          </cell>
          <cell r="B696">
            <v>7561</v>
          </cell>
          <cell r="C696">
            <v>1</v>
          </cell>
          <cell r="D696">
            <v>52</v>
          </cell>
          <cell r="E696">
            <v>3.58386</v>
          </cell>
          <cell r="F696">
            <v>9.8166600000000006</v>
          </cell>
        </row>
        <row r="697">
          <cell r="A697">
            <v>7</v>
          </cell>
          <cell r="B697">
            <v>7562</v>
          </cell>
          <cell r="C697">
            <v>1</v>
          </cell>
          <cell r="D697">
            <v>52</v>
          </cell>
          <cell r="E697">
            <v>35.322955999999998</v>
          </cell>
          <cell r="F697">
            <v>100.10045599999999</v>
          </cell>
        </row>
        <row r="698">
          <cell r="A698">
            <v>7</v>
          </cell>
          <cell r="B698">
            <v>7700</v>
          </cell>
          <cell r="C698">
            <v>1</v>
          </cell>
          <cell r="D698">
            <v>51</v>
          </cell>
          <cell r="E698">
            <v>2.3826E-2</v>
          </cell>
          <cell r="F698">
            <v>2.3826E-2</v>
          </cell>
        </row>
        <row r="699">
          <cell r="A699">
            <v>7</v>
          </cell>
          <cell r="B699">
            <v>7700</v>
          </cell>
          <cell r="C699">
            <v>1</v>
          </cell>
          <cell r="D699">
            <v>52</v>
          </cell>
          <cell r="E699">
            <v>1.65</v>
          </cell>
          <cell r="F699">
            <v>5.2116920000000002</v>
          </cell>
        </row>
        <row r="700">
          <cell r="A700">
            <v>7</v>
          </cell>
          <cell r="B700">
            <v>7700</v>
          </cell>
          <cell r="C700">
            <v>1</v>
          </cell>
          <cell r="D700">
            <v>591</v>
          </cell>
          <cell r="E700">
            <v>0.67500000000000004</v>
          </cell>
          <cell r="F700">
            <v>2.0249999999999999</v>
          </cell>
        </row>
        <row r="701">
          <cell r="A701">
            <v>7</v>
          </cell>
          <cell r="B701">
            <v>7701</v>
          </cell>
          <cell r="C701">
            <v>1</v>
          </cell>
          <cell r="D701">
            <v>4</v>
          </cell>
          <cell r="E701">
            <v>-5.0822120000000002</v>
          </cell>
          <cell r="F701">
            <v>-13.561534999999999</v>
          </cell>
        </row>
        <row r="702">
          <cell r="A702">
            <v>7</v>
          </cell>
          <cell r="B702">
            <v>7701</v>
          </cell>
          <cell r="C702">
            <v>1</v>
          </cell>
          <cell r="D702">
            <v>51</v>
          </cell>
          <cell r="E702">
            <v>167.463234</v>
          </cell>
          <cell r="F702">
            <v>535.29538100000002</v>
          </cell>
        </row>
        <row r="703">
          <cell r="A703">
            <v>7</v>
          </cell>
          <cell r="B703">
            <v>7701</v>
          </cell>
          <cell r="C703">
            <v>1</v>
          </cell>
          <cell r="D703">
            <v>52</v>
          </cell>
          <cell r="E703">
            <v>78.740399999999994</v>
          </cell>
          <cell r="F703">
            <v>222.914186</v>
          </cell>
        </row>
        <row r="704">
          <cell r="A704">
            <v>7</v>
          </cell>
          <cell r="B704">
            <v>7701</v>
          </cell>
          <cell r="C704">
            <v>1</v>
          </cell>
          <cell r="D704">
            <v>591</v>
          </cell>
          <cell r="E704">
            <v>5.4131</v>
          </cell>
          <cell r="F704">
            <v>17.061487</v>
          </cell>
        </row>
        <row r="705">
          <cell r="A705">
            <v>7</v>
          </cell>
          <cell r="B705">
            <v>7702</v>
          </cell>
          <cell r="C705">
            <v>1</v>
          </cell>
          <cell r="D705">
            <v>4</v>
          </cell>
          <cell r="E705">
            <v>-7.4112669999999996</v>
          </cell>
          <cell r="F705">
            <v>-16.232576000000002</v>
          </cell>
        </row>
        <row r="706">
          <cell r="A706">
            <v>7</v>
          </cell>
          <cell r="B706">
            <v>7702</v>
          </cell>
          <cell r="C706">
            <v>1</v>
          </cell>
          <cell r="D706">
            <v>51</v>
          </cell>
          <cell r="E706">
            <v>123.67910500000001</v>
          </cell>
          <cell r="F706">
            <v>393.354218</v>
          </cell>
        </row>
        <row r="707">
          <cell r="A707">
            <v>7</v>
          </cell>
          <cell r="B707">
            <v>7702</v>
          </cell>
          <cell r="C707">
            <v>1</v>
          </cell>
          <cell r="D707">
            <v>52</v>
          </cell>
          <cell r="E707">
            <v>42.520645000000002</v>
          </cell>
          <cell r="F707">
            <v>120.554757</v>
          </cell>
        </row>
        <row r="708">
          <cell r="A708">
            <v>7</v>
          </cell>
          <cell r="B708">
            <v>7702</v>
          </cell>
          <cell r="C708">
            <v>1</v>
          </cell>
          <cell r="D708">
            <v>591</v>
          </cell>
          <cell r="E708">
            <v>0.86450499999999997</v>
          </cell>
          <cell r="F708">
            <v>2.2109770000000002</v>
          </cell>
        </row>
        <row r="709">
          <cell r="A709">
            <v>7</v>
          </cell>
          <cell r="B709">
            <v>7703</v>
          </cell>
          <cell r="C709">
            <v>1</v>
          </cell>
          <cell r="D709">
            <v>4</v>
          </cell>
          <cell r="E709">
            <v>-0.72592900000000005</v>
          </cell>
          <cell r="F709">
            <v>-3.123291</v>
          </cell>
        </row>
        <row r="710">
          <cell r="A710">
            <v>7</v>
          </cell>
          <cell r="B710">
            <v>7703</v>
          </cell>
          <cell r="C710">
            <v>1</v>
          </cell>
          <cell r="D710">
            <v>51</v>
          </cell>
          <cell r="E710">
            <v>22.777971999999998</v>
          </cell>
          <cell r="F710">
            <v>74.827809000000002</v>
          </cell>
        </row>
        <row r="711">
          <cell r="A711">
            <v>7</v>
          </cell>
          <cell r="B711">
            <v>7703</v>
          </cell>
          <cell r="C711">
            <v>1</v>
          </cell>
          <cell r="D711">
            <v>52</v>
          </cell>
          <cell r="E711">
            <v>2.688847</v>
          </cell>
          <cell r="F711">
            <v>9.9528660000000002</v>
          </cell>
        </row>
        <row r="712">
          <cell r="A712">
            <v>7</v>
          </cell>
          <cell r="B712">
            <v>7703</v>
          </cell>
          <cell r="C712">
            <v>1</v>
          </cell>
          <cell r="D712">
            <v>591</v>
          </cell>
          <cell r="E712">
            <v>0.21</v>
          </cell>
          <cell r="F712">
            <v>2.4690219999999998</v>
          </cell>
        </row>
        <row r="713">
          <cell r="A713">
            <v>7</v>
          </cell>
          <cell r="B713">
            <v>7704</v>
          </cell>
          <cell r="C713">
            <v>1</v>
          </cell>
          <cell r="D713">
            <v>4</v>
          </cell>
          <cell r="E713">
            <v>0.42129100000000003</v>
          </cell>
          <cell r="F713">
            <v>-0.20577699999999999</v>
          </cell>
        </row>
        <row r="714">
          <cell r="A714">
            <v>7</v>
          </cell>
          <cell r="B714">
            <v>7704</v>
          </cell>
          <cell r="C714">
            <v>1</v>
          </cell>
          <cell r="D714">
            <v>51</v>
          </cell>
          <cell r="E714">
            <v>15.557131</v>
          </cell>
          <cell r="F714">
            <v>47.522989000000003</v>
          </cell>
        </row>
        <row r="715">
          <cell r="A715">
            <v>7</v>
          </cell>
          <cell r="B715">
            <v>7704</v>
          </cell>
          <cell r="C715">
            <v>1</v>
          </cell>
          <cell r="D715">
            <v>52</v>
          </cell>
          <cell r="E715">
            <v>1.843569</v>
          </cell>
          <cell r="F715">
            <v>7.154166</v>
          </cell>
        </row>
        <row r="716">
          <cell r="A716">
            <v>7</v>
          </cell>
          <cell r="B716">
            <v>7705</v>
          </cell>
          <cell r="C716">
            <v>1</v>
          </cell>
          <cell r="D716">
            <v>51</v>
          </cell>
          <cell r="E716">
            <v>9.1680999999999999E-2</v>
          </cell>
          <cell r="F716">
            <v>0.20364299999999999</v>
          </cell>
        </row>
        <row r="717">
          <cell r="A717">
            <v>7</v>
          </cell>
          <cell r="B717">
            <v>7705</v>
          </cell>
          <cell r="C717">
            <v>1</v>
          </cell>
          <cell r="D717">
            <v>52</v>
          </cell>
          <cell r="E717">
            <v>33.440784000000001</v>
          </cell>
          <cell r="F717">
            <v>100.13078400000001</v>
          </cell>
        </row>
        <row r="718">
          <cell r="A718">
            <v>7</v>
          </cell>
          <cell r="B718">
            <v>7706</v>
          </cell>
          <cell r="C718">
            <v>1</v>
          </cell>
          <cell r="D718">
            <v>51</v>
          </cell>
          <cell r="E718">
            <v>5.4835000000000002E-2</v>
          </cell>
          <cell r="F718">
            <v>0.16450500000000001</v>
          </cell>
        </row>
        <row r="719">
          <cell r="A719">
            <v>7</v>
          </cell>
          <cell r="B719">
            <v>7706</v>
          </cell>
          <cell r="C719">
            <v>1</v>
          </cell>
          <cell r="D719">
            <v>52</v>
          </cell>
          <cell r="E719">
            <v>92.98</v>
          </cell>
          <cell r="F719">
            <v>278.94</v>
          </cell>
        </row>
        <row r="720">
          <cell r="A720">
            <v>7</v>
          </cell>
          <cell r="B720">
            <v>7706</v>
          </cell>
          <cell r="C720">
            <v>1</v>
          </cell>
          <cell r="D720">
            <v>591</v>
          </cell>
          <cell r="E720">
            <v>10.28942</v>
          </cell>
          <cell r="F720">
            <v>10.28942</v>
          </cell>
        </row>
        <row r="721">
          <cell r="A721">
            <v>7</v>
          </cell>
          <cell r="B721">
            <v>7707</v>
          </cell>
          <cell r="C721">
            <v>1</v>
          </cell>
          <cell r="D721">
            <v>4</v>
          </cell>
          <cell r="E721">
            <v>-0.19072</v>
          </cell>
          <cell r="F721">
            <v>-8.7035739999999997</v>
          </cell>
        </row>
        <row r="722">
          <cell r="A722">
            <v>7</v>
          </cell>
          <cell r="B722">
            <v>7707</v>
          </cell>
          <cell r="C722">
            <v>1</v>
          </cell>
          <cell r="D722">
            <v>51</v>
          </cell>
          <cell r="E722">
            <v>17.384243000000001</v>
          </cell>
          <cell r="F722">
            <v>53.610945999999998</v>
          </cell>
        </row>
        <row r="723">
          <cell r="A723">
            <v>7</v>
          </cell>
          <cell r="B723">
            <v>7707</v>
          </cell>
          <cell r="C723">
            <v>1</v>
          </cell>
          <cell r="D723">
            <v>52</v>
          </cell>
          <cell r="E723">
            <v>9.0788989999999998</v>
          </cell>
          <cell r="F723">
            <v>28.465001000000001</v>
          </cell>
        </row>
        <row r="724">
          <cell r="A724">
            <v>7</v>
          </cell>
          <cell r="B724">
            <v>7708</v>
          </cell>
          <cell r="C724">
            <v>1</v>
          </cell>
          <cell r="D724">
            <v>4</v>
          </cell>
          <cell r="E724">
            <v>-0.45052700000000001</v>
          </cell>
          <cell r="F724">
            <v>-1.565151</v>
          </cell>
        </row>
        <row r="725">
          <cell r="A725">
            <v>7</v>
          </cell>
          <cell r="B725">
            <v>7708</v>
          </cell>
          <cell r="C725">
            <v>1</v>
          </cell>
          <cell r="D725">
            <v>51</v>
          </cell>
          <cell r="E725">
            <v>27.259736</v>
          </cell>
          <cell r="F725">
            <v>81.375274000000005</v>
          </cell>
        </row>
        <row r="726">
          <cell r="A726">
            <v>7</v>
          </cell>
          <cell r="B726">
            <v>7708</v>
          </cell>
          <cell r="C726">
            <v>1</v>
          </cell>
          <cell r="D726">
            <v>52</v>
          </cell>
          <cell r="E726">
            <v>22.329381999999999</v>
          </cell>
          <cell r="F726">
            <v>63.694717000000004</v>
          </cell>
        </row>
        <row r="727">
          <cell r="A727">
            <v>7</v>
          </cell>
          <cell r="B727">
            <v>7708</v>
          </cell>
          <cell r="C727">
            <v>1</v>
          </cell>
          <cell r="D727">
            <v>591</v>
          </cell>
          <cell r="E727">
            <v>2.6200000000000001E-2</v>
          </cell>
          <cell r="F727">
            <v>2.7699999999999999E-2</v>
          </cell>
        </row>
        <row r="728">
          <cell r="A728">
            <v>7</v>
          </cell>
          <cell r="B728">
            <v>7711</v>
          </cell>
          <cell r="C728">
            <v>1</v>
          </cell>
          <cell r="D728">
            <v>52</v>
          </cell>
          <cell r="E728">
            <v>62.192</v>
          </cell>
          <cell r="F728">
            <v>186.57599999999999</v>
          </cell>
        </row>
        <row r="729">
          <cell r="A729">
            <v>7</v>
          </cell>
          <cell r="B729">
            <v>7720</v>
          </cell>
          <cell r="C729">
            <v>1</v>
          </cell>
          <cell r="D729">
            <v>52</v>
          </cell>
          <cell r="E729">
            <v>31.420999999999999</v>
          </cell>
          <cell r="F729">
            <v>94.263000000000005</v>
          </cell>
        </row>
        <row r="730">
          <cell r="A730">
            <v>7</v>
          </cell>
          <cell r="B730">
            <v>7722</v>
          </cell>
          <cell r="C730">
            <v>1</v>
          </cell>
          <cell r="D730">
            <v>52</v>
          </cell>
          <cell r="E730">
            <v>22.899000000000001</v>
          </cell>
          <cell r="F730">
            <v>68.697000000000003</v>
          </cell>
        </row>
        <row r="731">
          <cell r="A731">
            <v>7</v>
          </cell>
          <cell r="B731">
            <v>7750</v>
          </cell>
          <cell r="C731">
            <v>1</v>
          </cell>
          <cell r="D731">
            <v>4</v>
          </cell>
          <cell r="E731">
            <v>-1.97655</v>
          </cell>
          <cell r="F731">
            <v>-3.0942759999999998</v>
          </cell>
        </row>
        <row r="732">
          <cell r="A732">
            <v>7</v>
          </cell>
          <cell r="B732">
            <v>7750</v>
          </cell>
          <cell r="C732">
            <v>1</v>
          </cell>
          <cell r="D732">
            <v>51</v>
          </cell>
          <cell r="E732">
            <v>26.431612000000001</v>
          </cell>
          <cell r="F732">
            <v>78.781536000000003</v>
          </cell>
        </row>
        <row r="733">
          <cell r="A733">
            <v>7</v>
          </cell>
          <cell r="B733">
            <v>7750</v>
          </cell>
          <cell r="C733">
            <v>1</v>
          </cell>
          <cell r="D733">
            <v>52</v>
          </cell>
          <cell r="E733">
            <v>3.5336449999999999</v>
          </cell>
          <cell r="F733">
            <v>13.622337999999999</v>
          </cell>
        </row>
        <row r="734">
          <cell r="A734">
            <v>7</v>
          </cell>
          <cell r="B734">
            <v>7750</v>
          </cell>
          <cell r="C734">
            <v>1</v>
          </cell>
          <cell r="D734">
            <v>591</v>
          </cell>
          <cell r="E734">
            <v>0.01</v>
          </cell>
          <cell r="F734">
            <v>0.01</v>
          </cell>
        </row>
        <row r="735">
          <cell r="A735">
            <v>7</v>
          </cell>
          <cell r="B735">
            <v>7755</v>
          </cell>
          <cell r="C735">
            <v>1</v>
          </cell>
          <cell r="D735">
            <v>4</v>
          </cell>
          <cell r="E735">
            <v>0</v>
          </cell>
          <cell r="F735">
            <v>-0.24851699999999999</v>
          </cell>
        </row>
        <row r="736">
          <cell r="A736">
            <v>7</v>
          </cell>
          <cell r="B736">
            <v>7755</v>
          </cell>
          <cell r="C736">
            <v>1</v>
          </cell>
          <cell r="D736">
            <v>51</v>
          </cell>
          <cell r="E736">
            <v>12.637738000000001</v>
          </cell>
          <cell r="F736">
            <v>37.318939</v>
          </cell>
        </row>
        <row r="737">
          <cell r="A737">
            <v>7</v>
          </cell>
          <cell r="B737">
            <v>7755</v>
          </cell>
          <cell r="C737">
            <v>1</v>
          </cell>
          <cell r="D737">
            <v>52</v>
          </cell>
          <cell r="E737">
            <v>2.4680460000000002</v>
          </cell>
          <cell r="F737">
            <v>9.9565959999999993</v>
          </cell>
        </row>
        <row r="738">
          <cell r="A738">
            <v>7</v>
          </cell>
          <cell r="B738">
            <v>7755</v>
          </cell>
          <cell r="C738">
            <v>1</v>
          </cell>
          <cell r="D738">
            <v>591</v>
          </cell>
          <cell r="E738">
            <v>6.6744380000000003</v>
          </cell>
          <cell r="F738">
            <v>17.790616</v>
          </cell>
        </row>
        <row r="739">
          <cell r="A739">
            <v>7</v>
          </cell>
          <cell r="B739">
            <v>7795</v>
          </cell>
          <cell r="C739">
            <v>1</v>
          </cell>
          <cell r="D739">
            <v>4</v>
          </cell>
          <cell r="E739">
            <v>-0.12801100000000001</v>
          </cell>
          <cell r="F739">
            <v>-0.38403300000000001</v>
          </cell>
        </row>
        <row r="740">
          <cell r="A740">
            <v>7</v>
          </cell>
          <cell r="B740">
            <v>7795</v>
          </cell>
          <cell r="C740">
            <v>1</v>
          </cell>
          <cell r="D740">
            <v>52</v>
          </cell>
          <cell r="E740">
            <v>1E-3</v>
          </cell>
          <cell r="F740">
            <v>0.107958</v>
          </cell>
        </row>
        <row r="741">
          <cell r="A741">
            <v>7</v>
          </cell>
          <cell r="B741">
            <v>7795</v>
          </cell>
          <cell r="C741">
            <v>5</v>
          </cell>
          <cell r="D741">
            <v>52</v>
          </cell>
          <cell r="E741">
            <v>0.62016099999999996</v>
          </cell>
          <cell r="F741">
            <v>2.2389000000000001</v>
          </cell>
        </row>
        <row r="742">
          <cell r="A742">
            <v>7</v>
          </cell>
          <cell r="B742">
            <v>7795</v>
          </cell>
          <cell r="C742">
            <v>6</v>
          </cell>
          <cell r="D742">
            <v>52</v>
          </cell>
          <cell r="E742">
            <v>0.99524800000000002</v>
          </cell>
          <cell r="F742">
            <v>41.783470000000001</v>
          </cell>
        </row>
        <row r="743">
          <cell r="A743">
            <v>7</v>
          </cell>
          <cell r="B743">
            <v>7795</v>
          </cell>
          <cell r="C743">
            <v>6</v>
          </cell>
          <cell r="D743">
            <v>591</v>
          </cell>
          <cell r="E743">
            <v>17.845656000000002</v>
          </cell>
          <cell r="F743">
            <v>42.845655999999998</v>
          </cell>
        </row>
        <row r="744">
          <cell r="A744">
            <v>7</v>
          </cell>
          <cell r="B744">
            <v>7821</v>
          </cell>
          <cell r="C744">
            <v>1</v>
          </cell>
          <cell r="D744">
            <v>4</v>
          </cell>
          <cell r="E744">
            <v>-8.3810470000000006</v>
          </cell>
          <cell r="F744">
            <v>-23.239889999999999</v>
          </cell>
        </row>
        <row r="745">
          <cell r="A745">
            <v>7</v>
          </cell>
          <cell r="B745">
            <v>7821</v>
          </cell>
          <cell r="C745">
            <v>1</v>
          </cell>
          <cell r="D745">
            <v>51</v>
          </cell>
          <cell r="E745">
            <v>53.719355999999998</v>
          </cell>
          <cell r="F745">
            <v>160.29125999999999</v>
          </cell>
        </row>
        <row r="746">
          <cell r="A746">
            <v>7</v>
          </cell>
          <cell r="B746">
            <v>7821</v>
          </cell>
          <cell r="C746">
            <v>1</v>
          </cell>
          <cell r="D746">
            <v>52</v>
          </cell>
          <cell r="E746">
            <v>26.519017999999999</v>
          </cell>
          <cell r="F746">
            <v>68.229303000000002</v>
          </cell>
        </row>
        <row r="747">
          <cell r="A747">
            <v>7</v>
          </cell>
          <cell r="B747">
            <v>7821</v>
          </cell>
          <cell r="C747">
            <v>1</v>
          </cell>
          <cell r="D747">
            <v>591</v>
          </cell>
          <cell r="E747">
            <v>0.10199999999999999</v>
          </cell>
          <cell r="F747">
            <v>0.10199999999999999</v>
          </cell>
        </row>
        <row r="748">
          <cell r="A748">
            <v>7</v>
          </cell>
          <cell r="B748">
            <v>7825</v>
          </cell>
          <cell r="C748">
            <v>1</v>
          </cell>
          <cell r="D748">
            <v>4</v>
          </cell>
          <cell r="E748">
            <v>-5.3526999999999998E-2</v>
          </cell>
          <cell r="F748">
            <v>0.69741600000000004</v>
          </cell>
        </row>
        <row r="749">
          <cell r="A749">
            <v>7</v>
          </cell>
          <cell r="B749">
            <v>7825</v>
          </cell>
          <cell r="C749">
            <v>1</v>
          </cell>
          <cell r="D749">
            <v>591</v>
          </cell>
          <cell r="E749">
            <v>775.08294899999999</v>
          </cell>
          <cell r="F749">
            <v>2310.7612330000002</v>
          </cell>
        </row>
        <row r="750">
          <cell r="A750">
            <v>7</v>
          </cell>
          <cell r="B750">
            <v>7827</v>
          </cell>
          <cell r="C750">
            <v>1</v>
          </cell>
          <cell r="D750">
            <v>4</v>
          </cell>
          <cell r="E750">
            <v>-2.7254E-2</v>
          </cell>
          <cell r="F750">
            <v>-1.058943</v>
          </cell>
        </row>
        <row r="751">
          <cell r="A751">
            <v>7</v>
          </cell>
          <cell r="B751">
            <v>7827</v>
          </cell>
          <cell r="C751">
            <v>1</v>
          </cell>
          <cell r="D751">
            <v>52</v>
          </cell>
          <cell r="E751">
            <v>16.244793999999999</v>
          </cell>
          <cell r="F751">
            <v>23.313099000000001</v>
          </cell>
        </row>
        <row r="752">
          <cell r="A752">
            <v>7</v>
          </cell>
          <cell r="B752">
            <v>7827</v>
          </cell>
          <cell r="C752">
            <v>1</v>
          </cell>
          <cell r="D752">
            <v>591</v>
          </cell>
          <cell r="E752">
            <v>3787.2855939999999</v>
          </cell>
          <cell r="F752">
            <v>11190.392252</v>
          </cell>
        </row>
        <row r="753">
          <cell r="A753">
            <v>7</v>
          </cell>
          <cell r="B753">
            <v>7831</v>
          </cell>
          <cell r="C753">
            <v>1</v>
          </cell>
          <cell r="D753">
            <v>52</v>
          </cell>
          <cell r="E753">
            <v>-3.8048820000000001</v>
          </cell>
          <cell r="F753">
            <v>-2.7415280000000002</v>
          </cell>
        </row>
        <row r="754">
          <cell r="A754">
            <v>7</v>
          </cell>
          <cell r="B754">
            <v>7831</v>
          </cell>
          <cell r="C754">
            <v>1</v>
          </cell>
          <cell r="D754">
            <v>591</v>
          </cell>
          <cell r="E754">
            <v>11.621874</v>
          </cell>
          <cell r="F754">
            <v>17.523347999999999</v>
          </cell>
        </row>
        <row r="755">
          <cell r="A755">
            <v>7</v>
          </cell>
          <cell r="B755">
            <v>7980</v>
          </cell>
          <cell r="C755">
            <v>1</v>
          </cell>
          <cell r="D755">
            <v>4</v>
          </cell>
          <cell r="E755">
            <v>-55.64</v>
          </cell>
          <cell r="F755">
            <v>-177.59962200000001</v>
          </cell>
        </row>
        <row r="756">
          <cell r="A756">
            <v>7</v>
          </cell>
          <cell r="B756">
            <v>7980</v>
          </cell>
          <cell r="C756">
            <v>1</v>
          </cell>
          <cell r="D756">
            <v>51</v>
          </cell>
          <cell r="E756">
            <v>56.552840000000003</v>
          </cell>
          <cell r="F756">
            <v>165.386077</v>
          </cell>
        </row>
        <row r="757">
          <cell r="A757">
            <v>7</v>
          </cell>
          <cell r="B757">
            <v>7980</v>
          </cell>
          <cell r="C757">
            <v>1</v>
          </cell>
          <cell r="D757">
            <v>52</v>
          </cell>
          <cell r="E757">
            <v>20.841866</v>
          </cell>
          <cell r="F757">
            <v>58.045293000000001</v>
          </cell>
        </row>
        <row r="758">
          <cell r="A758">
            <v>7</v>
          </cell>
          <cell r="B758">
            <v>7980</v>
          </cell>
          <cell r="C758">
            <v>1</v>
          </cell>
          <cell r="D758">
            <v>591</v>
          </cell>
          <cell r="E758">
            <v>0.52607999999999999</v>
          </cell>
          <cell r="F758">
            <v>1.05216</v>
          </cell>
        </row>
        <row r="759">
          <cell r="A759">
            <v>7</v>
          </cell>
          <cell r="B759">
            <v>7981</v>
          </cell>
          <cell r="C759">
            <v>1</v>
          </cell>
          <cell r="D759">
            <v>51</v>
          </cell>
          <cell r="E759">
            <v>0.60299899999999995</v>
          </cell>
          <cell r="F759">
            <v>1.8902669999999999</v>
          </cell>
        </row>
        <row r="760">
          <cell r="A760">
            <v>7</v>
          </cell>
          <cell r="B760">
            <v>7981</v>
          </cell>
          <cell r="C760">
            <v>1</v>
          </cell>
          <cell r="D760">
            <v>52</v>
          </cell>
          <cell r="E760">
            <v>7.8248999999999999E-2</v>
          </cell>
          <cell r="F760">
            <v>0.23474700000000001</v>
          </cell>
        </row>
        <row r="761">
          <cell r="A761">
            <v>7</v>
          </cell>
          <cell r="B761">
            <v>7981</v>
          </cell>
          <cell r="C761">
            <v>1</v>
          </cell>
          <cell r="D761">
            <v>591</v>
          </cell>
          <cell r="E761">
            <v>0</v>
          </cell>
          <cell r="F761">
            <v>17.476116000000001</v>
          </cell>
        </row>
        <row r="762">
          <cell r="A762">
            <v>7</v>
          </cell>
          <cell r="B762">
            <v>7982</v>
          </cell>
          <cell r="C762">
            <v>1</v>
          </cell>
          <cell r="D762">
            <v>51</v>
          </cell>
          <cell r="E762">
            <v>6.4820000000000003E-2</v>
          </cell>
          <cell r="F762">
            <v>0.19445999999999999</v>
          </cell>
        </row>
        <row r="763">
          <cell r="A763">
            <v>7</v>
          </cell>
          <cell r="B763">
            <v>7982</v>
          </cell>
          <cell r="C763">
            <v>1</v>
          </cell>
          <cell r="D763">
            <v>52</v>
          </cell>
          <cell r="E763">
            <v>41.83155</v>
          </cell>
          <cell r="F763">
            <v>100.572418</v>
          </cell>
        </row>
        <row r="764">
          <cell r="A764">
            <v>7</v>
          </cell>
          <cell r="B764">
            <v>7982</v>
          </cell>
          <cell r="C764">
            <v>1</v>
          </cell>
          <cell r="D764">
            <v>591</v>
          </cell>
          <cell r="E764">
            <v>131.17506499999999</v>
          </cell>
          <cell r="F764">
            <v>284.02343100000002</v>
          </cell>
        </row>
        <row r="765">
          <cell r="A765">
            <v>7</v>
          </cell>
          <cell r="B765">
            <v>7983</v>
          </cell>
          <cell r="C765">
            <v>1</v>
          </cell>
          <cell r="D765">
            <v>52</v>
          </cell>
          <cell r="E765">
            <v>0</v>
          </cell>
          <cell r="F765">
            <v>4.1E-5</v>
          </cell>
        </row>
        <row r="766">
          <cell r="A766">
            <v>7</v>
          </cell>
          <cell r="B766">
            <v>7983</v>
          </cell>
          <cell r="C766">
            <v>1</v>
          </cell>
          <cell r="D766">
            <v>591</v>
          </cell>
          <cell r="E766">
            <v>7.6437549999999996</v>
          </cell>
          <cell r="F766">
            <v>22.407796999999999</v>
          </cell>
        </row>
        <row r="767">
          <cell r="A767">
            <v>7</v>
          </cell>
          <cell r="B767">
            <v>7984</v>
          </cell>
          <cell r="C767">
            <v>1</v>
          </cell>
          <cell r="D767">
            <v>4</v>
          </cell>
          <cell r="E767">
            <v>-1.8944460000000001</v>
          </cell>
          <cell r="F767">
            <v>-4.2062390000000001</v>
          </cell>
        </row>
        <row r="768">
          <cell r="A768">
            <v>7</v>
          </cell>
          <cell r="B768">
            <v>7984</v>
          </cell>
          <cell r="C768">
            <v>1</v>
          </cell>
          <cell r="D768">
            <v>51</v>
          </cell>
          <cell r="E768">
            <v>2.5151759999999999</v>
          </cell>
          <cell r="F768">
            <v>7.723115</v>
          </cell>
        </row>
        <row r="769">
          <cell r="A769">
            <v>7</v>
          </cell>
          <cell r="B769">
            <v>7984</v>
          </cell>
          <cell r="C769">
            <v>1</v>
          </cell>
          <cell r="D769">
            <v>52</v>
          </cell>
          <cell r="E769">
            <v>93.393626999999995</v>
          </cell>
          <cell r="F769">
            <v>208.61965699999999</v>
          </cell>
        </row>
        <row r="770">
          <cell r="A770">
            <v>7</v>
          </cell>
          <cell r="B770">
            <v>7984</v>
          </cell>
          <cell r="C770">
            <v>1</v>
          </cell>
          <cell r="D770">
            <v>591</v>
          </cell>
          <cell r="E770">
            <v>2102.234633</v>
          </cell>
          <cell r="F770">
            <v>6579.30638</v>
          </cell>
        </row>
        <row r="771">
          <cell r="A771">
            <v>7</v>
          </cell>
          <cell r="B771">
            <v>7985</v>
          </cell>
          <cell r="C771">
            <v>1</v>
          </cell>
          <cell r="D771">
            <v>591</v>
          </cell>
          <cell r="E771">
            <v>1.4159999999999999</v>
          </cell>
          <cell r="F771">
            <v>4.2480000000000002</v>
          </cell>
        </row>
        <row r="772">
          <cell r="A772">
            <v>7</v>
          </cell>
          <cell r="B772">
            <v>7987</v>
          </cell>
          <cell r="C772">
            <v>1</v>
          </cell>
          <cell r="D772">
            <v>51</v>
          </cell>
          <cell r="E772">
            <v>5.3032999999999997E-2</v>
          </cell>
          <cell r="F772">
            <v>0.15909899999999999</v>
          </cell>
        </row>
        <row r="773">
          <cell r="A773">
            <v>7</v>
          </cell>
          <cell r="B773">
            <v>7987</v>
          </cell>
          <cell r="C773">
            <v>1</v>
          </cell>
          <cell r="D773">
            <v>591</v>
          </cell>
          <cell r="E773">
            <v>2.584902</v>
          </cell>
          <cell r="F773">
            <v>5.7655010000000004</v>
          </cell>
        </row>
        <row r="774">
          <cell r="A774">
            <v>7</v>
          </cell>
          <cell r="B774">
            <v>7989</v>
          </cell>
          <cell r="C774">
            <v>1</v>
          </cell>
          <cell r="D774">
            <v>4</v>
          </cell>
          <cell r="E774">
            <v>-0.365985</v>
          </cell>
          <cell r="F774">
            <v>-0.23656199999999999</v>
          </cell>
        </row>
        <row r="775">
          <cell r="A775">
            <v>7</v>
          </cell>
          <cell r="B775">
            <v>7989</v>
          </cell>
          <cell r="C775">
            <v>1</v>
          </cell>
          <cell r="D775">
            <v>52</v>
          </cell>
          <cell r="E775">
            <v>7.4001999999999999</v>
          </cell>
          <cell r="F775">
            <v>22.204785000000001</v>
          </cell>
        </row>
        <row r="776">
          <cell r="A776">
            <v>7</v>
          </cell>
          <cell r="B776">
            <v>7989</v>
          </cell>
          <cell r="C776">
            <v>1</v>
          </cell>
          <cell r="D776">
            <v>591</v>
          </cell>
          <cell r="E776">
            <v>764.87610199999995</v>
          </cell>
          <cell r="F776">
            <v>2379.946629</v>
          </cell>
        </row>
        <row r="777">
          <cell r="A777">
            <v>7</v>
          </cell>
          <cell r="B777">
            <v>7999</v>
          </cell>
          <cell r="C777">
            <v>1</v>
          </cell>
          <cell r="D777">
            <v>51</v>
          </cell>
          <cell r="E777">
            <v>16.276655999999999</v>
          </cell>
          <cell r="F777">
            <v>46.382719000000002</v>
          </cell>
        </row>
        <row r="778">
          <cell r="A778">
            <v>7</v>
          </cell>
          <cell r="B778">
            <v>7999</v>
          </cell>
          <cell r="C778">
            <v>1</v>
          </cell>
          <cell r="D778">
            <v>52</v>
          </cell>
          <cell r="E778">
            <v>4.6840140000000003</v>
          </cell>
          <cell r="F778">
            <v>13.118016000000001</v>
          </cell>
        </row>
        <row r="779">
          <cell r="A779">
            <v>7</v>
          </cell>
          <cell r="B779">
            <v>7999</v>
          </cell>
          <cell r="C779">
            <v>1</v>
          </cell>
          <cell r="D779">
            <v>591</v>
          </cell>
          <cell r="E779">
            <v>26.071999999999999</v>
          </cell>
          <cell r="F779">
            <v>79.316000000000003</v>
          </cell>
        </row>
        <row r="780">
          <cell r="A780">
            <v>8</v>
          </cell>
          <cell r="B780">
            <v>8101</v>
          </cell>
          <cell r="C780">
            <v>1</v>
          </cell>
          <cell r="D780">
            <v>4</v>
          </cell>
          <cell r="E780">
            <v>-0.41649999999999998</v>
          </cell>
          <cell r="F780">
            <v>-2.4163299999999999</v>
          </cell>
        </row>
        <row r="781">
          <cell r="A781">
            <v>8</v>
          </cell>
          <cell r="B781">
            <v>8101</v>
          </cell>
          <cell r="C781">
            <v>1</v>
          </cell>
          <cell r="D781">
            <v>51</v>
          </cell>
          <cell r="E781">
            <v>32.970193999999999</v>
          </cell>
          <cell r="F781">
            <v>97.047099000000003</v>
          </cell>
        </row>
        <row r="782">
          <cell r="A782">
            <v>8</v>
          </cell>
          <cell r="B782">
            <v>8101</v>
          </cell>
          <cell r="C782">
            <v>1</v>
          </cell>
          <cell r="D782">
            <v>52</v>
          </cell>
          <cell r="E782">
            <v>12.729766</v>
          </cell>
          <cell r="F782">
            <v>36.658034999999998</v>
          </cell>
        </row>
        <row r="783">
          <cell r="A783">
            <v>8</v>
          </cell>
          <cell r="B783">
            <v>8101</v>
          </cell>
          <cell r="C783">
            <v>1</v>
          </cell>
          <cell r="D783">
            <v>591</v>
          </cell>
          <cell r="E783">
            <v>5.0000000000000001E-3</v>
          </cell>
          <cell r="F783">
            <v>1.9E-2</v>
          </cell>
        </row>
        <row r="784">
          <cell r="A784">
            <v>8</v>
          </cell>
          <cell r="B784">
            <v>8202</v>
          </cell>
          <cell r="C784">
            <v>1</v>
          </cell>
          <cell r="D784">
            <v>4</v>
          </cell>
          <cell r="E784">
            <v>0</v>
          </cell>
          <cell r="F784">
            <v>-23.785247999999999</v>
          </cell>
        </row>
        <row r="785">
          <cell r="A785">
            <v>8</v>
          </cell>
          <cell r="B785">
            <v>8202</v>
          </cell>
          <cell r="C785">
            <v>1</v>
          </cell>
          <cell r="D785">
            <v>51</v>
          </cell>
          <cell r="E785">
            <v>46.584757000000003</v>
          </cell>
          <cell r="F785">
            <v>137.07609400000001</v>
          </cell>
        </row>
        <row r="786">
          <cell r="A786">
            <v>8</v>
          </cell>
          <cell r="B786">
            <v>8202</v>
          </cell>
          <cell r="C786">
            <v>1</v>
          </cell>
          <cell r="D786">
            <v>52</v>
          </cell>
          <cell r="E786">
            <v>31.694365000000001</v>
          </cell>
          <cell r="F786">
            <v>81.91498</v>
          </cell>
        </row>
        <row r="787">
          <cell r="A787">
            <v>8</v>
          </cell>
          <cell r="B787">
            <v>8202</v>
          </cell>
          <cell r="C787">
            <v>1</v>
          </cell>
          <cell r="D787">
            <v>591</v>
          </cell>
          <cell r="E787">
            <v>0.05</v>
          </cell>
          <cell r="F787">
            <v>0.05</v>
          </cell>
        </row>
        <row r="788">
          <cell r="A788">
            <v>8</v>
          </cell>
          <cell r="B788">
            <v>8206</v>
          </cell>
          <cell r="C788">
            <v>1</v>
          </cell>
          <cell r="D788">
            <v>4</v>
          </cell>
          <cell r="E788">
            <v>5.8743999999999998E-2</v>
          </cell>
          <cell r="F788">
            <v>5.8743999999999998E-2</v>
          </cell>
        </row>
        <row r="789">
          <cell r="A789">
            <v>8</v>
          </cell>
          <cell r="B789">
            <v>8206</v>
          </cell>
          <cell r="C789">
            <v>1</v>
          </cell>
          <cell r="D789">
            <v>51</v>
          </cell>
          <cell r="E789">
            <v>2.3630999999999999E-2</v>
          </cell>
          <cell r="F789">
            <v>7.0446999999999996E-2</v>
          </cell>
        </row>
        <row r="790">
          <cell r="A790">
            <v>8</v>
          </cell>
          <cell r="B790">
            <v>8206</v>
          </cell>
          <cell r="C790">
            <v>1</v>
          </cell>
          <cell r="D790">
            <v>52</v>
          </cell>
          <cell r="E790">
            <v>-3.1020000000000002E-3</v>
          </cell>
          <cell r="F790">
            <v>2.8E-5</v>
          </cell>
        </row>
        <row r="791">
          <cell r="A791">
            <v>8</v>
          </cell>
          <cell r="B791">
            <v>8206</v>
          </cell>
          <cell r="C791">
            <v>1</v>
          </cell>
          <cell r="D791">
            <v>591</v>
          </cell>
          <cell r="E791">
            <v>2642.2484009999998</v>
          </cell>
          <cell r="F791">
            <v>6917.2724509999998</v>
          </cell>
        </row>
        <row r="792">
          <cell r="A792">
            <v>8</v>
          </cell>
          <cell r="B792">
            <v>8208</v>
          </cell>
          <cell r="C792">
            <v>1</v>
          </cell>
          <cell r="D792">
            <v>4</v>
          </cell>
          <cell r="E792">
            <v>-0.318965</v>
          </cell>
          <cell r="F792">
            <v>-0.318965</v>
          </cell>
        </row>
        <row r="793">
          <cell r="A793">
            <v>8</v>
          </cell>
          <cell r="B793">
            <v>8208</v>
          </cell>
          <cell r="C793">
            <v>1</v>
          </cell>
          <cell r="D793">
            <v>591</v>
          </cell>
          <cell r="E793">
            <v>58.025115</v>
          </cell>
          <cell r="F793">
            <v>145.724459</v>
          </cell>
        </row>
        <row r="794">
          <cell r="A794">
            <v>8</v>
          </cell>
          <cell r="B794">
            <v>8209</v>
          </cell>
          <cell r="C794">
            <v>1</v>
          </cell>
          <cell r="D794">
            <v>52</v>
          </cell>
          <cell r="E794">
            <v>0.75374300000000005</v>
          </cell>
          <cell r="F794">
            <v>2.4785539999999999</v>
          </cell>
        </row>
        <row r="795">
          <cell r="A795">
            <v>8</v>
          </cell>
          <cell r="B795">
            <v>8209</v>
          </cell>
          <cell r="C795">
            <v>1</v>
          </cell>
          <cell r="D795">
            <v>591</v>
          </cell>
          <cell r="E795">
            <v>4.1539299999999999</v>
          </cell>
          <cell r="F795">
            <v>14.739827999999999</v>
          </cell>
        </row>
        <row r="796">
          <cell r="A796">
            <v>8</v>
          </cell>
          <cell r="B796">
            <v>8301</v>
          </cell>
          <cell r="C796">
            <v>1</v>
          </cell>
          <cell r="D796">
            <v>4</v>
          </cell>
          <cell r="E796">
            <v>-0.141015</v>
          </cell>
          <cell r="F796">
            <v>-0.50454200000000005</v>
          </cell>
        </row>
        <row r="797">
          <cell r="A797">
            <v>8</v>
          </cell>
          <cell r="B797">
            <v>8301</v>
          </cell>
          <cell r="C797">
            <v>1</v>
          </cell>
          <cell r="D797">
            <v>51</v>
          </cell>
          <cell r="E797">
            <v>18.897300999999999</v>
          </cell>
          <cell r="F797">
            <v>55.611637999999999</v>
          </cell>
        </row>
        <row r="798">
          <cell r="A798">
            <v>8</v>
          </cell>
          <cell r="B798">
            <v>8301</v>
          </cell>
          <cell r="C798">
            <v>1</v>
          </cell>
          <cell r="D798">
            <v>52</v>
          </cell>
          <cell r="E798">
            <v>7.0799519999999996</v>
          </cell>
          <cell r="F798">
            <v>22.046511000000002</v>
          </cell>
        </row>
        <row r="799">
          <cell r="A799">
            <v>8</v>
          </cell>
          <cell r="B799">
            <v>8305</v>
          </cell>
          <cell r="C799">
            <v>1</v>
          </cell>
          <cell r="D799">
            <v>4</v>
          </cell>
          <cell r="E799">
            <v>-3.3040940000000001</v>
          </cell>
          <cell r="F799">
            <v>-3.3442440000000002</v>
          </cell>
        </row>
        <row r="800">
          <cell r="A800">
            <v>8</v>
          </cell>
          <cell r="B800">
            <v>8305</v>
          </cell>
          <cell r="C800">
            <v>1</v>
          </cell>
          <cell r="D800">
            <v>51</v>
          </cell>
          <cell r="E800">
            <v>12.201433</v>
          </cell>
          <cell r="F800">
            <v>35.565235000000001</v>
          </cell>
        </row>
        <row r="801">
          <cell r="A801">
            <v>8</v>
          </cell>
          <cell r="B801">
            <v>8305</v>
          </cell>
          <cell r="C801">
            <v>1</v>
          </cell>
          <cell r="D801">
            <v>52</v>
          </cell>
          <cell r="E801">
            <v>3.7356370000000001</v>
          </cell>
          <cell r="F801">
            <v>13.547262</v>
          </cell>
        </row>
        <row r="802">
          <cell r="A802">
            <v>8</v>
          </cell>
          <cell r="B802">
            <v>8305</v>
          </cell>
          <cell r="C802">
            <v>1</v>
          </cell>
          <cell r="D802">
            <v>591</v>
          </cell>
          <cell r="E802">
            <v>0.61874899999999999</v>
          </cell>
          <cell r="F802">
            <v>0.94774899999999995</v>
          </cell>
        </row>
        <row r="803">
          <cell r="A803">
            <v>8</v>
          </cell>
          <cell r="B803">
            <v>8324</v>
          </cell>
          <cell r="C803">
            <v>1</v>
          </cell>
          <cell r="D803">
            <v>4</v>
          </cell>
          <cell r="E803">
            <v>-9.5376080000000005</v>
          </cell>
          <cell r="F803">
            <v>-26.145095999999999</v>
          </cell>
        </row>
        <row r="804">
          <cell r="A804">
            <v>8</v>
          </cell>
          <cell r="B804">
            <v>8324</v>
          </cell>
          <cell r="C804">
            <v>1</v>
          </cell>
          <cell r="D804">
            <v>51</v>
          </cell>
          <cell r="E804">
            <v>7.4153840000000004</v>
          </cell>
          <cell r="F804">
            <v>22.836084</v>
          </cell>
        </row>
        <row r="805">
          <cell r="A805">
            <v>8</v>
          </cell>
          <cell r="B805">
            <v>8324</v>
          </cell>
          <cell r="C805">
            <v>1</v>
          </cell>
          <cell r="D805">
            <v>52</v>
          </cell>
          <cell r="E805">
            <v>22.203410999999999</v>
          </cell>
          <cell r="F805">
            <v>52.740484000000002</v>
          </cell>
        </row>
        <row r="806">
          <cell r="A806">
            <v>8</v>
          </cell>
          <cell r="B806">
            <v>8324</v>
          </cell>
          <cell r="C806">
            <v>1</v>
          </cell>
          <cell r="D806">
            <v>591</v>
          </cell>
          <cell r="E806">
            <v>0.09</v>
          </cell>
          <cell r="F806">
            <v>0.26999000000000001</v>
          </cell>
        </row>
        <row r="807">
          <cell r="A807">
            <v>8</v>
          </cell>
          <cell r="B807">
            <v>8327</v>
          </cell>
          <cell r="C807">
            <v>1</v>
          </cell>
          <cell r="D807">
            <v>4</v>
          </cell>
          <cell r="E807">
            <v>0</v>
          </cell>
          <cell r="F807">
            <v>-33.613140000000001</v>
          </cell>
        </row>
        <row r="808">
          <cell r="A808">
            <v>8</v>
          </cell>
          <cell r="B808">
            <v>8327</v>
          </cell>
          <cell r="C808">
            <v>1</v>
          </cell>
          <cell r="D808">
            <v>51</v>
          </cell>
          <cell r="E808">
            <v>6.0359030000000002</v>
          </cell>
          <cell r="F808">
            <v>16.568947000000001</v>
          </cell>
        </row>
        <row r="809">
          <cell r="A809">
            <v>8</v>
          </cell>
          <cell r="B809">
            <v>8327</v>
          </cell>
          <cell r="C809">
            <v>1</v>
          </cell>
          <cell r="D809">
            <v>52</v>
          </cell>
          <cell r="E809">
            <v>2.425271</v>
          </cell>
          <cell r="F809">
            <v>7.0776620000000001</v>
          </cell>
        </row>
        <row r="810">
          <cell r="A810">
            <v>8</v>
          </cell>
          <cell r="B810">
            <v>8327</v>
          </cell>
          <cell r="C810">
            <v>1</v>
          </cell>
          <cell r="D810">
            <v>591</v>
          </cell>
          <cell r="E810">
            <v>0.174931</v>
          </cell>
          <cell r="F810">
            <v>4.2721070000000001</v>
          </cell>
        </row>
        <row r="811">
          <cell r="A811">
            <v>8</v>
          </cell>
          <cell r="B811">
            <v>8340</v>
          </cell>
          <cell r="C811">
            <v>1</v>
          </cell>
          <cell r="D811">
            <v>52</v>
          </cell>
          <cell r="E811">
            <v>24.946999999999999</v>
          </cell>
          <cell r="F811">
            <v>73.376000000000005</v>
          </cell>
        </row>
        <row r="812">
          <cell r="A812">
            <v>8</v>
          </cell>
          <cell r="B812">
            <v>8340</v>
          </cell>
          <cell r="C812">
            <v>6</v>
          </cell>
          <cell r="D812">
            <v>591</v>
          </cell>
          <cell r="E812">
            <v>0.35</v>
          </cell>
          <cell r="F812">
            <v>10.35</v>
          </cell>
        </row>
        <row r="813">
          <cell r="A813">
            <v>8</v>
          </cell>
          <cell r="B813">
            <v>8358</v>
          </cell>
          <cell r="C813">
            <v>1</v>
          </cell>
          <cell r="D813">
            <v>4</v>
          </cell>
          <cell r="E813">
            <v>-45.164681999999999</v>
          </cell>
          <cell r="F813">
            <v>-128.75429600000001</v>
          </cell>
        </row>
        <row r="814">
          <cell r="A814">
            <v>8</v>
          </cell>
          <cell r="B814">
            <v>8358</v>
          </cell>
          <cell r="C814">
            <v>1</v>
          </cell>
          <cell r="D814">
            <v>51</v>
          </cell>
          <cell r="E814">
            <v>255.35989599999999</v>
          </cell>
          <cell r="F814">
            <v>761.70545700000002</v>
          </cell>
        </row>
        <row r="815">
          <cell r="A815">
            <v>8</v>
          </cell>
          <cell r="B815">
            <v>8358</v>
          </cell>
          <cell r="C815">
            <v>1</v>
          </cell>
          <cell r="D815">
            <v>52</v>
          </cell>
          <cell r="E815">
            <v>120.770577</v>
          </cell>
          <cell r="F815">
            <v>337.486604</v>
          </cell>
        </row>
        <row r="816">
          <cell r="A816">
            <v>8</v>
          </cell>
          <cell r="B816">
            <v>8358</v>
          </cell>
          <cell r="C816">
            <v>5</v>
          </cell>
          <cell r="D816">
            <v>52</v>
          </cell>
          <cell r="E816">
            <v>0.52338499999999999</v>
          </cell>
          <cell r="F816">
            <v>18.569115</v>
          </cell>
        </row>
        <row r="817">
          <cell r="A817">
            <v>8</v>
          </cell>
          <cell r="B817">
            <v>8358</v>
          </cell>
          <cell r="C817">
            <v>6</v>
          </cell>
          <cell r="D817">
            <v>52</v>
          </cell>
          <cell r="E817">
            <v>13.37191</v>
          </cell>
          <cell r="F817">
            <v>29.866582000000001</v>
          </cell>
        </row>
        <row r="818">
          <cell r="A818">
            <v>8</v>
          </cell>
          <cell r="B818">
            <v>8373</v>
          </cell>
          <cell r="C818">
            <v>1</v>
          </cell>
          <cell r="D818">
            <v>4</v>
          </cell>
          <cell r="E818">
            <v>142.92380800000001</v>
          </cell>
          <cell r="F818">
            <v>-357.321192</v>
          </cell>
        </row>
        <row r="819">
          <cell r="A819">
            <v>8</v>
          </cell>
          <cell r="B819">
            <v>8373</v>
          </cell>
          <cell r="C819">
            <v>1</v>
          </cell>
          <cell r="D819">
            <v>51</v>
          </cell>
          <cell r="E819">
            <v>2025.2473359999999</v>
          </cell>
          <cell r="F819">
            <v>6316.9677410000004</v>
          </cell>
        </row>
        <row r="820">
          <cell r="A820">
            <v>8</v>
          </cell>
          <cell r="B820">
            <v>8373</v>
          </cell>
          <cell r="C820">
            <v>1</v>
          </cell>
          <cell r="D820">
            <v>52</v>
          </cell>
          <cell r="E820">
            <v>346.62974800000001</v>
          </cell>
          <cell r="F820">
            <v>2032.0055430000002</v>
          </cell>
        </row>
        <row r="821">
          <cell r="A821">
            <v>8</v>
          </cell>
          <cell r="B821">
            <v>8373</v>
          </cell>
          <cell r="C821">
            <v>1</v>
          </cell>
          <cell r="D821">
            <v>591</v>
          </cell>
          <cell r="E821">
            <v>14.828322999999999</v>
          </cell>
          <cell r="F821">
            <v>14.828322999999999</v>
          </cell>
        </row>
        <row r="822">
          <cell r="A822">
            <v>8</v>
          </cell>
          <cell r="B822">
            <v>8373</v>
          </cell>
          <cell r="C822">
            <v>5</v>
          </cell>
          <cell r="D822">
            <v>52</v>
          </cell>
          <cell r="E822">
            <v>123.390435</v>
          </cell>
          <cell r="F822">
            <v>231.60693499999999</v>
          </cell>
        </row>
        <row r="823">
          <cell r="A823">
            <v>8</v>
          </cell>
          <cell r="B823">
            <v>8373</v>
          </cell>
          <cell r="C823">
            <v>6</v>
          </cell>
          <cell r="D823">
            <v>52</v>
          </cell>
          <cell r="E823">
            <v>-5.1186949999999998</v>
          </cell>
          <cell r="F823">
            <v>103.09780499999999</v>
          </cell>
        </row>
        <row r="824">
          <cell r="A824">
            <v>8</v>
          </cell>
          <cell r="B824">
            <v>8379</v>
          </cell>
          <cell r="C824">
            <v>1</v>
          </cell>
          <cell r="D824">
            <v>52</v>
          </cell>
          <cell r="E824">
            <v>0.09</v>
          </cell>
          <cell r="F824">
            <v>1.0111060000000001</v>
          </cell>
        </row>
        <row r="825">
          <cell r="A825">
            <v>8</v>
          </cell>
          <cell r="B825">
            <v>8383</v>
          </cell>
          <cell r="C825">
            <v>1</v>
          </cell>
          <cell r="D825">
            <v>52</v>
          </cell>
          <cell r="E825">
            <v>7.6201999999999996</v>
          </cell>
          <cell r="F825">
            <v>22.8582</v>
          </cell>
        </row>
        <row r="826">
          <cell r="A826">
            <v>8</v>
          </cell>
          <cell r="B826">
            <v>8384</v>
          </cell>
          <cell r="C826">
            <v>1</v>
          </cell>
          <cell r="D826">
            <v>52</v>
          </cell>
          <cell r="E826">
            <v>10.723599999999999</v>
          </cell>
          <cell r="F826">
            <v>32.1708</v>
          </cell>
        </row>
        <row r="827">
          <cell r="A827">
            <v>8</v>
          </cell>
          <cell r="B827">
            <v>8388</v>
          </cell>
          <cell r="C827">
            <v>1</v>
          </cell>
          <cell r="D827">
            <v>52</v>
          </cell>
          <cell r="E827">
            <v>54.2821</v>
          </cell>
          <cell r="F827">
            <v>162.84610000000001</v>
          </cell>
        </row>
        <row r="828">
          <cell r="A828">
            <v>8</v>
          </cell>
          <cell r="B828">
            <v>8397</v>
          </cell>
          <cell r="C828">
            <v>1</v>
          </cell>
          <cell r="D828">
            <v>4</v>
          </cell>
          <cell r="E828">
            <v>-19.521747999999999</v>
          </cell>
          <cell r="F828">
            <v>-20.983260000000001</v>
          </cell>
        </row>
        <row r="829">
          <cell r="A829">
            <v>8</v>
          </cell>
          <cell r="B829">
            <v>8397</v>
          </cell>
          <cell r="C829">
            <v>1</v>
          </cell>
          <cell r="D829">
            <v>51</v>
          </cell>
          <cell r="E829">
            <v>24.525053</v>
          </cell>
          <cell r="F829">
            <v>74.890417999999997</v>
          </cell>
        </row>
        <row r="830">
          <cell r="A830">
            <v>8</v>
          </cell>
          <cell r="B830">
            <v>8397</v>
          </cell>
          <cell r="C830">
            <v>1</v>
          </cell>
          <cell r="D830">
            <v>52</v>
          </cell>
          <cell r="E830">
            <v>5.5709929999999996</v>
          </cell>
          <cell r="F830">
            <v>16.723708999999999</v>
          </cell>
        </row>
        <row r="831">
          <cell r="A831">
            <v>8</v>
          </cell>
          <cell r="B831">
            <v>8397</v>
          </cell>
          <cell r="C831">
            <v>1</v>
          </cell>
          <cell r="D831">
            <v>591</v>
          </cell>
          <cell r="E831">
            <v>0.34495700000000001</v>
          </cell>
          <cell r="F831">
            <v>0.34495700000000001</v>
          </cell>
        </row>
        <row r="832">
          <cell r="A832">
            <v>8</v>
          </cell>
          <cell r="B832">
            <v>8399</v>
          </cell>
          <cell r="C832">
            <v>1</v>
          </cell>
          <cell r="D832">
            <v>51</v>
          </cell>
          <cell r="E832">
            <v>3.6913909999999999</v>
          </cell>
          <cell r="F832">
            <v>11.323542</v>
          </cell>
        </row>
        <row r="833">
          <cell r="A833">
            <v>8</v>
          </cell>
          <cell r="B833">
            <v>8399</v>
          </cell>
          <cell r="C833">
            <v>1</v>
          </cell>
          <cell r="D833">
            <v>52</v>
          </cell>
          <cell r="E833">
            <v>336.19243699999998</v>
          </cell>
          <cell r="F833">
            <v>600.80770699999994</v>
          </cell>
        </row>
        <row r="834">
          <cell r="A834">
            <v>8</v>
          </cell>
          <cell r="B834">
            <v>8399</v>
          </cell>
          <cell r="C834">
            <v>1</v>
          </cell>
          <cell r="D834">
            <v>591</v>
          </cell>
          <cell r="E834">
            <v>14.746</v>
          </cell>
          <cell r="F834">
            <v>49.738</v>
          </cell>
        </row>
        <row r="835">
          <cell r="A835">
            <v>8</v>
          </cell>
          <cell r="B835">
            <v>8399</v>
          </cell>
          <cell r="C835">
            <v>6</v>
          </cell>
          <cell r="D835">
            <v>52</v>
          </cell>
          <cell r="E835">
            <v>0</v>
          </cell>
          <cell r="F835">
            <v>2.9151050000000001</v>
          </cell>
        </row>
        <row r="836">
          <cell r="A836">
            <v>8</v>
          </cell>
          <cell r="B836">
            <v>8401</v>
          </cell>
          <cell r="C836">
            <v>1</v>
          </cell>
          <cell r="D836">
            <v>52</v>
          </cell>
          <cell r="E836">
            <v>0</v>
          </cell>
          <cell r="F836">
            <v>1.312959</v>
          </cell>
        </row>
        <row r="837">
          <cell r="A837">
            <v>8</v>
          </cell>
          <cell r="B837">
            <v>8408</v>
          </cell>
          <cell r="C837">
            <v>1</v>
          </cell>
          <cell r="D837">
            <v>52</v>
          </cell>
          <cell r="E837">
            <v>49.448787000000003</v>
          </cell>
          <cell r="F837">
            <v>99.553393999999997</v>
          </cell>
        </row>
        <row r="838">
          <cell r="A838">
            <v>8</v>
          </cell>
          <cell r="B838">
            <v>8409</v>
          </cell>
          <cell r="C838">
            <v>1</v>
          </cell>
          <cell r="D838">
            <v>52</v>
          </cell>
          <cell r="E838">
            <v>69.076165000000003</v>
          </cell>
          <cell r="F838">
            <v>112.771739</v>
          </cell>
        </row>
        <row r="839">
          <cell r="A839">
            <v>8</v>
          </cell>
          <cell r="B839">
            <v>8410</v>
          </cell>
          <cell r="C839">
            <v>1</v>
          </cell>
          <cell r="D839">
            <v>52</v>
          </cell>
          <cell r="E839">
            <v>113.461688</v>
          </cell>
          <cell r="F839">
            <v>335.65686299999999</v>
          </cell>
        </row>
        <row r="840">
          <cell r="A840">
            <v>8</v>
          </cell>
          <cell r="B840">
            <v>8412</v>
          </cell>
          <cell r="C840">
            <v>1</v>
          </cell>
          <cell r="D840">
            <v>52</v>
          </cell>
          <cell r="E840">
            <v>55.282921000000002</v>
          </cell>
          <cell r="F840">
            <v>160.37402299999999</v>
          </cell>
        </row>
        <row r="841">
          <cell r="A841">
            <v>8</v>
          </cell>
          <cell r="B841">
            <v>8413</v>
          </cell>
          <cell r="C841">
            <v>1</v>
          </cell>
          <cell r="D841">
            <v>52</v>
          </cell>
          <cell r="E841">
            <v>49.340415999999998</v>
          </cell>
          <cell r="F841">
            <v>108.285546</v>
          </cell>
        </row>
        <row r="842">
          <cell r="A842">
            <v>8</v>
          </cell>
          <cell r="B842">
            <v>8428</v>
          </cell>
          <cell r="C842">
            <v>1</v>
          </cell>
          <cell r="D842">
            <v>52</v>
          </cell>
          <cell r="E842">
            <v>15.390648000000001</v>
          </cell>
          <cell r="F842">
            <v>43.499721999999998</v>
          </cell>
        </row>
        <row r="843">
          <cell r="A843">
            <v>8</v>
          </cell>
          <cell r="B843">
            <v>8434</v>
          </cell>
          <cell r="C843">
            <v>1</v>
          </cell>
          <cell r="D843">
            <v>52</v>
          </cell>
          <cell r="E843">
            <v>111.577574</v>
          </cell>
          <cell r="F843">
            <v>327.599964</v>
          </cell>
        </row>
        <row r="844">
          <cell r="A844">
            <v>8</v>
          </cell>
          <cell r="B844">
            <v>8437</v>
          </cell>
          <cell r="C844">
            <v>1</v>
          </cell>
          <cell r="D844">
            <v>52</v>
          </cell>
          <cell r="E844">
            <v>20.993393000000001</v>
          </cell>
          <cell r="F844">
            <v>49.787764000000003</v>
          </cell>
        </row>
        <row r="845">
          <cell r="A845">
            <v>8</v>
          </cell>
          <cell r="B845">
            <v>8447</v>
          </cell>
          <cell r="C845">
            <v>1</v>
          </cell>
          <cell r="D845">
            <v>52</v>
          </cell>
          <cell r="E845">
            <v>87.381949000000006</v>
          </cell>
          <cell r="F845">
            <v>240.40511599999999</v>
          </cell>
        </row>
        <row r="846">
          <cell r="A846">
            <v>8</v>
          </cell>
          <cell r="B846">
            <v>8478</v>
          </cell>
          <cell r="C846">
            <v>1</v>
          </cell>
          <cell r="D846">
            <v>52</v>
          </cell>
          <cell r="E846">
            <v>4.8803999999999998</v>
          </cell>
          <cell r="F846">
            <v>14.6412</v>
          </cell>
        </row>
        <row r="847">
          <cell r="A847">
            <v>8</v>
          </cell>
          <cell r="B847">
            <v>8479</v>
          </cell>
          <cell r="C847">
            <v>1</v>
          </cell>
          <cell r="D847">
            <v>52</v>
          </cell>
          <cell r="E847">
            <v>7.4452999999999996</v>
          </cell>
          <cell r="F847">
            <v>22.3353</v>
          </cell>
        </row>
        <row r="848">
          <cell r="A848">
            <v>8</v>
          </cell>
          <cell r="B848">
            <v>8491</v>
          </cell>
          <cell r="C848">
            <v>1</v>
          </cell>
          <cell r="D848">
            <v>52</v>
          </cell>
          <cell r="E848">
            <v>111.684366</v>
          </cell>
          <cell r="F848">
            <v>335.053966</v>
          </cell>
        </row>
        <row r="849">
          <cell r="A849">
            <v>8</v>
          </cell>
          <cell r="B849">
            <v>8492</v>
          </cell>
          <cell r="C849">
            <v>1</v>
          </cell>
          <cell r="D849">
            <v>52</v>
          </cell>
          <cell r="E849">
            <v>45.948799999999999</v>
          </cell>
          <cell r="F849">
            <v>137.84639999999999</v>
          </cell>
        </row>
        <row r="850">
          <cell r="A850">
            <v>8</v>
          </cell>
          <cell r="B850">
            <v>8493</v>
          </cell>
          <cell r="C850">
            <v>1</v>
          </cell>
          <cell r="D850">
            <v>52</v>
          </cell>
          <cell r="E850">
            <v>40.362900000000003</v>
          </cell>
          <cell r="F850">
            <v>121.0887</v>
          </cell>
        </row>
        <row r="851">
          <cell r="A851">
            <v>8</v>
          </cell>
          <cell r="B851">
            <v>8494</v>
          </cell>
          <cell r="C851">
            <v>1</v>
          </cell>
          <cell r="D851">
            <v>52</v>
          </cell>
          <cell r="E851">
            <v>9.0221</v>
          </cell>
          <cell r="F851">
            <v>27.066299999999998</v>
          </cell>
        </row>
        <row r="852">
          <cell r="A852">
            <v>8</v>
          </cell>
          <cell r="B852">
            <v>8500</v>
          </cell>
          <cell r="C852">
            <v>1</v>
          </cell>
          <cell r="D852">
            <v>52</v>
          </cell>
          <cell r="E852">
            <v>6.162871</v>
          </cell>
          <cell r="F852">
            <v>18.391497000000001</v>
          </cell>
        </row>
        <row r="853">
          <cell r="A853">
            <v>8</v>
          </cell>
          <cell r="B853">
            <v>8500</v>
          </cell>
          <cell r="C853">
            <v>1</v>
          </cell>
          <cell r="D853">
            <v>591</v>
          </cell>
          <cell r="E853">
            <v>4.9598329999999997</v>
          </cell>
          <cell r="F853">
            <v>5.2795030000000001</v>
          </cell>
        </row>
        <row r="854">
          <cell r="A854">
            <v>8</v>
          </cell>
          <cell r="B854">
            <v>8500</v>
          </cell>
          <cell r="C854">
            <v>6</v>
          </cell>
          <cell r="D854">
            <v>591</v>
          </cell>
          <cell r="E854">
            <v>0</v>
          </cell>
          <cell r="F854">
            <v>20</v>
          </cell>
        </row>
        <row r="855">
          <cell r="A855">
            <v>8</v>
          </cell>
          <cell r="B855">
            <v>8501</v>
          </cell>
          <cell r="C855">
            <v>1</v>
          </cell>
          <cell r="D855">
            <v>52</v>
          </cell>
          <cell r="E855">
            <v>43.232999999999997</v>
          </cell>
          <cell r="F855">
            <v>211.992886</v>
          </cell>
        </row>
        <row r="856">
          <cell r="A856">
            <v>8</v>
          </cell>
          <cell r="B856">
            <v>8506</v>
          </cell>
          <cell r="C856">
            <v>1</v>
          </cell>
          <cell r="D856">
            <v>4</v>
          </cell>
          <cell r="E856">
            <v>-49.886617999999999</v>
          </cell>
          <cell r="F856">
            <v>-126.17671</v>
          </cell>
        </row>
        <row r="857">
          <cell r="A857">
            <v>8</v>
          </cell>
          <cell r="B857">
            <v>8506</v>
          </cell>
          <cell r="C857">
            <v>1</v>
          </cell>
          <cell r="D857">
            <v>51</v>
          </cell>
          <cell r="E857">
            <v>269.03716400000002</v>
          </cell>
          <cell r="F857">
            <v>800.13926500000002</v>
          </cell>
        </row>
        <row r="858">
          <cell r="A858">
            <v>8</v>
          </cell>
          <cell r="B858">
            <v>8506</v>
          </cell>
          <cell r="C858">
            <v>1</v>
          </cell>
          <cell r="D858">
            <v>52</v>
          </cell>
          <cell r="E858">
            <v>96.953530000000001</v>
          </cell>
          <cell r="F858">
            <v>291.28546899999998</v>
          </cell>
        </row>
        <row r="859">
          <cell r="A859">
            <v>8</v>
          </cell>
          <cell r="B859">
            <v>8508</v>
          </cell>
          <cell r="C859">
            <v>1</v>
          </cell>
          <cell r="D859">
            <v>52</v>
          </cell>
          <cell r="E859">
            <v>76.608000000000004</v>
          </cell>
          <cell r="F859">
            <v>229.828</v>
          </cell>
        </row>
        <row r="860">
          <cell r="A860">
            <v>8</v>
          </cell>
          <cell r="B860">
            <v>8515</v>
          </cell>
          <cell r="C860">
            <v>1</v>
          </cell>
          <cell r="D860">
            <v>52</v>
          </cell>
          <cell r="E860">
            <v>13.686544</v>
          </cell>
          <cell r="F860">
            <v>41.059944000000002</v>
          </cell>
        </row>
        <row r="861">
          <cell r="A861">
            <v>8</v>
          </cell>
          <cell r="B861">
            <v>8517</v>
          </cell>
          <cell r="C861">
            <v>1</v>
          </cell>
          <cell r="D861">
            <v>52</v>
          </cell>
          <cell r="E861">
            <v>28.439451999999999</v>
          </cell>
          <cell r="F861">
            <v>70.603452000000004</v>
          </cell>
        </row>
        <row r="862">
          <cell r="A862">
            <v>8</v>
          </cell>
          <cell r="B862">
            <v>8552</v>
          </cell>
          <cell r="C862">
            <v>1</v>
          </cell>
          <cell r="D862">
            <v>4</v>
          </cell>
          <cell r="E862">
            <v>-0.69114500000000001</v>
          </cell>
          <cell r="F862">
            <v>-1.8195159999999999</v>
          </cell>
        </row>
        <row r="863">
          <cell r="A863">
            <v>8</v>
          </cell>
          <cell r="B863">
            <v>8552</v>
          </cell>
          <cell r="C863">
            <v>1</v>
          </cell>
          <cell r="D863">
            <v>51</v>
          </cell>
          <cell r="E863">
            <v>6.6073300000000001</v>
          </cell>
          <cell r="F863">
            <v>19.837710999999999</v>
          </cell>
        </row>
        <row r="864">
          <cell r="A864">
            <v>8</v>
          </cell>
          <cell r="B864">
            <v>8552</v>
          </cell>
          <cell r="C864">
            <v>1</v>
          </cell>
          <cell r="D864">
            <v>52</v>
          </cell>
          <cell r="E864">
            <v>1.970207</v>
          </cell>
          <cell r="F864">
            <v>4.6612799999999996</v>
          </cell>
        </row>
        <row r="865">
          <cell r="A865">
            <v>8</v>
          </cell>
          <cell r="B865">
            <v>8553</v>
          </cell>
          <cell r="C865">
            <v>1</v>
          </cell>
          <cell r="D865">
            <v>52</v>
          </cell>
          <cell r="E865">
            <v>39.416367000000001</v>
          </cell>
          <cell r="F865">
            <v>118.24976700000001</v>
          </cell>
        </row>
        <row r="866">
          <cell r="A866">
            <v>8</v>
          </cell>
          <cell r="B866">
            <v>8588</v>
          </cell>
          <cell r="C866">
            <v>1</v>
          </cell>
          <cell r="D866">
            <v>52</v>
          </cell>
          <cell r="E866">
            <v>22.058140000000002</v>
          </cell>
          <cell r="F866">
            <v>66.173069999999996</v>
          </cell>
        </row>
        <row r="867">
          <cell r="A867">
            <v>8</v>
          </cell>
          <cell r="B867">
            <v>8711</v>
          </cell>
          <cell r="C867">
            <v>1</v>
          </cell>
          <cell r="D867">
            <v>4</v>
          </cell>
          <cell r="E867">
            <v>-0.46529500000000001</v>
          </cell>
          <cell r="F867">
            <v>-1.08064</v>
          </cell>
        </row>
        <row r="868">
          <cell r="A868">
            <v>8</v>
          </cell>
          <cell r="B868">
            <v>8711</v>
          </cell>
          <cell r="C868">
            <v>1</v>
          </cell>
          <cell r="D868">
            <v>52</v>
          </cell>
          <cell r="E868">
            <v>0</v>
          </cell>
          <cell r="F868">
            <v>0.32287900000000003</v>
          </cell>
        </row>
        <row r="869">
          <cell r="A869">
            <v>8</v>
          </cell>
          <cell r="B869">
            <v>8715</v>
          </cell>
          <cell r="C869">
            <v>1</v>
          </cell>
          <cell r="D869">
            <v>4</v>
          </cell>
          <cell r="E869">
            <v>-0.38706600000000002</v>
          </cell>
          <cell r="F869">
            <v>-0.38706600000000002</v>
          </cell>
        </row>
        <row r="870">
          <cell r="A870">
            <v>8</v>
          </cell>
          <cell r="B870">
            <v>8716</v>
          </cell>
          <cell r="C870">
            <v>1</v>
          </cell>
          <cell r="D870">
            <v>4</v>
          </cell>
          <cell r="E870">
            <v>-2.8900540000000001</v>
          </cell>
          <cell r="F870">
            <v>-10.909596000000001</v>
          </cell>
        </row>
        <row r="871">
          <cell r="A871">
            <v>8</v>
          </cell>
          <cell r="B871">
            <v>8716</v>
          </cell>
          <cell r="C871">
            <v>1</v>
          </cell>
          <cell r="D871">
            <v>51</v>
          </cell>
          <cell r="E871">
            <v>174.508173</v>
          </cell>
          <cell r="F871">
            <v>526.08709399999998</v>
          </cell>
        </row>
        <row r="872">
          <cell r="A872">
            <v>8</v>
          </cell>
          <cell r="B872">
            <v>8716</v>
          </cell>
          <cell r="C872">
            <v>1</v>
          </cell>
          <cell r="D872">
            <v>52</v>
          </cell>
          <cell r="E872">
            <v>9.1331059999999997</v>
          </cell>
          <cell r="F872">
            <v>74.461404000000002</v>
          </cell>
        </row>
        <row r="873">
          <cell r="A873">
            <v>8</v>
          </cell>
          <cell r="B873">
            <v>8721</v>
          </cell>
          <cell r="C873">
            <v>1</v>
          </cell>
          <cell r="D873">
            <v>4</v>
          </cell>
          <cell r="E873">
            <v>-1.1325460000000001</v>
          </cell>
          <cell r="F873">
            <v>-2.752008</v>
          </cell>
        </row>
        <row r="874">
          <cell r="A874">
            <v>8</v>
          </cell>
          <cell r="B874">
            <v>8721</v>
          </cell>
          <cell r="C874">
            <v>1</v>
          </cell>
          <cell r="D874">
            <v>51</v>
          </cell>
          <cell r="E874">
            <v>15.648635000000001</v>
          </cell>
          <cell r="F874">
            <v>48.392985000000003</v>
          </cell>
        </row>
        <row r="875">
          <cell r="A875">
            <v>8</v>
          </cell>
          <cell r="B875">
            <v>8721</v>
          </cell>
          <cell r="C875">
            <v>1</v>
          </cell>
          <cell r="D875">
            <v>52</v>
          </cell>
          <cell r="E875">
            <v>8.3751289999999994</v>
          </cell>
          <cell r="F875">
            <v>20.318908</v>
          </cell>
        </row>
        <row r="876">
          <cell r="A876">
            <v>8</v>
          </cell>
          <cell r="B876">
            <v>8726</v>
          </cell>
          <cell r="C876">
            <v>1</v>
          </cell>
          <cell r="D876">
            <v>4</v>
          </cell>
          <cell r="E876">
            <v>-5.2586130000000004</v>
          </cell>
          <cell r="F876">
            <v>-18.914959</v>
          </cell>
        </row>
        <row r="877">
          <cell r="A877">
            <v>8</v>
          </cell>
          <cell r="B877">
            <v>8726</v>
          </cell>
          <cell r="C877">
            <v>1</v>
          </cell>
          <cell r="D877">
            <v>51</v>
          </cell>
          <cell r="E877">
            <v>63.601399999999998</v>
          </cell>
          <cell r="F877">
            <v>196.894656</v>
          </cell>
        </row>
        <row r="878">
          <cell r="A878">
            <v>8</v>
          </cell>
          <cell r="B878">
            <v>8726</v>
          </cell>
          <cell r="C878">
            <v>1</v>
          </cell>
          <cell r="D878">
            <v>52</v>
          </cell>
          <cell r="E878">
            <v>28.856770999999998</v>
          </cell>
          <cell r="F878">
            <v>71.461510000000004</v>
          </cell>
        </row>
        <row r="879">
          <cell r="A879">
            <v>8</v>
          </cell>
          <cell r="B879">
            <v>8735</v>
          </cell>
          <cell r="C879">
            <v>1</v>
          </cell>
          <cell r="D879">
            <v>4</v>
          </cell>
          <cell r="E879">
            <v>-3.347E-2</v>
          </cell>
          <cell r="F879">
            <v>-5.1549999999999999E-2</v>
          </cell>
        </row>
        <row r="880">
          <cell r="A880">
            <v>8</v>
          </cell>
          <cell r="B880">
            <v>8745</v>
          </cell>
          <cell r="C880">
            <v>1</v>
          </cell>
          <cell r="D880">
            <v>4</v>
          </cell>
          <cell r="E880">
            <v>-2.2378369999999999</v>
          </cell>
          <cell r="F880">
            <v>-11.674288000000001</v>
          </cell>
        </row>
        <row r="881">
          <cell r="A881">
            <v>8</v>
          </cell>
          <cell r="B881">
            <v>8745</v>
          </cell>
          <cell r="C881">
            <v>1</v>
          </cell>
          <cell r="D881">
            <v>51</v>
          </cell>
          <cell r="E881">
            <v>19.755451000000001</v>
          </cell>
          <cell r="F881">
            <v>66.750583000000006</v>
          </cell>
        </row>
        <row r="882">
          <cell r="A882">
            <v>8</v>
          </cell>
          <cell r="B882">
            <v>8745</v>
          </cell>
          <cell r="C882">
            <v>1</v>
          </cell>
          <cell r="D882">
            <v>52</v>
          </cell>
          <cell r="E882">
            <v>14.702428000000001</v>
          </cell>
          <cell r="F882">
            <v>42.788010999999997</v>
          </cell>
        </row>
        <row r="883">
          <cell r="A883">
            <v>8</v>
          </cell>
          <cell r="B883">
            <v>8745</v>
          </cell>
          <cell r="C883">
            <v>1</v>
          </cell>
          <cell r="D883">
            <v>591</v>
          </cell>
          <cell r="E883">
            <v>5.4999999999999997E-3</v>
          </cell>
          <cell r="F883">
            <v>5.4999999999999997E-3</v>
          </cell>
        </row>
        <row r="884">
          <cell r="A884">
            <v>8</v>
          </cell>
          <cell r="B884">
            <v>8751</v>
          </cell>
          <cell r="C884">
            <v>1</v>
          </cell>
          <cell r="D884">
            <v>4</v>
          </cell>
          <cell r="E884">
            <v>-7.8133540000000004</v>
          </cell>
          <cell r="F884">
            <v>-19.821494999999999</v>
          </cell>
        </row>
        <row r="885">
          <cell r="A885">
            <v>8</v>
          </cell>
          <cell r="B885">
            <v>8751</v>
          </cell>
          <cell r="C885">
            <v>1</v>
          </cell>
          <cell r="D885">
            <v>51</v>
          </cell>
          <cell r="E885">
            <v>52.958464999999997</v>
          </cell>
          <cell r="F885">
            <v>162.56673599999999</v>
          </cell>
        </row>
        <row r="886">
          <cell r="A886">
            <v>8</v>
          </cell>
          <cell r="B886">
            <v>8751</v>
          </cell>
          <cell r="C886">
            <v>1</v>
          </cell>
          <cell r="D886">
            <v>52</v>
          </cell>
          <cell r="E886">
            <v>18.643063999999999</v>
          </cell>
          <cell r="F886">
            <v>55.472712999999999</v>
          </cell>
        </row>
        <row r="887">
          <cell r="A887">
            <v>8</v>
          </cell>
          <cell r="B887">
            <v>8756</v>
          </cell>
          <cell r="C887">
            <v>1</v>
          </cell>
          <cell r="D887">
            <v>4</v>
          </cell>
          <cell r="E887">
            <v>-1.8047390000000001</v>
          </cell>
          <cell r="F887">
            <v>-6.3476460000000001</v>
          </cell>
        </row>
        <row r="888">
          <cell r="A888">
            <v>8</v>
          </cell>
          <cell r="B888">
            <v>8756</v>
          </cell>
          <cell r="C888">
            <v>1</v>
          </cell>
          <cell r="D888">
            <v>51</v>
          </cell>
          <cell r="E888">
            <v>29.006568999999999</v>
          </cell>
          <cell r="F888">
            <v>89.167424999999994</v>
          </cell>
        </row>
        <row r="889">
          <cell r="A889">
            <v>8</v>
          </cell>
          <cell r="B889">
            <v>8756</v>
          </cell>
          <cell r="C889">
            <v>1</v>
          </cell>
          <cell r="D889">
            <v>52</v>
          </cell>
          <cell r="E889">
            <v>11.521944999999999</v>
          </cell>
          <cell r="F889">
            <v>32.169201999999999</v>
          </cell>
        </row>
        <row r="890">
          <cell r="A890">
            <v>8</v>
          </cell>
          <cell r="B890">
            <v>8761</v>
          </cell>
          <cell r="C890">
            <v>1</v>
          </cell>
          <cell r="D890">
            <v>4</v>
          </cell>
          <cell r="E890">
            <v>-10.800922999999999</v>
          </cell>
          <cell r="F890">
            <v>-23.622202000000001</v>
          </cell>
        </row>
        <row r="891">
          <cell r="A891">
            <v>8</v>
          </cell>
          <cell r="B891">
            <v>8761</v>
          </cell>
          <cell r="C891">
            <v>1</v>
          </cell>
          <cell r="D891">
            <v>51</v>
          </cell>
          <cell r="E891">
            <v>56.016947000000002</v>
          </cell>
          <cell r="F891">
            <v>171.963874</v>
          </cell>
        </row>
        <row r="892">
          <cell r="A892">
            <v>8</v>
          </cell>
          <cell r="B892">
            <v>8761</v>
          </cell>
          <cell r="C892">
            <v>1</v>
          </cell>
          <cell r="D892">
            <v>52</v>
          </cell>
          <cell r="E892">
            <v>28.800577000000001</v>
          </cell>
          <cell r="F892">
            <v>78.280551000000003</v>
          </cell>
        </row>
        <row r="893">
          <cell r="A893">
            <v>8</v>
          </cell>
          <cell r="B893">
            <v>8777</v>
          </cell>
          <cell r="C893">
            <v>1</v>
          </cell>
          <cell r="D893">
            <v>4</v>
          </cell>
          <cell r="E893">
            <v>-15.479666</v>
          </cell>
          <cell r="F893">
            <v>-51.544927000000001</v>
          </cell>
        </row>
        <row r="894">
          <cell r="A894">
            <v>8</v>
          </cell>
          <cell r="B894">
            <v>8777</v>
          </cell>
          <cell r="C894">
            <v>1</v>
          </cell>
          <cell r="D894">
            <v>51</v>
          </cell>
          <cell r="E894">
            <v>127.660437</v>
          </cell>
          <cell r="F894">
            <v>391.05044600000002</v>
          </cell>
        </row>
        <row r="895">
          <cell r="A895">
            <v>8</v>
          </cell>
          <cell r="B895">
            <v>8777</v>
          </cell>
          <cell r="C895">
            <v>1</v>
          </cell>
          <cell r="D895">
            <v>52</v>
          </cell>
          <cell r="E895">
            <v>45.740915000000001</v>
          </cell>
          <cell r="F895">
            <v>134.29938999999999</v>
          </cell>
        </row>
        <row r="896">
          <cell r="A896">
            <v>8</v>
          </cell>
          <cell r="B896">
            <v>8777</v>
          </cell>
          <cell r="C896">
            <v>1</v>
          </cell>
          <cell r="D896">
            <v>591</v>
          </cell>
          <cell r="E896">
            <v>0.04</v>
          </cell>
          <cell r="F896">
            <v>0.12</v>
          </cell>
        </row>
        <row r="897">
          <cell r="A897">
            <v>8</v>
          </cell>
          <cell r="B897">
            <v>8779</v>
          </cell>
          <cell r="C897">
            <v>1</v>
          </cell>
          <cell r="D897">
            <v>52</v>
          </cell>
          <cell r="E897">
            <v>13.5275</v>
          </cell>
          <cell r="F897">
            <v>39.419499999999999</v>
          </cell>
        </row>
        <row r="898">
          <cell r="A898">
            <v>8</v>
          </cell>
          <cell r="B898">
            <v>8781</v>
          </cell>
          <cell r="C898">
            <v>1</v>
          </cell>
          <cell r="D898">
            <v>4</v>
          </cell>
          <cell r="E898">
            <v>0</v>
          </cell>
          <cell r="F898">
            <v>-2.6260270000000001</v>
          </cell>
        </row>
        <row r="899">
          <cell r="A899">
            <v>8</v>
          </cell>
          <cell r="B899">
            <v>8781</v>
          </cell>
          <cell r="C899">
            <v>1</v>
          </cell>
          <cell r="D899">
            <v>51</v>
          </cell>
          <cell r="E899">
            <v>37.157564000000001</v>
          </cell>
          <cell r="F899">
            <v>120.94804499999999</v>
          </cell>
        </row>
        <row r="900">
          <cell r="A900">
            <v>8</v>
          </cell>
          <cell r="B900">
            <v>8781</v>
          </cell>
          <cell r="C900">
            <v>1</v>
          </cell>
          <cell r="D900">
            <v>52</v>
          </cell>
          <cell r="E900">
            <v>2.492982</v>
          </cell>
          <cell r="F900">
            <v>21.075793999999998</v>
          </cell>
        </row>
        <row r="901">
          <cell r="A901">
            <v>8</v>
          </cell>
          <cell r="B901">
            <v>8787</v>
          </cell>
          <cell r="C901">
            <v>1</v>
          </cell>
          <cell r="D901">
            <v>4</v>
          </cell>
          <cell r="E901">
            <v>-21.459254000000001</v>
          </cell>
          <cell r="F901">
            <v>-69.495804000000007</v>
          </cell>
        </row>
        <row r="902">
          <cell r="A902">
            <v>8</v>
          </cell>
          <cell r="B902">
            <v>8787</v>
          </cell>
          <cell r="C902">
            <v>1</v>
          </cell>
          <cell r="D902">
            <v>51</v>
          </cell>
          <cell r="E902">
            <v>134.489721</v>
          </cell>
          <cell r="F902">
            <v>420.30465500000003</v>
          </cell>
        </row>
        <row r="903">
          <cell r="A903">
            <v>8</v>
          </cell>
          <cell r="B903">
            <v>8787</v>
          </cell>
          <cell r="C903">
            <v>1</v>
          </cell>
          <cell r="D903">
            <v>52</v>
          </cell>
          <cell r="E903">
            <v>39.923738999999998</v>
          </cell>
          <cell r="F903">
            <v>133.43271799999999</v>
          </cell>
        </row>
        <row r="904">
          <cell r="A904">
            <v>8</v>
          </cell>
          <cell r="B904">
            <v>8787</v>
          </cell>
          <cell r="C904">
            <v>1</v>
          </cell>
          <cell r="D904">
            <v>591</v>
          </cell>
          <cell r="E904">
            <v>2.5000000000000001E-2</v>
          </cell>
          <cell r="F904">
            <v>2.5000000000000001E-2</v>
          </cell>
        </row>
        <row r="905">
          <cell r="A905">
            <v>8</v>
          </cell>
          <cell r="B905">
            <v>8791</v>
          </cell>
          <cell r="C905">
            <v>1</v>
          </cell>
          <cell r="D905">
            <v>4</v>
          </cell>
          <cell r="E905">
            <v>-9.7086310000000005</v>
          </cell>
          <cell r="F905">
            <v>-33.528385</v>
          </cell>
        </row>
        <row r="906">
          <cell r="A906">
            <v>8</v>
          </cell>
          <cell r="B906">
            <v>8791</v>
          </cell>
          <cell r="C906">
            <v>1</v>
          </cell>
          <cell r="D906">
            <v>51</v>
          </cell>
          <cell r="E906">
            <v>114.482145</v>
          </cell>
          <cell r="F906">
            <v>346.262787</v>
          </cell>
        </row>
        <row r="907">
          <cell r="A907">
            <v>8</v>
          </cell>
          <cell r="B907">
            <v>8791</v>
          </cell>
          <cell r="C907">
            <v>1</v>
          </cell>
          <cell r="D907">
            <v>52</v>
          </cell>
          <cell r="E907">
            <v>10.424542000000001</v>
          </cell>
          <cell r="F907">
            <v>80.425183000000004</v>
          </cell>
        </row>
        <row r="908">
          <cell r="A908">
            <v>8</v>
          </cell>
          <cell r="B908">
            <v>8795</v>
          </cell>
          <cell r="C908">
            <v>1</v>
          </cell>
          <cell r="D908">
            <v>4</v>
          </cell>
          <cell r="E908">
            <v>-7.2458739999999997</v>
          </cell>
          <cell r="F908">
            <v>-24.571725000000001</v>
          </cell>
        </row>
        <row r="909">
          <cell r="A909">
            <v>8</v>
          </cell>
          <cell r="B909">
            <v>8795</v>
          </cell>
          <cell r="C909">
            <v>1</v>
          </cell>
          <cell r="D909">
            <v>51</v>
          </cell>
          <cell r="E909">
            <v>74.286867000000001</v>
          </cell>
          <cell r="F909">
            <v>220.673832</v>
          </cell>
        </row>
        <row r="910">
          <cell r="A910">
            <v>8</v>
          </cell>
          <cell r="B910">
            <v>8795</v>
          </cell>
          <cell r="C910">
            <v>1</v>
          </cell>
          <cell r="D910">
            <v>52</v>
          </cell>
          <cell r="E910">
            <v>29.026907999999999</v>
          </cell>
          <cell r="F910">
            <v>114.727675</v>
          </cell>
        </row>
        <row r="911">
          <cell r="A911">
            <v>9</v>
          </cell>
          <cell r="B911">
            <v>9101</v>
          </cell>
          <cell r="C911">
            <v>1</v>
          </cell>
          <cell r="D911">
            <v>4</v>
          </cell>
          <cell r="E911">
            <v>-0.164968</v>
          </cell>
          <cell r="F911">
            <v>-21.163467000000001</v>
          </cell>
        </row>
        <row r="912">
          <cell r="A912">
            <v>9</v>
          </cell>
          <cell r="B912">
            <v>9101</v>
          </cell>
          <cell r="C912">
            <v>1</v>
          </cell>
          <cell r="D912">
            <v>51</v>
          </cell>
          <cell r="E912">
            <v>36.545895000000002</v>
          </cell>
          <cell r="F912">
            <v>111.53002499999999</v>
          </cell>
        </row>
        <row r="913">
          <cell r="A913">
            <v>9</v>
          </cell>
          <cell r="B913">
            <v>9101</v>
          </cell>
          <cell r="C913">
            <v>1</v>
          </cell>
          <cell r="D913">
            <v>52</v>
          </cell>
          <cell r="E913">
            <v>7.9068160000000001</v>
          </cell>
          <cell r="F913">
            <v>27.704025000000001</v>
          </cell>
        </row>
        <row r="914">
          <cell r="A914">
            <v>9</v>
          </cell>
          <cell r="B914">
            <v>9103</v>
          </cell>
          <cell r="C914">
            <v>1</v>
          </cell>
          <cell r="D914">
            <v>4</v>
          </cell>
          <cell r="E914">
            <v>-1.4E-2</v>
          </cell>
          <cell r="F914">
            <v>-8.3000000000000004E-2</v>
          </cell>
        </row>
        <row r="915">
          <cell r="A915">
            <v>9</v>
          </cell>
          <cell r="B915">
            <v>9103</v>
          </cell>
          <cell r="C915">
            <v>1</v>
          </cell>
          <cell r="D915">
            <v>51</v>
          </cell>
          <cell r="E915">
            <v>36.717989000000003</v>
          </cell>
          <cell r="F915">
            <v>111.046718</v>
          </cell>
        </row>
        <row r="916">
          <cell r="A916">
            <v>9</v>
          </cell>
          <cell r="B916">
            <v>9103</v>
          </cell>
          <cell r="C916">
            <v>1</v>
          </cell>
          <cell r="D916">
            <v>52</v>
          </cell>
          <cell r="E916">
            <v>167.50312</v>
          </cell>
          <cell r="F916">
            <v>289.03666399999997</v>
          </cell>
        </row>
        <row r="917">
          <cell r="A917">
            <v>9</v>
          </cell>
          <cell r="B917">
            <v>9103</v>
          </cell>
          <cell r="C917">
            <v>6</v>
          </cell>
          <cell r="D917">
            <v>52</v>
          </cell>
          <cell r="E917">
            <v>0</v>
          </cell>
          <cell r="F917">
            <v>0.67375399999999996</v>
          </cell>
        </row>
        <row r="918">
          <cell r="A918">
            <v>9</v>
          </cell>
          <cell r="B918">
            <v>9203</v>
          </cell>
          <cell r="C918">
            <v>1</v>
          </cell>
          <cell r="D918">
            <v>52</v>
          </cell>
          <cell r="E918">
            <v>-1.2472E-2</v>
          </cell>
          <cell r="F918">
            <v>0</v>
          </cell>
        </row>
        <row r="919">
          <cell r="A919">
            <v>9</v>
          </cell>
          <cell r="B919">
            <v>9207</v>
          </cell>
          <cell r="C919">
            <v>1</v>
          </cell>
          <cell r="D919">
            <v>52</v>
          </cell>
          <cell r="E919">
            <v>0</v>
          </cell>
          <cell r="F919">
            <v>0</v>
          </cell>
        </row>
        <row r="920">
          <cell r="A920">
            <v>9</v>
          </cell>
          <cell r="B920">
            <v>9210</v>
          </cell>
          <cell r="C920">
            <v>1</v>
          </cell>
          <cell r="D920">
            <v>4</v>
          </cell>
          <cell r="E920">
            <v>-3.9681959999999998</v>
          </cell>
          <cell r="F920">
            <v>-14.144961</v>
          </cell>
        </row>
        <row r="921">
          <cell r="A921">
            <v>9</v>
          </cell>
          <cell r="B921">
            <v>9210</v>
          </cell>
          <cell r="C921">
            <v>1</v>
          </cell>
          <cell r="D921">
            <v>51</v>
          </cell>
          <cell r="E921">
            <v>130.0112</v>
          </cell>
          <cell r="F921">
            <v>388.91574000000003</v>
          </cell>
        </row>
        <row r="922">
          <cell r="A922">
            <v>9</v>
          </cell>
          <cell r="B922">
            <v>9210</v>
          </cell>
          <cell r="C922">
            <v>1</v>
          </cell>
          <cell r="D922">
            <v>52</v>
          </cell>
          <cell r="E922">
            <v>43.728608000000001</v>
          </cell>
          <cell r="F922">
            <v>202.25381900000002</v>
          </cell>
        </row>
        <row r="923">
          <cell r="A923">
            <v>9</v>
          </cell>
          <cell r="B923">
            <v>9210</v>
          </cell>
          <cell r="C923">
            <v>1</v>
          </cell>
          <cell r="D923">
            <v>591</v>
          </cell>
          <cell r="E923">
            <v>0.06</v>
          </cell>
          <cell r="F923">
            <v>6.3E-2</v>
          </cell>
        </row>
        <row r="924">
          <cell r="A924">
            <v>9</v>
          </cell>
          <cell r="B924">
            <v>9210</v>
          </cell>
          <cell r="C924">
            <v>6</v>
          </cell>
          <cell r="D924">
            <v>52</v>
          </cell>
          <cell r="E924">
            <v>5.2240399999999996</v>
          </cell>
          <cell r="F924">
            <v>5.7763479999999996</v>
          </cell>
        </row>
        <row r="925">
          <cell r="A925">
            <v>9</v>
          </cell>
          <cell r="B925">
            <v>9212</v>
          </cell>
          <cell r="C925">
            <v>1</v>
          </cell>
          <cell r="D925">
            <v>52</v>
          </cell>
          <cell r="E925">
            <v>0</v>
          </cell>
          <cell r="F925">
            <v>0.66744700000000001</v>
          </cell>
        </row>
        <row r="926">
          <cell r="A926">
            <v>9</v>
          </cell>
          <cell r="B926">
            <v>9214</v>
          </cell>
          <cell r="C926">
            <v>1</v>
          </cell>
          <cell r="D926">
            <v>51</v>
          </cell>
          <cell r="E926">
            <v>6.7808190000000002</v>
          </cell>
          <cell r="F926">
            <v>20.149684000000001</v>
          </cell>
        </row>
        <row r="927">
          <cell r="A927">
            <v>9</v>
          </cell>
          <cell r="B927">
            <v>9214</v>
          </cell>
          <cell r="C927">
            <v>1</v>
          </cell>
          <cell r="D927">
            <v>52</v>
          </cell>
          <cell r="E927">
            <v>2.2399200000000001</v>
          </cell>
          <cell r="F927">
            <v>6.6267719999999999</v>
          </cell>
        </row>
        <row r="928">
          <cell r="A928">
            <v>9</v>
          </cell>
          <cell r="B928">
            <v>9215</v>
          </cell>
          <cell r="C928">
            <v>1</v>
          </cell>
          <cell r="D928">
            <v>51</v>
          </cell>
          <cell r="E928">
            <v>11.319125</v>
          </cell>
          <cell r="F928">
            <v>33.902025000000002</v>
          </cell>
        </row>
        <row r="929">
          <cell r="A929">
            <v>9</v>
          </cell>
          <cell r="B929">
            <v>9215</v>
          </cell>
          <cell r="C929">
            <v>1</v>
          </cell>
          <cell r="D929">
            <v>52</v>
          </cell>
          <cell r="E929">
            <v>1.5737300000000001</v>
          </cell>
          <cell r="F929">
            <v>5.0778150000000002</v>
          </cell>
        </row>
        <row r="930">
          <cell r="A930">
            <v>9</v>
          </cell>
          <cell r="B930">
            <v>9215</v>
          </cell>
          <cell r="C930">
            <v>1</v>
          </cell>
          <cell r="D930">
            <v>591</v>
          </cell>
          <cell r="E930">
            <v>0</v>
          </cell>
          <cell r="F930">
            <v>1.4999999999999999E-2</v>
          </cell>
        </row>
        <row r="931">
          <cell r="A931">
            <v>9</v>
          </cell>
          <cell r="B931">
            <v>9250</v>
          </cell>
          <cell r="C931">
            <v>1</v>
          </cell>
          <cell r="D931">
            <v>4</v>
          </cell>
          <cell r="E931">
            <v>-10.560314</v>
          </cell>
          <cell r="F931">
            <v>-25.279875000000001</v>
          </cell>
        </row>
        <row r="932">
          <cell r="A932">
            <v>9</v>
          </cell>
          <cell r="B932">
            <v>9250</v>
          </cell>
          <cell r="C932">
            <v>1</v>
          </cell>
          <cell r="D932">
            <v>52</v>
          </cell>
          <cell r="E932">
            <v>44.691240999999998</v>
          </cell>
          <cell r="F932">
            <v>133.733791</v>
          </cell>
        </row>
        <row r="933">
          <cell r="A933">
            <v>9</v>
          </cell>
          <cell r="B933">
            <v>9262</v>
          </cell>
          <cell r="C933">
            <v>1</v>
          </cell>
          <cell r="D933">
            <v>4</v>
          </cell>
          <cell r="E933">
            <v>-6.7314439999999998</v>
          </cell>
          <cell r="F933">
            <v>-16.951428</v>
          </cell>
        </row>
        <row r="934">
          <cell r="A934">
            <v>9</v>
          </cell>
          <cell r="B934">
            <v>9262</v>
          </cell>
          <cell r="C934">
            <v>1</v>
          </cell>
          <cell r="D934">
            <v>51</v>
          </cell>
          <cell r="E934">
            <v>101.574766</v>
          </cell>
          <cell r="F934">
            <v>314.91345699999999</v>
          </cell>
        </row>
        <row r="935">
          <cell r="A935">
            <v>9</v>
          </cell>
          <cell r="B935">
            <v>9262</v>
          </cell>
          <cell r="C935">
            <v>1</v>
          </cell>
          <cell r="D935">
            <v>52</v>
          </cell>
          <cell r="E935">
            <v>50.899064000000003</v>
          </cell>
          <cell r="F935">
            <v>136.76096700000002</v>
          </cell>
        </row>
        <row r="936">
          <cell r="A936">
            <v>9</v>
          </cell>
          <cell r="B936">
            <v>9381</v>
          </cell>
          <cell r="C936">
            <v>1</v>
          </cell>
          <cell r="D936">
            <v>51</v>
          </cell>
          <cell r="E936">
            <v>664.97201600000005</v>
          </cell>
          <cell r="F936">
            <v>1955.7456589999999</v>
          </cell>
        </row>
        <row r="937">
          <cell r="A937">
            <v>9</v>
          </cell>
          <cell r="B937">
            <v>9381</v>
          </cell>
          <cell r="C937">
            <v>1</v>
          </cell>
          <cell r="D937">
            <v>52</v>
          </cell>
          <cell r="E937">
            <v>0</v>
          </cell>
          <cell r="F937">
            <v>6.1594000000000003E-2</v>
          </cell>
        </row>
        <row r="938">
          <cell r="A938">
            <v>9</v>
          </cell>
          <cell r="B938">
            <v>9381</v>
          </cell>
          <cell r="C938">
            <v>1</v>
          </cell>
          <cell r="D938">
            <v>591</v>
          </cell>
          <cell r="E938">
            <v>18.775551</v>
          </cell>
          <cell r="F938">
            <v>56.486823000000001</v>
          </cell>
        </row>
        <row r="939">
          <cell r="A939">
            <v>9</v>
          </cell>
          <cell r="B939">
            <v>9721</v>
          </cell>
          <cell r="C939">
            <v>1</v>
          </cell>
          <cell r="D939">
            <v>52</v>
          </cell>
          <cell r="E939">
            <v>425.48391800000002</v>
          </cell>
          <cell r="F939">
            <v>801.01761799999997</v>
          </cell>
        </row>
        <row r="940">
          <cell r="A940">
            <v>9</v>
          </cell>
          <cell r="B940">
            <v>9811</v>
          </cell>
          <cell r="C940">
            <v>1</v>
          </cell>
          <cell r="D940">
            <v>591</v>
          </cell>
          <cell r="E940">
            <v>20.953185000000001</v>
          </cell>
          <cell r="F940">
            <v>2437.7432650000001</v>
          </cell>
        </row>
        <row r="941">
          <cell r="A941">
            <v>9</v>
          </cell>
          <cell r="B941">
            <v>9821</v>
          </cell>
          <cell r="C941">
            <v>1</v>
          </cell>
          <cell r="D941">
            <v>591</v>
          </cell>
          <cell r="E941">
            <v>12.663511</v>
          </cell>
          <cell r="F941">
            <v>104.021868</v>
          </cell>
        </row>
        <row r="942">
          <cell r="A942">
            <v>9</v>
          </cell>
          <cell r="B942">
            <v>9831</v>
          </cell>
          <cell r="C942">
            <v>1</v>
          </cell>
          <cell r="D942">
            <v>591</v>
          </cell>
          <cell r="E942">
            <v>0</v>
          </cell>
          <cell r="F942">
            <v>3.8710000000000001E-2</v>
          </cell>
        </row>
        <row r="943">
          <cell r="A943">
            <v>9</v>
          </cell>
          <cell r="B943">
            <v>9901</v>
          </cell>
          <cell r="C943">
            <v>1</v>
          </cell>
          <cell r="D943">
            <v>4</v>
          </cell>
          <cell r="E943">
            <v>-22.923055999999999</v>
          </cell>
          <cell r="F943">
            <v>-63.155512000000002</v>
          </cell>
        </row>
        <row r="944">
          <cell r="A944">
            <v>9</v>
          </cell>
          <cell r="B944">
            <v>9901</v>
          </cell>
          <cell r="C944">
            <v>1</v>
          </cell>
          <cell r="D944">
            <v>51</v>
          </cell>
          <cell r="E944">
            <v>12.220468</v>
          </cell>
          <cell r="F944">
            <v>37.630979000000004</v>
          </cell>
        </row>
        <row r="945">
          <cell r="A945">
            <v>9</v>
          </cell>
          <cell r="B945">
            <v>9901</v>
          </cell>
          <cell r="C945">
            <v>1</v>
          </cell>
          <cell r="D945">
            <v>52</v>
          </cell>
          <cell r="E945">
            <v>9.3696809999999999</v>
          </cell>
          <cell r="F945">
            <v>16.662714000000001</v>
          </cell>
        </row>
        <row r="946">
          <cell r="A946">
            <v>9</v>
          </cell>
          <cell r="B946">
            <v>9901</v>
          </cell>
          <cell r="C946">
            <v>1</v>
          </cell>
          <cell r="D946">
            <v>591</v>
          </cell>
          <cell r="E946">
            <v>0.1</v>
          </cell>
          <cell r="F946">
            <v>0.1</v>
          </cell>
        </row>
        <row r="947">
          <cell r="A947">
            <v>9</v>
          </cell>
          <cell r="B947">
            <v>9905</v>
          </cell>
          <cell r="C947">
            <v>1</v>
          </cell>
          <cell r="D947">
            <v>4</v>
          </cell>
          <cell r="E947">
            <v>-30.105551999999999</v>
          </cell>
          <cell r="F947">
            <v>-119.786401</v>
          </cell>
        </row>
        <row r="948">
          <cell r="A948">
            <v>9</v>
          </cell>
          <cell r="B948">
            <v>9905</v>
          </cell>
          <cell r="C948">
            <v>1</v>
          </cell>
          <cell r="D948">
            <v>51</v>
          </cell>
          <cell r="E948">
            <v>11.01305</v>
          </cell>
          <cell r="F948">
            <v>33.151406999999999</v>
          </cell>
        </row>
        <row r="949">
          <cell r="A949">
            <v>9</v>
          </cell>
          <cell r="B949">
            <v>9905</v>
          </cell>
          <cell r="C949">
            <v>1</v>
          </cell>
          <cell r="D949">
            <v>52</v>
          </cell>
          <cell r="E949">
            <v>18.945423000000002</v>
          </cell>
          <cell r="F949">
            <v>92.197665999999998</v>
          </cell>
        </row>
        <row r="950">
          <cell r="A950">
            <v>9</v>
          </cell>
          <cell r="B950">
            <v>9905</v>
          </cell>
          <cell r="C950">
            <v>1</v>
          </cell>
          <cell r="D950">
            <v>591</v>
          </cell>
          <cell r="E950">
            <v>2.5000000000000001E-2</v>
          </cell>
          <cell r="F950">
            <v>9.9000000000000005E-2</v>
          </cell>
        </row>
        <row r="951">
          <cell r="A951">
            <v>9</v>
          </cell>
          <cell r="B951">
            <v>9971</v>
          </cell>
          <cell r="C951">
            <v>6</v>
          </cell>
          <cell r="D951">
            <v>52</v>
          </cell>
          <cell r="E951">
            <v>252.119912</v>
          </cell>
          <cell r="F951">
            <v>992.07308</v>
          </cell>
        </row>
        <row r="952">
          <cell r="A952">
            <v>9</v>
          </cell>
          <cell r="B952">
            <v>9976</v>
          </cell>
          <cell r="C952">
            <v>1</v>
          </cell>
          <cell r="D952">
            <v>52</v>
          </cell>
          <cell r="E952">
            <v>0</v>
          </cell>
          <cell r="F952">
            <v>7.6464790000000002</v>
          </cell>
        </row>
        <row r="953">
          <cell r="A953">
            <v>9</v>
          </cell>
          <cell r="B953">
            <v>9977</v>
          </cell>
          <cell r="C953">
            <v>1</v>
          </cell>
          <cell r="D953">
            <v>51</v>
          </cell>
          <cell r="E953">
            <v>2.7761749999999998</v>
          </cell>
          <cell r="F953">
            <v>2.7761749999999998</v>
          </cell>
        </row>
        <row r="954">
          <cell r="A954">
            <v>9</v>
          </cell>
          <cell r="B954">
            <v>9977</v>
          </cell>
          <cell r="C954">
            <v>1</v>
          </cell>
          <cell r="D954">
            <v>52</v>
          </cell>
          <cell r="E954">
            <v>2.1017000000000001E-2</v>
          </cell>
          <cell r="F954">
            <v>1.981525</v>
          </cell>
        </row>
        <row r="955">
          <cell r="A955">
            <v>9</v>
          </cell>
          <cell r="B955">
            <v>9980</v>
          </cell>
          <cell r="C955">
            <v>1</v>
          </cell>
          <cell r="D955">
            <v>4</v>
          </cell>
          <cell r="E955">
            <v>-19.027688999999999</v>
          </cell>
          <cell r="F955">
            <v>-61.412427000000001</v>
          </cell>
        </row>
        <row r="956">
          <cell r="A956">
            <v>9</v>
          </cell>
          <cell r="B956">
            <v>9980</v>
          </cell>
          <cell r="C956">
            <v>1</v>
          </cell>
          <cell r="D956">
            <v>51</v>
          </cell>
          <cell r="E956">
            <v>8.2369830000000004</v>
          </cell>
          <cell r="F956">
            <v>24.953956999999999</v>
          </cell>
        </row>
        <row r="957">
          <cell r="A957">
            <v>9</v>
          </cell>
          <cell r="B957">
            <v>9980</v>
          </cell>
          <cell r="C957">
            <v>1</v>
          </cell>
          <cell r="D957">
            <v>52</v>
          </cell>
          <cell r="E957">
            <v>12.203275999999999</v>
          </cell>
          <cell r="F957">
            <v>34.540509999999998</v>
          </cell>
        </row>
        <row r="958">
          <cell r="A958">
            <v>9</v>
          </cell>
          <cell r="B958">
            <v>9980</v>
          </cell>
          <cell r="C958">
            <v>6</v>
          </cell>
          <cell r="D958">
            <v>52</v>
          </cell>
          <cell r="E958">
            <v>0.93985200000000002</v>
          </cell>
          <cell r="F958">
            <v>0.93985200000000002</v>
          </cell>
        </row>
        <row r="959">
          <cell r="A959">
            <v>9</v>
          </cell>
          <cell r="B959">
            <v>9981</v>
          </cell>
          <cell r="C959">
            <v>6</v>
          </cell>
          <cell r="D959">
            <v>52</v>
          </cell>
          <cell r="E959">
            <v>6.1245979999999998</v>
          </cell>
          <cell r="F959">
            <v>17.056747999999999</v>
          </cell>
        </row>
        <row r="960">
          <cell r="A960">
            <v>9</v>
          </cell>
          <cell r="B960">
            <v>9984</v>
          </cell>
          <cell r="C960">
            <v>1</v>
          </cell>
          <cell r="D960">
            <v>4</v>
          </cell>
          <cell r="E960">
            <v>-237.80121800000001</v>
          </cell>
          <cell r="F960">
            <v>-838.52390600000001</v>
          </cell>
        </row>
        <row r="961">
          <cell r="A961">
            <v>9</v>
          </cell>
          <cell r="B961">
            <v>9984</v>
          </cell>
          <cell r="C961">
            <v>1</v>
          </cell>
          <cell r="D961">
            <v>51</v>
          </cell>
          <cell r="E961">
            <v>6.7142879999999998</v>
          </cell>
          <cell r="F961">
            <v>19.733125000000001</v>
          </cell>
        </row>
        <row r="962">
          <cell r="A962">
            <v>9</v>
          </cell>
          <cell r="B962">
            <v>9984</v>
          </cell>
          <cell r="C962">
            <v>1</v>
          </cell>
          <cell r="D962">
            <v>52</v>
          </cell>
          <cell r="E962">
            <v>81.410219999999995</v>
          </cell>
          <cell r="F962">
            <v>644.68231300000002</v>
          </cell>
        </row>
        <row r="963">
          <cell r="A963">
            <v>9</v>
          </cell>
          <cell r="B963">
            <v>9984</v>
          </cell>
          <cell r="C963">
            <v>5</v>
          </cell>
          <cell r="D963">
            <v>52</v>
          </cell>
          <cell r="E963">
            <v>169.074029</v>
          </cell>
          <cell r="F963">
            <v>427.59987799999999</v>
          </cell>
        </row>
        <row r="964">
          <cell r="A964">
            <v>9</v>
          </cell>
          <cell r="B964">
            <v>9991</v>
          </cell>
          <cell r="C964">
            <v>1</v>
          </cell>
          <cell r="D964">
            <v>591</v>
          </cell>
          <cell r="E964">
            <v>-2.6599999999999999E-2</v>
          </cell>
          <cell r="F964">
            <v>14.299524</v>
          </cell>
        </row>
        <row r="965">
          <cell r="A965">
            <v>9</v>
          </cell>
          <cell r="B965">
            <v>9994</v>
          </cell>
          <cell r="C965">
            <v>1</v>
          </cell>
          <cell r="D965">
            <v>52</v>
          </cell>
          <cell r="E965">
            <v>9.6844020000000004</v>
          </cell>
          <cell r="F965">
            <v>16.376473000000001</v>
          </cell>
        </row>
        <row r="966">
          <cell r="A966">
            <v>9</v>
          </cell>
          <cell r="B966">
            <v>9999</v>
          </cell>
          <cell r="C966">
            <v>1</v>
          </cell>
          <cell r="D966">
            <v>4</v>
          </cell>
          <cell r="E966">
            <v>-1.9950000000000001</v>
          </cell>
          <cell r="F966">
            <v>-12.751892</v>
          </cell>
        </row>
        <row r="967">
          <cell r="A967">
            <v>9</v>
          </cell>
          <cell r="B967">
            <v>9999</v>
          </cell>
          <cell r="C967">
            <v>1</v>
          </cell>
          <cell r="D967">
            <v>51</v>
          </cell>
          <cell r="E967">
            <v>10.537291</v>
          </cell>
          <cell r="F967">
            <v>19.689869999999999</v>
          </cell>
        </row>
        <row r="968">
          <cell r="A968">
            <v>9</v>
          </cell>
          <cell r="B968">
            <v>9999</v>
          </cell>
          <cell r="C968">
            <v>1</v>
          </cell>
          <cell r="D968">
            <v>52</v>
          </cell>
          <cell r="E968">
            <v>126.723022</v>
          </cell>
          <cell r="F968">
            <v>269.93860900000004</v>
          </cell>
        </row>
        <row r="969">
          <cell r="A969">
            <v>9</v>
          </cell>
          <cell r="B969">
            <v>9999</v>
          </cell>
          <cell r="C969">
            <v>1</v>
          </cell>
          <cell r="D969">
            <v>591</v>
          </cell>
          <cell r="E969">
            <v>30.523076</v>
          </cell>
          <cell r="F969">
            <v>370.008599</v>
          </cell>
        </row>
        <row r="970">
          <cell r="A970">
            <v>9</v>
          </cell>
          <cell r="B970">
            <v>9999</v>
          </cell>
          <cell r="C970">
            <v>6</v>
          </cell>
          <cell r="D970">
            <v>52</v>
          </cell>
          <cell r="E970">
            <v>0</v>
          </cell>
          <cell r="F970">
            <v>5.0205E-2</v>
          </cell>
        </row>
        <row r="971">
          <cell r="A971">
            <v>10</v>
          </cell>
          <cell r="B971">
            <v>10101</v>
          </cell>
          <cell r="C971">
            <v>1</v>
          </cell>
          <cell r="D971">
            <v>4</v>
          </cell>
          <cell r="E971">
            <v>0</v>
          </cell>
          <cell r="F971">
            <v>-0.4</v>
          </cell>
        </row>
        <row r="972">
          <cell r="A972">
            <v>10</v>
          </cell>
          <cell r="B972">
            <v>10101</v>
          </cell>
          <cell r="C972">
            <v>1</v>
          </cell>
          <cell r="D972">
            <v>51</v>
          </cell>
          <cell r="E972">
            <v>20.779906</v>
          </cell>
          <cell r="F972">
            <v>62.486148</v>
          </cell>
        </row>
        <row r="973">
          <cell r="A973">
            <v>10</v>
          </cell>
          <cell r="B973">
            <v>10101</v>
          </cell>
          <cell r="C973">
            <v>1</v>
          </cell>
          <cell r="D973">
            <v>52</v>
          </cell>
          <cell r="E973">
            <v>9.333793</v>
          </cell>
          <cell r="F973">
            <v>25.315422999999999</v>
          </cell>
        </row>
        <row r="974">
          <cell r="A974">
            <v>10</v>
          </cell>
          <cell r="B974">
            <v>10101</v>
          </cell>
          <cell r="C974">
            <v>1</v>
          </cell>
          <cell r="D974">
            <v>591</v>
          </cell>
          <cell r="E974">
            <v>0.02</v>
          </cell>
          <cell r="F974">
            <v>0.14000000000000001</v>
          </cell>
        </row>
        <row r="975">
          <cell r="A975">
            <v>10</v>
          </cell>
          <cell r="B975">
            <v>10190</v>
          </cell>
          <cell r="C975">
            <v>1</v>
          </cell>
          <cell r="D975">
            <v>51</v>
          </cell>
          <cell r="E975">
            <v>0.77887399999999996</v>
          </cell>
          <cell r="F975">
            <v>2.5850399999999998</v>
          </cell>
        </row>
        <row r="976">
          <cell r="A976">
            <v>10</v>
          </cell>
          <cell r="B976">
            <v>10190</v>
          </cell>
          <cell r="C976">
            <v>1</v>
          </cell>
          <cell r="D976">
            <v>52</v>
          </cell>
          <cell r="E976">
            <v>5.4627000000000002E-2</v>
          </cell>
          <cell r="F976">
            <v>2.2041339999999998</v>
          </cell>
        </row>
        <row r="977">
          <cell r="A977">
            <v>10</v>
          </cell>
          <cell r="B977">
            <v>10190</v>
          </cell>
          <cell r="C977">
            <v>1</v>
          </cell>
          <cell r="D977">
            <v>591</v>
          </cell>
          <cell r="E977">
            <v>4.7736000000000001</v>
          </cell>
          <cell r="F977">
            <v>13.5252</v>
          </cell>
        </row>
        <row r="978">
          <cell r="A978">
            <v>10</v>
          </cell>
          <cell r="B978">
            <v>10211</v>
          </cell>
          <cell r="C978">
            <v>1</v>
          </cell>
          <cell r="D978">
            <v>4</v>
          </cell>
          <cell r="E978">
            <v>-601.98894800000005</v>
          </cell>
          <cell r="F978">
            <v>-1698.5863019999999</v>
          </cell>
        </row>
        <row r="979">
          <cell r="A979">
            <v>10</v>
          </cell>
          <cell r="B979">
            <v>10211</v>
          </cell>
          <cell r="C979">
            <v>1</v>
          </cell>
          <cell r="D979">
            <v>51</v>
          </cell>
          <cell r="E979">
            <v>177.867366</v>
          </cell>
          <cell r="F979">
            <v>531.37117699999999</v>
          </cell>
        </row>
        <row r="980">
          <cell r="A980">
            <v>10</v>
          </cell>
          <cell r="B980">
            <v>10211</v>
          </cell>
          <cell r="C980">
            <v>1</v>
          </cell>
          <cell r="D980">
            <v>52</v>
          </cell>
          <cell r="E980">
            <v>469.07868999999999</v>
          </cell>
          <cell r="F980">
            <v>1302.6008919999999</v>
          </cell>
        </row>
        <row r="981">
          <cell r="A981">
            <v>10</v>
          </cell>
          <cell r="B981">
            <v>10211</v>
          </cell>
          <cell r="C981">
            <v>1</v>
          </cell>
          <cell r="D981">
            <v>591</v>
          </cell>
          <cell r="E981">
            <v>1.5312969999999999</v>
          </cell>
          <cell r="F981">
            <v>5.131297</v>
          </cell>
        </row>
        <row r="982">
          <cell r="A982">
            <v>10</v>
          </cell>
          <cell r="B982">
            <v>10212</v>
          </cell>
          <cell r="C982">
            <v>1</v>
          </cell>
          <cell r="D982">
            <v>4</v>
          </cell>
          <cell r="E982">
            <v>-0.92706100000000002</v>
          </cell>
          <cell r="F982">
            <v>-2.922202</v>
          </cell>
        </row>
        <row r="983">
          <cell r="A983">
            <v>10</v>
          </cell>
          <cell r="B983">
            <v>10212</v>
          </cell>
          <cell r="C983">
            <v>1</v>
          </cell>
          <cell r="D983">
            <v>52</v>
          </cell>
          <cell r="E983">
            <v>362.94090399999999</v>
          </cell>
          <cell r="F983">
            <v>827.05644500000005</v>
          </cell>
        </row>
        <row r="984">
          <cell r="A984">
            <v>10</v>
          </cell>
          <cell r="B984">
            <v>10212</v>
          </cell>
          <cell r="C984">
            <v>1</v>
          </cell>
          <cell r="D984">
            <v>591</v>
          </cell>
          <cell r="E984">
            <v>161.98810399999999</v>
          </cell>
          <cell r="F984">
            <v>380.35648800000001</v>
          </cell>
        </row>
        <row r="985">
          <cell r="A985">
            <v>10</v>
          </cell>
          <cell r="B985">
            <v>10212</v>
          </cell>
          <cell r="C985">
            <v>5</v>
          </cell>
          <cell r="D985">
            <v>52</v>
          </cell>
          <cell r="E985">
            <v>31.251187000000002</v>
          </cell>
          <cell r="F985">
            <v>86.769469000000001</v>
          </cell>
        </row>
        <row r="986">
          <cell r="A986">
            <v>10</v>
          </cell>
          <cell r="B986">
            <v>10212</v>
          </cell>
          <cell r="C986">
            <v>5</v>
          </cell>
          <cell r="D986">
            <v>591</v>
          </cell>
          <cell r="E986">
            <v>5</v>
          </cell>
          <cell r="F986">
            <v>5.5</v>
          </cell>
        </row>
        <row r="987">
          <cell r="A987">
            <v>10</v>
          </cell>
          <cell r="B987">
            <v>10212</v>
          </cell>
          <cell r="C987">
            <v>6</v>
          </cell>
          <cell r="D987">
            <v>4</v>
          </cell>
          <cell r="E987">
            <v>-6.0000000000000001E-3</v>
          </cell>
          <cell r="F987">
            <v>-12.900373</v>
          </cell>
        </row>
        <row r="988">
          <cell r="A988">
            <v>10</v>
          </cell>
          <cell r="B988">
            <v>10212</v>
          </cell>
          <cell r="C988">
            <v>6</v>
          </cell>
          <cell r="D988">
            <v>52</v>
          </cell>
          <cell r="E988">
            <v>791.72032999999999</v>
          </cell>
          <cell r="F988">
            <v>1851.9371510000001</v>
          </cell>
        </row>
        <row r="989">
          <cell r="A989">
            <v>10</v>
          </cell>
          <cell r="B989">
            <v>10212</v>
          </cell>
          <cell r="C989">
            <v>6</v>
          </cell>
          <cell r="D989">
            <v>591</v>
          </cell>
          <cell r="E989">
            <v>1.3</v>
          </cell>
          <cell r="F989">
            <v>2.8354560000000002</v>
          </cell>
        </row>
        <row r="990">
          <cell r="A990">
            <v>10</v>
          </cell>
          <cell r="B990">
            <v>10251</v>
          </cell>
          <cell r="C990">
            <v>1</v>
          </cell>
          <cell r="D990">
            <v>4</v>
          </cell>
          <cell r="E990">
            <v>-28.272167</v>
          </cell>
          <cell r="F990">
            <v>-36.394508000000002</v>
          </cell>
        </row>
        <row r="991">
          <cell r="A991">
            <v>10</v>
          </cell>
          <cell r="B991">
            <v>10251</v>
          </cell>
          <cell r="C991">
            <v>1</v>
          </cell>
          <cell r="D991">
            <v>51</v>
          </cell>
          <cell r="E991">
            <v>41.050356000000001</v>
          </cell>
          <cell r="F991">
            <v>96.210289000000003</v>
          </cell>
        </row>
        <row r="992">
          <cell r="A992">
            <v>10</v>
          </cell>
          <cell r="B992">
            <v>10251</v>
          </cell>
          <cell r="C992">
            <v>1</v>
          </cell>
          <cell r="D992">
            <v>52</v>
          </cell>
          <cell r="E992">
            <v>18.595352999999999</v>
          </cell>
          <cell r="F992">
            <v>25.447832999999999</v>
          </cell>
        </row>
        <row r="993">
          <cell r="A993">
            <v>10</v>
          </cell>
          <cell r="B993">
            <v>10281</v>
          </cell>
          <cell r="C993">
            <v>1</v>
          </cell>
          <cell r="D993">
            <v>51</v>
          </cell>
          <cell r="E993">
            <v>2.2935409999999998</v>
          </cell>
          <cell r="F993">
            <v>7.0478100000000001</v>
          </cell>
        </row>
        <row r="994">
          <cell r="A994">
            <v>10</v>
          </cell>
          <cell r="B994">
            <v>10281</v>
          </cell>
          <cell r="C994">
            <v>1</v>
          </cell>
          <cell r="D994">
            <v>52</v>
          </cell>
          <cell r="E994">
            <v>0.16308900000000001</v>
          </cell>
          <cell r="F994">
            <v>0.95796499999999996</v>
          </cell>
        </row>
        <row r="995">
          <cell r="A995">
            <v>10</v>
          </cell>
          <cell r="B995">
            <v>10281</v>
          </cell>
          <cell r="C995">
            <v>1</v>
          </cell>
          <cell r="D995">
            <v>591</v>
          </cell>
          <cell r="E995">
            <v>5.0000000000000001E-3</v>
          </cell>
          <cell r="F995">
            <v>5.0000000000000001E-3</v>
          </cell>
        </row>
        <row r="996">
          <cell r="A996">
            <v>10</v>
          </cell>
          <cell r="B996">
            <v>10335</v>
          </cell>
          <cell r="C996">
            <v>1</v>
          </cell>
          <cell r="D996">
            <v>4</v>
          </cell>
          <cell r="E996">
            <v>-23.093367000000001</v>
          </cell>
          <cell r="F996">
            <v>-55.294258999999997</v>
          </cell>
        </row>
        <row r="997">
          <cell r="A997">
            <v>10</v>
          </cell>
          <cell r="B997">
            <v>10335</v>
          </cell>
          <cell r="C997">
            <v>1</v>
          </cell>
          <cell r="D997">
            <v>51</v>
          </cell>
          <cell r="E997">
            <v>37.126188999999997</v>
          </cell>
          <cell r="F997">
            <v>113.635239</v>
          </cell>
        </row>
        <row r="998">
          <cell r="A998">
            <v>10</v>
          </cell>
          <cell r="B998">
            <v>10335</v>
          </cell>
          <cell r="C998">
            <v>1</v>
          </cell>
          <cell r="D998">
            <v>52</v>
          </cell>
          <cell r="E998">
            <v>40.230741000000002</v>
          </cell>
          <cell r="F998">
            <v>119.00815900000001</v>
          </cell>
        </row>
        <row r="999">
          <cell r="A999">
            <v>10</v>
          </cell>
          <cell r="B999">
            <v>10335</v>
          </cell>
          <cell r="C999">
            <v>6</v>
          </cell>
          <cell r="D999">
            <v>52</v>
          </cell>
          <cell r="E999">
            <v>0.38908500000000001</v>
          </cell>
          <cell r="F999">
            <v>0.46761999999999998</v>
          </cell>
        </row>
        <row r="1000">
          <cell r="A1000">
            <v>10</v>
          </cell>
          <cell r="B1000">
            <v>10335</v>
          </cell>
          <cell r="C1000">
            <v>6</v>
          </cell>
          <cell r="D1000">
            <v>591</v>
          </cell>
          <cell r="E1000">
            <v>10.574386000000001</v>
          </cell>
          <cell r="F1000">
            <v>28.984348000000001</v>
          </cell>
        </row>
        <row r="1001">
          <cell r="A1001">
            <v>10</v>
          </cell>
          <cell r="B1001">
            <v>10336</v>
          </cell>
          <cell r="C1001">
            <v>1</v>
          </cell>
          <cell r="D1001">
            <v>52</v>
          </cell>
          <cell r="E1001">
            <v>9.5E-4</v>
          </cell>
          <cell r="F1001">
            <v>0.144285</v>
          </cell>
        </row>
        <row r="1002">
          <cell r="A1002">
            <v>10</v>
          </cell>
          <cell r="B1002">
            <v>10336</v>
          </cell>
          <cell r="C1002">
            <v>6</v>
          </cell>
          <cell r="D1002">
            <v>52</v>
          </cell>
          <cell r="E1002">
            <v>88.929570999999996</v>
          </cell>
          <cell r="F1002">
            <v>232.505416</v>
          </cell>
        </row>
        <row r="1003">
          <cell r="A1003">
            <v>10</v>
          </cell>
          <cell r="B1003">
            <v>10336</v>
          </cell>
          <cell r="C1003">
            <v>6</v>
          </cell>
          <cell r="D1003">
            <v>591</v>
          </cell>
          <cell r="E1003">
            <v>19.901074999999999</v>
          </cell>
          <cell r="F1003">
            <v>38.425877999999997</v>
          </cell>
        </row>
        <row r="1004">
          <cell r="A1004">
            <v>10</v>
          </cell>
          <cell r="B1004">
            <v>10381</v>
          </cell>
          <cell r="C1004">
            <v>1</v>
          </cell>
          <cell r="D1004">
            <v>51</v>
          </cell>
          <cell r="E1004">
            <v>1.858403</v>
          </cell>
          <cell r="F1004">
            <v>5.6707320000000001</v>
          </cell>
        </row>
        <row r="1005">
          <cell r="A1005">
            <v>10</v>
          </cell>
          <cell r="B1005">
            <v>10381</v>
          </cell>
          <cell r="C1005">
            <v>1</v>
          </cell>
          <cell r="D1005">
            <v>52</v>
          </cell>
          <cell r="E1005">
            <v>0.46100799999999997</v>
          </cell>
          <cell r="F1005">
            <v>1.3330420000000001</v>
          </cell>
        </row>
        <row r="1006">
          <cell r="A1006">
            <v>10</v>
          </cell>
          <cell r="B1006">
            <v>10381</v>
          </cell>
          <cell r="C1006">
            <v>1</v>
          </cell>
          <cell r="D1006">
            <v>591</v>
          </cell>
          <cell r="E1006">
            <v>0.01</v>
          </cell>
          <cell r="F1006">
            <v>0.01</v>
          </cell>
        </row>
        <row r="1007">
          <cell r="A1007">
            <v>10</v>
          </cell>
          <cell r="B1007">
            <v>10471</v>
          </cell>
          <cell r="C1007">
            <v>1</v>
          </cell>
          <cell r="D1007">
            <v>4</v>
          </cell>
          <cell r="E1007">
            <v>-3.1550769999999999</v>
          </cell>
          <cell r="F1007">
            <v>-10.402593</v>
          </cell>
        </row>
        <row r="1008">
          <cell r="A1008">
            <v>10</v>
          </cell>
          <cell r="B1008">
            <v>10471</v>
          </cell>
          <cell r="C1008">
            <v>1</v>
          </cell>
          <cell r="D1008">
            <v>51</v>
          </cell>
          <cell r="E1008">
            <v>22.672864000000001</v>
          </cell>
          <cell r="F1008">
            <v>67.782024000000007</v>
          </cell>
        </row>
        <row r="1009">
          <cell r="A1009">
            <v>10</v>
          </cell>
          <cell r="B1009">
            <v>10471</v>
          </cell>
          <cell r="C1009">
            <v>1</v>
          </cell>
          <cell r="D1009">
            <v>52</v>
          </cell>
          <cell r="E1009">
            <v>10.973889</v>
          </cell>
          <cell r="F1009">
            <v>41.065627999999997</v>
          </cell>
        </row>
        <row r="1010">
          <cell r="A1010">
            <v>10</v>
          </cell>
          <cell r="B1010">
            <v>10475</v>
          </cell>
          <cell r="C1010">
            <v>1</v>
          </cell>
          <cell r="D1010">
            <v>52</v>
          </cell>
          <cell r="E1010">
            <v>81.5</v>
          </cell>
          <cell r="F1010">
            <v>244.5</v>
          </cell>
        </row>
        <row r="1011">
          <cell r="A1011">
            <v>10</v>
          </cell>
          <cell r="B1011">
            <v>10475</v>
          </cell>
          <cell r="C1011">
            <v>1</v>
          </cell>
          <cell r="D1011">
            <v>591</v>
          </cell>
          <cell r="E1011">
            <v>116.833333</v>
          </cell>
          <cell r="F1011">
            <v>350.499999</v>
          </cell>
        </row>
        <row r="1012">
          <cell r="A1012">
            <v>10</v>
          </cell>
          <cell r="B1012">
            <v>10481</v>
          </cell>
          <cell r="C1012">
            <v>1</v>
          </cell>
          <cell r="D1012">
            <v>51</v>
          </cell>
          <cell r="E1012">
            <v>2.2792880000000002</v>
          </cell>
          <cell r="F1012">
            <v>5.2734480000000001</v>
          </cell>
        </row>
        <row r="1013">
          <cell r="A1013">
            <v>10</v>
          </cell>
          <cell r="B1013">
            <v>10481</v>
          </cell>
          <cell r="C1013">
            <v>1</v>
          </cell>
          <cell r="D1013">
            <v>52</v>
          </cell>
          <cell r="E1013">
            <v>0.90281199999999995</v>
          </cell>
          <cell r="F1013">
            <v>3.453357</v>
          </cell>
        </row>
        <row r="1014">
          <cell r="A1014">
            <v>10</v>
          </cell>
          <cell r="B1014">
            <v>10512</v>
          </cell>
          <cell r="C1014">
            <v>1</v>
          </cell>
          <cell r="D1014">
            <v>4</v>
          </cell>
          <cell r="E1014">
            <v>0</v>
          </cell>
          <cell r="F1014">
            <v>-4.1771000000000003E-2</v>
          </cell>
        </row>
        <row r="1015">
          <cell r="A1015">
            <v>10</v>
          </cell>
          <cell r="B1015">
            <v>10512</v>
          </cell>
          <cell r="C1015">
            <v>1</v>
          </cell>
          <cell r="D1015">
            <v>51</v>
          </cell>
          <cell r="E1015">
            <v>14.106903000000001</v>
          </cell>
          <cell r="F1015">
            <v>44.482360999999997</v>
          </cell>
        </row>
        <row r="1016">
          <cell r="A1016">
            <v>10</v>
          </cell>
          <cell r="B1016">
            <v>10512</v>
          </cell>
          <cell r="C1016">
            <v>1</v>
          </cell>
          <cell r="D1016">
            <v>52</v>
          </cell>
          <cell r="E1016">
            <v>6.7476349999999998</v>
          </cell>
          <cell r="F1016">
            <v>23.511399000000001</v>
          </cell>
        </row>
        <row r="1017">
          <cell r="A1017">
            <v>10</v>
          </cell>
          <cell r="B1017">
            <v>10512</v>
          </cell>
          <cell r="C1017">
            <v>1</v>
          </cell>
          <cell r="D1017">
            <v>591</v>
          </cell>
          <cell r="E1017">
            <v>16.589950999999999</v>
          </cell>
          <cell r="F1017">
            <v>22.349772999999999</v>
          </cell>
        </row>
        <row r="1018">
          <cell r="A1018">
            <v>10</v>
          </cell>
          <cell r="B1018">
            <v>10521</v>
          </cell>
          <cell r="C1018">
            <v>6</v>
          </cell>
          <cell r="D1018">
            <v>51</v>
          </cell>
          <cell r="E1018">
            <v>0.34206999999999999</v>
          </cell>
          <cell r="F1018">
            <v>1.0262100000000001</v>
          </cell>
        </row>
        <row r="1019">
          <cell r="A1019">
            <v>10</v>
          </cell>
          <cell r="B1019">
            <v>10521</v>
          </cell>
          <cell r="C1019">
            <v>6</v>
          </cell>
          <cell r="D1019">
            <v>52</v>
          </cell>
          <cell r="E1019">
            <v>20.074244</v>
          </cell>
          <cell r="F1019">
            <v>71.273702999999998</v>
          </cell>
        </row>
        <row r="1020">
          <cell r="A1020">
            <v>10</v>
          </cell>
          <cell r="B1020">
            <v>10801</v>
          </cell>
          <cell r="C1020">
            <v>1</v>
          </cell>
          <cell r="D1020">
            <v>591</v>
          </cell>
          <cell r="E1020">
            <v>1238.5640000000001</v>
          </cell>
          <cell r="F1020">
            <v>3400.1295</v>
          </cell>
        </row>
        <row r="1021">
          <cell r="A1021">
            <v>11</v>
          </cell>
          <cell r="B1021">
            <v>11101</v>
          </cell>
          <cell r="C1021">
            <v>1</v>
          </cell>
          <cell r="D1021">
            <v>4</v>
          </cell>
          <cell r="E1021">
            <v>0</v>
          </cell>
          <cell r="F1021">
            <v>-3.4491369999999999</v>
          </cell>
        </row>
        <row r="1022">
          <cell r="A1022">
            <v>11</v>
          </cell>
          <cell r="B1022">
            <v>11101</v>
          </cell>
          <cell r="C1022">
            <v>1</v>
          </cell>
          <cell r="D1022">
            <v>51</v>
          </cell>
          <cell r="E1022">
            <v>12.365323999999999</v>
          </cell>
          <cell r="F1022">
            <v>37.538893000000002</v>
          </cell>
        </row>
        <row r="1023">
          <cell r="A1023">
            <v>11</v>
          </cell>
          <cell r="B1023">
            <v>11101</v>
          </cell>
          <cell r="C1023">
            <v>1</v>
          </cell>
          <cell r="D1023">
            <v>52</v>
          </cell>
          <cell r="E1023">
            <v>3.0179070000000001</v>
          </cell>
          <cell r="F1023">
            <v>13.033436999999999</v>
          </cell>
        </row>
        <row r="1024">
          <cell r="A1024">
            <v>11</v>
          </cell>
          <cell r="B1024">
            <v>11205</v>
          </cell>
          <cell r="C1024">
            <v>1</v>
          </cell>
          <cell r="D1024">
            <v>4</v>
          </cell>
          <cell r="E1024">
            <v>-42.525486000000001</v>
          </cell>
          <cell r="F1024">
            <v>-76.500570999999994</v>
          </cell>
        </row>
        <row r="1025">
          <cell r="A1025">
            <v>11</v>
          </cell>
          <cell r="B1025">
            <v>11205</v>
          </cell>
          <cell r="C1025">
            <v>1</v>
          </cell>
          <cell r="D1025">
            <v>51</v>
          </cell>
          <cell r="E1025">
            <v>49.319868999999997</v>
          </cell>
          <cell r="F1025">
            <v>156.68115700000001</v>
          </cell>
        </row>
        <row r="1026">
          <cell r="A1026">
            <v>11</v>
          </cell>
          <cell r="B1026">
            <v>11205</v>
          </cell>
          <cell r="C1026">
            <v>1</v>
          </cell>
          <cell r="D1026">
            <v>52</v>
          </cell>
          <cell r="E1026">
            <v>20.983594</v>
          </cell>
          <cell r="F1026">
            <v>52.687832</v>
          </cell>
        </row>
        <row r="1027">
          <cell r="A1027">
            <v>11</v>
          </cell>
          <cell r="B1027">
            <v>11205</v>
          </cell>
          <cell r="C1027">
            <v>1</v>
          </cell>
          <cell r="D1027">
            <v>591</v>
          </cell>
          <cell r="E1027">
            <v>14.957236</v>
          </cell>
          <cell r="F1027">
            <v>32.412166999999997</v>
          </cell>
        </row>
        <row r="1028">
          <cell r="A1028">
            <v>11</v>
          </cell>
          <cell r="B1028">
            <v>11240</v>
          </cell>
          <cell r="C1028">
            <v>1</v>
          </cell>
          <cell r="D1028">
            <v>51</v>
          </cell>
          <cell r="E1028">
            <v>0.45318000000000003</v>
          </cell>
          <cell r="F1028">
            <v>1.0662830000000001</v>
          </cell>
        </row>
        <row r="1029">
          <cell r="A1029">
            <v>11</v>
          </cell>
          <cell r="B1029">
            <v>11240</v>
          </cell>
          <cell r="C1029">
            <v>1</v>
          </cell>
          <cell r="D1029">
            <v>52</v>
          </cell>
          <cell r="E1029">
            <v>3.5231999999999999E-2</v>
          </cell>
          <cell r="F1029">
            <v>2.2197870000000002</v>
          </cell>
        </row>
        <row r="1030">
          <cell r="A1030">
            <v>11</v>
          </cell>
          <cell r="B1030">
            <v>11242</v>
          </cell>
          <cell r="C1030">
            <v>1</v>
          </cell>
          <cell r="D1030">
            <v>52</v>
          </cell>
          <cell r="E1030">
            <v>0</v>
          </cell>
          <cell r="F1030">
            <v>0.11700000000000001</v>
          </cell>
        </row>
        <row r="1031">
          <cell r="A1031">
            <v>11</v>
          </cell>
          <cell r="B1031">
            <v>11242</v>
          </cell>
          <cell r="C1031">
            <v>1</v>
          </cell>
          <cell r="D1031">
            <v>591</v>
          </cell>
          <cell r="E1031">
            <v>96.41</v>
          </cell>
          <cell r="F1031">
            <v>172.78</v>
          </cell>
        </row>
        <row r="1032">
          <cell r="A1032">
            <v>11</v>
          </cell>
          <cell r="B1032">
            <v>11245</v>
          </cell>
          <cell r="C1032">
            <v>1</v>
          </cell>
          <cell r="D1032">
            <v>591</v>
          </cell>
          <cell r="E1032">
            <v>32.927936000000003</v>
          </cell>
          <cell r="F1032">
            <v>81.300473999999994</v>
          </cell>
        </row>
        <row r="1033">
          <cell r="A1033">
            <v>11</v>
          </cell>
          <cell r="B1033">
            <v>11251</v>
          </cell>
          <cell r="C1033">
            <v>1</v>
          </cell>
          <cell r="D1033">
            <v>591</v>
          </cell>
          <cell r="E1033">
            <v>29.302918999999999</v>
          </cell>
          <cell r="F1033">
            <v>109.648554</v>
          </cell>
        </row>
        <row r="1034">
          <cell r="A1034">
            <v>11</v>
          </cell>
          <cell r="B1034">
            <v>11299</v>
          </cell>
          <cell r="C1034">
            <v>1</v>
          </cell>
          <cell r="D1034">
            <v>51</v>
          </cell>
          <cell r="E1034">
            <v>1.1118790000000001</v>
          </cell>
          <cell r="F1034">
            <v>1.1118790000000001</v>
          </cell>
        </row>
        <row r="1035">
          <cell r="A1035">
            <v>11</v>
          </cell>
          <cell r="B1035">
            <v>11299</v>
          </cell>
          <cell r="C1035">
            <v>1</v>
          </cell>
          <cell r="D1035">
            <v>52</v>
          </cell>
          <cell r="E1035">
            <v>0.22945099999999999</v>
          </cell>
          <cell r="F1035">
            <v>0.29570400000000002</v>
          </cell>
        </row>
        <row r="1036">
          <cell r="A1036">
            <v>11</v>
          </cell>
          <cell r="B1036">
            <v>11299</v>
          </cell>
          <cell r="C1036">
            <v>1</v>
          </cell>
          <cell r="D1036">
            <v>591</v>
          </cell>
          <cell r="E1036">
            <v>16.615860999999999</v>
          </cell>
          <cell r="F1036">
            <v>48.840860999999997</v>
          </cell>
        </row>
        <row r="1037">
          <cell r="A1037">
            <v>11</v>
          </cell>
          <cell r="B1037">
            <v>11301</v>
          </cell>
          <cell r="C1037">
            <v>1</v>
          </cell>
          <cell r="D1037">
            <v>4</v>
          </cell>
          <cell r="E1037">
            <v>-9.9999000000000005E-2</v>
          </cell>
          <cell r="F1037">
            <v>-0.17249</v>
          </cell>
        </row>
        <row r="1038">
          <cell r="A1038">
            <v>11</v>
          </cell>
          <cell r="B1038">
            <v>11301</v>
          </cell>
          <cell r="C1038">
            <v>1</v>
          </cell>
          <cell r="D1038">
            <v>51</v>
          </cell>
          <cell r="E1038">
            <v>31.481369999999998</v>
          </cell>
          <cell r="F1038">
            <v>71.783983000000006</v>
          </cell>
        </row>
        <row r="1039">
          <cell r="A1039">
            <v>11</v>
          </cell>
          <cell r="B1039">
            <v>11301</v>
          </cell>
          <cell r="C1039">
            <v>1</v>
          </cell>
          <cell r="D1039">
            <v>52</v>
          </cell>
          <cell r="E1039">
            <v>13.037763</v>
          </cell>
          <cell r="F1039">
            <v>86.999302999999998</v>
          </cell>
        </row>
        <row r="1040">
          <cell r="A1040">
            <v>11</v>
          </cell>
          <cell r="B1040">
            <v>11371</v>
          </cell>
          <cell r="C1040">
            <v>1</v>
          </cell>
          <cell r="D1040">
            <v>591</v>
          </cell>
          <cell r="E1040">
            <v>0</v>
          </cell>
          <cell r="F1040">
            <v>9.2249999999999996</v>
          </cell>
        </row>
        <row r="1041">
          <cell r="A1041">
            <v>11</v>
          </cell>
          <cell r="B1041">
            <v>11373</v>
          </cell>
          <cell r="C1041">
            <v>1</v>
          </cell>
          <cell r="D1041">
            <v>52</v>
          </cell>
          <cell r="E1041">
            <v>1E-4</v>
          </cell>
          <cell r="F1041">
            <v>0.27379999999999999</v>
          </cell>
        </row>
        <row r="1042">
          <cell r="A1042">
            <v>11</v>
          </cell>
          <cell r="B1042">
            <v>11373</v>
          </cell>
          <cell r="C1042">
            <v>1</v>
          </cell>
          <cell r="D1042">
            <v>591</v>
          </cell>
          <cell r="E1042">
            <v>96.939966999999996</v>
          </cell>
          <cell r="F1042">
            <v>202.87023400000001</v>
          </cell>
        </row>
        <row r="1043">
          <cell r="A1043">
            <v>11</v>
          </cell>
          <cell r="B1043">
            <v>11375</v>
          </cell>
          <cell r="C1043">
            <v>1</v>
          </cell>
          <cell r="D1043">
            <v>591</v>
          </cell>
          <cell r="E1043">
            <v>0</v>
          </cell>
          <cell r="F1043">
            <v>118.7315</v>
          </cell>
        </row>
        <row r="1044">
          <cell r="A1044">
            <v>11</v>
          </cell>
          <cell r="B1044">
            <v>11399</v>
          </cell>
          <cell r="C1044">
            <v>1</v>
          </cell>
          <cell r="D1044">
            <v>51</v>
          </cell>
          <cell r="E1044">
            <v>0.56393800000000005</v>
          </cell>
          <cell r="F1044">
            <v>2.4366159999999999</v>
          </cell>
        </row>
        <row r="1045">
          <cell r="A1045">
            <v>11</v>
          </cell>
          <cell r="B1045">
            <v>11399</v>
          </cell>
          <cell r="C1045">
            <v>1</v>
          </cell>
          <cell r="D1045">
            <v>52</v>
          </cell>
          <cell r="E1045">
            <v>0.74339</v>
          </cell>
          <cell r="F1045">
            <v>1.240707</v>
          </cell>
        </row>
        <row r="1046">
          <cell r="A1046">
            <v>11</v>
          </cell>
          <cell r="B1046">
            <v>11399</v>
          </cell>
          <cell r="C1046">
            <v>1</v>
          </cell>
          <cell r="D1046">
            <v>591</v>
          </cell>
          <cell r="E1046">
            <v>0</v>
          </cell>
          <cell r="F1046">
            <v>12.945366999999999</v>
          </cell>
        </row>
        <row r="1047">
          <cell r="A1047">
            <v>11</v>
          </cell>
          <cell r="B1047">
            <v>11401</v>
          </cell>
          <cell r="C1047">
            <v>1</v>
          </cell>
          <cell r="D1047">
            <v>52</v>
          </cell>
          <cell r="E1047">
            <v>0</v>
          </cell>
          <cell r="F1047">
            <v>0.34514</v>
          </cell>
        </row>
        <row r="1048">
          <cell r="A1048">
            <v>11</v>
          </cell>
          <cell r="B1048">
            <v>11411</v>
          </cell>
          <cell r="C1048">
            <v>1</v>
          </cell>
          <cell r="D1048">
            <v>591</v>
          </cell>
          <cell r="E1048">
            <v>32.737349999999999</v>
          </cell>
          <cell r="F1048">
            <v>93.687349999999995</v>
          </cell>
        </row>
        <row r="1049">
          <cell r="A1049">
            <v>11</v>
          </cell>
          <cell r="B1049">
            <v>11501</v>
          </cell>
          <cell r="C1049">
            <v>1</v>
          </cell>
          <cell r="D1049">
            <v>4</v>
          </cell>
          <cell r="E1049">
            <v>-5.8228879999999998</v>
          </cell>
          <cell r="F1049">
            <v>-7.2019710000000003</v>
          </cell>
        </row>
        <row r="1050">
          <cell r="A1050">
            <v>11</v>
          </cell>
          <cell r="B1050">
            <v>11501</v>
          </cell>
          <cell r="C1050">
            <v>1</v>
          </cell>
          <cell r="D1050">
            <v>51</v>
          </cell>
          <cell r="E1050">
            <v>9.1594180000000005</v>
          </cell>
          <cell r="F1050">
            <v>27.547402999999999</v>
          </cell>
        </row>
        <row r="1051">
          <cell r="A1051">
            <v>11</v>
          </cell>
          <cell r="B1051">
            <v>11501</v>
          </cell>
          <cell r="C1051">
            <v>1</v>
          </cell>
          <cell r="D1051">
            <v>52</v>
          </cell>
          <cell r="E1051">
            <v>21.282533999999998</v>
          </cell>
          <cell r="F1051">
            <v>53.250757</v>
          </cell>
        </row>
        <row r="1052">
          <cell r="A1052">
            <v>11</v>
          </cell>
          <cell r="B1052">
            <v>11501</v>
          </cell>
          <cell r="C1052">
            <v>1</v>
          </cell>
          <cell r="D1052">
            <v>591</v>
          </cell>
          <cell r="E1052">
            <v>5.7249179999999997</v>
          </cell>
          <cell r="F1052">
            <v>13.786584</v>
          </cell>
        </row>
        <row r="1053">
          <cell r="A1053">
            <v>11</v>
          </cell>
          <cell r="B1053">
            <v>11599</v>
          </cell>
          <cell r="C1053">
            <v>1</v>
          </cell>
          <cell r="D1053">
            <v>52</v>
          </cell>
          <cell r="E1053">
            <v>0</v>
          </cell>
          <cell r="F1053">
            <v>6.588508</v>
          </cell>
        </row>
        <row r="1054">
          <cell r="A1054">
            <v>11</v>
          </cell>
          <cell r="B1054">
            <v>11599</v>
          </cell>
          <cell r="C1054">
            <v>1</v>
          </cell>
          <cell r="D1054">
            <v>591</v>
          </cell>
          <cell r="E1054">
            <v>34.316000000000003</v>
          </cell>
          <cell r="F1054">
            <v>50.866</v>
          </cell>
        </row>
        <row r="1055">
          <cell r="A1055">
            <v>12</v>
          </cell>
          <cell r="B1055">
            <v>12101</v>
          </cell>
          <cell r="C1055">
            <v>1</v>
          </cell>
          <cell r="D1055">
            <v>51</v>
          </cell>
          <cell r="E1055">
            <v>13.385522</v>
          </cell>
          <cell r="F1055">
            <v>41.030828</v>
          </cell>
        </row>
        <row r="1056">
          <cell r="A1056">
            <v>12</v>
          </cell>
          <cell r="B1056">
            <v>12101</v>
          </cell>
          <cell r="C1056">
            <v>1</v>
          </cell>
          <cell r="D1056">
            <v>52</v>
          </cell>
          <cell r="E1056">
            <v>5.8837840000000003</v>
          </cell>
          <cell r="F1056">
            <v>15.099674</v>
          </cell>
        </row>
        <row r="1057">
          <cell r="A1057">
            <v>12</v>
          </cell>
          <cell r="B1057">
            <v>12190</v>
          </cell>
          <cell r="C1057">
            <v>1</v>
          </cell>
          <cell r="D1057">
            <v>4</v>
          </cell>
          <cell r="E1057">
            <v>-0.08</v>
          </cell>
          <cell r="F1057">
            <v>-2.3002400000000001</v>
          </cell>
        </row>
        <row r="1058">
          <cell r="A1058">
            <v>12</v>
          </cell>
          <cell r="B1058">
            <v>12190</v>
          </cell>
          <cell r="C1058">
            <v>1</v>
          </cell>
          <cell r="D1058">
            <v>51</v>
          </cell>
          <cell r="E1058">
            <v>7.4296720000000001</v>
          </cell>
          <cell r="F1058">
            <v>12.284044</v>
          </cell>
        </row>
        <row r="1059">
          <cell r="A1059">
            <v>12</v>
          </cell>
          <cell r="B1059">
            <v>12190</v>
          </cell>
          <cell r="C1059">
            <v>1</v>
          </cell>
          <cell r="D1059">
            <v>52</v>
          </cell>
          <cell r="E1059">
            <v>0.31092700000000001</v>
          </cell>
          <cell r="F1059">
            <v>0.85880999999999996</v>
          </cell>
        </row>
        <row r="1060">
          <cell r="A1060">
            <v>12</v>
          </cell>
          <cell r="B1060">
            <v>12402</v>
          </cell>
          <cell r="C1060">
            <v>1</v>
          </cell>
          <cell r="D1060">
            <v>4</v>
          </cell>
          <cell r="E1060">
            <v>-1.085572</v>
          </cell>
          <cell r="F1060">
            <v>-1.7368030000000001</v>
          </cell>
        </row>
        <row r="1061">
          <cell r="A1061">
            <v>12</v>
          </cell>
          <cell r="B1061">
            <v>12402</v>
          </cell>
          <cell r="C1061">
            <v>1</v>
          </cell>
          <cell r="D1061">
            <v>51</v>
          </cell>
          <cell r="E1061">
            <v>61.424157000000001</v>
          </cell>
          <cell r="F1061">
            <v>183.886121</v>
          </cell>
        </row>
        <row r="1062">
          <cell r="A1062">
            <v>12</v>
          </cell>
          <cell r="B1062">
            <v>12402</v>
          </cell>
          <cell r="C1062">
            <v>1</v>
          </cell>
          <cell r="D1062">
            <v>52</v>
          </cell>
          <cell r="E1062">
            <v>44.757547000000002</v>
          </cell>
          <cell r="F1062">
            <v>64.188834999999997</v>
          </cell>
        </row>
        <row r="1063">
          <cell r="A1063">
            <v>12</v>
          </cell>
          <cell r="B1063">
            <v>12402</v>
          </cell>
          <cell r="C1063">
            <v>1</v>
          </cell>
          <cell r="D1063">
            <v>591</v>
          </cell>
          <cell r="E1063">
            <v>5.0000000000000001E-3</v>
          </cell>
          <cell r="F1063">
            <v>0.02</v>
          </cell>
        </row>
        <row r="1064">
          <cell r="A1064">
            <v>12</v>
          </cell>
          <cell r="B1064">
            <v>12411</v>
          </cell>
          <cell r="C1064">
            <v>1</v>
          </cell>
          <cell r="D1064">
            <v>51</v>
          </cell>
          <cell r="E1064">
            <v>17.340661999999998</v>
          </cell>
          <cell r="F1064">
            <v>50.083029000000003</v>
          </cell>
        </row>
        <row r="1065">
          <cell r="A1065">
            <v>12</v>
          </cell>
          <cell r="B1065">
            <v>12411</v>
          </cell>
          <cell r="C1065">
            <v>1</v>
          </cell>
          <cell r="D1065">
            <v>52</v>
          </cell>
          <cell r="E1065">
            <v>4.4353230000000003</v>
          </cell>
          <cell r="F1065">
            <v>16.197495</v>
          </cell>
        </row>
        <row r="1066">
          <cell r="A1066">
            <v>12</v>
          </cell>
          <cell r="B1066">
            <v>12431</v>
          </cell>
          <cell r="C1066">
            <v>1</v>
          </cell>
          <cell r="D1066">
            <v>4</v>
          </cell>
          <cell r="E1066">
            <v>-0.33307100000000001</v>
          </cell>
          <cell r="F1066">
            <v>-0.33384900000000001</v>
          </cell>
        </row>
        <row r="1067">
          <cell r="A1067">
            <v>12</v>
          </cell>
          <cell r="B1067">
            <v>12431</v>
          </cell>
          <cell r="C1067">
            <v>1</v>
          </cell>
          <cell r="D1067">
            <v>51</v>
          </cell>
          <cell r="E1067">
            <v>11.665267</v>
          </cell>
          <cell r="F1067">
            <v>34.021197000000001</v>
          </cell>
        </row>
        <row r="1068">
          <cell r="A1068">
            <v>12</v>
          </cell>
          <cell r="B1068">
            <v>12431</v>
          </cell>
          <cell r="C1068">
            <v>1</v>
          </cell>
          <cell r="D1068">
            <v>52</v>
          </cell>
          <cell r="E1068">
            <v>3.4891169999999998</v>
          </cell>
          <cell r="F1068">
            <v>12.044682999999999</v>
          </cell>
        </row>
        <row r="1069">
          <cell r="A1069">
            <v>12</v>
          </cell>
          <cell r="B1069">
            <v>12501</v>
          </cell>
          <cell r="C1069">
            <v>1</v>
          </cell>
          <cell r="D1069">
            <v>4</v>
          </cell>
          <cell r="E1069">
            <v>-7.9406720000000002</v>
          </cell>
          <cell r="F1069">
            <v>-8.1723040000000005</v>
          </cell>
        </row>
        <row r="1070">
          <cell r="A1070">
            <v>12</v>
          </cell>
          <cell r="B1070">
            <v>12501</v>
          </cell>
          <cell r="C1070">
            <v>1</v>
          </cell>
          <cell r="D1070">
            <v>51</v>
          </cell>
          <cell r="E1070">
            <v>59.554968000000002</v>
          </cell>
          <cell r="F1070">
            <v>154.52167399999999</v>
          </cell>
        </row>
        <row r="1071">
          <cell r="A1071">
            <v>12</v>
          </cell>
          <cell r="B1071">
            <v>12501</v>
          </cell>
          <cell r="C1071">
            <v>1</v>
          </cell>
          <cell r="D1071">
            <v>52</v>
          </cell>
          <cell r="E1071">
            <v>15.909569999999999</v>
          </cell>
          <cell r="F1071">
            <v>18.997306000000002</v>
          </cell>
        </row>
        <row r="1072">
          <cell r="A1072">
            <v>12</v>
          </cell>
          <cell r="B1072">
            <v>12811</v>
          </cell>
          <cell r="C1072">
            <v>1</v>
          </cell>
          <cell r="D1072">
            <v>591</v>
          </cell>
          <cell r="E1072">
            <v>43.3</v>
          </cell>
          <cell r="F1072">
            <v>130.30000000000001</v>
          </cell>
        </row>
        <row r="1073">
          <cell r="A1073">
            <v>14</v>
          </cell>
          <cell r="B1073">
            <v>14101</v>
          </cell>
          <cell r="C1073">
            <v>1</v>
          </cell>
          <cell r="D1073">
            <v>51</v>
          </cell>
          <cell r="E1073">
            <v>18.421243</v>
          </cell>
          <cell r="F1073">
            <v>55.959677999999997</v>
          </cell>
        </row>
        <row r="1074">
          <cell r="A1074">
            <v>14</v>
          </cell>
          <cell r="B1074">
            <v>14101</v>
          </cell>
          <cell r="C1074">
            <v>1</v>
          </cell>
          <cell r="D1074">
            <v>52</v>
          </cell>
          <cell r="E1074">
            <v>4.6673739999999997</v>
          </cell>
          <cell r="F1074">
            <v>20.885501000000001</v>
          </cell>
        </row>
        <row r="1075">
          <cell r="A1075">
            <v>14</v>
          </cell>
          <cell r="B1075">
            <v>14101</v>
          </cell>
          <cell r="C1075">
            <v>1</v>
          </cell>
          <cell r="D1075">
            <v>591</v>
          </cell>
          <cell r="E1075">
            <v>0</v>
          </cell>
          <cell r="F1075">
            <v>5.0000000000000001E-3</v>
          </cell>
        </row>
        <row r="1076">
          <cell r="A1076">
            <v>14</v>
          </cell>
          <cell r="B1076">
            <v>14190</v>
          </cell>
          <cell r="C1076">
            <v>1</v>
          </cell>
          <cell r="D1076">
            <v>51</v>
          </cell>
          <cell r="E1076">
            <v>3.141858</v>
          </cell>
          <cell r="F1076">
            <v>10.534166000000001</v>
          </cell>
        </row>
        <row r="1077">
          <cell r="A1077">
            <v>14</v>
          </cell>
          <cell r="B1077">
            <v>14190</v>
          </cell>
          <cell r="C1077">
            <v>1</v>
          </cell>
          <cell r="D1077">
            <v>52</v>
          </cell>
          <cell r="E1077">
            <v>0.64517999999999998</v>
          </cell>
          <cell r="F1077">
            <v>5.1818669999999996</v>
          </cell>
        </row>
        <row r="1078">
          <cell r="A1078">
            <v>14</v>
          </cell>
          <cell r="B1078">
            <v>14190</v>
          </cell>
          <cell r="C1078">
            <v>1</v>
          </cell>
          <cell r="D1078">
            <v>591</v>
          </cell>
          <cell r="E1078">
            <v>23.33</v>
          </cell>
          <cell r="F1078">
            <v>69.914779999999993</v>
          </cell>
        </row>
        <row r="1079">
          <cell r="A1079">
            <v>14</v>
          </cell>
          <cell r="B1079">
            <v>14202</v>
          </cell>
          <cell r="C1079">
            <v>1</v>
          </cell>
          <cell r="D1079">
            <v>51</v>
          </cell>
          <cell r="E1079">
            <v>1.5560069999999999</v>
          </cell>
          <cell r="F1079">
            <v>3.9313229999999999</v>
          </cell>
        </row>
        <row r="1080">
          <cell r="A1080">
            <v>14</v>
          </cell>
          <cell r="B1080">
            <v>14202</v>
          </cell>
          <cell r="C1080">
            <v>1</v>
          </cell>
          <cell r="D1080">
            <v>52</v>
          </cell>
          <cell r="E1080">
            <v>0.70077199999999995</v>
          </cell>
          <cell r="F1080">
            <v>0.92483899999999997</v>
          </cell>
        </row>
        <row r="1081">
          <cell r="A1081">
            <v>14</v>
          </cell>
          <cell r="B1081">
            <v>14211</v>
          </cell>
          <cell r="C1081">
            <v>1</v>
          </cell>
          <cell r="D1081">
            <v>4</v>
          </cell>
          <cell r="E1081">
            <v>-8.7542299999999997</v>
          </cell>
          <cell r="F1081">
            <v>-20.345776000000001</v>
          </cell>
        </row>
        <row r="1082">
          <cell r="A1082">
            <v>14</v>
          </cell>
          <cell r="B1082">
            <v>14211</v>
          </cell>
          <cell r="C1082">
            <v>1</v>
          </cell>
          <cell r="D1082">
            <v>51</v>
          </cell>
          <cell r="E1082">
            <v>34.065483</v>
          </cell>
          <cell r="F1082">
            <v>103.198594</v>
          </cell>
        </row>
        <row r="1083">
          <cell r="A1083">
            <v>14</v>
          </cell>
          <cell r="B1083">
            <v>14211</v>
          </cell>
          <cell r="C1083">
            <v>1</v>
          </cell>
          <cell r="D1083">
            <v>52</v>
          </cell>
          <cell r="E1083">
            <v>13.855765</v>
          </cell>
          <cell r="F1083">
            <v>47.161968000000002</v>
          </cell>
        </row>
        <row r="1084">
          <cell r="A1084">
            <v>14</v>
          </cell>
          <cell r="B1084">
            <v>14211</v>
          </cell>
          <cell r="C1084">
            <v>1</v>
          </cell>
          <cell r="D1084">
            <v>591</v>
          </cell>
          <cell r="E1084">
            <v>1.4999999999999999E-2</v>
          </cell>
          <cell r="F1084">
            <v>-3.0000000000000001E-3</v>
          </cell>
        </row>
        <row r="1085">
          <cell r="A1085">
            <v>14</v>
          </cell>
          <cell r="B1085">
            <v>14211</v>
          </cell>
          <cell r="C1085">
            <v>5</v>
          </cell>
          <cell r="D1085">
            <v>52</v>
          </cell>
          <cell r="E1085">
            <v>0</v>
          </cell>
          <cell r="F1085">
            <v>0.20027300000000001</v>
          </cell>
        </row>
        <row r="1086">
          <cell r="A1086">
            <v>14</v>
          </cell>
          <cell r="B1086">
            <v>14212</v>
          </cell>
          <cell r="C1086">
            <v>1</v>
          </cell>
          <cell r="D1086">
            <v>4</v>
          </cell>
          <cell r="E1086">
            <v>-0.35595700000000002</v>
          </cell>
          <cell r="F1086">
            <v>-0.57782</v>
          </cell>
        </row>
        <row r="1087">
          <cell r="A1087">
            <v>14</v>
          </cell>
          <cell r="B1087">
            <v>14212</v>
          </cell>
          <cell r="C1087">
            <v>1</v>
          </cell>
          <cell r="D1087">
            <v>51</v>
          </cell>
          <cell r="E1087">
            <v>4.843197</v>
          </cell>
          <cell r="F1087">
            <v>13.969709999999999</v>
          </cell>
        </row>
        <row r="1088">
          <cell r="A1088">
            <v>14</v>
          </cell>
          <cell r="B1088">
            <v>14212</v>
          </cell>
          <cell r="C1088">
            <v>1</v>
          </cell>
          <cell r="D1088">
            <v>52</v>
          </cell>
          <cell r="E1088">
            <v>3.942542</v>
          </cell>
          <cell r="F1088">
            <v>12.440051</v>
          </cell>
        </row>
        <row r="1089">
          <cell r="A1089">
            <v>14</v>
          </cell>
          <cell r="B1089">
            <v>14212</v>
          </cell>
          <cell r="C1089">
            <v>6</v>
          </cell>
          <cell r="D1089">
            <v>52</v>
          </cell>
          <cell r="E1089">
            <v>5.2454260000000001</v>
          </cell>
          <cell r="F1089">
            <v>12.399376</v>
          </cell>
        </row>
        <row r="1090">
          <cell r="A1090">
            <v>14</v>
          </cell>
          <cell r="B1090">
            <v>14231</v>
          </cell>
          <cell r="C1090">
            <v>1</v>
          </cell>
          <cell r="D1090">
            <v>4</v>
          </cell>
          <cell r="E1090">
            <v>-10.014884</v>
          </cell>
          <cell r="F1090">
            <v>-21.476305</v>
          </cell>
        </row>
        <row r="1091">
          <cell r="A1091">
            <v>14</v>
          </cell>
          <cell r="B1091">
            <v>14231</v>
          </cell>
          <cell r="C1091">
            <v>1</v>
          </cell>
          <cell r="D1091">
            <v>51</v>
          </cell>
          <cell r="E1091">
            <v>24.618207000000002</v>
          </cell>
          <cell r="F1091">
            <v>72.789113999999998</v>
          </cell>
        </row>
        <row r="1092">
          <cell r="A1092">
            <v>14</v>
          </cell>
          <cell r="B1092">
            <v>14231</v>
          </cell>
          <cell r="C1092">
            <v>1</v>
          </cell>
          <cell r="D1092">
            <v>52</v>
          </cell>
          <cell r="E1092">
            <v>9.3520130000000012</v>
          </cell>
          <cell r="F1092">
            <v>25.825346</v>
          </cell>
        </row>
        <row r="1093">
          <cell r="A1093">
            <v>14</v>
          </cell>
          <cell r="B1093">
            <v>14231</v>
          </cell>
          <cell r="C1093">
            <v>1</v>
          </cell>
          <cell r="D1093">
            <v>591</v>
          </cell>
          <cell r="E1093">
            <v>0.89749999999999996</v>
          </cell>
          <cell r="F1093">
            <v>1.2014</v>
          </cell>
        </row>
        <row r="1094">
          <cell r="A1094">
            <v>14</v>
          </cell>
          <cell r="B1094">
            <v>14231</v>
          </cell>
          <cell r="C1094">
            <v>5</v>
          </cell>
          <cell r="D1094">
            <v>52</v>
          </cell>
          <cell r="E1094">
            <v>4.8318E-2</v>
          </cell>
          <cell r="F1094">
            <v>0.71576300000000004</v>
          </cell>
        </row>
        <row r="1095">
          <cell r="A1095">
            <v>14</v>
          </cell>
          <cell r="B1095">
            <v>14231</v>
          </cell>
          <cell r="C1095">
            <v>6</v>
          </cell>
          <cell r="D1095">
            <v>52</v>
          </cell>
          <cell r="E1095">
            <v>0</v>
          </cell>
          <cell r="F1095">
            <v>0.57791400000000004</v>
          </cell>
        </row>
        <row r="1096">
          <cell r="A1096">
            <v>14</v>
          </cell>
          <cell r="B1096">
            <v>14241</v>
          </cell>
          <cell r="C1096">
            <v>1</v>
          </cell>
          <cell r="D1096">
            <v>4</v>
          </cell>
          <cell r="E1096">
            <v>-19.959226999999998</v>
          </cell>
          <cell r="F1096">
            <v>-61.467967999999999</v>
          </cell>
        </row>
        <row r="1097">
          <cell r="A1097">
            <v>14</v>
          </cell>
          <cell r="B1097">
            <v>14241</v>
          </cell>
          <cell r="C1097">
            <v>1</v>
          </cell>
          <cell r="D1097">
            <v>51</v>
          </cell>
          <cell r="E1097">
            <v>20.960486</v>
          </cell>
          <cell r="F1097">
            <v>61.237898000000001</v>
          </cell>
        </row>
        <row r="1098">
          <cell r="A1098">
            <v>14</v>
          </cell>
          <cell r="B1098">
            <v>14241</v>
          </cell>
          <cell r="C1098">
            <v>1</v>
          </cell>
          <cell r="D1098">
            <v>52</v>
          </cell>
          <cell r="E1098">
            <v>18.751811999999997</v>
          </cell>
          <cell r="F1098">
            <v>47.07161</v>
          </cell>
        </row>
        <row r="1099">
          <cell r="A1099">
            <v>14</v>
          </cell>
          <cell r="B1099">
            <v>14241</v>
          </cell>
          <cell r="C1099">
            <v>1</v>
          </cell>
          <cell r="D1099">
            <v>591</v>
          </cell>
          <cell r="E1099">
            <v>3.4799999999999998E-2</v>
          </cell>
          <cell r="F1099">
            <v>0.1898</v>
          </cell>
        </row>
        <row r="1100">
          <cell r="A1100">
            <v>14</v>
          </cell>
          <cell r="B1100">
            <v>14241</v>
          </cell>
          <cell r="C1100">
            <v>5</v>
          </cell>
          <cell r="D1100">
            <v>52</v>
          </cell>
          <cell r="E1100">
            <v>1.0542640000000001</v>
          </cell>
          <cell r="F1100">
            <v>2.439025</v>
          </cell>
        </row>
        <row r="1101">
          <cell r="A1101">
            <v>14</v>
          </cell>
          <cell r="B1101">
            <v>14243</v>
          </cell>
          <cell r="C1101">
            <v>1</v>
          </cell>
          <cell r="D1101">
            <v>51</v>
          </cell>
          <cell r="E1101">
            <v>0.77901200000000004</v>
          </cell>
          <cell r="F1101">
            <v>2.3370359999999999</v>
          </cell>
        </row>
        <row r="1102">
          <cell r="A1102">
            <v>14</v>
          </cell>
          <cell r="B1102">
            <v>14243</v>
          </cell>
          <cell r="C1102">
            <v>1</v>
          </cell>
          <cell r="D1102">
            <v>52</v>
          </cell>
          <cell r="E1102">
            <v>0.47334300000000001</v>
          </cell>
          <cell r="F1102">
            <v>0.94216500000000003</v>
          </cell>
        </row>
        <row r="1103">
          <cell r="A1103">
            <v>14</v>
          </cell>
          <cell r="B1103">
            <v>14287</v>
          </cell>
          <cell r="C1103">
            <v>1</v>
          </cell>
          <cell r="D1103">
            <v>51</v>
          </cell>
          <cell r="E1103">
            <v>3.6305299999999998</v>
          </cell>
          <cell r="F1103">
            <v>10.905353</v>
          </cell>
        </row>
        <row r="1104">
          <cell r="A1104">
            <v>14</v>
          </cell>
          <cell r="B1104">
            <v>14287</v>
          </cell>
          <cell r="C1104">
            <v>1</v>
          </cell>
          <cell r="D1104">
            <v>52</v>
          </cell>
          <cell r="E1104">
            <v>35.898482999999999</v>
          </cell>
          <cell r="F1104">
            <v>98.152282999999997</v>
          </cell>
        </row>
        <row r="1105">
          <cell r="A1105">
            <v>14</v>
          </cell>
          <cell r="B1105">
            <v>14289</v>
          </cell>
          <cell r="C1105">
            <v>1</v>
          </cell>
          <cell r="D1105">
            <v>591</v>
          </cell>
          <cell r="E1105">
            <v>224.04949300000001</v>
          </cell>
          <cell r="F1105">
            <v>268.01484900000003</v>
          </cell>
        </row>
        <row r="1106">
          <cell r="A1106">
            <v>14</v>
          </cell>
          <cell r="B1106">
            <v>14301</v>
          </cell>
          <cell r="C1106">
            <v>1</v>
          </cell>
          <cell r="D1106">
            <v>4</v>
          </cell>
          <cell r="E1106">
            <v>-0.17424999999999999</v>
          </cell>
          <cell r="F1106">
            <v>-2.1677200000000001</v>
          </cell>
        </row>
        <row r="1107">
          <cell r="A1107">
            <v>14</v>
          </cell>
          <cell r="B1107">
            <v>14301</v>
          </cell>
          <cell r="C1107">
            <v>1</v>
          </cell>
          <cell r="D1107">
            <v>51</v>
          </cell>
          <cell r="E1107">
            <v>11.218420999999999</v>
          </cell>
          <cell r="F1107">
            <v>33.968094000000001</v>
          </cell>
        </row>
        <row r="1108">
          <cell r="A1108">
            <v>14</v>
          </cell>
          <cell r="B1108">
            <v>14301</v>
          </cell>
          <cell r="C1108">
            <v>1</v>
          </cell>
          <cell r="D1108">
            <v>52</v>
          </cell>
          <cell r="E1108">
            <v>2.490971</v>
          </cell>
          <cell r="F1108">
            <v>9.1475500000000007</v>
          </cell>
        </row>
        <row r="1109">
          <cell r="A1109">
            <v>14</v>
          </cell>
          <cell r="B1109">
            <v>14310</v>
          </cell>
          <cell r="C1109">
            <v>1</v>
          </cell>
          <cell r="D1109">
            <v>4</v>
          </cell>
          <cell r="E1109">
            <v>-0.74417100000000003</v>
          </cell>
          <cell r="F1109">
            <v>-1.9372510000000001</v>
          </cell>
        </row>
        <row r="1110">
          <cell r="A1110">
            <v>14</v>
          </cell>
          <cell r="B1110">
            <v>14310</v>
          </cell>
          <cell r="C1110">
            <v>1</v>
          </cell>
          <cell r="D1110">
            <v>51</v>
          </cell>
          <cell r="E1110">
            <v>13.587329</v>
          </cell>
          <cell r="F1110">
            <v>40.409623000000003</v>
          </cell>
        </row>
        <row r="1111">
          <cell r="A1111">
            <v>14</v>
          </cell>
          <cell r="B1111">
            <v>14310</v>
          </cell>
          <cell r="C1111">
            <v>1</v>
          </cell>
          <cell r="D1111">
            <v>52</v>
          </cell>
          <cell r="E1111">
            <v>6.6444599999999996</v>
          </cell>
          <cell r="F1111">
            <v>19.994569000000002</v>
          </cell>
        </row>
        <row r="1112">
          <cell r="A1112">
            <v>14</v>
          </cell>
          <cell r="B1112">
            <v>14310</v>
          </cell>
          <cell r="C1112">
            <v>1</v>
          </cell>
          <cell r="D1112">
            <v>591</v>
          </cell>
          <cell r="E1112">
            <v>0.20943000000000001</v>
          </cell>
          <cell r="F1112">
            <v>-0.47287499999999999</v>
          </cell>
        </row>
        <row r="1113">
          <cell r="A1113">
            <v>14</v>
          </cell>
          <cell r="B1113">
            <v>14321</v>
          </cell>
          <cell r="C1113">
            <v>1</v>
          </cell>
          <cell r="D1113">
            <v>4</v>
          </cell>
          <cell r="E1113">
            <v>-6.2E-2</v>
          </cell>
          <cell r="F1113">
            <v>-0.1295</v>
          </cell>
        </row>
        <row r="1114">
          <cell r="A1114">
            <v>14</v>
          </cell>
          <cell r="B1114">
            <v>14321</v>
          </cell>
          <cell r="C1114">
            <v>1</v>
          </cell>
          <cell r="D1114">
            <v>51</v>
          </cell>
          <cell r="E1114">
            <v>11.84625</v>
          </cell>
          <cell r="F1114">
            <v>33.297998</v>
          </cell>
        </row>
        <row r="1115">
          <cell r="A1115">
            <v>14</v>
          </cell>
          <cell r="B1115">
            <v>14321</v>
          </cell>
          <cell r="C1115">
            <v>1</v>
          </cell>
          <cell r="D1115">
            <v>52</v>
          </cell>
          <cell r="E1115">
            <v>13.577363</v>
          </cell>
          <cell r="F1115">
            <v>35.495519999999999</v>
          </cell>
        </row>
        <row r="1116">
          <cell r="A1116">
            <v>14</v>
          </cell>
          <cell r="B1116">
            <v>14321</v>
          </cell>
          <cell r="C1116">
            <v>1</v>
          </cell>
          <cell r="D1116">
            <v>591</v>
          </cell>
          <cell r="E1116">
            <v>0</v>
          </cell>
          <cell r="F1116">
            <v>1.8675000000000001E-2</v>
          </cell>
        </row>
        <row r="1117">
          <cell r="A1117">
            <v>14</v>
          </cell>
          <cell r="B1117">
            <v>14381</v>
          </cell>
          <cell r="C1117">
            <v>1</v>
          </cell>
          <cell r="D1117">
            <v>4</v>
          </cell>
          <cell r="E1117">
            <v>0</v>
          </cell>
          <cell r="F1117">
            <v>-0.94865600000000005</v>
          </cell>
        </row>
        <row r="1118">
          <cell r="A1118">
            <v>14</v>
          </cell>
          <cell r="B1118">
            <v>14381</v>
          </cell>
          <cell r="C1118">
            <v>1</v>
          </cell>
          <cell r="D1118">
            <v>51</v>
          </cell>
          <cell r="E1118">
            <v>0.120585</v>
          </cell>
          <cell r="F1118">
            <v>0.36175499999999999</v>
          </cell>
        </row>
        <row r="1119">
          <cell r="A1119">
            <v>14</v>
          </cell>
          <cell r="B1119">
            <v>14381</v>
          </cell>
          <cell r="C1119">
            <v>1</v>
          </cell>
          <cell r="D1119">
            <v>52</v>
          </cell>
          <cell r="E1119">
            <v>0</v>
          </cell>
          <cell r="F1119">
            <v>6.5799999999999999E-3</v>
          </cell>
        </row>
        <row r="1120">
          <cell r="A1120">
            <v>14</v>
          </cell>
          <cell r="B1120">
            <v>14381</v>
          </cell>
          <cell r="C1120">
            <v>6</v>
          </cell>
          <cell r="D1120">
            <v>4</v>
          </cell>
          <cell r="E1120">
            <v>-9.7700429999999994</v>
          </cell>
          <cell r="F1120">
            <v>-11.425041</v>
          </cell>
        </row>
        <row r="1121">
          <cell r="A1121">
            <v>14</v>
          </cell>
          <cell r="B1121">
            <v>14381</v>
          </cell>
          <cell r="C1121">
            <v>6</v>
          </cell>
          <cell r="D1121">
            <v>52</v>
          </cell>
          <cell r="E1121">
            <v>3.4834999999999998E-2</v>
          </cell>
          <cell r="F1121">
            <v>0.14283100000000001</v>
          </cell>
        </row>
        <row r="1122">
          <cell r="A1122">
            <v>14</v>
          </cell>
          <cell r="B1122">
            <v>14381</v>
          </cell>
          <cell r="C1122">
            <v>6</v>
          </cell>
          <cell r="D1122">
            <v>591</v>
          </cell>
          <cell r="E1122">
            <v>0.49717600000000001</v>
          </cell>
          <cell r="F1122">
            <v>64.465434000000002</v>
          </cell>
        </row>
        <row r="1123">
          <cell r="A1123">
            <v>14</v>
          </cell>
          <cell r="B1123">
            <v>14401</v>
          </cell>
          <cell r="C1123">
            <v>1</v>
          </cell>
          <cell r="D1123">
            <v>4</v>
          </cell>
          <cell r="E1123">
            <v>-10.659655000000001</v>
          </cell>
          <cell r="F1123">
            <v>-16.678184000000002</v>
          </cell>
        </row>
        <row r="1124">
          <cell r="A1124">
            <v>14</v>
          </cell>
          <cell r="B1124">
            <v>14401</v>
          </cell>
          <cell r="C1124">
            <v>1</v>
          </cell>
          <cell r="D1124">
            <v>51</v>
          </cell>
          <cell r="E1124">
            <v>20.370953</v>
          </cell>
          <cell r="F1124">
            <v>61.808481</v>
          </cell>
        </row>
        <row r="1125">
          <cell r="A1125">
            <v>14</v>
          </cell>
          <cell r="B1125">
            <v>14401</v>
          </cell>
          <cell r="C1125">
            <v>1</v>
          </cell>
          <cell r="D1125">
            <v>52</v>
          </cell>
          <cell r="E1125">
            <v>11.501810000000001</v>
          </cell>
          <cell r="F1125">
            <v>35.841695999999999</v>
          </cell>
        </row>
        <row r="1126">
          <cell r="A1126">
            <v>14</v>
          </cell>
          <cell r="B1126">
            <v>14401</v>
          </cell>
          <cell r="C1126">
            <v>1</v>
          </cell>
          <cell r="D1126">
            <v>591</v>
          </cell>
          <cell r="E1126">
            <v>0.01</v>
          </cell>
          <cell r="F1126">
            <v>0.46500000000000002</v>
          </cell>
        </row>
        <row r="1127">
          <cell r="A1127">
            <v>14</v>
          </cell>
          <cell r="B1127">
            <v>14403</v>
          </cell>
          <cell r="C1127">
            <v>1</v>
          </cell>
          <cell r="D1127">
            <v>591</v>
          </cell>
          <cell r="E1127">
            <v>10.634</v>
          </cell>
          <cell r="F1127">
            <v>31.902000000000001</v>
          </cell>
        </row>
        <row r="1128">
          <cell r="A1128">
            <v>14</v>
          </cell>
          <cell r="B1128">
            <v>14407</v>
          </cell>
          <cell r="C1128">
            <v>1</v>
          </cell>
          <cell r="D1128">
            <v>4</v>
          </cell>
          <cell r="E1128">
            <v>-3.6106739999999999</v>
          </cell>
          <cell r="F1128">
            <v>-9.4380070000000007</v>
          </cell>
        </row>
        <row r="1129">
          <cell r="A1129">
            <v>14</v>
          </cell>
          <cell r="B1129">
            <v>14407</v>
          </cell>
          <cell r="C1129">
            <v>1</v>
          </cell>
          <cell r="D1129">
            <v>51</v>
          </cell>
          <cell r="E1129">
            <v>3.0888559999999998</v>
          </cell>
          <cell r="F1129">
            <v>8.5365070000000003</v>
          </cell>
        </row>
        <row r="1130">
          <cell r="A1130">
            <v>14</v>
          </cell>
          <cell r="B1130">
            <v>14407</v>
          </cell>
          <cell r="C1130">
            <v>1</v>
          </cell>
          <cell r="D1130">
            <v>52</v>
          </cell>
          <cell r="E1130">
            <v>1.0090239999999999</v>
          </cell>
          <cell r="F1130">
            <v>3.3583419999999999</v>
          </cell>
        </row>
        <row r="1131">
          <cell r="A1131">
            <v>14</v>
          </cell>
          <cell r="B1131">
            <v>14407</v>
          </cell>
          <cell r="C1131">
            <v>1</v>
          </cell>
          <cell r="D1131">
            <v>591</v>
          </cell>
          <cell r="E1131">
            <v>0</v>
          </cell>
          <cell r="F1131">
            <v>0.30149999999999999</v>
          </cell>
        </row>
        <row r="1132">
          <cell r="A1132">
            <v>14</v>
          </cell>
          <cell r="B1132">
            <v>14412</v>
          </cell>
          <cell r="C1132">
            <v>1</v>
          </cell>
          <cell r="D1132">
            <v>4</v>
          </cell>
          <cell r="E1132">
            <v>-5.301717</v>
          </cell>
          <cell r="F1132">
            <v>-113.183761</v>
          </cell>
        </row>
        <row r="1133">
          <cell r="A1133">
            <v>14</v>
          </cell>
          <cell r="B1133">
            <v>14412</v>
          </cell>
          <cell r="C1133">
            <v>1</v>
          </cell>
          <cell r="D1133">
            <v>51</v>
          </cell>
          <cell r="E1133">
            <v>70.265483000000003</v>
          </cell>
          <cell r="F1133">
            <v>206.007622</v>
          </cell>
        </row>
        <row r="1134">
          <cell r="A1134">
            <v>14</v>
          </cell>
          <cell r="B1134">
            <v>14412</v>
          </cell>
          <cell r="C1134">
            <v>1</v>
          </cell>
          <cell r="D1134">
            <v>52</v>
          </cell>
          <cell r="E1134">
            <v>24.244787000000002</v>
          </cell>
          <cell r="F1134">
            <v>119.09119799999999</v>
          </cell>
        </row>
        <row r="1135">
          <cell r="A1135">
            <v>14</v>
          </cell>
          <cell r="B1135">
            <v>14412</v>
          </cell>
          <cell r="C1135">
            <v>1</v>
          </cell>
          <cell r="D1135">
            <v>591</v>
          </cell>
          <cell r="E1135">
            <v>0.02</v>
          </cell>
          <cell r="F1135">
            <v>0.02</v>
          </cell>
        </row>
        <row r="1136">
          <cell r="A1136">
            <v>19</v>
          </cell>
          <cell r="B1136">
            <v>19801</v>
          </cell>
          <cell r="C1136">
            <v>1</v>
          </cell>
          <cell r="D1136">
            <v>52</v>
          </cell>
          <cell r="E1136">
            <v>8140.9207189999997</v>
          </cell>
          <cell r="F1136">
            <v>22155.133948999999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D1000"/>
  <sheetViews>
    <sheetView showGridLines="0" workbookViewId="0">
      <pane xSplit="2" ySplit="9" topLeftCell="C51" activePane="bottomRight" state="frozen"/>
      <selection pane="topRight" activeCell="C1" sqref="C1"/>
      <selection pane="bottomLeft" activeCell="A10" sqref="A10"/>
      <selection pane="bottomRight" activeCell="F17" sqref="F17"/>
    </sheetView>
  </sheetViews>
  <sheetFormatPr baseColWidth="10" defaultColWidth="14.3984375" defaultRowHeight="15" customHeight="1" x14ac:dyDescent="0.2"/>
  <cols>
    <col min="1" max="1" width="9.19921875" hidden="1" customWidth="1"/>
    <col min="2" max="2" width="8.19921875" customWidth="1"/>
    <col min="3" max="3" width="2.796875" customWidth="1"/>
    <col min="4" max="4" width="55" customWidth="1"/>
    <col min="5" max="10" width="21.796875" customWidth="1"/>
    <col min="11" max="11" width="38" customWidth="1"/>
    <col min="12" max="30" width="9.19921875" customWidth="1"/>
  </cols>
  <sheetData>
    <row r="1" spans="1:30" ht="22.5" customHeight="1" x14ac:dyDescent="0.25">
      <c r="A1" s="1"/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2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22.5" customHeight="1" x14ac:dyDescent="0.25">
      <c r="A2" s="4"/>
      <c r="B2" s="5"/>
      <c r="C2" s="6" t="s"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4"/>
      <c r="P2" s="5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spans="1:30" ht="22.5" customHeight="1" x14ac:dyDescent="0.25">
      <c r="A3" s="7"/>
      <c r="B3" s="8"/>
      <c r="C3" s="9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7"/>
      <c r="P3" s="8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</row>
    <row r="4" spans="1:30" ht="12.75" customHeight="1" x14ac:dyDescent="0.2">
      <c r="A4" s="7"/>
      <c r="B4" s="7"/>
      <c r="C4" s="7"/>
      <c r="D4" s="7"/>
      <c r="E4" s="78" t="s">
        <v>1</v>
      </c>
      <c r="F4" s="79"/>
      <c r="G4" s="79"/>
      <c r="H4" s="79"/>
      <c r="I4" s="79"/>
      <c r="J4" s="80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</row>
    <row r="5" spans="1:30" ht="12.75" customHeight="1" x14ac:dyDescent="0.2">
      <c r="A5" s="7"/>
      <c r="B5" s="7"/>
      <c r="C5" s="7"/>
      <c r="D5" s="7" t="s">
        <v>2</v>
      </c>
      <c r="E5" s="81"/>
      <c r="F5" s="82"/>
      <c r="G5" s="82"/>
      <c r="H5" s="82"/>
      <c r="I5" s="82"/>
      <c r="J5" s="83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</row>
    <row r="6" spans="1:30" ht="12.75" customHeight="1" x14ac:dyDescent="0.2">
      <c r="A6" s="7"/>
      <c r="B6" s="7"/>
      <c r="C6" s="7"/>
      <c r="D6" s="7"/>
      <c r="E6" s="84"/>
      <c r="F6" s="85"/>
      <c r="G6" s="85"/>
      <c r="H6" s="85"/>
      <c r="I6" s="85"/>
      <c r="J6" s="86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</row>
    <row r="7" spans="1:30" ht="12.75" customHeight="1" x14ac:dyDescent="0.2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</row>
    <row r="8" spans="1:30" ht="12.75" customHeight="1" x14ac:dyDescent="0.2">
      <c r="A8" s="7"/>
      <c r="B8" s="7"/>
      <c r="C8" s="7"/>
      <c r="D8" s="7"/>
      <c r="E8" s="10" t="s">
        <v>3</v>
      </c>
      <c r="F8" s="11"/>
      <c r="G8" s="11"/>
      <c r="H8" s="11"/>
      <c r="I8" s="11" t="s">
        <v>4</v>
      </c>
      <c r="J8" s="12" t="s">
        <v>5</v>
      </c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</row>
    <row r="9" spans="1:30" ht="12.75" customHeight="1" x14ac:dyDescent="0.2">
      <c r="A9" s="7"/>
      <c r="B9" s="7"/>
      <c r="C9" s="7"/>
      <c r="D9" s="7"/>
      <c r="E9" s="13">
        <v>2017</v>
      </c>
      <c r="F9" s="14">
        <v>2018</v>
      </c>
      <c r="G9" s="14">
        <v>2019</v>
      </c>
      <c r="H9" s="14">
        <v>2020</v>
      </c>
      <c r="I9" s="15">
        <v>2021</v>
      </c>
      <c r="J9" s="16" t="s">
        <v>6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</row>
    <row r="10" spans="1:30" ht="12.75" customHeight="1" x14ac:dyDescent="0.2">
      <c r="A10" s="7"/>
      <c r="B10" s="7"/>
      <c r="C10" s="17" t="s">
        <v>7</v>
      </c>
      <c r="D10" s="18"/>
      <c r="E10" s="19"/>
      <c r="F10" s="20"/>
      <c r="G10" s="20"/>
      <c r="H10" s="20"/>
      <c r="I10" s="20"/>
      <c r="J10" s="21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</row>
    <row r="11" spans="1:30" ht="12.75" customHeight="1" x14ac:dyDescent="0.2">
      <c r="A11" s="7"/>
      <c r="B11" s="7"/>
      <c r="C11" s="22"/>
      <c r="D11" s="23" t="s">
        <v>8</v>
      </c>
      <c r="E11" s="24">
        <f>E12+E15+E17</f>
        <v>15.95896787</v>
      </c>
      <c r="F11" s="24">
        <f t="shared" ref="F11:I11" si="0">F12+F15+F17</f>
        <v>18.6849995</v>
      </c>
      <c r="G11" s="24">
        <f t="shared" si="0"/>
        <v>18.59291919</v>
      </c>
      <c r="H11" s="24">
        <f t="shared" si="0"/>
        <v>20.993551999999998</v>
      </c>
      <c r="I11" s="24">
        <f t="shared" si="0"/>
        <v>25.311677360000001</v>
      </c>
      <c r="J11" s="25">
        <f>I11-E11</f>
        <v>9.3527094900000005</v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</row>
    <row r="12" spans="1:30" ht="12.75" customHeight="1" x14ac:dyDescent="0.2">
      <c r="A12" s="7"/>
      <c r="B12" s="7"/>
      <c r="C12" s="22"/>
      <c r="D12" s="23" t="s">
        <v>9</v>
      </c>
      <c r="E12" s="24">
        <f>E13-E14</f>
        <v>0.71896787000000018</v>
      </c>
      <c r="F12" s="24">
        <f t="shared" ref="F12:I12" si="1">F13-F14</f>
        <v>0.43499949999999998</v>
      </c>
      <c r="G12" s="24">
        <f t="shared" si="1"/>
        <v>-0.67708081000000142</v>
      </c>
      <c r="H12" s="24">
        <f t="shared" si="1"/>
        <v>0.65355199999999769</v>
      </c>
      <c r="I12" s="24">
        <f t="shared" si="1"/>
        <v>0.96167735999999948</v>
      </c>
      <c r="J12" s="25">
        <f>I12-E12</f>
        <v>0.24270948999999931</v>
      </c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</row>
    <row r="13" spans="1:30" ht="12.75" customHeight="1" x14ac:dyDescent="0.2">
      <c r="A13" s="7"/>
      <c r="B13" s="7"/>
      <c r="C13" s="22"/>
      <c r="D13" s="23" t="s">
        <v>10</v>
      </c>
      <c r="E13" s="26">
        <v>12.518967870000001</v>
      </c>
      <c r="F13" s="26">
        <v>14.634999499999999</v>
      </c>
      <c r="G13" s="26">
        <v>14.122919189999999</v>
      </c>
      <c r="H13" s="26">
        <v>16.453551999999998</v>
      </c>
      <c r="I13" s="26">
        <v>19.561677360000001</v>
      </c>
      <c r="J13" s="25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</row>
    <row r="14" spans="1:30" ht="12.75" customHeight="1" x14ac:dyDescent="0.2">
      <c r="A14" s="7"/>
      <c r="B14" s="7"/>
      <c r="C14" s="22"/>
      <c r="D14" s="27" t="s">
        <v>11</v>
      </c>
      <c r="E14" s="28">
        <v>11.8</v>
      </c>
      <c r="F14" s="28">
        <v>14.2</v>
      </c>
      <c r="G14" s="28">
        <v>14.8</v>
      </c>
      <c r="H14" s="28">
        <v>15.8</v>
      </c>
      <c r="I14" s="28">
        <v>18.600000000000001</v>
      </c>
      <c r="J14" s="26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</row>
    <row r="15" spans="1:30" ht="12.75" customHeight="1" x14ac:dyDescent="0.2">
      <c r="A15" s="7"/>
      <c r="B15" s="7"/>
      <c r="C15" s="22"/>
      <c r="D15" s="23" t="s">
        <v>12</v>
      </c>
      <c r="E15" s="28">
        <v>15</v>
      </c>
      <c r="F15" s="28">
        <v>18</v>
      </c>
      <c r="G15" s="28">
        <v>19</v>
      </c>
      <c r="H15" s="28">
        <v>20</v>
      </c>
      <c r="I15" s="28">
        <v>24</v>
      </c>
      <c r="J15" s="26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</row>
    <row r="16" spans="1:30" ht="12.75" customHeight="1" x14ac:dyDescent="0.2">
      <c r="A16" s="7"/>
      <c r="B16" s="7"/>
      <c r="C16" s="22"/>
      <c r="D16" s="27" t="s">
        <v>13</v>
      </c>
      <c r="E16" s="28">
        <v>3</v>
      </c>
      <c r="F16" s="28">
        <v>4</v>
      </c>
      <c r="G16" s="28">
        <v>4</v>
      </c>
      <c r="H16" s="28">
        <v>4</v>
      </c>
      <c r="I16" s="28">
        <v>5</v>
      </c>
      <c r="J16" s="29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</row>
    <row r="17" spans="1:30" ht="12.75" customHeight="1" x14ac:dyDescent="0.2">
      <c r="A17" s="7"/>
      <c r="B17" s="7"/>
      <c r="C17" s="22"/>
      <c r="D17" s="27" t="s">
        <v>14</v>
      </c>
      <c r="E17" s="28">
        <v>0.24</v>
      </c>
      <c r="F17" s="28">
        <v>0.25</v>
      </c>
      <c r="G17" s="28">
        <v>0.27</v>
      </c>
      <c r="H17" s="28">
        <v>0.34</v>
      </c>
      <c r="I17" s="28">
        <v>0.35</v>
      </c>
      <c r="J17" s="30">
        <v>0.11</v>
      </c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</row>
    <row r="18" spans="1:30" ht="12.75" customHeight="1" x14ac:dyDescent="0.2">
      <c r="A18" s="7"/>
      <c r="B18" s="7"/>
      <c r="C18" s="22"/>
      <c r="D18" s="23"/>
      <c r="E18" s="31"/>
      <c r="F18" s="32"/>
      <c r="G18" s="32"/>
      <c r="H18" s="32"/>
      <c r="I18" s="32"/>
      <c r="J18" s="33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</row>
    <row r="19" spans="1:30" ht="12.75" customHeight="1" x14ac:dyDescent="0.2">
      <c r="A19" s="7"/>
      <c r="B19" s="7"/>
      <c r="C19" s="34"/>
      <c r="D19" s="35" t="s">
        <v>15</v>
      </c>
      <c r="E19" s="28">
        <v>-1.2</v>
      </c>
      <c r="F19" s="28">
        <v>-2.9</v>
      </c>
      <c r="G19" s="28">
        <v>-3.6</v>
      </c>
      <c r="H19" s="28">
        <v>-1.9</v>
      </c>
      <c r="I19" s="28">
        <v>-2.8</v>
      </c>
      <c r="J19" s="36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</row>
    <row r="20" spans="1:30" ht="12.75" customHeight="1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</row>
    <row r="21" spans="1:30" ht="12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</row>
    <row r="22" spans="1:30" ht="12.75" customHeight="1" x14ac:dyDescent="0.2">
      <c r="A22" s="7"/>
      <c r="B22" s="7"/>
      <c r="C22" s="17" t="s">
        <v>16</v>
      </c>
      <c r="D22" s="18"/>
      <c r="E22" s="37"/>
      <c r="F22" s="38"/>
      <c r="G22" s="38"/>
      <c r="H22" s="38"/>
      <c r="I22" s="38"/>
      <c r="J22" s="39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</row>
    <row r="23" spans="1:30" ht="12.75" customHeight="1" x14ac:dyDescent="0.2">
      <c r="A23" s="7"/>
      <c r="B23" s="7"/>
      <c r="C23" s="22"/>
      <c r="D23" s="23" t="s">
        <v>17</v>
      </c>
      <c r="E23" s="28">
        <v>15.3</v>
      </c>
      <c r="F23" s="28">
        <v>15.5</v>
      </c>
      <c r="G23" s="28">
        <v>14.9</v>
      </c>
      <c r="H23" s="28">
        <v>16.7</v>
      </c>
      <c r="I23" s="28">
        <v>20.399999999999999</v>
      </c>
      <c r="J23" s="30">
        <v>5.0999999999999996</v>
      </c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</row>
    <row r="24" spans="1:30" ht="12.75" customHeight="1" x14ac:dyDescent="0.2">
      <c r="A24" s="7"/>
      <c r="B24" s="7"/>
      <c r="C24" s="34"/>
      <c r="D24" s="40" t="s">
        <v>18</v>
      </c>
      <c r="E24" s="41">
        <v>16</v>
      </c>
      <c r="F24" s="42">
        <v>16.5</v>
      </c>
      <c r="G24" s="42">
        <v>12.5</v>
      </c>
      <c r="H24" s="42">
        <v>18.2</v>
      </c>
      <c r="I24" s="42">
        <v>26</v>
      </c>
      <c r="J24" s="43">
        <v>10</v>
      </c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</row>
    <row r="25" spans="1:30" ht="12.75" customHeight="1" x14ac:dyDescent="0.2">
      <c r="A25" s="7"/>
      <c r="B25" s="7"/>
      <c r="C25" s="7"/>
      <c r="D25" s="7"/>
      <c r="E25" s="44"/>
      <c r="F25" s="44"/>
      <c r="G25" s="44"/>
      <c r="H25" s="44"/>
      <c r="I25" s="44"/>
      <c r="J25" s="44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</row>
    <row r="26" spans="1:30" ht="12.75" customHeight="1" x14ac:dyDescent="0.2">
      <c r="A26" s="7"/>
      <c r="B26" s="7"/>
      <c r="C26" s="17" t="s">
        <v>19</v>
      </c>
      <c r="D26" s="18"/>
      <c r="E26" s="45"/>
      <c r="F26" s="46"/>
      <c r="G26" s="46"/>
      <c r="H26" s="46"/>
      <c r="I26" s="46"/>
      <c r="J26" s="47"/>
      <c r="K26" s="87"/>
      <c r="L26" s="82"/>
      <c r="M26" s="82"/>
      <c r="N26" s="82"/>
      <c r="O26" s="82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</row>
    <row r="27" spans="1:30" ht="12.75" customHeight="1" x14ac:dyDescent="0.2">
      <c r="A27" s="7"/>
      <c r="B27" s="7"/>
      <c r="C27" s="22"/>
      <c r="D27" s="27" t="s">
        <v>20</v>
      </c>
      <c r="E27" s="31">
        <v>-1.5</v>
      </c>
      <c r="F27" s="44">
        <v>0.7</v>
      </c>
      <c r="G27" s="44">
        <v>0.5</v>
      </c>
      <c r="H27" s="44">
        <v>1</v>
      </c>
      <c r="I27" s="44">
        <v>0.3</v>
      </c>
      <c r="J27" s="25">
        <f t="shared" ref="J27:J28" si="2">I27-E27</f>
        <v>1.8</v>
      </c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</row>
    <row r="28" spans="1:30" ht="12.75" customHeight="1" x14ac:dyDescent="0.2">
      <c r="A28" s="7"/>
      <c r="B28" s="7"/>
      <c r="C28" s="34"/>
      <c r="D28" s="35" t="s">
        <v>21</v>
      </c>
      <c r="E28" s="48">
        <f>E23-E24-E27</f>
        <v>0.80000000000000071</v>
      </c>
      <c r="F28" s="48">
        <f t="shared" ref="F28:I28" si="3">F23-F24-F27</f>
        <v>-1.7</v>
      </c>
      <c r="G28" s="48">
        <f t="shared" si="3"/>
        <v>1.9000000000000004</v>
      </c>
      <c r="H28" s="48">
        <f>H23-H24-H27</f>
        <v>-2.5</v>
      </c>
      <c r="I28" s="48">
        <f t="shared" si="3"/>
        <v>-5.9000000000000012</v>
      </c>
      <c r="J28" s="49">
        <f t="shared" si="2"/>
        <v>-6.700000000000002</v>
      </c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</row>
    <row r="29" spans="1:30" ht="12.75" customHeight="1" x14ac:dyDescent="0.2">
      <c r="A29" s="7"/>
      <c r="B29" s="7"/>
      <c r="C29" s="7"/>
      <c r="D29" s="7"/>
      <c r="E29" s="44"/>
      <c r="F29" s="44"/>
      <c r="G29" s="44"/>
      <c r="H29" s="44"/>
      <c r="I29" s="44"/>
      <c r="J29" s="32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</row>
    <row r="30" spans="1:30" ht="12.75" customHeight="1" x14ac:dyDescent="0.2">
      <c r="A30" s="7"/>
      <c r="B30" s="7"/>
      <c r="C30" s="17" t="s">
        <v>22</v>
      </c>
      <c r="D30" s="18"/>
      <c r="E30" s="50"/>
      <c r="F30" s="51"/>
      <c r="G30" s="51"/>
      <c r="H30" s="51"/>
      <c r="I30" s="51"/>
      <c r="J30" s="52" t="s">
        <v>23</v>
      </c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</row>
    <row r="31" spans="1:30" ht="12.75" customHeight="1" x14ac:dyDescent="0.2">
      <c r="A31" s="7"/>
      <c r="B31" s="7"/>
      <c r="C31" s="22"/>
      <c r="D31" s="23" t="s">
        <v>24</v>
      </c>
      <c r="E31" s="53">
        <v>115</v>
      </c>
      <c r="F31" s="54">
        <v>124</v>
      </c>
      <c r="G31" s="54">
        <v>118</v>
      </c>
      <c r="H31" s="54">
        <v>111</v>
      </c>
      <c r="I31" s="54">
        <v>150</v>
      </c>
      <c r="J31" s="25">
        <f t="shared" ref="J31:J32" si="4">I31-E31</f>
        <v>35</v>
      </c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</row>
    <row r="32" spans="1:30" ht="12.75" customHeight="1" x14ac:dyDescent="0.2">
      <c r="A32" s="7"/>
      <c r="B32" s="7"/>
      <c r="C32" s="22"/>
      <c r="D32" s="23" t="s">
        <v>25</v>
      </c>
      <c r="E32" s="31">
        <v>91</v>
      </c>
      <c r="F32" s="44">
        <v>106</v>
      </c>
      <c r="G32" s="44">
        <v>107</v>
      </c>
      <c r="H32" s="44">
        <v>92</v>
      </c>
      <c r="I32" s="44">
        <v>130</v>
      </c>
      <c r="J32" s="25">
        <f t="shared" si="4"/>
        <v>39</v>
      </c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</row>
    <row r="33" spans="1:30" ht="12.75" customHeight="1" x14ac:dyDescent="0.2">
      <c r="A33" s="7"/>
      <c r="B33" s="7"/>
      <c r="C33" s="22"/>
      <c r="D33" s="23" t="s">
        <v>26</v>
      </c>
      <c r="E33" s="24">
        <f t="shared" ref="E33:H33" si="5">E31/E32*100</f>
        <v>126.37362637362637</v>
      </c>
      <c r="F33" s="24">
        <f t="shared" si="5"/>
        <v>116.98113207547169</v>
      </c>
      <c r="G33" s="24">
        <f t="shared" si="5"/>
        <v>110.28037383177569</v>
      </c>
      <c r="H33" s="24">
        <f t="shared" si="5"/>
        <v>120.65217391304348</v>
      </c>
      <c r="I33" s="24">
        <f>I31/I32*100</f>
        <v>115.38461538461537</v>
      </c>
      <c r="J33" s="25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</row>
    <row r="34" spans="1:30" ht="12.75" customHeight="1" x14ac:dyDescent="0.2">
      <c r="A34" s="7"/>
      <c r="B34" s="7"/>
      <c r="C34" s="22"/>
      <c r="D34" s="23" t="s">
        <v>27</v>
      </c>
      <c r="E34" s="55"/>
      <c r="F34" s="7"/>
      <c r="G34" s="7"/>
      <c r="H34" s="7"/>
      <c r="I34" s="7"/>
      <c r="J34" s="21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</row>
    <row r="35" spans="1:30" ht="12.75" customHeight="1" x14ac:dyDescent="0.2">
      <c r="A35" s="7"/>
      <c r="B35" s="7"/>
      <c r="C35" s="22"/>
      <c r="D35" s="23" t="s">
        <v>28</v>
      </c>
      <c r="E35" s="31"/>
      <c r="F35" s="44"/>
      <c r="G35" s="44"/>
      <c r="H35" s="44"/>
      <c r="I35" s="44"/>
      <c r="J35" s="56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</row>
    <row r="36" spans="1:30" ht="12.75" customHeight="1" x14ac:dyDescent="0.2">
      <c r="A36" s="7"/>
      <c r="B36" s="7"/>
      <c r="C36" s="22"/>
      <c r="D36" s="23" t="s">
        <v>29</v>
      </c>
      <c r="E36" s="31"/>
      <c r="F36" s="44"/>
      <c r="G36" s="44"/>
      <c r="H36" s="44"/>
      <c r="I36" s="44"/>
      <c r="J36" s="56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</row>
    <row r="37" spans="1:30" ht="12.75" customHeight="1" x14ac:dyDescent="0.2">
      <c r="A37" s="7"/>
      <c r="B37" s="7"/>
      <c r="C37" s="34"/>
      <c r="D37" s="35" t="s">
        <v>30</v>
      </c>
      <c r="E37" s="41"/>
      <c r="F37" s="42"/>
      <c r="G37" s="42"/>
      <c r="H37" s="42"/>
      <c r="I37" s="42"/>
      <c r="J37" s="5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</row>
    <row r="38" spans="1:30" ht="12.75" customHeight="1" x14ac:dyDescent="0.2">
      <c r="A38" s="7"/>
      <c r="B38" s="7"/>
      <c r="C38" s="7"/>
      <c r="D38" s="7"/>
      <c r="E38" s="7"/>
      <c r="F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</row>
    <row r="39" spans="1:30" ht="12.75" customHeight="1" x14ac:dyDescent="0.2">
      <c r="A39" s="7"/>
      <c r="B39" s="7"/>
      <c r="C39" s="17"/>
      <c r="D39" s="58" t="s">
        <v>31</v>
      </c>
      <c r="E39" s="28">
        <v>10</v>
      </c>
      <c r="F39" s="28">
        <v>12</v>
      </c>
      <c r="G39" s="28">
        <v>12</v>
      </c>
      <c r="H39" s="28">
        <v>14</v>
      </c>
      <c r="I39" s="28">
        <v>17</v>
      </c>
      <c r="J39" s="59">
        <f t="shared" ref="J39:J40" si="6">I39-E39</f>
        <v>7</v>
      </c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</row>
    <row r="40" spans="1:30" ht="12.75" customHeight="1" x14ac:dyDescent="0.2">
      <c r="A40" s="7"/>
      <c r="B40" s="7"/>
      <c r="C40" s="34"/>
      <c r="D40" s="35" t="s">
        <v>32</v>
      </c>
      <c r="E40" s="28">
        <v>8</v>
      </c>
      <c r="F40" s="28">
        <v>9</v>
      </c>
      <c r="G40" s="28">
        <v>10</v>
      </c>
      <c r="H40" s="28">
        <v>11</v>
      </c>
      <c r="I40" s="28">
        <v>14</v>
      </c>
      <c r="J40" s="60">
        <f t="shared" si="6"/>
        <v>6</v>
      </c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</row>
    <row r="41" spans="1:30" ht="12.75" customHeight="1" x14ac:dyDescent="0.2">
      <c r="A41" s="61"/>
      <c r="B41" s="61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</row>
    <row r="42" spans="1:30" ht="12.75" customHeight="1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</row>
    <row r="43" spans="1:30" ht="12.75" customHeight="1" x14ac:dyDescent="0.2">
      <c r="A43" s="7"/>
      <c r="B43" s="7"/>
      <c r="C43" s="62" t="s">
        <v>33</v>
      </c>
      <c r="D43" s="63"/>
      <c r="E43" s="64">
        <f t="shared" ref="E43:I43" si="7">E11+E19</f>
        <v>14.758967870000001</v>
      </c>
      <c r="F43" s="64">
        <f t="shared" si="7"/>
        <v>15.7849995</v>
      </c>
      <c r="G43" s="64">
        <f t="shared" si="7"/>
        <v>14.99291919</v>
      </c>
      <c r="H43" s="64">
        <f t="shared" si="7"/>
        <v>19.093551999999999</v>
      </c>
      <c r="I43" s="64">
        <f t="shared" si="7"/>
        <v>22.51167736</v>
      </c>
      <c r="J43" s="65">
        <f>I43-E42</f>
        <v>22.51167736</v>
      </c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</row>
    <row r="44" spans="1:30" ht="12.75" customHeight="1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</row>
    <row r="45" spans="1:30" ht="12.75" customHeight="1" x14ac:dyDescent="0.2">
      <c r="A45" s="7"/>
      <c r="B45" s="7"/>
      <c r="C45" s="17" t="s">
        <v>34</v>
      </c>
      <c r="D45" s="18"/>
      <c r="E45" s="50"/>
      <c r="F45" s="51"/>
      <c r="G45" s="51"/>
      <c r="H45" s="51"/>
      <c r="I45" s="51"/>
      <c r="J45" s="66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</row>
    <row r="46" spans="1:30" ht="12.75" customHeight="1" x14ac:dyDescent="0.2">
      <c r="A46" s="61"/>
      <c r="C46" s="22"/>
      <c r="D46" s="27" t="s">
        <v>35</v>
      </c>
      <c r="E46" s="24">
        <f>E47+E48+E49+E51+E52</f>
        <v>705.01991688502801</v>
      </c>
      <c r="F46" s="24">
        <f t="shared" ref="F46:I46" si="8">F47+F48+F49+F51+F52</f>
        <v>674.81146645029821</v>
      </c>
      <c r="G46" s="24">
        <f t="shared" si="8"/>
        <v>668.07530460222506</v>
      </c>
      <c r="H46" s="24">
        <f t="shared" si="8"/>
        <v>670.76608881497123</v>
      </c>
      <c r="I46" s="24">
        <f t="shared" si="8"/>
        <v>693.02716895333913</v>
      </c>
      <c r="J46" s="6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</row>
    <row r="47" spans="1:30" ht="12.75" customHeight="1" x14ac:dyDescent="0.2">
      <c r="A47" s="7"/>
      <c r="C47" s="22"/>
      <c r="D47" s="23" t="s">
        <v>36</v>
      </c>
      <c r="E47" s="26">
        <v>-47.99</v>
      </c>
      <c r="F47" s="26">
        <v>-76.03</v>
      </c>
      <c r="G47" s="26">
        <v>-46.47</v>
      </c>
      <c r="H47" s="26">
        <v>-41.01</v>
      </c>
      <c r="I47" s="26">
        <v>-30.43</v>
      </c>
      <c r="J47" s="67">
        <f t="shared" ref="J47:J48" si="9">I47-E47</f>
        <v>17.560000000000002</v>
      </c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</row>
    <row r="48" spans="1:30" ht="12.75" customHeight="1" x14ac:dyDescent="0.2">
      <c r="A48" s="7"/>
      <c r="C48" s="22"/>
      <c r="D48" s="23" t="s">
        <v>37</v>
      </c>
      <c r="E48" s="28">
        <v>375</v>
      </c>
      <c r="F48" s="28">
        <v>374</v>
      </c>
      <c r="G48" s="28">
        <v>356</v>
      </c>
      <c r="H48" s="28">
        <v>355</v>
      </c>
      <c r="I48" s="28">
        <v>362</v>
      </c>
      <c r="J48" s="67">
        <f t="shared" si="9"/>
        <v>-13</v>
      </c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</row>
    <row r="49" spans="1:30" ht="12.75" customHeight="1" x14ac:dyDescent="0.2">
      <c r="A49" s="7"/>
      <c r="C49" s="22"/>
      <c r="D49" s="23" t="s">
        <v>38</v>
      </c>
      <c r="E49" s="31">
        <v>0.60024667467801207</v>
      </c>
      <c r="F49" s="44">
        <v>1.3652849825474991</v>
      </c>
      <c r="G49" s="44">
        <v>1.136568803289254</v>
      </c>
      <c r="H49" s="44">
        <v>0.48820723432062774</v>
      </c>
      <c r="I49" s="44">
        <v>0.79654083597035408</v>
      </c>
      <c r="J49" s="6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</row>
    <row r="50" spans="1:30" ht="12.75" customHeight="1" x14ac:dyDescent="0.2">
      <c r="A50" s="7"/>
      <c r="B50" s="7"/>
      <c r="C50" s="68"/>
      <c r="D50" s="23" t="s">
        <v>39</v>
      </c>
      <c r="E50" s="31">
        <v>-6.6001519136003175</v>
      </c>
      <c r="F50" s="44">
        <v>-7.540994703516704</v>
      </c>
      <c r="G50" s="44">
        <v>-5.5341097890527129</v>
      </c>
      <c r="H50" s="44">
        <v>-4.5415156616497043</v>
      </c>
      <c r="I50" s="44">
        <v>-0.11806718613554135</v>
      </c>
      <c r="J50" s="6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</row>
    <row r="51" spans="1:30" ht="12.75" customHeight="1" x14ac:dyDescent="0.2">
      <c r="A51" s="7"/>
      <c r="B51" s="7"/>
      <c r="C51" s="68"/>
      <c r="D51" s="27" t="s">
        <v>40</v>
      </c>
      <c r="E51" s="31">
        <v>2.4096702103499879</v>
      </c>
      <c r="F51" s="44">
        <v>1.4761814677506886</v>
      </c>
      <c r="G51" s="44">
        <v>1.4087357989358333</v>
      </c>
      <c r="H51" s="44">
        <v>1.2878815806506023</v>
      </c>
      <c r="I51" s="44">
        <v>-1.3393718826312</v>
      </c>
      <c r="J51" s="6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</row>
    <row r="52" spans="1:30" ht="12.75" customHeight="1" x14ac:dyDescent="0.2">
      <c r="A52" s="7"/>
      <c r="B52" s="7"/>
      <c r="C52" s="69"/>
      <c r="D52" s="40" t="s">
        <v>41</v>
      </c>
      <c r="E52" s="26">
        <v>375</v>
      </c>
      <c r="F52" s="26">
        <v>374</v>
      </c>
      <c r="G52" s="26">
        <v>356</v>
      </c>
      <c r="H52" s="26">
        <v>355</v>
      </c>
      <c r="I52" s="26">
        <v>362</v>
      </c>
      <c r="J52" s="70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</row>
    <row r="53" spans="1:30" ht="12.75" customHeight="1" x14ac:dyDescent="0.2">
      <c r="A53" s="7"/>
      <c r="B53" s="7"/>
      <c r="D53" s="7"/>
      <c r="J53" s="32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</row>
    <row r="54" spans="1:30" ht="12.75" customHeight="1" x14ac:dyDescent="0.2">
      <c r="A54" s="7"/>
      <c r="B54" s="7"/>
      <c r="C54" s="71"/>
      <c r="D54" s="63" t="s">
        <v>42</v>
      </c>
      <c r="E54" s="72">
        <f>-(E43-E46-E51)</f>
        <v>692.670619225378</v>
      </c>
      <c r="F54" s="73">
        <f t="shared" ref="F54:I54" si="10">-(F43-F46-F51)</f>
        <v>660.50264841804892</v>
      </c>
      <c r="G54" s="73">
        <f t="shared" si="10"/>
        <v>654.49112121116093</v>
      </c>
      <c r="H54" s="73">
        <f t="shared" si="10"/>
        <v>652.96041839562179</v>
      </c>
      <c r="I54" s="73">
        <f t="shared" si="10"/>
        <v>669.17611971070789</v>
      </c>
      <c r="J54" s="74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</row>
    <row r="55" spans="1:30" ht="12.75" customHeight="1" x14ac:dyDescent="0.2">
      <c r="A55" s="7"/>
      <c r="B55" s="7"/>
      <c r="C55" s="7"/>
      <c r="D55" s="7"/>
      <c r="E55" s="75" t="s">
        <v>43</v>
      </c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</row>
    <row r="56" spans="1:30" ht="12.75" customHeight="1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</row>
    <row r="57" spans="1:30" ht="12.75" customHeight="1" x14ac:dyDescent="0.2">
      <c r="A57" s="7"/>
      <c r="C57" s="7"/>
      <c r="D57" s="26"/>
      <c r="E57" s="26"/>
      <c r="F57" s="26"/>
      <c r="G57" s="26"/>
      <c r="H57" s="26"/>
      <c r="I57" s="7"/>
      <c r="J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</row>
    <row r="58" spans="1:30" ht="12.75" customHeight="1" x14ac:dyDescent="0.2">
      <c r="A58" s="7"/>
      <c r="C58" s="7"/>
      <c r="D58" s="7"/>
      <c r="E58" s="7"/>
      <c r="F58" s="7"/>
      <c r="G58" s="7"/>
      <c r="H58" s="7"/>
      <c r="I58" s="7"/>
      <c r="J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</row>
    <row r="59" spans="1:30" ht="12.75" customHeight="1" x14ac:dyDescent="0.2">
      <c r="A59" s="7"/>
      <c r="C59" s="7"/>
      <c r="D59" s="7"/>
      <c r="E59" s="7"/>
      <c r="F59" s="7"/>
      <c r="G59" s="7"/>
      <c r="H59" s="7"/>
      <c r="I59" s="7"/>
      <c r="J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</row>
    <row r="60" spans="1:30" ht="12.75" customHeight="1" x14ac:dyDescent="0.2">
      <c r="A60" s="7"/>
      <c r="C60" s="7"/>
      <c r="D60" s="7"/>
      <c r="E60" s="7"/>
      <c r="F60" s="7"/>
      <c r="G60" s="7"/>
      <c r="H60" s="7"/>
      <c r="I60" s="7"/>
      <c r="J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</row>
    <row r="61" spans="1:30" ht="12.75" customHeight="1" x14ac:dyDescent="0.2">
      <c r="A61" s="7"/>
      <c r="C61" s="7"/>
      <c r="D61" s="7"/>
      <c r="E61" s="7"/>
      <c r="F61" s="7"/>
      <c r="G61" s="7"/>
      <c r="H61" s="7"/>
      <c r="I61" s="7"/>
      <c r="J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</row>
    <row r="62" spans="1:30" ht="12.75" customHeight="1" x14ac:dyDescent="0.2">
      <c r="A62" s="7"/>
      <c r="C62" s="7"/>
      <c r="D62" s="7"/>
      <c r="E62" s="7"/>
      <c r="F62" s="7"/>
      <c r="G62" s="7"/>
      <c r="H62" s="7"/>
      <c r="I62" s="7"/>
      <c r="J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</row>
    <row r="63" spans="1:30" ht="12.75" customHeight="1" x14ac:dyDescent="0.2">
      <c r="A63" s="7"/>
      <c r="C63" s="7"/>
      <c r="D63" s="7"/>
      <c r="E63" s="7"/>
      <c r="F63" s="7"/>
      <c r="G63" s="7"/>
      <c r="H63" s="7"/>
      <c r="I63" s="7"/>
      <c r="J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</row>
    <row r="64" spans="1:30" ht="12.75" customHeight="1" x14ac:dyDescent="0.2">
      <c r="A64" s="7"/>
      <c r="C64" s="7"/>
      <c r="D64" s="7"/>
      <c r="E64" s="7"/>
      <c r="F64" s="7"/>
      <c r="G64" s="7"/>
      <c r="H64" s="7"/>
      <c r="I64" s="7"/>
      <c r="J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</row>
    <row r="65" spans="1:30" ht="12.75" customHeight="1" x14ac:dyDescent="0.2">
      <c r="A65" s="7"/>
      <c r="C65" s="7"/>
      <c r="D65" s="7"/>
      <c r="E65" s="7"/>
      <c r="F65" s="7"/>
      <c r="G65" s="7"/>
      <c r="H65" s="7"/>
      <c r="I65" s="7"/>
      <c r="J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</row>
    <row r="66" spans="1:30" ht="12.75" customHeight="1" x14ac:dyDescent="0.2">
      <c r="A66" s="7"/>
      <c r="C66" s="7"/>
      <c r="D66" s="7"/>
      <c r="E66" s="7"/>
      <c r="F66" s="7"/>
      <c r="G66" s="7"/>
      <c r="H66" s="7"/>
      <c r="I66" s="7"/>
      <c r="J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</row>
    <row r="67" spans="1:30" ht="12.75" customHeight="1" x14ac:dyDescent="0.2">
      <c r="A67" s="7"/>
      <c r="C67" s="7"/>
      <c r="D67" s="7"/>
      <c r="E67" s="7"/>
      <c r="F67" s="7"/>
      <c r="G67" s="7"/>
      <c r="H67" s="7"/>
      <c r="I67" s="7"/>
      <c r="J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</row>
    <row r="68" spans="1:30" ht="12.75" customHeight="1" x14ac:dyDescent="0.2">
      <c r="A68" s="7"/>
      <c r="C68" s="7"/>
      <c r="D68" s="7"/>
      <c r="E68" s="7"/>
      <c r="F68" s="7"/>
      <c r="G68" s="7"/>
      <c r="H68" s="7"/>
      <c r="I68" s="7"/>
      <c r="J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</row>
    <row r="69" spans="1:30" ht="12.75" customHeight="1" x14ac:dyDescent="0.2">
      <c r="A69" s="7"/>
      <c r="C69" s="7"/>
      <c r="D69" s="7"/>
      <c r="E69" s="7"/>
      <c r="F69" s="7"/>
      <c r="G69" s="7"/>
      <c r="H69" s="7"/>
      <c r="I69" s="7"/>
      <c r="J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</row>
    <row r="70" spans="1:30" ht="12.75" customHeight="1" x14ac:dyDescent="0.2">
      <c r="A70" s="7"/>
      <c r="C70" s="7"/>
      <c r="D70" s="7"/>
      <c r="E70" s="7"/>
      <c r="F70" s="7"/>
      <c r="G70" s="7"/>
      <c r="H70" s="7"/>
      <c r="I70" s="7"/>
      <c r="J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</row>
    <row r="71" spans="1:30" ht="12.75" customHeight="1" x14ac:dyDescent="0.2">
      <c r="A71" s="7"/>
      <c r="C71" s="7"/>
      <c r="D71" s="7"/>
      <c r="E71" s="7"/>
      <c r="F71" s="7"/>
      <c r="G71" s="7"/>
      <c r="H71" s="7"/>
      <c r="I71" s="7"/>
      <c r="J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</row>
    <row r="72" spans="1:30" ht="12.75" customHeight="1" x14ac:dyDescent="0.2">
      <c r="A72" s="7"/>
      <c r="C72" s="7"/>
      <c r="D72" s="7"/>
      <c r="E72" s="7"/>
      <c r="F72" s="7"/>
      <c r="G72" s="7"/>
      <c r="H72" s="7"/>
      <c r="I72" s="7"/>
      <c r="J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</row>
    <row r="73" spans="1:30" ht="12.75" customHeight="1" x14ac:dyDescent="0.2">
      <c r="A73" s="7"/>
      <c r="C73" s="7"/>
      <c r="D73" s="7"/>
      <c r="E73" s="7"/>
      <c r="F73" s="7"/>
      <c r="G73" s="7"/>
      <c r="H73" s="7"/>
      <c r="I73" s="7"/>
      <c r="J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</row>
    <row r="74" spans="1:30" ht="12.75" customHeight="1" x14ac:dyDescent="0.2">
      <c r="A74" s="7"/>
      <c r="C74" s="7"/>
      <c r="D74" s="7"/>
      <c r="E74" s="7"/>
      <c r="F74" s="7"/>
      <c r="G74" s="7"/>
      <c r="H74" s="7"/>
      <c r="I74" s="7"/>
      <c r="J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</row>
    <row r="75" spans="1:30" ht="12.75" customHeight="1" x14ac:dyDescent="0.2">
      <c r="A75" s="7"/>
      <c r="C75" s="7"/>
      <c r="D75" s="7"/>
      <c r="E75" s="7"/>
      <c r="F75" s="7"/>
      <c r="G75" s="7"/>
      <c r="H75" s="7"/>
      <c r="I75" s="7"/>
      <c r="J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</row>
    <row r="76" spans="1:30" ht="12.75" customHeight="1" x14ac:dyDescent="0.2">
      <c r="A76" s="7"/>
      <c r="C76" s="7"/>
      <c r="D76" s="7"/>
      <c r="E76" s="7"/>
      <c r="F76" s="7"/>
      <c r="G76" s="7"/>
      <c r="H76" s="7"/>
      <c r="I76" s="7"/>
      <c r="J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</row>
    <row r="77" spans="1:30" ht="12.75" customHeight="1" x14ac:dyDescent="0.2">
      <c r="A77" s="7"/>
      <c r="C77" s="7"/>
      <c r="D77" s="7"/>
      <c r="E77" s="7"/>
      <c r="F77" s="7"/>
      <c r="G77" s="7"/>
      <c r="H77" s="7"/>
      <c r="I77" s="7"/>
      <c r="J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</row>
    <row r="78" spans="1:30" ht="12.75" customHeight="1" x14ac:dyDescent="0.2">
      <c r="A78" s="7"/>
      <c r="C78" s="7"/>
      <c r="D78" s="7"/>
      <c r="E78" s="7"/>
      <c r="F78" s="7"/>
      <c r="G78" s="7"/>
      <c r="H78" s="7"/>
      <c r="I78" s="7"/>
      <c r="J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</row>
    <row r="79" spans="1:30" ht="12.75" customHeight="1" x14ac:dyDescent="0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</row>
    <row r="80" spans="1:30" ht="12.75" customHeight="1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</row>
    <row r="81" spans="1:30" ht="12.75" customHeight="1" x14ac:dyDescent="0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</row>
    <row r="82" spans="1:30" ht="12.75" customHeight="1" x14ac:dyDescent="0.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</row>
    <row r="83" spans="1:30" ht="12.75" customHeight="1" x14ac:dyDescent="0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</row>
    <row r="84" spans="1:30" ht="12.75" customHeight="1" x14ac:dyDescent="0.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</row>
    <row r="85" spans="1:30" ht="12.75" customHeight="1" x14ac:dyDescent="0.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</row>
    <row r="86" spans="1:30" ht="12.75" customHeight="1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</row>
    <row r="87" spans="1:30" ht="12.75" customHeight="1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</row>
    <row r="88" spans="1:30" ht="12.75" customHeight="1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</row>
    <row r="89" spans="1:30" ht="12.75" customHeight="1" x14ac:dyDescent="0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</row>
    <row r="90" spans="1:30" ht="12.75" customHeight="1" x14ac:dyDescent="0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</row>
    <row r="91" spans="1:30" ht="12.75" customHeight="1" x14ac:dyDescent="0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</row>
    <row r="92" spans="1:30" ht="12.75" customHeight="1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</row>
    <row r="93" spans="1:30" ht="12.75" customHeight="1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</row>
    <row r="94" spans="1:30" ht="12.75" customHeight="1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</row>
    <row r="95" spans="1:30" ht="12.75" customHeight="1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</row>
    <row r="96" spans="1:30" ht="12.75" customHeight="1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</row>
    <row r="97" spans="1:30" ht="12.75" customHeight="1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</row>
    <row r="98" spans="1:30" ht="12.75" customHeight="1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</row>
    <row r="99" spans="1:30" ht="12.75" customHeight="1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</row>
    <row r="100" spans="1:30" ht="12.75" customHeight="1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</row>
    <row r="101" spans="1:30" ht="12.75" customHeight="1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</row>
    <row r="102" spans="1:30" ht="12.75" customHeight="1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</row>
    <row r="103" spans="1:30" ht="12.75" customHeight="1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</row>
    <row r="104" spans="1:30" ht="12.75" customHeight="1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</row>
    <row r="105" spans="1:30" ht="12.75" customHeight="1" x14ac:dyDescent="0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</row>
    <row r="106" spans="1:30" ht="12.75" customHeight="1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</row>
    <row r="107" spans="1:30" ht="12.75" customHeight="1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</row>
    <row r="108" spans="1:30" ht="12.75" customHeight="1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</row>
    <row r="109" spans="1:30" ht="12.75" customHeight="1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</row>
    <row r="110" spans="1:30" ht="12.75" customHeight="1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</row>
    <row r="111" spans="1:30" ht="12.75" customHeight="1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</row>
    <row r="112" spans="1:30" ht="12.75" customHeight="1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</row>
    <row r="113" spans="1:30" ht="12.75" customHeight="1" x14ac:dyDescent="0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</row>
    <row r="114" spans="1:30" ht="12.75" customHeight="1" x14ac:dyDescent="0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</row>
    <row r="115" spans="1:30" ht="12.75" customHeight="1" x14ac:dyDescent="0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</row>
    <row r="116" spans="1:30" ht="12.75" customHeight="1" x14ac:dyDescent="0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</row>
    <row r="117" spans="1:30" ht="12.75" customHeight="1" x14ac:dyDescent="0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</row>
    <row r="118" spans="1:30" ht="12.75" customHeight="1" x14ac:dyDescent="0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</row>
    <row r="119" spans="1:30" ht="12.75" customHeight="1" x14ac:dyDescent="0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</row>
    <row r="120" spans="1:30" ht="12.75" customHeight="1" x14ac:dyDescent="0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</row>
    <row r="121" spans="1:30" ht="12.75" customHeight="1" x14ac:dyDescent="0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</row>
    <row r="122" spans="1:30" ht="12.75" customHeight="1" x14ac:dyDescent="0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</row>
    <row r="123" spans="1:30" ht="12.75" customHeight="1" x14ac:dyDescent="0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</row>
    <row r="124" spans="1:30" ht="12.75" customHeight="1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</row>
    <row r="125" spans="1:30" ht="12.75" customHeight="1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</row>
    <row r="126" spans="1:30" ht="12.75" customHeight="1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</row>
    <row r="127" spans="1:30" ht="12.75" customHeight="1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</row>
    <row r="128" spans="1:30" ht="12.75" customHeight="1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</row>
    <row r="129" spans="1:30" ht="12.75" customHeight="1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</row>
    <row r="130" spans="1:30" ht="12.75" customHeight="1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</row>
    <row r="131" spans="1:30" ht="12.75" customHeight="1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</row>
    <row r="132" spans="1:30" ht="12.75" customHeight="1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</row>
    <row r="133" spans="1:30" ht="12.75" customHeight="1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</row>
    <row r="134" spans="1:30" ht="12.75" customHeight="1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</row>
    <row r="135" spans="1:30" ht="12.75" customHeight="1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</row>
    <row r="136" spans="1:30" ht="12.75" customHeight="1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</row>
    <row r="137" spans="1:30" ht="12.75" customHeight="1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</row>
    <row r="138" spans="1:30" ht="12.75" customHeight="1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</row>
    <row r="139" spans="1:30" ht="12.75" customHeight="1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</row>
    <row r="140" spans="1:30" ht="12.75" customHeight="1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</row>
    <row r="141" spans="1:30" ht="12.75" customHeight="1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</row>
    <row r="142" spans="1:30" ht="12.75" customHeight="1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</row>
    <row r="143" spans="1:30" ht="12.75" customHeight="1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</row>
    <row r="144" spans="1:30" ht="12.75" customHeight="1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</row>
    <row r="145" spans="1:30" ht="12.75" customHeight="1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</row>
    <row r="146" spans="1:30" ht="12.75" customHeight="1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</row>
    <row r="147" spans="1:30" ht="12.75" customHeight="1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</row>
    <row r="148" spans="1:30" ht="12.75" customHeight="1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</row>
    <row r="149" spans="1:30" ht="12.75" customHeight="1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</row>
    <row r="150" spans="1:30" ht="12.75" customHeight="1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</row>
    <row r="151" spans="1:30" ht="12.75" customHeight="1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</row>
    <row r="152" spans="1:30" ht="12.75" customHeight="1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</row>
    <row r="153" spans="1:30" ht="12.75" customHeight="1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</row>
    <row r="154" spans="1:30" ht="12.75" customHeight="1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</row>
    <row r="155" spans="1:30" ht="12.75" customHeight="1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</row>
    <row r="156" spans="1:30" ht="12.75" customHeight="1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</row>
    <row r="157" spans="1:30" ht="12.75" customHeight="1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</row>
    <row r="158" spans="1:30" ht="12.75" customHeight="1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</row>
    <row r="159" spans="1:30" ht="12.75" customHeight="1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</row>
    <row r="160" spans="1:30" ht="12.75" customHeight="1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</row>
    <row r="161" spans="1:30" ht="12.75" customHeight="1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</row>
    <row r="162" spans="1:30" ht="12.75" customHeight="1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</row>
    <row r="163" spans="1:30" ht="12.75" customHeight="1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</row>
    <row r="164" spans="1:30" ht="12.75" customHeight="1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</row>
    <row r="165" spans="1:30" ht="12.75" customHeight="1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</row>
    <row r="166" spans="1:30" ht="12.75" customHeight="1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</row>
    <row r="167" spans="1:30" ht="12.75" customHeight="1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</row>
    <row r="168" spans="1:30" ht="12.75" customHeight="1" x14ac:dyDescent="0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</row>
    <row r="169" spans="1:30" ht="12.75" customHeight="1" x14ac:dyDescent="0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</row>
    <row r="170" spans="1:30" ht="12.75" customHeight="1" x14ac:dyDescent="0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</row>
    <row r="171" spans="1:30" ht="12.75" customHeight="1" x14ac:dyDescent="0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</row>
    <row r="172" spans="1:30" ht="12.75" customHeight="1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</row>
    <row r="173" spans="1:30" ht="12.75" customHeight="1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</row>
    <row r="174" spans="1:30" ht="12.75" customHeight="1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</row>
    <row r="175" spans="1:30" ht="12.75" customHeight="1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</row>
    <row r="176" spans="1:30" ht="12.75" customHeight="1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</row>
    <row r="177" spans="1:30" ht="12.75" customHeight="1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</row>
    <row r="178" spans="1:30" ht="12.75" customHeight="1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</row>
    <row r="179" spans="1:30" ht="12.75" customHeight="1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</row>
    <row r="180" spans="1:30" ht="12.75" customHeight="1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</row>
    <row r="181" spans="1:30" ht="12.75" customHeight="1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</row>
    <row r="182" spans="1:30" ht="12.75" customHeight="1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</row>
    <row r="183" spans="1:30" ht="12.75" customHeight="1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</row>
    <row r="184" spans="1:30" ht="12.75" customHeight="1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</row>
    <row r="185" spans="1:30" ht="12.75" customHeight="1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</row>
    <row r="186" spans="1:30" ht="12.75" customHeight="1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</row>
    <row r="187" spans="1:30" ht="12.75" customHeight="1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</row>
    <row r="188" spans="1:30" ht="12.75" customHeight="1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</row>
    <row r="189" spans="1:30" ht="12.75" customHeight="1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</row>
    <row r="190" spans="1:30" ht="12.75" customHeight="1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</row>
    <row r="191" spans="1:30" ht="12.75" customHeight="1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</row>
    <row r="192" spans="1:30" ht="12.75" customHeight="1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</row>
    <row r="193" spans="1:30" ht="12.75" customHeight="1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</row>
    <row r="194" spans="1:30" ht="12.75" customHeight="1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</row>
    <row r="195" spans="1:30" ht="12.75" customHeight="1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</row>
    <row r="196" spans="1:30" ht="12.75" customHeight="1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</row>
    <row r="197" spans="1:30" ht="12.75" customHeight="1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</row>
    <row r="198" spans="1:30" ht="12.75" customHeight="1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</row>
    <row r="199" spans="1:30" ht="12.75" customHeight="1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</row>
    <row r="200" spans="1:30" ht="12.75" customHeight="1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</row>
    <row r="201" spans="1:30" ht="12.75" customHeight="1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</row>
    <row r="202" spans="1:30" ht="12.75" customHeight="1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</row>
    <row r="203" spans="1:30" ht="12.75" customHeight="1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</row>
    <row r="204" spans="1:30" ht="12.75" customHeight="1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</row>
    <row r="205" spans="1:30" ht="12.75" customHeight="1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</row>
    <row r="206" spans="1:30" ht="12.75" customHeight="1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</row>
    <row r="207" spans="1:30" ht="12.75" customHeight="1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</row>
    <row r="208" spans="1:30" ht="12.75" customHeight="1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</row>
    <row r="209" spans="1:30" ht="12.75" customHeight="1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</row>
    <row r="210" spans="1:30" ht="12.75" customHeight="1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</row>
    <row r="211" spans="1:30" ht="12.75" customHeight="1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</row>
    <row r="212" spans="1:30" ht="12.75" customHeight="1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</row>
    <row r="213" spans="1:30" ht="12.75" customHeight="1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</row>
    <row r="214" spans="1:30" ht="12.75" customHeight="1" x14ac:dyDescent="0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</row>
    <row r="215" spans="1:30" ht="12.75" customHeight="1" x14ac:dyDescent="0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</row>
    <row r="216" spans="1:30" ht="12.75" customHeight="1" x14ac:dyDescent="0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</row>
    <row r="217" spans="1:30" ht="12.75" customHeight="1" x14ac:dyDescent="0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</row>
    <row r="218" spans="1:30" ht="12.75" customHeight="1" x14ac:dyDescent="0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</row>
    <row r="219" spans="1:30" ht="12.75" customHeight="1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</row>
    <row r="220" spans="1:30" ht="12.75" customHeight="1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</row>
    <row r="221" spans="1:30" ht="12.75" customHeight="1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</row>
    <row r="222" spans="1:30" ht="12.75" customHeight="1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</row>
    <row r="223" spans="1:30" ht="12.75" customHeight="1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</row>
    <row r="224" spans="1:30" ht="12.75" customHeight="1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</row>
    <row r="225" spans="1:30" ht="12.75" customHeight="1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</row>
    <row r="226" spans="1:30" ht="12.75" customHeight="1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</row>
    <row r="227" spans="1:30" ht="12.75" customHeight="1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</row>
    <row r="228" spans="1:30" ht="12.75" customHeight="1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</row>
    <row r="229" spans="1:30" ht="12.75" customHeight="1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</row>
    <row r="230" spans="1:30" ht="12.75" customHeight="1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</row>
    <row r="231" spans="1:30" ht="12.75" customHeight="1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</row>
    <row r="232" spans="1:30" ht="12.75" customHeight="1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</row>
    <row r="233" spans="1:30" ht="12.75" customHeight="1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</row>
    <row r="234" spans="1:30" ht="12.75" customHeight="1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</row>
    <row r="235" spans="1:30" ht="12.75" customHeight="1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</row>
    <row r="236" spans="1:30" ht="12.75" customHeight="1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</row>
    <row r="237" spans="1:30" ht="12.75" customHeight="1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</row>
    <row r="238" spans="1:30" ht="12.75" customHeight="1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</row>
    <row r="239" spans="1:30" ht="12.75" customHeight="1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</row>
    <row r="240" spans="1:30" ht="12.75" customHeight="1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</row>
    <row r="241" spans="1:30" ht="12.75" customHeight="1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</row>
    <row r="242" spans="1:30" ht="12.75" customHeight="1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</row>
    <row r="243" spans="1:30" ht="12.75" customHeight="1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</row>
    <row r="244" spans="1:30" ht="12.75" customHeight="1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</row>
    <row r="245" spans="1:30" ht="12.75" customHeight="1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</row>
    <row r="246" spans="1:30" ht="12.75" customHeight="1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</row>
    <row r="247" spans="1:30" ht="12.75" customHeight="1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</row>
    <row r="248" spans="1:30" ht="12.75" customHeight="1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</row>
    <row r="249" spans="1:30" ht="12.75" customHeight="1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</row>
    <row r="250" spans="1:30" ht="12.75" customHeight="1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</row>
    <row r="251" spans="1:30" ht="12.75" customHeight="1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</row>
    <row r="252" spans="1:30" ht="12.75" customHeight="1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</row>
    <row r="253" spans="1:30" ht="12.75" customHeight="1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</row>
    <row r="254" spans="1:30" ht="12.75" customHeight="1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</row>
    <row r="255" spans="1:30" ht="12.75" customHeight="1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</row>
    <row r="256" spans="1:30" ht="12.75" customHeight="1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</row>
    <row r="257" spans="1:30" ht="12.75" customHeight="1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</row>
    <row r="258" spans="1:30" ht="12.75" customHeight="1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</row>
    <row r="259" spans="1:30" ht="12.75" customHeight="1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</row>
    <row r="260" spans="1:30" ht="12.75" customHeight="1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</row>
    <row r="261" spans="1:30" ht="12.75" customHeight="1" x14ac:dyDescent="0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</row>
    <row r="262" spans="1:30" ht="12.75" customHeight="1" x14ac:dyDescent="0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</row>
    <row r="263" spans="1:30" ht="12.75" customHeight="1" x14ac:dyDescent="0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</row>
    <row r="264" spans="1:30" ht="12.75" customHeight="1" x14ac:dyDescent="0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</row>
    <row r="265" spans="1:30" ht="12.75" customHeight="1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</row>
    <row r="266" spans="1:30" ht="12.75" customHeight="1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</row>
    <row r="267" spans="1:30" ht="12.75" customHeight="1" x14ac:dyDescent="0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</row>
    <row r="268" spans="1:30" ht="12.75" customHeight="1" x14ac:dyDescent="0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</row>
    <row r="269" spans="1:30" ht="12.75" customHeight="1" x14ac:dyDescent="0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</row>
    <row r="270" spans="1:30" ht="12.75" customHeight="1" x14ac:dyDescent="0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</row>
    <row r="271" spans="1:30" ht="12.75" customHeight="1" x14ac:dyDescent="0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</row>
    <row r="272" spans="1:30" ht="12.75" customHeight="1" x14ac:dyDescent="0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</row>
    <row r="273" spans="1:30" ht="12.75" customHeight="1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</row>
    <row r="274" spans="1:30" ht="12.75" customHeight="1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</row>
    <row r="275" spans="1:30" ht="12.75" customHeight="1" x14ac:dyDescent="0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</row>
    <row r="276" spans="1:30" ht="12.75" customHeight="1" x14ac:dyDescent="0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</row>
    <row r="277" spans="1:30" ht="12.75" customHeight="1" x14ac:dyDescent="0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</row>
    <row r="278" spans="1:30" ht="12.75" customHeight="1" x14ac:dyDescent="0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</row>
    <row r="279" spans="1:30" ht="12.75" customHeight="1" x14ac:dyDescent="0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</row>
    <row r="280" spans="1:30" ht="12.75" customHeight="1" x14ac:dyDescent="0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</row>
    <row r="281" spans="1:30" ht="12.75" customHeight="1" x14ac:dyDescent="0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</row>
    <row r="282" spans="1:30" ht="12.75" customHeight="1" x14ac:dyDescent="0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</row>
    <row r="283" spans="1:30" ht="12.75" customHeight="1" x14ac:dyDescent="0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</row>
    <row r="284" spans="1:30" ht="12.75" customHeight="1" x14ac:dyDescent="0.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</row>
    <row r="285" spans="1:30" ht="12.75" customHeight="1" x14ac:dyDescent="0.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</row>
    <row r="286" spans="1:30" ht="12.75" customHeight="1" x14ac:dyDescent="0.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</row>
    <row r="287" spans="1:30" ht="12.75" customHeight="1" x14ac:dyDescent="0.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</row>
    <row r="288" spans="1:30" ht="12.75" customHeight="1" x14ac:dyDescent="0.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</row>
    <row r="289" spans="1:30" ht="12.75" customHeight="1" x14ac:dyDescent="0.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</row>
    <row r="290" spans="1:30" ht="12.75" customHeight="1" x14ac:dyDescent="0.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</row>
    <row r="291" spans="1:30" ht="12.75" customHeight="1" x14ac:dyDescent="0.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</row>
    <row r="292" spans="1:30" ht="12.75" customHeight="1" x14ac:dyDescent="0.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</row>
    <row r="293" spans="1:30" ht="12.75" customHeight="1" x14ac:dyDescent="0.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</row>
    <row r="294" spans="1:30" ht="12.75" customHeight="1" x14ac:dyDescent="0.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</row>
    <row r="295" spans="1:30" ht="12.75" customHeight="1" x14ac:dyDescent="0.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</row>
    <row r="296" spans="1:30" ht="12.75" customHeight="1" x14ac:dyDescent="0.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</row>
    <row r="297" spans="1:30" ht="12.75" customHeight="1" x14ac:dyDescent="0.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</row>
    <row r="298" spans="1:30" ht="12.75" customHeight="1" x14ac:dyDescent="0.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</row>
    <row r="299" spans="1:30" ht="12.75" customHeight="1" x14ac:dyDescent="0.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</row>
    <row r="300" spans="1:30" ht="12.75" customHeight="1" x14ac:dyDescent="0.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</row>
    <row r="301" spans="1:30" ht="12.75" customHeight="1" x14ac:dyDescent="0.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</row>
    <row r="302" spans="1:30" ht="12.75" customHeight="1" x14ac:dyDescent="0.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</row>
    <row r="303" spans="1:30" ht="12.75" customHeight="1" x14ac:dyDescent="0.2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</row>
    <row r="304" spans="1:30" ht="12.75" customHeight="1" x14ac:dyDescent="0.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</row>
    <row r="305" spans="1:30" ht="12.75" customHeight="1" x14ac:dyDescent="0.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</row>
    <row r="306" spans="1:30" ht="12.75" customHeight="1" x14ac:dyDescent="0.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</row>
    <row r="307" spans="1:30" ht="12.75" customHeight="1" x14ac:dyDescent="0.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</row>
    <row r="308" spans="1:30" ht="12.75" customHeight="1" x14ac:dyDescent="0.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</row>
    <row r="309" spans="1:30" ht="12.75" customHeight="1" x14ac:dyDescent="0.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</row>
    <row r="310" spans="1:30" ht="12.75" customHeight="1" x14ac:dyDescent="0.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</row>
    <row r="311" spans="1:30" ht="12.75" customHeight="1" x14ac:dyDescent="0.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</row>
    <row r="312" spans="1:30" ht="12.75" customHeight="1" x14ac:dyDescent="0.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</row>
    <row r="313" spans="1:30" ht="12.75" customHeight="1" x14ac:dyDescent="0.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</row>
    <row r="314" spans="1:30" ht="12.75" customHeight="1" x14ac:dyDescent="0.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</row>
    <row r="315" spans="1:30" ht="12.75" customHeight="1" x14ac:dyDescent="0.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</row>
    <row r="316" spans="1:30" ht="12.75" customHeight="1" x14ac:dyDescent="0.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</row>
    <row r="317" spans="1:30" ht="12.75" customHeight="1" x14ac:dyDescent="0.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</row>
    <row r="318" spans="1:30" ht="12.75" customHeight="1" x14ac:dyDescent="0.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</row>
    <row r="319" spans="1:30" ht="12.75" customHeight="1" x14ac:dyDescent="0.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</row>
    <row r="320" spans="1:30" ht="12.75" customHeight="1" x14ac:dyDescent="0.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</row>
    <row r="321" spans="1:30" ht="12.75" customHeight="1" x14ac:dyDescent="0.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</row>
    <row r="322" spans="1:30" ht="12.75" customHeight="1" x14ac:dyDescent="0.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</row>
    <row r="323" spans="1:30" ht="12.75" customHeight="1" x14ac:dyDescent="0.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</row>
    <row r="324" spans="1:30" ht="12.75" customHeight="1" x14ac:dyDescent="0.2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</row>
    <row r="325" spans="1:30" ht="12.75" customHeight="1" x14ac:dyDescent="0.2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</row>
    <row r="326" spans="1:30" ht="12.75" customHeight="1" x14ac:dyDescent="0.2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</row>
    <row r="327" spans="1:30" ht="12.75" customHeight="1" x14ac:dyDescent="0.2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</row>
    <row r="328" spans="1:30" ht="12.75" customHeight="1" x14ac:dyDescent="0.2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</row>
    <row r="329" spans="1:30" ht="12.75" customHeight="1" x14ac:dyDescent="0.2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</row>
    <row r="330" spans="1:30" ht="12.75" customHeight="1" x14ac:dyDescent="0.2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</row>
    <row r="331" spans="1:30" ht="12.75" customHeight="1" x14ac:dyDescent="0.2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</row>
    <row r="332" spans="1:30" ht="12.75" customHeight="1" x14ac:dyDescent="0.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</row>
    <row r="333" spans="1:30" ht="12.75" customHeight="1" x14ac:dyDescent="0.2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</row>
    <row r="334" spans="1:30" ht="12.75" customHeight="1" x14ac:dyDescent="0.2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</row>
    <row r="335" spans="1:30" ht="12.75" customHeight="1" x14ac:dyDescent="0.2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</row>
    <row r="336" spans="1:30" ht="12.75" customHeight="1" x14ac:dyDescent="0.2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</row>
    <row r="337" spans="1:30" ht="12.75" customHeight="1" x14ac:dyDescent="0.2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</row>
    <row r="338" spans="1:30" ht="12.75" customHeight="1" x14ac:dyDescent="0.2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</row>
    <row r="339" spans="1:30" ht="12.75" customHeight="1" x14ac:dyDescent="0.2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</row>
    <row r="340" spans="1:30" ht="12.75" customHeight="1" x14ac:dyDescent="0.2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</row>
    <row r="341" spans="1:30" ht="12.75" customHeight="1" x14ac:dyDescent="0.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</row>
    <row r="342" spans="1:30" ht="12.75" customHeight="1" x14ac:dyDescent="0.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</row>
    <row r="343" spans="1:30" ht="12.75" customHeight="1" x14ac:dyDescent="0.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</row>
    <row r="344" spans="1:30" ht="12.75" customHeight="1" x14ac:dyDescent="0.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</row>
    <row r="345" spans="1:30" ht="12.75" customHeight="1" x14ac:dyDescent="0.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</row>
    <row r="346" spans="1:30" ht="12.75" customHeight="1" x14ac:dyDescent="0.2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</row>
    <row r="347" spans="1:30" ht="12.75" customHeight="1" x14ac:dyDescent="0.2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</row>
    <row r="348" spans="1:30" ht="12.75" customHeight="1" x14ac:dyDescent="0.2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</row>
    <row r="349" spans="1:30" ht="12.75" customHeight="1" x14ac:dyDescent="0.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</row>
    <row r="350" spans="1:30" ht="12.75" customHeight="1" x14ac:dyDescent="0.2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</row>
    <row r="351" spans="1:30" ht="12.75" customHeight="1" x14ac:dyDescent="0.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</row>
    <row r="352" spans="1:30" ht="12.75" customHeight="1" x14ac:dyDescent="0.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</row>
    <row r="353" spans="1:30" ht="12.75" customHeight="1" x14ac:dyDescent="0.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</row>
    <row r="354" spans="1:30" ht="12.75" customHeight="1" x14ac:dyDescent="0.2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</row>
    <row r="355" spans="1:30" ht="12.75" customHeight="1" x14ac:dyDescent="0.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</row>
    <row r="356" spans="1:30" ht="12.75" customHeight="1" x14ac:dyDescent="0.2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</row>
    <row r="357" spans="1:30" ht="12.75" customHeight="1" x14ac:dyDescent="0.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</row>
    <row r="358" spans="1:30" ht="12.75" customHeight="1" x14ac:dyDescent="0.2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</row>
    <row r="359" spans="1:30" ht="12.75" customHeight="1" x14ac:dyDescent="0.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</row>
    <row r="360" spans="1:30" ht="12.75" customHeight="1" x14ac:dyDescent="0.2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</row>
    <row r="361" spans="1:30" ht="12.75" customHeight="1" x14ac:dyDescent="0.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</row>
    <row r="362" spans="1:30" ht="12.75" customHeight="1" x14ac:dyDescent="0.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</row>
    <row r="363" spans="1:30" ht="12.75" customHeight="1" x14ac:dyDescent="0.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</row>
    <row r="364" spans="1:30" ht="12.75" customHeight="1" x14ac:dyDescent="0.2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</row>
    <row r="365" spans="1:30" ht="12.75" customHeight="1" x14ac:dyDescent="0.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</row>
    <row r="366" spans="1:30" ht="12.75" customHeight="1" x14ac:dyDescent="0.2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</row>
    <row r="367" spans="1:30" ht="12.75" customHeight="1" x14ac:dyDescent="0.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</row>
    <row r="368" spans="1:30" ht="12.75" customHeight="1" x14ac:dyDescent="0.2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</row>
    <row r="369" spans="1:30" ht="12.75" customHeight="1" x14ac:dyDescent="0.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</row>
    <row r="370" spans="1:30" ht="12.75" customHeight="1" x14ac:dyDescent="0.2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</row>
    <row r="371" spans="1:30" ht="12.75" customHeight="1" x14ac:dyDescent="0.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</row>
    <row r="372" spans="1:30" ht="12.75" customHeight="1" x14ac:dyDescent="0.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</row>
    <row r="373" spans="1:30" ht="12.75" customHeight="1" x14ac:dyDescent="0.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</row>
    <row r="374" spans="1:30" ht="12.75" customHeight="1" x14ac:dyDescent="0.2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</row>
    <row r="375" spans="1:30" ht="12.75" customHeight="1" x14ac:dyDescent="0.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</row>
    <row r="376" spans="1:30" ht="12.75" customHeight="1" x14ac:dyDescent="0.2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</row>
    <row r="377" spans="1:30" ht="12.75" customHeight="1" x14ac:dyDescent="0.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</row>
    <row r="378" spans="1:30" ht="12.75" customHeight="1" x14ac:dyDescent="0.2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</row>
    <row r="379" spans="1:30" ht="12.75" customHeight="1" x14ac:dyDescent="0.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</row>
    <row r="380" spans="1:30" ht="12.75" customHeight="1" x14ac:dyDescent="0.2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</row>
    <row r="381" spans="1:30" ht="12.75" customHeight="1" x14ac:dyDescent="0.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</row>
    <row r="382" spans="1:30" ht="12.75" customHeight="1" x14ac:dyDescent="0.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</row>
    <row r="383" spans="1:30" ht="12.75" customHeight="1" x14ac:dyDescent="0.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</row>
    <row r="384" spans="1:30" ht="12.75" customHeight="1" x14ac:dyDescent="0.2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</row>
    <row r="385" spans="1:30" ht="12.75" customHeight="1" x14ac:dyDescent="0.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</row>
    <row r="386" spans="1:30" ht="12.75" customHeight="1" x14ac:dyDescent="0.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</row>
    <row r="387" spans="1:30" ht="12.75" customHeight="1" x14ac:dyDescent="0.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</row>
    <row r="388" spans="1:30" ht="12.75" customHeight="1" x14ac:dyDescent="0.2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</row>
    <row r="389" spans="1:30" ht="12.75" customHeight="1" x14ac:dyDescent="0.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</row>
    <row r="390" spans="1:30" ht="12.75" customHeight="1" x14ac:dyDescent="0.2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</row>
    <row r="391" spans="1:30" ht="12.75" customHeight="1" x14ac:dyDescent="0.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</row>
    <row r="392" spans="1:30" ht="12.75" customHeight="1" x14ac:dyDescent="0.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</row>
    <row r="393" spans="1:30" ht="12.75" customHeight="1" x14ac:dyDescent="0.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</row>
    <row r="394" spans="1:30" ht="12.75" customHeight="1" x14ac:dyDescent="0.2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</row>
    <row r="395" spans="1:30" ht="12.75" customHeight="1" x14ac:dyDescent="0.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</row>
    <row r="396" spans="1:30" ht="12.75" customHeight="1" x14ac:dyDescent="0.2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</row>
    <row r="397" spans="1:30" ht="12.75" customHeight="1" x14ac:dyDescent="0.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</row>
    <row r="398" spans="1:30" ht="12.75" customHeight="1" x14ac:dyDescent="0.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</row>
    <row r="399" spans="1:30" ht="12.75" customHeight="1" x14ac:dyDescent="0.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</row>
    <row r="400" spans="1:30" ht="12.75" customHeight="1" x14ac:dyDescent="0.2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</row>
    <row r="401" spans="1:30" ht="12.75" customHeight="1" x14ac:dyDescent="0.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</row>
    <row r="402" spans="1:30" ht="12.75" customHeight="1" x14ac:dyDescent="0.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</row>
    <row r="403" spans="1:30" ht="12.75" customHeight="1" x14ac:dyDescent="0.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</row>
    <row r="404" spans="1:30" ht="12.75" customHeight="1" x14ac:dyDescent="0.2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</row>
    <row r="405" spans="1:30" ht="12.75" customHeight="1" x14ac:dyDescent="0.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</row>
    <row r="406" spans="1:30" ht="12.75" customHeight="1" x14ac:dyDescent="0.2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</row>
    <row r="407" spans="1:30" ht="12.75" customHeight="1" x14ac:dyDescent="0.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</row>
    <row r="408" spans="1:30" ht="12.75" customHeight="1" x14ac:dyDescent="0.2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</row>
    <row r="409" spans="1:30" ht="12.75" customHeight="1" x14ac:dyDescent="0.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</row>
    <row r="410" spans="1:30" ht="12.75" customHeight="1" x14ac:dyDescent="0.2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</row>
    <row r="411" spans="1:30" ht="12.75" customHeight="1" x14ac:dyDescent="0.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</row>
    <row r="412" spans="1:30" ht="12.75" customHeight="1" x14ac:dyDescent="0.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</row>
    <row r="413" spans="1:30" ht="12.75" customHeight="1" x14ac:dyDescent="0.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</row>
    <row r="414" spans="1:30" ht="12.75" customHeight="1" x14ac:dyDescent="0.2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</row>
    <row r="415" spans="1:30" ht="12.75" customHeight="1" x14ac:dyDescent="0.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</row>
    <row r="416" spans="1:30" ht="12.75" customHeight="1" x14ac:dyDescent="0.2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</row>
    <row r="417" spans="1:30" ht="12.75" customHeight="1" x14ac:dyDescent="0.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</row>
    <row r="418" spans="1:30" ht="12.75" customHeight="1" x14ac:dyDescent="0.2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</row>
    <row r="419" spans="1:30" ht="12.75" customHeight="1" x14ac:dyDescent="0.2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</row>
    <row r="420" spans="1:30" ht="12.75" customHeight="1" x14ac:dyDescent="0.2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</row>
    <row r="421" spans="1:30" ht="12.75" customHeight="1" x14ac:dyDescent="0.2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</row>
    <row r="422" spans="1:30" ht="12.75" customHeight="1" x14ac:dyDescent="0.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</row>
    <row r="423" spans="1:30" ht="12.75" customHeight="1" x14ac:dyDescent="0.2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</row>
    <row r="424" spans="1:30" ht="12.75" customHeight="1" x14ac:dyDescent="0.2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</row>
    <row r="425" spans="1:30" ht="12.75" customHeight="1" x14ac:dyDescent="0.2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</row>
    <row r="426" spans="1:30" ht="12.75" customHeight="1" x14ac:dyDescent="0.2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</row>
    <row r="427" spans="1:30" ht="12.75" customHeight="1" x14ac:dyDescent="0.2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</row>
    <row r="428" spans="1:30" ht="12.75" customHeight="1" x14ac:dyDescent="0.2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</row>
    <row r="429" spans="1:30" ht="12.75" customHeight="1" x14ac:dyDescent="0.2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</row>
    <row r="430" spans="1:30" ht="12.75" customHeight="1" x14ac:dyDescent="0.2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</row>
    <row r="431" spans="1:30" ht="12.75" customHeight="1" x14ac:dyDescent="0.2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</row>
    <row r="432" spans="1:30" ht="12.75" customHeight="1" x14ac:dyDescent="0.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</row>
    <row r="433" spans="1:30" ht="12.75" customHeight="1" x14ac:dyDescent="0.2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</row>
    <row r="434" spans="1:30" ht="12.75" customHeight="1" x14ac:dyDescent="0.2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</row>
    <row r="435" spans="1:30" ht="12.75" customHeight="1" x14ac:dyDescent="0.2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</row>
    <row r="436" spans="1:30" ht="12.75" customHeight="1" x14ac:dyDescent="0.2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</row>
    <row r="437" spans="1:30" ht="12.75" customHeight="1" x14ac:dyDescent="0.2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</row>
    <row r="438" spans="1:30" ht="12.75" customHeight="1" x14ac:dyDescent="0.2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</row>
    <row r="439" spans="1:30" ht="12.75" customHeight="1" x14ac:dyDescent="0.2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</row>
    <row r="440" spans="1:30" ht="12.75" customHeight="1" x14ac:dyDescent="0.2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</row>
    <row r="441" spans="1:30" ht="12.75" customHeight="1" x14ac:dyDescent="0.2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</row>
    <row r="442" spans="1:30" ht="12.75" customHeight="1" x14ac:dyDescent="0.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</row>
    <row r="443" spans="1:30" ht="12.75" customHeight="1" x14ac:dyDescent="0.2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</row>
    <row r="444" spans="1:30" ht="12.75" customHeight="1" x14ac:dyDescent="0.2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</row>
    <row r="445" spans="1:30" ht="12.75" customHeight="1" x14ac:dyDescent="0.2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</row>
    <row r="446" spans="1:30" ht="12.75" customHeight="1" x14ac:dyDescent="0.2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</row>
    <row r="447" spans="1:30" ht="12.75" customHeight="1" x14ac:dyDescent="0.2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</row>
    <row r="448" spans="1:30" ht="12.75" customHeight="1" x14ac:dyDescent="0.2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</row>
    <row r="449" spans="1:30" ht="12.75" customHeight="1" x14ac:dyDescent="0.2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</row>
    <row r="450" spans="1:30" ht="12.75" customHeight="1" x14ac:dyDescent="0.2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</row>
    <row r="451" spans="1:30" ht="12.75" customHeight="1" x14ac:dyDescent="0.2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</row>
    <row r="452" spans="1:30" ht="12.75" customHeight="1" x14ac:dyDescent="0.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</row>
    <row r="453" spans="1:30" ht="12.75" customHeight="1" x14ac:dyDescent="0.2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</row>
    <row r="454" spans="1:30" ht="12.75" customHeight="1" x14ac:dyDescent="0.2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</row>
    <row r="455" spans="1:30" ht="12.75" customHeight="1" x14ac:dyDescent="0.2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</row>
    <row r="456" spans="1:30" ht="12.75" customHeight="1" x14ac:dyDescent="0.2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</row>
    <row r="457" spans="1:30" ht="12.75" customHeight="1" x14ac:dyDescent="0.2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</row>
    <row r="458" spans="1:30" ht="12.75" customHeight="1" x14ac:dyDescent="0.2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</row>
    <row r="459" spans="1:30" ht="12.75" customHeight="1" x14ac:dyDescent="0.2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</row>
    <row r="460" spans="1:30" ht="12.75" customHeight="1" x14ac:dyDescent="0.2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</row>
    <row r="461" spans="1:30" ht="12.75" customHeight="1" x14ac:dyDescent="0.2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</row>
    <row r="462" spans="1:30" ht="12.75" customHeight="1" x14ac:dyDescent="0.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</row>
    <row r="463" spans="1:30" ht="12.75" customHeight="1" x14ac:dyDescent="0.2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</row>
    <row r="464" spans="1:30" ht="12.75" customHeight="1" x14ac:dyDescent="0.2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</row>
    <row r="465" spans="1:30" ht="12.75" customHeight="1" x14ac:dyDescent="0.2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</row>
    <row r="466" spans="1:30" ht="12.75" customHeight="1" x14ac:dyDescent="0.2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</row>
    <row r="467" spans="1:30" ht="12.75" customHeight="1" x14ac:dyDescent="0.2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</row>
    <row r="468" spans="1:30" ht="12.75" customHeight="1" x14ac:dyDescent="0.2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</row>
    <row r="469" spans="1:30" ht="12.75" customHeight="1" x14ac:dyDescent="0.2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</row>
    <row r="470" spans="1:30" ht="12.75" customHeight="1" x14ac:dyDescent="0.2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</row>
    <row r="471" spans="1:30" ht="12.75" customHeight="1" x14ac:dyDescent="0.2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</row>
    <row r="472" spans="1:30" ht="12.75" customHeight="1" x14ac:dyDescent="0.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</row>
    <row r="473" spans="1:30" ht="12.75" customHeight="1" x14ac:dyDescent="0.2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</row>
    <row r="474" spans="1:30" ht="12.75" customHeight="1" x14ac:dyDescent="0.2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</row>
    <row r="475" spans="1:30" ht="12.75" customHeight="1" x14ac:dyDescent="0.2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</row>
    <row r="476" spans="1:30" ht="12.75" customHeight="1" x14ac:dyDescent="0.2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</row>
    <row r="477" spans="1:30" ht="12.75" customHeight="1" x14ac:dyDescent="0.2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</row>
    <row r="478" spans="1:30" ht="12.75" customHeight="1" x14ac:dyDescent="0.2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</row>
    <row r="479" spans="1:30" ht="12.75" customHeight="1" x14ac:dyDescent="0.2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</row>
    <row r="480" spans="1:30" ht="12.75" customHeight="1" x14ac:dyDescent="0.2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</row>
    <row r="481" spans="1:30" ht="12.75" customHeight="1" x14ac:dyDescent="0.2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</row>
    <row r="482" spans="1:30" ht="12.75" customHeight="1" x14ac:dyDescent="0.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</row>
    <row r="483" spans="1:30" ht="12.75" customHeight="1" x14ac:dyDescent="0.2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</row>
    <row r="484" spans="1:30" ht="12.75" customHeight="1" x14ac:dyDescent="0.2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</row>
    <row r="485" spans="1:30" ht="12.75" customHeight="1" x14ac:dyDescent="0.2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</row>
    <row r="486" spans="1:30" ht="12.75" customHeight="1" x14ac:dyDescent="0.2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</row>
    <row r="487" spans="1:30" ht="12.75" customHeight="1" x14ac:dyDescent="0.2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</row>
    <row r="488" spans="1:30" ht="12.75" customHeight="1" x14ac:dyDescent="0.2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</row>
    <row r="489" spans="1:30" ht="12.75" customHeight="1" x14ac:dyDescent="0.2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</row>
    <row r="490" spans="1:30" ht="12.75" customHeight="1" x14ac:dyDescent="0.2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</row>
    <row r="491" spans="1:30" ht="12.75" customHeight="1" x14ac:dyDescent="0.2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</row>
    <row r="492" spans="1:30" ht="12.75" customHeight="1" x14ac:dyDescent="0.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</row>
    <row r="493" spans="1:30" ht="12.75" customHeight="1" x14ac:dyDescent="0.2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</row>
    <row r="494" spans="1:30" ht="12.75" customHeight="1" x14ac:dyDescent="0.2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</row>
    <row r="495" spans="1:30" ht="12.75" customHeight="1" x14ac:dyDescent="0.2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</row>
    <row r="496" spans="1:30" ht="12.75" customHeight="1" x14ac:dyDescent="0.2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</row>
    <row r="497" spans="1:30" ht="12.75" customHeight="1" x14ac:dyDescent="0.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</row>
    <row r="498" spans="1:30" ht="12.75" customHeight="1" x14ac:dyDescent="0.2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</row>
    <row r="499" spans="1:30" ht="12.75" customHeight="1" x14ac:dyDescent="0.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</row>
    <row r="500" spans="1:30" ht="12.75" customHeight="1" x14ac:dyDescent="0.2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</row>
    <row r="501" spans="1:30" ht="12.75" customHeight="1" x14ac:dyDescent="0.2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</row>
    <row r="502" spans="1:30" ht="12.75" customHeight="1" x14ac:dyDescent="0.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</row>
    <row r="503" spans="1:30" ht="12.75" customHeight="1" x14ac:dyDescent="0.2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</row>
    <row r="504" spans="1:30" ht="12.75" customHeight="1" x14ac:dyDescent="0.2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</row>
    <row r="505" spans="1:30" ht="12.75" customHeight="1" x14ac:dyDescent="0.2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</row>
    <row r="506" spans="1:30" ht="12.75" customHeight="1" x14ac:dyDescent="0.2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</row>
    <row r="507" spans="1:30" ht="12.75" customHeight="1" x14ac:dyDescent="0.2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</row>
    <row r="508" spans="1:30" ht="12.75" customHeight="1" x14ac:dyDescent="0.2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</row>
    <row r="509" spans="1:30" ht="12.75" customHeight="1" x14ac:dyDescent="0.2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</row>
    <row r="510" spans="1:30" ht="12.75" customHeight="1" x14ac:dyDescent="0.2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</row>
    <row r="511" spans="1:30" ht="12.75" customHeight="1" x14ac:dyDescent="0.2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</row>
    <row r="512" spans="1:30" ht="12.75" customHeight="1" x14ac:dyDescent="0.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</row>
    <row r="513" spans="1:30" ht="12.75" customHeight="1" x14ac:dyDescent="0.2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</row>
    <row r="514" spans="1:30" ht="12.75" customHeight="1" x14ac:dyDescent="0.2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</row>
    <row r="515" spans="1:30" ht="12.75" customHeight="1" x14ac:dyDescent="0.2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</row>
    <row r="516" spans="1:30" ht="12.75" customHeight="1" x14ac:dyDescent="0.2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</row>
    <row r="517" spans="1:30" ht="12.75" customHeight="1" x14ac:dyDescent="0.2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</row>
    <row r="518" spans="1:30" ht="12.75" customHeight="1" x14ac:dyDescent="0.2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</row>
    <row r="519" spans="1:30" ht="12.75" customHeight="1" x14ac:dyDescent="0.2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</row>
    <row r="520" spans="1:30" ht="12.75" customHeight="1" x14ac:dyDescent="0.2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</row>
    <row r="521" spans="1:30" ht="12.75" customHeight="1" x14ac:dyDescent="0.2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</row>
    <row r="522" spans="1:30" ht="12.75" customHeight="1" x14ac:dyDescent="0.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</row>
    <row r="523" spans="1:30" ht="12.75" customHeight="1" x14ac:dyDescent="0.2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</row>
    <row r="524" spans="1:30" ht="12.75" customHeight="1" x14ac:dyDescent="0.2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</row>
    <row r="525" spans="1:30" ht="12.75" customHeight="1" x14ac:dyDescent="0.2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</row>
    <row r="526" spans="1:30" ht="12.75" customHeight="1" x14ac:dyDescent="0.2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</row>
    <row r="527" spans="1:30" ht="12.75" customHeight="1" x14ac:dyDescent="0.2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</row>
    <row r="528" spans="1:30" ht="12.75" customHeight="1" x14ac:dyDescent="0.2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</row>
    <row r="529" spans="1:30" ht="12.75" customHeight="1" x14ac:dyDescent="0.2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</row>
    <row r="530" spans="1:30" ht="12.75" customHeight="1" x14ac:dyDescent="0.2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</row>
    <row r="531" spans="1:30" ht="12.75" customHeight="1" x14ac:dyDescent="0.2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</row>
    <row r="532" spans="1:30" ht="12.75" customHeight="1" x14ac:dyDescent="0.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</row>
    <row r="533" spans="1:30" ht="12.75" customHeight="1" x14ac:dyDescent="0.2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</row>
    <row r="534" spans="1:30" ht="12.75" customHeight="1" x14ac:dyDescent="0.2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</row>
    <row r="535" spans="1:30" ht="12.75" customHeight="1" x14ac:dyDescent="0.2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</row>
    <row r="536" spans="1:30" ht="12.75" customHeight="1" x14ac:dyDescent="0.2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</row>
    <row r="537" spans="1:30" ht="12.75" customHeight="1" x14ac:dyDescent="0.2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</row>
    <row r="538" spans="1:30" ht="12.75" customHeight="1" x14ac:dyDescent="0.2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</row>
    <row r="539" spans="1:30" ht="12.75" customHeight="1" x14ac:dyDescent="0.2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</row>
    <row r="540" spans="1:30" ht="12.75" customHeight="1" x14ac:dyDescent="0.2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</row>
    <row r="541" spans="1:30" ht="12.75" customHeight="1" x14ac:dyDescent="0.2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</row>
    <row r="542" spans="1:30" ht="12.75" customHeight="1" x14ac:dyDescent="0.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</row>
    <row r="543" spans="1:30" ht="12.75" customHeight="1" x14ac:dyDescent="0.2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</row>
    <row r="544" spans="1:30" ht="12.75" customHeight="1" x14ac:dyDescent="0.2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</row>
    <row r="545" spans="1:30" ht="12.75" customHeight="1" x14ac:dyDescent="0.2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</row>
    <row r="546" spans="1:30" ht="12.75" customHeight="1" x14ac:dyDescent="0.2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</row>
    <row r="547" spans="1:30" ht="12.75" customHeight="1" x14ac:dyDescent="0.2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</row>
    <row r="548" spans="1:30" ht="12.75" customHeight="1" x14ac:dyDescent="0.2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</row>
    <row r="549" spans="1:30" ht="12.75" customHeight="1" x14ac:dyDescent="0.2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</row>
    <row r="550" spans="1:30" ht="12.75" customHeight="1" x14ac:dyDescent="0.2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</row>
    <row r="551" spans="1:30" ht="12.75" customHeight="1" x14ac:dyDescent="0.2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</row>
    <row r="552" spans="1:30" ht="12.75" customHeight="1" x14ac:dyDescent="0.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</row>
    <row r="553" spans="1:30" ht="12.75" customHeight="1" x14ac:dyDescent="0.2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</row>
    <row r="554" spans="1:30" ht="12.75" customHeight="1" x14ac:dyDescent="0.2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</row>
    <row r="555" spans="1:30" ht="12.75" customHeight="1" x14ac:dyDescent="0.2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</row>
    <row r="556" spans="1:30" ht="12.75" customHeight="1" x14ac:dyDescent="0.2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</row>
    <row r="557" spans="1:30" ht="12.75" customHeight="1" x14ac:dyDescent="0.2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</row>
    <row r="558" spans="1:30" ht="12.75" customHeight="1" x14ac:dyDescent="0.2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</row>
    <row r="559" spans="1:30" ht="12.75" customHeight="1" x14ac:dyDescent="0.2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</row>
    <row r="560" spans="1:30" ht="12.75" customHeight="1" x14ac:dyDescent="0.2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</row>
    <row r="561" spans="1:30" ht="12.75" customHeight="1" x14ac:dyDescent="0.2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</row>
    <row r="562" spans="1:30" ht="12.75" customHeight="1" x14ac:dyDescent="0.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</row>
    <row r="563" spans="1:30" ht="12.75" customHeight="1" x14ac:dyDescent="0.2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</row>
    <row r="564" spans="1:30" ht="12.75" customHeight="1" x14ac:dyDescent="0.2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</row>
    <row r="565" spans="1:30" ht="12.75" customHeight="1" x14ac:dyDescent="0.2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</row>
    <row r="566" spans="1:30" ht="12.75" customHeight="1" x14ac:dyDescent="0.2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</row>
    <row r="567" spans="1:30" ht="12.75" customHeight="1" x14ac:dyDescent="0.2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</row>
    <row r="568" spans="1:30" ht="12.75" customHeight="1" x14ac:dyDescent="0.2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</row>
    <row r="569" spans="1:30" ht="12.75" customHeight="1" x14ac:dyDescent="0.2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</row>
    <row r="570" spans="1:30" ht="12.75" customHeight="1" x14ac:dyDescent="0.2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</row>
    <row r="571" spans="1:30" ht="12.75" customHeight="1" x14ac:dyDescent="0.2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</row>
    <row r="572" spans="1:30" ht="12.75" customHeight="1" x14ac:dyDescent="0.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</row>
    <row r="573" spans="1:30" ht="12.75" customHeight="1" x14ac:dyDescent="0.2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</row>
    <row r="574" spans="1:30" ht="12.75" customHeight="1" x14ac:dyDescent="0.2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</row>
    <row r="575" spans="1:30" ht="12.75" customHeight="1" x14ac:dyDescent="0.2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</row>
    <row r="576" spans="1:30" ht="12.75" customHeight="1" x14ac:dyDescent="0.2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</row>
    <row r="577" spans="1:30" ht="12.75" customHeight="1" x14ac:dyDescent="0.2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</row>
    <row r="578" spans="1:30" ht="12.75" customHeight="1" x14ac:dyDescent="0.2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</row>
    <row r="579" spans="1:30" ht="12.75" customHeight="1" x14ac:dyDescent="0.2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</row>
    <row r="580" spans="1:30" ht="12.75" customHeight="1" x14ac:dyDescent="0.2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</row>
    <row r="581" spans="1:30" ht="12.75" customHeight="1" x14ac:dyDescent="0.2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</row>
    <row r="582" spans="1:30" ht="12.75" customHeight="1" x14ac:dyDescent="0.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</row>
    <row r="583" spans="1:30" ht="12.75" customHeight="1" x14ac:dyDescent="0.2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</row>
    <row r="584" spans="1:30" ht="12.75" customHeight="1" x14ac:dyDescent="0.2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</row>
    <row r="585" spans="1:30" ht="12.75" customHeight="1" x14ac:dyDescent="0.2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</row>
    <row r="586" spans="1:30" ht="12.75" customHeight="1" x14ac:dyDescent="0.2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</row>
    <row r="587" spans="1:30" ht="12.75" customHeight="1" x14ac:dyDescent="0.2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</row>
    <row r="588" spans="1:30" ht="12.75" customHeight="1" x14ac:dyDescent="0.2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</row>
    <row r="589" spans="1:30" ht="12.75" customHeight="1" x14ac:dyDescent="0.2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</row>
    <row r="590" spans="1:30" ht="12.75" customHeight="1" x14ac:dyDescent="0.2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</row>
    <row r="591" spans="1:30" ht="12.75" customHeight="1" x14ac:dyDescent="0.2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</row>
    <row r="592" spans="1:30" ht="12.75" customHeight="1" x14ac:dyDescent="0.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</row>
    <row r="593" spans="1:30" ht="12.75" customHeight="1" x14ac:dyDescent="0.2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</row>
    <row r="594" spans="1:30" ht="12.75" customHeight="1" x14ac:dyDescent="0.2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</row>
    <row r="595" spans="1:30" ht="12.75" customHeight="1" x14ac:dyDescent="0.2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</row>
    <row r="596" spans="1:30" ht="12.75" customHeight="1" x14ac:dyDescent="0.2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</row>
    <row r="597" spans="1:30" ht="12.75" customHeight="1" x14ac:dyDescent="0.2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</row>
    <row r="598" spans="1:30" ht="12.75" customHeight="1" x14ac:dyDescent="0.2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</row>
    <row r="599" spans="1:30" ht="12.75" customHeight="1" x14ac:dyDescent="0.2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</row>
    <row r="600" spans="1:30" ht="12.75" customHeight="1" x14ac:dyDescent="0.2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</row>
    <row r="601" spans="1:30" ht="12.75" customHeight="1" x14ac:dyDescent="0.2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</row>
    <row r="602" spans="1:30" ht="12.75" customHeight="1" x14ac:dyDescent="0.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</row>
    <row r="603" spans="1:30" ht="12.75" customHeight="1" x14ac:dyDescent="0.2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</row>
    <row r="604" spans="1:30" ht="12.75" customHeight="1" x14ac:dyDescent="0.2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</row>
    <row r="605" spans="1:30" ht="12.75" customHeight="1" x14ac:dyDescent="0.2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</row>
    <row r="606" spans="1:30" ht="12.75" customHeight="1" x14ac:dyDescent="0.2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</row>
    <row r="607" spans="1:30" ht="12.75" customHeight="1" x14ac:dyDescent="0.2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</row>
    <row r="608" spans="1:30" ht="12.75" customHeight="1" x14ac:dyDescent="0.2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</row>
    <row r="609" spans="1:30" ht="12.75" customHeight="1" x14ac:dyDescent="0.2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</row>
    <row r="610" spans="1:30" ht="12.75" customHeight="1" x14ac:dyDescent="0.2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</row>
    <row r="611" spans="1:30" ht="12.75" customHeight="1" x14ac:dyDescent="0.2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</row>
    <row r="612" spans="1:30" ht="12.75" customHeight="1" x14ac:dyDescent="0.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</row>
    <row r="613" spans="1:30" ht="12.75" customHeight="1" x14ac:dyDescent="0.2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</row>
    <row r="614" spans="1:30" ht="12.75" customHeight="1" x14ac:dyDescent="0.2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</row>
    <row r="615" spans="1:30" ht="12.75" customHeight="1" x14ac:dyDescent="0.2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</row>
    <row r="616" spans="1:30" ht="12.75" customHeight="1" x14ac:dyDescent="0.2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</row>
    <row r="617" spans="1:30" ht="12.75" customHeight="1" x14ac:dyDescent="0.2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</row>
    <row r="618" spans="1:30" ht="12.75" customHeight="1" x14ac:dyDescent="0.2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</row>
    <row r="619" spans="1:30" ht="12.75" customHeight="1" x14ac:dyDescent="0.2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</row>
    <row r="620" spans="1:30" ht="12.75" customHeight="1" x14ac:dyDescent="0.2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</row>
    <row r="621" spans="1:30" ht="12.75" customHeight="1" x14ac:dyDescent="0.2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</row>
    <row r="622" spans="1:30" ht="12.75" customHeight="1" x14ac:dyDescent="0.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</row>
    <row r="623" spans="1:30" ht="12.75" customHeight="1" x14ac:dyDescent="0.2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</row>
    <row r="624" spans="1:30" ht="12.75" customHeight="1" x14ac:dyDescent="0.2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</row>
    <row r="625" spans="1:30" ht="12.75" customHeight="1" x14ac:dyDescent="0.2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</row>
    <row r="626" spans="1:30" ht="12.75" customHeight="1" x14ac:dyDescent="0.2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</row>
    <row r="627" spans="1:30" ht="12.75" customHeight="1" x14ac:dyDescent="0.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</row>
    <row r="628" spans="1:30" ht="12.75" customHeight="1" x14ac:dyDescent="0.2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</row>
    <row r="629" spans="1:30" ht="12.75" customHeight="1" x14ac:dyDescent="0.2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</row>
    <row r="630" spans="1:30" ht="12.75" customHeight="1" x14ac:dyDescent="0.2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</row>
    <row r="631" spans="1:30" ht="12.75" customHeight="1" x14ac:dyDescent="0.2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</row>
    <row r="632" spans="1:30" ht="12.75" customHeight="1" x14ac:dyDescent="0.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</row>
    <row r="633" spans="1:30" ht="12.75" customHeight="1" x14ac:dyDescent="0.2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</row>
    <row r="634" spans="1:30" ht="12.75" customHeight="1" x14ac:dyDescent="0.2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</row>
    <row r="635" spans="1:30" ht="12.75" customHeight="1" x14ac:dyDescent="0.2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</row>
    <row r="636" spans="1:30" ht="12.75" customHeight="1" x14ac:dyDescent="0.2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</row>
    <row r="637" spans="1:30" ht="12.75" customHeight="1" x14ac:dyDescent="0.2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</row>
    <row r="638" spans="1:30" ht="12.75" customHeight="1" x14ac:dyDescent="0.2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</row>
    <row r="639" spans="1:30" ht="12.75" customHeight="1" x14ac:dyDescent="0.2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</row>
    <row r="640" spans="1:30" ht="12.75" customHeight="1" x14ac:dyDescent="0.2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</row>
    <row r="641" spans="1:30" ht="12.75" customHeight="1" x14ac:dyDescent="0.2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</row>
    <row r="642" spans="1:30" ht="12.75" customHeight="1" x14ac:dyDescent="0.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</row>
    <row r="643" spans="1:30" ht="12.75" customHeight="1" x14ac:dyDescent="0.2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</row>
    <row r="644" spans="1:30" ht="12.75" customHeight="1" x14ac:dyDescent="0.2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</row>
    <row r="645" spans="1:30" ht="12.75" customHeight="1" x14ac:dyDescent="0.2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</row>
    <row r="646" spans="1:30" ht="12.75" customHeight="1" x14ac:dyDescent="0.2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</row>
    <row r="647" spans="1:30" ht="12.75" customHeight="1" x14ac:dyDescent="0.2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</row>
    <row r="648" spans="1:30" ht="12.75" customHeight="1" x14ac:dyDescent="0.2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</row>
    <row r="649" spans="1:30" ht="12.75" customHeight="1" x14ac:dyDescent="0.2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</row>
    <row r="650" spans="1:30" ht="12.75" customHeight="1" x14ac:dyDescent="0.2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</row>
    <row r="651" spans="1:30" ht="12.75" customHeight="1" x14ac:dyDescent="0.2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</row>
    <row r="652" spans="1:30" ht="12.75" customHeight="1" x14ac:dyDescent="0.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</row>
    <row r="653" spans="1:30" ht="12.75" customHeight="1" x14ac:dyDescent="0.2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</row>
    <row r="654" spans="1:30" ht="12.75" customHeight="1" x14ac:dyDescent="0.2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</row>
    <row r="655" spans="1:30" ht="12.75" customHeight="1" x14ac:dyDescent="0.2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</row>
    <row r="656" spans="1:30" ht="12.75" customHeight="1" x14ac:dyDescent="0.2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</row>
    <row r="657" spans="1:30" ht="12.75" customHeight="1" x14ac:dyDescent="0.2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</row>
    <row r="658" spans="1:30" ht="12.75" customHeight="1" x14ac:dyDescent="0.2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</row>
    <row r="659" spans="1:30" ht="12.75" customHeight="1" x14ac:dyDescent="0.2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</row>
    <row r="660" spans="1:30" ht="12.75" customHeight="1" x14ac:dyDescent="0.2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</row>
    <row r="661" spans="1:30" ht="12.75" customHeight="1" x14ac:dyDescent="0.2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</row>
    <row r="662" spans="1:30" ht="12.75" customHeight="1" x14ac:dyDescent="0.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</row>
    <row r="663" spans="1:30" ht="12.75" customHeight="1" x14ac:dyDescent="0.2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</row>
    <row r="664" spans="1:30" ht="12.75" customHeight="1" x14ac:dyDescent="0.2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</row>
    <row r="665" spans="1:30" ht="12.75" customHeight="1" x14ac:dyDescent="0.2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</row>
    <row r="666" spans="1:30" ht="12.75" customHeight="1" x14ac:dyDescent="0.2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</row>
    <row r="667" spans="1:30" ht="12.75" customHeight="1" x14ac:dyDescent="0.2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</row>
    <row r="668" spans="1:30" ht="12.75" customHeight="1" x14ac:dyDescent="0.2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</row>
    <row r="669" spans="1:30" ht="12.75" customHeight="1" x14ac:dyDescent="0.2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</row>
    <row r="670" spans="1:30" ht="12.75" customHeight="1" x14ac:dyDescent="0.2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</row>
    <row r="671" spans="1:30" ht="12.75" customHeight="1" x14ac:dyDescent="0.2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</row>
    <row r="672" spans="1:30" ht="12.75" customHeight="1" x14ac:dyDescent="0.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</row>
    <row r="673" spans="1:30" ht="12.75" customHeight="1" x14ac:dyDescent="0.2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</row>
    <row r="674" spans="1:30" ht="12.75" customHeight="1" x14ac:dyDescent="0.2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</row>
    <row r="675" spans="1:30" ht="12.75" customHeight="1" x14ac:dyDescent="0.2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</row>
    <row r="676" spans="1:30" ht="12.75" customHeight="1" x14ac:dyDescent="0.2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</row>
    <row r="677" spans="1:30" ht="12.75" customHeight="1" x14ac:dyDescent="0.2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</row>
    <row r="678" spans="1:30" ht="12.75" customHeight="1" x14ac:dyDescent="0.2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</row>
    <row r="679" spans="1:30" ht="12.75" customHeight="1" x14ac:dyDescent="0.2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</row>
    <row r="680" spans="1:30" ht="12.75" customHeight="1" x14ac:dyDescent="0.2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</row>
    <row r="681" spans="1:30" ht="12.75" customHeight="1" x14ac:dyDescent="0.2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</row>
    <row r="682" spans="1:30" ht="12.75" customHeight="1" x14ac:dyDescent="0.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</row>
    <row r="683" spans="1:30" ht="12.75" customHeight="1" x14ac:dyDescent="0.2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</row>
    <row r="684" spans="1:30" ht="12.75" customHeight="1" x14ac:dyDescent="0.2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</row>
    <row r="685" spans="1:30" ht="12.75" customHeight="1" x14ac:dyDescent="0.2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</row>
    <row r="686" spans="1:30" ht="12.75" customHeight="1" x14ac:dyDescent="0.2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</row>
    <row r="687" spans="1:30" ht="12.75" customHeight="1" x14ac:dyDescent="0.2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</row>
    <row r="688" spans="1:30" ht="12.75" customHeight="1" x14ac:dyDescent="0.2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</row>
    <row r="689" spans="1:30" ht="12.75" customHeight="1" x14ac:dyDescent="0.2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</row>
    <row r="690" spans="1:30" ht="12.75" customHeight="1" x14ac:dyDescent="0.2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</row>
    <row r="691" spans="1:30" ht="12.75" customHeight="1" x14ac:dyDescent="0.2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</row>
    <row r="692" spans="1:30" ht="12.75" customHeight="1" x14ac:dyDescent="0.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</row>
    <row r="693" spans="1:30" ht="12.75" customHeight="1" x14ac:dyDescent="0.2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</row>
    <row r="694" spans="1:30" ht="12.75" customHeight="1" x14ac:dyDescent="0.2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</row>
    <row r="695" spans="1:30" ht="12.75" customHeight="1" x14ac:dyDescent="0.2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</row>
    <row r="696" spans="1:30" ht="12.75" customHeight="1" x14ac:dyDescent="0.2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</row>
    <row r="697" spans="1:30" ht="12.75" customHeight="1" x14ac:dyDescent="0.2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</row>
    <row r="698" spans="1:30" ht="12.75" customHeight="1" x14ac:dyDescent="0.2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</row>
    <row r="699" spans="1:30" ht="12.75" customHeight="1" x14ac:dyDescent="0.2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</row>
    <row r="700" spans="1:30" ht="12.75" customHeight="1" x14ac:dyDescent="0.2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</row>
    <row r="701" spans="1:30" ht="12.75" customHeight="1" x14ac:dyDescent="0.2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</row>
    <row r="702" spans="1:30" ht="12.75" customHeight="1" x14ac:dyDescent="0.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</row>
    <row r="703" spans="1:30" ht="12.75" customHeight="1" x14ac:dyDescent="0.2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</row>
    <row r="704" spans="1:30" ht="12.75" customHeight="1" x14ac:dyDescent="0.2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</row>
    <row r="705" spans="1:30" ht="12.75" customHeight="1" x14ac:dyDescent="0.2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</row>
    <row r="706" spans="1:30" ht="12.75" customHeight="1" x14ac:dyDescent="0.2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</row>
    <row r="707" spans="1:30" ht="12.75" customHeight="1" x14ac:dyDescent="0.2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</row>
    <row r="708" spans="1:30" ht="12.75" customHeight="1" x14ac:dyDescent="0.2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</row>
    <row r="709" spans="1:30" ht="12.75" customHeight="1" x14ac:dyDescent="0.2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</row>
    <row r="710" spans="1:30" ht="12.75" customHeight="1" x14ac:dyDescent="0.2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</row>
    <row r="711" spans="1:30" ht="12.75" customHeight="1" x14ac:dyDescent="0.2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</row>
    <row r="712" spans="1:30" ht="12.75" customHeight="1" x14ac:dyDescent="0.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</row>
    <row r="713" spans="1:30" ht="12.75" customHeight="1" x14ac:dyDescent="0.2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</row>
    <row r="714" spans="1:30" ht="12.75" customHeight="1" x14ac:dyDescent="0.2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</row>
    <row r="715" spans="1:30" ht="12.75" customHeight="1" x14ac:dyDescent="0.2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</row>
    <row r="716" spans="1:30" ht="12.75" customHeight="1" x14ac:dyDescent="0.2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</row>
    <row r="717" spans="1:30" ht="12.75" customHeight="1" x14ac:dyDescent="0.2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</row>
    <row r="718" spans="1:30" ht="12.75" customHeight="1" x14ac:dyDescent="0.2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</row>
    <row r="719" spans="1:30" ht="12.75" customHeight="1" x14ac:dyDescent="0.2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</row>
    <row r="720" spans="1:30" ht="12.75" customHeight="1" x14ac:dyDescent="0.2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</row>
    <row r="721" spans="1:30" ht="12.75" customHeight="1" x14ac:dyDescent="0.2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</row>
    <row r="722" spans="1:30" ht="12.75" customHeight="1" x14ac:dyDescent="0.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</row>
    <row r="723" spans="1:30" ht="12.75" customHeight="1" x14ac:dyDescent="0.2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</row>
    <row r="724" spans="1:30" ht="12.75" customHeight="1" x14ac:dyDescent="0.2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</row>
    <row r="725" spans="1:30" ht="12.75" customHeight="1" x14ac:dyDescent="0.2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</row>
    <row r="726" spans="1:30" ht="12.75" customHeight="1" x14ac:dyDescent="0.2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</row>
    <row r="727" spans="1:30" ht="12.75" customHeight="1" x14ac:dyDescent="0.2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</row>
    <row r="728" spans="1:30" ht="12.75" customHeight="1" x14ac:dyDescent="0.2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</row>
    <row r="729" spans="1:30" ht="12.75" customHeight="1" x14ac:dyDescent="0.2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</row>
    <row r="730" spans="1:30" ht="12.75" customHeight="1" x14ac:dyDescent="0.2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</row>
    <row r="731" spans="1:30" ht="12.75" customHeight="1" x14ac:dyDescent="0.2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</row>
    <row r="732" spans="1:30" ht="12.75" customHeight="1" x14ac:dyDescent="0.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</row>
    <row r="733" spans="1:30" ht="12.75" customHeight="1" x14ac:dyDescent="0.2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</row>
    <row r="734" spans="1:30" ht="12.75" customHeight="1" x14ac:dyDescent="0.2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</row>
    <row r="735" spans="1:30" ht="12.75" customHeight="1" x14ac:dyDescent="0.2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</row>
    <row r="736" spans="1:30" ht="12.75" customHeight="1" x14ac:dyDescent="0.2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</row>
    <row r="737" spans="1:30" ht="12.75" customHeight="1" x14ac:dyDescent="0.2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</row>
    <row r="738" spans="1:30" ht="12.75" customHeight="1" x14ac:dyDescent="0.2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</row>
    <row r="739" spans="1:30" ht="12.75" customHeight="1" x14ac:dyDescent="0.2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</row>
    <row r="740" spans="1:30" ht="12.75" customHeight="1" x14ac:dyDescent="0.2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</row>
    <row r="741" spans="1:30" ht="12.75" customHeight="1" x14ac:dyDescent="0.2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</row>
    <row r="742" spans="1:30" ht="12.75" customHeight="1" x14ac:dyDescent="0.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</row>
    <row r="743" spans="1:30" ht="12.75" customHeight="1" x14ac:dyDescent="0.2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</row>
    <row r="744" spans="1:30" ht="12.75" customHeight="1" x14ac:dyDescent="0.2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</row>
    <row r="745" spans="1:30" ht="12.75" customHeight="1" x14ac:dyDescent="0.2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</row>
    <row r="746" spans="1:30" ht="12.75" customHeight="1" x14ac:dyDescent="0.2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</row>
    <row r="747" spans="1:30" ht="12.75" customHeight="1" x14ac:dyDescent="0.2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</row>
    <row r="748" spans="1:30" ht="12.75" customHeight="1" x14ac:dyDescent="0.2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</row>
    <row r="749" spans="1:30" ht="12.75" customHeight="1" x14ac:dyDescent="0.2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</row>
    <row r="750" spans="1:30" ht="12.75" customHeight="1" x14ac:dyDescent="0.2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</row>
    <row r="751" spans="1:30" ht="12.75" customHeight="1" x14ac:dyDescent="0.2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</row>
    <row r="752" spans="1:30" ht="12.75" customHeight="1" x14ac:dyDescent="0.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</row>
    <row r="753" spans="1:30" ht="12.75" customHeight="1" x14ac:dyDescent="0.2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</row>
    <row r="754" spans="1:30" ht="12.75" customHeight="1" x14ac:dyDescent="0.2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</row>
    <row r="755" spans="1:30" ht="12.75" customHeight="1" x14ac:dyDescent="0.2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</row>
    <row r="756" spans="1:30" ht="12.75" customHeight="1" x14ac:dyDescent="0.2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</row>
    <row r="757" spans="1:30" ht="12.75" customHeight="1" x14ac:dyDescent="0.2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</row>
    <row r="758" spans="1:30" ht="12.75" customHeight="1" x14ac:dyDescent="0.2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</row>
    <row r="759" spans="1:30" ht="12.75" customHeight="1" x14ac:dyDescent="0.2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</row>
    <row r="760" spans="1:30" ht="12.75" customHeight="1" x14ac:dyDescent="0.2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</row>
    <row r="761" spans="1:30" ht="12.75" customHeight="1" x14ac:dyDescent="0.2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</row>
    <row r="762" spans="1:30" ht="12.75" customHeight="1" x14ac:dyDescent="0.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</row>
    <row r="763" spans="1:30" ht="12.75" customHeight="1" x14ac:dyDescent="0.2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</row>
    <row r="764" spans="1:30" ht="12.75" customHeight="1" x14ac:dyDescent="0.2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</row>
    <row r="765" spans="1:30" ht="12.75" customHeight="1" x14ac:dyDescent="0.2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</row>
    <row r="766" spans="1:30" ht="12.75" customHeight="1" x14ac:dyDescent="0.2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</row>
    <row r="767" spans="1:30" ht="12.75" customHeight="1" x14ac:dyDescent="0.2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</row>
    <row r="768" spans="1:30" ht="12.75" customHeight="1" x14ac:dyDescent="0.2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</row>
    <row r="769" spans="1:30" ht="12.75" customHeight="1" x14ac:dyDescent="0.2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</row>
    <row r="770" spans="1:30" ht="12.75" customHeight="1" x14ac:dyDescent="0.2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</row>
    <row r="771" spans="1:30" ht="12.75" customHeight="1" x14ac:dyDescent="0.2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</row>
    <row r="772" spans="1:30" ht="12.75" customHeight="1" x14ac:dyDescent="0.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</row>
    <row r="773" spans="1:30" ht="12.75" customHeight="1" x14ac:dyDescent="0.2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</row>
    <row r="774" spans="1:30" ht="12.75" customHeight="1" x14ac:dyDescent="0.2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</row>
    <row r="775" spans="1:30" ht="12.75" customHeight="1" x14ac:dyDescent="0.2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</row>
    <row r="776" spans="1:30" ht="12.75" customHeight="1" x14ac:dyDescent="0.2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</row>
    <row r="777" spans="1:30" ht="12.75" customHeight="1" x14ac:dyDescent="0.2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</row>
    <row r="778" spans="1:30" ht="12.75" customHeight="1" x14ac:dyDescent="0.2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</row>
    <row r="779" spans="1:30" ht="12.75" customHeight="1" x14ac:dyDescent="0.2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</row>
    <row r="780" spans="1:30" ht="12.75" customHeight="1" x14ac:dyDescent="0.2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</row>
    <row r="781" spans="1:30" ht="12.75" customHeight="1" x14ac:dyDescent="0.2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</row>
    <row r="782" spans="1:30" ht="12.75" customHeight="1" x14ac:dyDescent="0.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</row>
    <row r="783" spans="1:30" ht="12.75" customHeight="1" x14ac:dyDescent="0.2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</row>
    <row r="784" spans="1:30" ht="12.75" customHeight="1" x14ac:dyDescent="0.2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</row>
    <row r="785" spans="1:30" ht="12.75" customHeight="1" x14ac:dyDescent="0.2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</row>
    <row r="786" spans="1:30" ht="12.75" customHeight="1" x14ac:dyDescent="0.2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</row>
    <row r="787" spans="1:30" ht="12.75" customHeight="1" x14ac:dyDescent="0.2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</row>
    <row r="788" spans="1:30" ht="12.75" customHeight="1" x14ac:dyDescent="0.2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</row>
    <row r="789" spans="1:30" ht="12.75" customHeight="1" x14ac:dyDescent="0.2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</row>
    <row r="790" spans="1:30" ht="12.75" customHeight="1" x14ac:dyDescent="0.2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</row>
    <row r="791" spans="1:30" ht="12.75" customHeight="1" x14ac:dyDescent="0.2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</row>
    <row r="792" spans="1:30" ht="12.75" customHeight="1" x14ac:dyDescent="0.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</row>
    <row r="793" spans="1:30" ht="12.75" customHeight="1" x14ac:dyDescent="0.2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</row>
    <row r="794" spans="1:30" ht="12.75" customHeight="1" x14ac:dyDescent="0.2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</row>
    <row r="795" spans="1:30" ht="12.75" customHeight="1" x14ac:dyDescent="0.2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</row>
    <row r="796" spans="1:30" ht="12.75" customHeight="1" x14ac:dyDescent="0.2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</row>
    <row r="797" spans="1:30" ht="12.75" customHeight="1" x14ac:dyDescent="0.2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</row>
    <row r="798" spans="1:30" ht="12.75" customHeight="1" x14ac:dyDescent="0.2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</row>
    <row r="799" spans="1:30" ht="12.75" customHeight="1" x14ac:dyDescent="0.2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</row>
    <row r="800" spans="1:30" ht="12.75" customHeight="1" x14ac:dyDescent="0.2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</row>
    <row r="801" spans="1:30" ht="12.75" customHeight="1" x14ac:dyDescent="0.2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</row>
    <row r="802" spans="1:30" ht="12.75" customHeight="1" x14ac:dyDescent="0.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</row>
    <row r="803" spans="1:30" ht="12.75" customHeight="1" x14ac:dyDescent="0.2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</row>
    <row r="804" spans="1:30" ht="12.75" customHeight="1" x14ac:dyDescent="0.2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</row>
    <row r="805" spans="1:30" ht="12.75" customHeight="1" x14ac:dyDescent="0.2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</row>
    <row r="806" spans="1:30" ht="12.75" customHeight="1" x14ac:dyDescent="0.2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</row>
    <row r="807" spans="1:30" ht="12.75" customHeight="1" x14ac:dyDescent="0.2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</row>
    <row r="808" spans="1:30" ht="12.75" customHeight="1" x14ac:dyDescent="0.2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</row>
    <row r="809" spans="1:30" ht="12.75" customHeight="1" x14ac:dyDescent="0.2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</row>
    <row r="810" spans="1:30" ht="12.75" customHeight="1" x14ac:dyDescent="0.2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</row>
    <row r="811" spans="1:30" ht="12.75" customHeight="1" x14ac:dyDescent="0.2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</row>
    <row r="812" spans="1:30" ht="12.75" customHeight="1" x14ac:dyDescent="0.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</row>
    <row r="813" spans="1:30" ht="12.75" customHeight="1" x14ac:dyDescent="0.2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</row>
    <row r="814" spans="1:30" ht="12.75" customHeight="1" x14ac:dyDescent="0.2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</row>
    <row r="815" spans="1:30" ht="12.75" customHeight="1" x14ac:dyDescent="0.2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</row>
    <row r="816" spans="1:30" ht="12.75" customHeight="1" x14ac:dyDescent="0.2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</row>
    <row r="817" spans="1:30" ht="12.75" customHeight="1" x14ac:dyDescent="0.2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</row>
    <row r="818" spans="1:30" ht="12.75" customHeight="1" x14ac:dyDescent="0.2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</row>
    <row r="819" spans="1:30" ht="12.75" customHeight="1" x14ac:dyDescent="0.2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</row>
    <row r="820" spans="1:30" ht="12.75" customHeight="1" x14ac:dyDescent="0.2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</row>
    <row r="821" spans="1:30" ht="12.75" customHeight="1" x14ac:dyDescent="0.2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</row>
    <row r="822" spans="1:30" ht="12.75" customHeight="1" x14ac:dyDescent="0.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</row>
    <row r="823" spans="1:30" ht="12.75" customHeight="1" x14ac:dyDescent="0.2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</row>
    <row r="824" spans="1:30" ht="12.75" customHeight="1" x14ac:dyDescent="0.2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</row>
    <row r="825" spans="1:30" ht="12.75" customHeight="1" x14ac:dyDescent="0.2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</row>
    <row r="826" spans="1:30" ht="12.75" customHeight="1" x14ac:dyDescent="0.2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</row>
    <row r="827" spans="1:30" ht="12.75" customHeight="1" x14ac:dyDescent="0.2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</row>
    <row r="828" spans="1:30" ht="12.75" customHeight="1" x14ac:dyDescent="0.2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</row>
    <row r="829" spans="1:30" ht="12.75" customHeight="1" x14ac:dyDescent="0.2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</row>
    <row r="830" spans="1:30" ht="12.75" customHeight="1" x14ac:dyDescent="0.2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</row>
    <row r="831" spans="1:30" ht="12.75" customHeight="1" x14ac:dyDescent="0.2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</row>
    <row r="832" spans="1:30" ht="12.75" customHeight="1" x14ac:dyDescent="0.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</row>
    <row r="833" spans="1:30" ht="12.75" customHeight="1" x14ac:dyDescent="0.2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</row>
    <row r="834" spans="1:30" ht="12.75" customHeight="1" x14ac:dyDescent="0.2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</row>
    <row r="835" spans="1:30" ht="12.75" customHeight="1" x14ac:dyDescent="0.2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</row>
    <row r="836" spans="1:30" ht="12.75" customHeight="1" x14ac:dyDescent="0.2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</row>
    <row r="837" spans="1:30" ht="12.75" customHeight="1" x14ac:dyDescent="0.2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</row>
    <row r="838" spans="1:30" ht="12.75" customHeight="1" x14ac:dyDescent="0.2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</row>
    <row r="839" spans="1:30" ht="12.75" customHeight="1" x14ac:dyDescent="0.2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</row>
    <row r="840" spans="1:30" ht="12.75" customHeight="1" x14ac:dyDescent="0.2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</row>
    <row r="841" spans="1:30" ht="12.75" customHeight="1" x14ac:dyDescent="0.2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</row>
    <row r="842" spans="1:30" ht="12.75" customHeight="1" x14ac:dyDescent="0.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</row>
    <row r="843" spans="1:30" ht="12.75" customHeight="1" x14ac:dyDescent="0.2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</row>
    <row r="844" spans="1:30" ht="12.75" customHeight="1" x14ac:dyDescent="0.2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</row>
    <row r="845" spans="1:30" ht="12.75" customHeight="1" x14ac:dyDescent="0.2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</row>
    <row r="846" spans="1:30" ht="12.75" customHeight="1" x14ac:dyDescent="0.2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</row>
    <row r="847" spans="1:30" ht="12.75" customHeight="1" x14ac:dyDescent="0.2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</row>
    <row r="848" spans="1:30" ht="12.75" customHeight="1" x14ac:dyDescent="0.2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</row>
    <row r="849" spans="1:30" ht="12.75" customHeight="1" x14ac:dyDescent="0.2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</row>
    <row r="850" spans="1:30" ht="12.75" customHeight="1" x14ac:dyDescent="0.2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</row>
    <row r="851" spans="1:30" ht="12.75" customHeight="1" x14ac:dyDescent="0.2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</row>
    <row r="852" spans="1:30" ht="12.75" customHeight="1" x14ac:dyDescent="0.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</row>
    <row r="853" spans="1:30" ht="12.75" customHeight="1" x14ac:dyDescent="0.2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</row>
    <row r="854" spans="1:30" ht="12.75" customHeight="1" x14ac:dyDescent="0.2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</row>
    <row r="855" spans="1:30" ht="12.75" customHeight="1" x14ac:dyDescent="0.2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</row>
    <row r="856" spans="1:30" ht="12.75" customHeight="1" x14ac:dyDescent="0.2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</row>
    <row r="857" spans="1:30" ht="12.75" customHeight="1" x14ac:dyDescent="0.2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</row>
    <row r="858" spans="1:30" ht="12.75" customHeight="1" x14ac:dyDescent="0.2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</row>
    <row r="859" spans="1:30" ht="12.75" customHeight="1" x14ac:dyDescent="0.2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</row>
    <row r="860" spans="1:30" ht="12.75" customHeight="1" x14ac:dyDescent="0.2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</row>
    <row r="861" spans="1:30" ht="12.75" customHeight="1" x14ac:dyDescent="0.2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</row>
    <row r="862" spans="1:30" ht="12.75" customHeight="1" x14ac:dyDescent="0.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</row>
    <row r="863" spans="1:30" ht="12.75" customHeight="1" x14ac:dyDescent="0.2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</row>
    <row r="864" spans="1:30" ht="12.75" customHeight="1" x14ac:dyDescent="0.2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</row>
    <row r="865" spans="1:30" ht="12.75" customHeight="1" x14ac:dyDescent="0.2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</row>
    <row r="866" spans="1:30" ht="12.75" customHeight="1" x14ac:dyDescent="0.2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</row>
    <row r="867" spans="1:30" ht="12.75" customHeight="1" x14ac:dyDescent="0.2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</row>
    <row r="868" spans="1:30" ht="12.75" customHeight="1" x14ac:dyDescent="0.2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</row>
    <row r="869" spans="1:30" ht="12.75" customHeight="1" x14ac:dyDescent="0.2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</row>
    <row r="870" spans="1:30" ht="12.75" customHeight="1" x14ac:dyDescent="0.2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</row>
    <row r="871" spans="1:30" ht="12.75" customHeight="1" x14ac:dyDescent="0.2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</row>
    <row r="872" spans="1:30" ht="12.75" customHeight="1" x14ac:dyDescent="0.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</row>
    <row r="873" spans="1:30" ht="12.75" customHeight="1" x14ac:dyDescent="0.2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</row>
    <row r="874" spans="1:30" ht="12.75" customHeight="1" x14ac:dyDescent="0.2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</row>
    <row r="875" spans="1:30" ht="12.75" customHeight="1" x14ac:dyDescent="0.2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</row>
    <row r="876" spans="1:30" ht="12.75" customHeight="1" x14ac:dyDescent="0.2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</row>
    <row r="877" spans="1:30" ht="12.75" customHeight="1" x14ac:dyDescent="0.2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</row>
    <row r="878" spans="1:30" ht="12.75" customHeight="1" x14ac:dyDescent="0.2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</row>
    <row r="879" spans="1:30" ht="12.75" customHeight="1" x14ac:dyDescent="0.2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</row>
    <row r="880" spans="1:30" ht="12.75" customHeight="1" x14ac:dyDescent="0.2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</row>
    <row r="881" spans="1:30" ht="12.75" customHeight="1" x14ac:dyDescent="0.2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</row>
    <row r="882" spans="1:30" ht="12.75" customHeight="1" x14ac:dyDescent="0.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</row>
    <row r="883" spans="1:30" ht="12.75" customHeight="1" x14ac:dyDescent="0.2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</row>
    <row r="884" spans="1:30" ht="12.75" customHeight="1" x14ac:dyDescent="0.2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</row>
    <row r="885" spans="1:30" ht="12.75" customHeight="1" x14ac:dyDescent="0.2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</row>
    <row r="886" spans="1:30" ht="12.75" customHeight="1" x14ac:dyDescent="0.2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</row>
    <row r="887" spans="1:30" ht="12.75" customHeight="1" x14ac:dyDescent="0.2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</row>
    <row r="888" spans="1:30" ht="12.75" customHeight="1" x14ac:dyDescent="0.2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</row>
    <row r="889" spans="1:30" ht="12.75" customHeight="1" x14ac:dyDescent="0.2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</row>
    <row r="890" spans="1:30" ht="12.75" customHeight="1" x14ac:dyDescent="0.2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</row>
    <row r="891" spans="1:30" ht="12.75" customHeight="1" x14ac:dyDescent="0.2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</row>
    <row r="892" spans="1:30" ht="12.75" customHeight="1" x14ac:dyDescent="0.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</row>
    <row r="893" spans="1:30" ht="12.75" customHeight="1" x14ac:dyDescent="0.2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</row>
    <row r="894" spans="1:30" ht="12.75" customHeight="1" x14ac:dyDescent="0.2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</row>
    <row r="895" spans="1:30" ht="12.75" customHeight="1" x14ac:dyDescent="0.2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</row>
    <row r="896" spans="1:30" ht="12.75" customHeight="1" x14ac:dyDescent="0.2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</row>
    <row r="897" spans="1:30" ht="12.75" customHeight="1" x14ac:dyDescent="0.2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</row>
    <row r="898" spans="1:30" ht="12.75" customHeight="1" x14ac:dyDescent="0.2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</row>
    <row r="899" spans="1:30" ht="12.75" customHeight="1" x14ac:dyDescent="0.2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</row>
    <row r="900" spans="1:30" ht="12.75" customHeight="1" x14ac:dyDescent="0.2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</row>
    <row r="901" spans="1:30" ht="12.75" customHeight="1" x14ac:dyDescent="0.2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</row>
    <row r="902" spans="1:30" ht="12.75" customHeight="1" x14ac:dyDescent="0.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</row>
    <row r="903" spans="1:30" ht="12.75" customHeight="1" x14ac:dyDescent="0.2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</row>
    <row r="904" spans="1:30" ht="12.75" customHeight="1" x14ac:dyDescent="0.2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</row>
    <row r="905" spans="1:30" ht="12.75" customHeight="1" x14ac:dyDescent="0.2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</row>
    <row r="906" spans="1:30" ht="12.75" customHeight="1" x14ac:dyDescent="0.2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</row>
    <row r="907" spans="1:30" ht="12.75" customHeight="1" x14ac:dyDescent="0.2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</row>
    <row r="908" spans="1:30" ht="12.75" customHeight="1" x14ac:dyDescent="0.2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</row>
    <row r="909" spans="1:30" ht="12.75" customHeight="1" x14ac:dyDescent="0.2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</row>
    <row r="910" spans="1:30" ht="12.75" customHeight="1" x14ac:dyDescent="0.2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</row>
    <row r="911" spans="1:30" ht="12.75" customHeight="1" x14ac:dyDescent="0.2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</row>
    <row r="912" spans="1:30" ht="12.75" customHeight="1" x14ac:dyDescent="0.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</row>
    <row r="913" spans="1:30" ht="12.75" customHeight="1" x14ac:dyDescent="0.2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</row>
    <row r="914" spans="1:30" ht="12.75" customHeight="1" x14ac:dyDescent="0.2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</row>
    <row r="915" spans="1:30" ht="12.75" customHeight="1" x14ac:dyDescent="0.2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</row>
    <row r="916" spans="1:30" ht="12.75" customHeight="1" x14ac:dyDescent="0.2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</row>
    <row r="917" spans="1:30" ht="12.75" customHeight="1" x14ac:dyDescent="0.2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</row>
    <row r="918" spans="1:30" ht="12.75" customHeight="1" x14ac:dyDescent="0.2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</row>
    <row r="919" spans="1:30" ht="12.75" customHeight="1" x14ac:dyDescent="0.2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</row>
    <row r="920" spans="1:30" ht="12.75" customHeight="1" x14ac:dyDescent="0.2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</row>
    <row r="921" spans="1:30" ht="12.75" customHeight="1" x14ac:dyDescent="0.2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</row>
    <row r="922" spans="1:30" ht="12.75" customHeight="1" x14ac:dyDescent="0.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</row>
    <row r="923" spans="1:30" ht="12.75" customHeight="1" x14ac:dyDescent="0.2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</row>
    <row r="924" spans="1:30" ht="12.75" customHeight="1" x14ac:dyDescent="0.2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</row>
    <row r="925" spans="1:30" ht="12.75" customHeight="1" x14ac:dyDescent="0.2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</row>
    <row r="926" spans="1:30" ht="12.75" customHeight="1" x14ac:dyDescent="0.2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</row>
    <row r="927" spans="1:30" ht="12.75" customHeight="1" x14ac:dyDescent="0.2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</row>
    <row r="928" spans="1:30" ht="12.75" customHeight="1" x14ac:dyDescent="0.2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</row>
    <row r="929" spans="1:30" ht="12.75" customHeight="1" x14ac:dyDescent="0.2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</row>
    <row r="930" spans="1:30" ht="12.75" customHeight="1" x14ac:dyDescent="0.2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</row>
    <row r="931" spans="1:30" ht="12.75" customHeight="1" x14ac:dyDescent="0.2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</row>
    <row r="932" spans="1:30" ht="12.75" customHeight="1" x14ac:dyDescent="0.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</row>
    <row r="933" spans="1:30" ht="12.75" customHeight="1" x14ac:dyDescent="0.2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</row>
    <row r="934" spans="1:30" ht="12.75" customHeight="1" x14ac:dyDescent="0.2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</row>
    <row r="935" spans="1:30" ht="12.75" customHeight="1" x14ac:dyDescent="0.2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</row>
    <row r="936" spans="1:30" ht="12.75" customHeight="1" x14ac:dyDescent="0.2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</row>
    <row r="937" spans="1:30" ht="12.75" customHeight="1" x14ac:dyDescent="0.2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</row>
    <row r="938" spans="1:30" ht="12.75" customHeight="1" x14ac:dyDescent="0.2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</row>
    <row r="939" spans="1:30" ht="12.75" customHeight="1" x14ac:dyDescent="0.2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</row>
    <row r="940" spans="1:30" ht="12.75" customHeight="1" x14ac:dyDescent="0.2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</row>
    <row r="941" spans="1:30" ht="12.75" customHeight="1" x14ac:dyDescent="0.2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</row>
    <row r="942" spans="1:30" ht="12.75" customHeight="1" x14ac:dyDescent="0.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</row>
    <row r="943" spans="1:30" ht="12.75" customHeight="1" x14ac:dyDescent="0.2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</row>
    <row r="944" spans="1:30" ht="12.75" customHeight="1" x14ac:dyDescent="0.2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</row>
    <row r="945" spans="1:30" ht="12.75" customHeight="1" x14ac:dyDescent="0.2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</row>
    <row r="946" spans="1:30" ht="12.75" customHeight="1" x14ac:dyDescent="0.2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</row>
    <row r="947" spans="1:30" ht="12.75" customHeight="1" x14ac:dyDescent="0.2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</row>
    <row r="948" spans="1:30" ht="12.75" customHeight="1" x14ac:dyDescent="0.2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</row>
    <row r="949" spans="1:30" ht="12.75" customHeight="1" x14ac:dyDescent="0.2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</row>
    <row r="950" spans="1:30" ht="12.75" customHeight="1" x14ac:dyDescent="0.2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</row>
    <row r="951" spans="1:30" ht="12.75" customHeight="1" x14ac:dyDescent="0.2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</row>
    <row r="952" spans="1:30" ht="12.75" customHeight="1" x14ac:dyDescent="0.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</row>
    <row r="953" spans="1:30" ht="12.75" customHeight="1" x14ac:dyDescent="0.2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</row>
    <row r="954" spans="1:30" ht="12.75" customHeight="1" x14ac:dyDescent="0.2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</row>
    <row r="955" spans="1:30" ht="12.75" customHeight="1" x14ac:dyDescent="0.2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</row>
    <row r="956" spans="1:30" ht="12.75" customHeight="1" x14ac:dyDescent="0.2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</row>
    <row r="957" spans="1:30" ht="12.75" customHeight="1" x14ac:dyDescent="0.2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</row>
    <row r="958" spans="1:30" ht="12.75" customHeight="1" x14ac:dyDescent="0.2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</row>
    <row r="959" spans="1:30" ht="12.75" customHeight="1" x14ac:dyDescent="0.2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</row>
    <row r="960" spans="1:30" ht="12.75" customHeight="1" x14ac:dyDescent="0.2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</row>
    <row r="961" spans="1:30" ht="12.75" customHeight="1" x14ac:dyDescent="0.2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</row>
    <row r="962" spans="1:30" ht="12.75" customHeight="1" x14ac:dyDescent="0.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</row>
    <row r="963" spans="1:30" ht="12.75" customHeight="1" x14ac:dyDescent="0.2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</row>
    <row r="964" spans="1:30" ht="12.75" customHeight="1" x14ac:dyDescent="0.2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</row>
    <row r="965" spans="1:30" ht="12.75" customHeight="1" x14ac:dyDescent="0.2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</row>
    <row r="966" spans="1:30" ht="12.75" customHeight="1" x14ac:dyDescent="0.2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</row>
    <row r="967" spans="1:30" ht="12.75" customHeight="1" x14ac:dyDescent="0.2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</row>
    <row r="968" spans="1:30" ht="12.75" customHeight="1" x14ac:dyDescent="0.2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</row>
    <row r="969" spans="1:30" ht="12.75" customHeight="1" x14ac:dyDescent="0.2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</row>
    <row r="970" spans="1:30" ht="12.75" customHeight="1" x14ac:dyDescent="0.2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</row>
    <row r="971" spans="1:30" ht="12.75" customHeight="1" x14ac:dyDescent="0.2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</row>
    <row r="972" spans="1:30" ht="12.75" customHeight="1" x14ac:dyDescent="0.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</row>
    <row r="973" spans="1:30" ht="12.75" customHeight="1" x14ac:dyDescent="0.2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</row>
    <row r="974" spans="1:30" ht="12.75" customHeight="1" x14ac:dyDescent="0.2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</row>
    <row r="975" spans="1:30" ht="12.75" customHeight="1" x14ac:dyDescent="0.2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</row>
    <row r="976" spans="1:30" ht="12.75" customHeight="1" x14ac:dyDescent="0.2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</row>
    <row r="977" spans="1:30" ht="12.75" customHeight="1" x14ac:dyDescent="0.2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</row>
    <row r="978" spans="1:30" ht="12.75" customHeight="1" x14ac:dyDescent="0.2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</row>
    <row r="979" spans="1:30" ht="12.75" customHeight="1" x14ac:dyDescent="0.2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</row>
    <row r="980" spans="1:30" ht="12.75" customHeight="1" x14ac:dyDescent="0.2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</row>
    <row r="981" spans="1:30" ht="12.75" customHeight="1" x14ac:dyDescent="0.2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</row>
    <row r="982" spans="1:30" ht="12.75" customHeight="1" x14ac:dyDescent="0.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</row>
    <row r="983" spans="1:30" ht="12.75" customHeight="1" x14ac:dyDescent="0.2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</row>
    <row r="984" spans="1:30" ht="12.75" customHeight="1" x14ac:dyDescent="0.2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</row>
    <row r="985" spans="1:30" ht="12.75" customHeight="1" x14ac:dyDescent="0.2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</row>
    <row r="986" spans="1:30" ht="12.75" customHeight="1" x14ac:dyDescent="0.2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</row>
    <row r="987" spans="1:30" ht="12.75" customHeight="1" x14ac:dyDescent="0.2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</row>
    <row r="988" spans="1:30" ht="12.75" customHeight="1" x14ac:dyDescent="0.2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</row>
    <row r="989" spans="1:30" ht="12.75" customHeight="1" x14ac:dyDescent="0.2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</row>
    <row r="990" spans="1:30" ht="12.75" customHeight="1" x14ac:dyDescent="0.2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</row>
    <row r="991" spans="1:30" ht="12.75" customHeight="1" x14ac:dyDescent="0.2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</row>
    <row r="992" spans="1:30" ht="12.75" customHeight="1" x14ac:dyDescent="0.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</row>
    <row r="993" spans="1:30" ht="12.75" customHeight="1" x14ac:dyDescent="0.2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</row>
    <row r="994" spans="1:30" ht="12.75" customHeight="1" x14ac:dyDescent="0.2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</row>
    <row r="995" spans="1:30" ht="12.75" customHeight="1" x14ac:dyDescent="0.2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</row>
    <row r="996" spans="1:30" ht="12.75" customHeight="1" x14ac:dyDescent="0.2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</row>
    <row r="997" spans="1:30" ht="12.75" customHeight="1" x14ac:dyDescent="0.2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</row>
    <row r="998" spans="1:30" ht="12.75" customHeight="1" x14ac:dyDescent="0.2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</row>
    <row r="999" spans="1:30" ht="12.75" customHeight="1" x14ac:dyDescent="0.2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</row>
    <row r="1000" spans="1:30" ht="12.75" customHeight="1" x14ac:dyDescent="0.2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</row>
  </sheetData>
  <mergeCells count="2">
    <mergeCell ref="E4:J6"/>
    <mergeCell ref="K26:O26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CDAF7-7BC3-3940-9253-DAE593F1E237}">
  <sheetPr>
    <tabColor rgb="FF00B050"/>
  </sheetPr>
  <dimension ref="A1:AF1000"/>
  <sheetViews>
    <sheetView showGridLines="0" tabSelected="1" workbookViewId="0">
      <pane xSplit="2" ySplit="9" topLeftCell="C45" activePane="bottomRight" state="frozen"/>
      <selection pane="topRight" activeCell="C1" sqref="C1"/>
      <selection pane="bottomLeft" activeCell="A10" sqref="A10"/>
      <selection pane="bottomRight" activeCell="E55" sqref="E55"/>
    </sheetView>
  </sheetViews>
  <sheetFormatPr baseColWidth="10" defaultColWidth="14.3984375" defaultRowHeight="15" customHeight="1" x14ac:dyDescent="0.2"/>
  <cols>
    <col min="1" max="1" width="9.19921875" hidden="1" customWidth="1"/>
    <col min="2" max="2" width="8.19921875" customWidth="1"/>
    <col min="3" max="3" width="2.796875" customWidth="1"/>
    <col min="4" max="4" width="55" customWidth="1"/>
    <col min="5" max="10" width="21.796875" customWidth="1"/>
    <col min="11" max="11" width="38" customWidth="1"/>
    <col min="12" max="30" width="9.19921875" customWidth="1"/>
  </cols>
  <sheetData>
    <row r="1" spans="1:31" ht="22.5" customHeight="1" x14ac:dyDescent="0.25">
      <c r="A1" s="1"/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2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1" ht="22.5" customHeight="1" thickBot="1" x14ac:dyDescent="0.3">
      <c r="A2" s="4"/>
      <c r="B2" s="5"/>
      <c r="C2" s="6" t="s"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4"/>
      <c r="P2" s="5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spans="1:31" ht="22.5" customHeight="1" x14ac:dyDescent="0.25">
      <c r="A3" s="7"/>
      <c r="B3" s="8"/>
      <c r="C3" s="9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7"/>
      <c r="P3" s="8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</row>
    <row r="4" spans="1:31" ht="12.75" customHeight="1" x14ac:dyDescent="0.2">
      <c r="A4" s="7"/>
      <c r="B4" s="7"/>
      <c r="C4" s="7"/>
      <c r="D4" s="7"/>
      <c r="E4" s="78" t="s">
        <v>1</v>
      </c>
      <c r="F4" s="79"/>
      <c r="G4" s="79"/>
      <c r="H4" s="79"/>
      <c r="I4" s="79"/>
      <c r="J4" s="80"/>
      <c r="K4" s="7"/>
      <c r="L4" s="76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</row>
    <row r="5" spans="1:31" ht="12.75" customHeight="1" x14ac:dyDescent="0.2">
      <c r="A5" s="7"/>
      <c r="B5" s="7"/>
      <c r="C5" s="7"/>
      <c r="D5" s="7" t="s">
        <v>44</v>
      </c>
      <c r="E5" s="81"/>
      <c r="F5" s="82"/>
      <c r="G5" s="82"/>
      <c r="H5" s="82"/>
      <c r="I5" s="82"/>
      <c r="J5" s="83"/>
      <c r="K5" s="7"/>
      <c r="L5" s="76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</row>
    <row r="6" spans="1:31" ht="12.75" customHeight="1" x14ac:dyDescent="0.2">
      <c r="A6" s="7"/>
      <c r="B6" s="7"/>
      <c r="C6" s="7"/>
      <c r="D6" s="7"/>
      <c r="E6" s="84"/>
      <c r="F6" s="85"/>
      <c r="G6" s="85"/>
      <c r="H6" s="85"/>
      <c r="I6" s="85"/>
      <c r="J6" s="86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</row>
    <row r="7" spans="1:31" ht="12.75" customHeight="1" x14ac:dyDescent="0.2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</row>
    <row r="8" spans="1:31" ht="12.75" customHeight="1" x14ac:dyDescent="0.2">
      <c r="A8" s="7"/>
      <c r="B8" s="7"/>
      <c r="C8" s="7"/>
      <c r="D8" s="7"/>
      <c r="E8" s="10" t="s">
        <v>3</v>
      </c>
      <c r="F8" s="11"/>
      <c r="G8" s="11"/>
      <c r="H8" s="11"/>
      <c r="I8" s="11" t="s">
        <v>4</v>
      </c>
      <c r="J8" s="12" t="s">
        <v>5</v>
      </c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</row>
    <row r="9" spans="1:31" ht="12.75" customHeight="1" x14ac:dyDescent="0.2">
      <c r="A9" s="7"/>
      <c r="B9" s="7"/>
      <c r="C9" s="7"/>
      <c r="D9" s="7"/>
      <c r="E9" s="13">
        <v>2017</v>
      </c>
      <c r="F9" s="14">
        <v>2018</v>
      </c>
      <c r="G9" s="14">
        <v>2019</v>
      </c>
      <c r="H9" s="14">
        <v>2020</v>
      </c>
      <c r="I9" s="15">
        <v>2021</v>
      </c>
      <c r="J9" s="16" t="s">
        <v>6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</row>
    <row r="10" spans="1:31" ht="12.75" customHeight="1" x14ac:dyDescent="0.2">
      <c r="A10" s="7"/>
      <c r="B10" s="7"/>
      <c r="C10" s="17" t="s">
        <v>7</v>
      </c>
      <c r="D10" s="18"/>
      <c r="E10" s="19"/>
      <c r="F10" s="20"/>
      <c r="G10" s="20"/>
      <c r="H10" s="20"/>
      <c r="I10" s="20"/>
      <c r="J10" s="21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</row>
    <row r="11" spans="1:31" ht="12.75" customHeight="1" x14ac:dyDescent="0.2">
      <c r="A11" s="7"/>
      <c r="B11" s="7"/>
      <c r="C11" s="22"/>
      <c r="D11" s="23" t="s">
        <v>8</v>
      </c>
      <c r="E11" s="24">
        <f>E12+E15+E17</f>
        <v>4.5638772590562233</v>
      </c>
      <c r="F11" s="24">
        <f t="shared" ref="F11:I11" si="0">F12+F15+F17</f>
        <v>4.818184249842802</v>
      </c>
      <c r="G11" s="24">
        <f t="shared" si="0"/>
        <v>8.1284838193464388</v>
      </c>
      <c r="H11" s="24">
        <f>H12+H15+H17</f>
        <v>8.7479542457661061</v>
      </c>
      <c r="I11" s="24">
        <f t="shared" si="0"/>
        <v>9.6144222741652499</v>
      </c>
      <c r="J11" s="25">
        <f>I11-E11</f>
        <v>5.0505450151090265</v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</row>
    <row r="12" spans="1:31" ht="12.75" customHeight="1" x14ac:dyDescent="0.2">
      <c r="A12" s="7"/>
      <c r="B12" s="7"/>
      <c r="C12" s="22"/>
      <c r="D12" s="23" t="s">
        <v>9</v>
      </c>
      <c r="E12" s="24">
        <f>E13-E14</f>
        <v>1.8999999999999986</v>
      </c>
      <c r="F12" s="24">
        <f t="shared" ref="F12:I12" si="1">F13-F14</f>
        <v>1.6999999999999957</v>
      </c>
      <c r="G12" s="24">
        <f t="shared" si="1"/>
        <v>3.9000000000000057</v>
      </c>
      <c r="H12" s="24">
        <f t="shared" si="1"/>
        <v>4.1999999999999957</v>
      </c>
      <c r="I12" s="24">
        <f t="shared" si="1"/>
        <v>4.2999999999999972</v>
      </c>
      <c r="J12" s="25">
        <f>I12-E12</f>
        <v>2.3999999999999986</v>
      </c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</row>
    <row r="13" spans="1:31" ht="12.75" customHeight="1" x14ac:dyDescent="0.2">
      <c r="A13" s="7"/>
      <c r="B13" s="7"/>
      <c r="C13" s="22"/>
      <c r="D13" s="23" t="s">
        <v>10</v>
      </c>
      <c r="E13" s="26">
        <v>43.9</v>
      </c>
      <c r="F13" s="26">
        <v>45.9</v>
      </c>
      <c r="G13" s="26">
        <v>48.2</v>
      </c>
      <c r="H13" s="26">
        <v>44.3</v>
      </c>
      <c r="I13" s="26">
        <v>47.3</v>
      </c>
      <c r="J13" s="25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</row>
    <row r="14" spans="1:31" ht="12.75" customHeight="1" x14ac:dyDescent="0.2">
      <c r="A14" s="7"/>
      <c r="B14" s="7"/>
      <c r="C14" s="22"/>
      <c r="D14" s="27" t="s">
        <v>11</v>
      </c>
      <c r="E14" s="28">
        <v>42</v>
      </c>
      <c r="F14" s="28">
        <v>44.2</v>
      </c>
      <c r="G14" s="28">
        <v>44.3</v>
      </c>
      <c r="H14" s="28">
        <v>40.1</v>
      </c>
      <c r="I14" s="28">
        <v>43</v>
      </c>
      <c r="J14" s="26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</row>
    <row r="15" spans="1:31" ht="12.75" customHeight="1" x14ac:dyDescent="0.2">
      <c r="A15" s="7"/>
      <c r="B15" s="7"/>
      <c r="C15" s="22"/>
      <c r="D15" s="23" t="s">
        <v>12</v>
      </c>
      <c r="E15" s="26">
        <v>1.41</v>
      </c>
      <c r="F15" s="26">
        <v>1.81</v>
      </c>
      <c r="G15" s="26">
        <v>2.91</v>
      </c>
      <c r="H15" s="26">
        <v>3.52</v>
      </c>
      <c r="I15" s="26">
        <v>4.1100000000000003</v>
      </c>
      <c r="J15" s="26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</row>
    <row r="16" spans="1:31" ht="12.75" customHeight="1" x14ac:dyDescent="0.2">
      <c r="A16" s="7"/>
      <c r="B16" s="7"/>
      <c r="C16" s="22"/>
      <c r="D16" s="27" t="s">
        <v>13</v>
      </c>
      <c r="E16" s="26">
        <v>1.1728296063504762</v>
      </c>
      <c r="F16" s="26">
        <v>1.3347100189995176</v>
      </c>
      <c r="G16" s="26">
        <v>1.2252471949715324</v>
      </c>
      <c r="H16" s="26">
        <v>0.97776399962950578</v>
      </c>
      <c r="I16" s="26">
        <v>1.117047825618958</v>
      </c>
      <c r="J16" s="29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</row>
    <row r="17" spans="1:32" ht="12.75" customHeight="1" x14ac:dyDescent="0.2">
      <c r="A17" s="7"/>
      <c r="B17" s="7"/>
      <c r="C17" s="22"/>
      <c r="D17" s="27" t="s">
        <v>14</v>
      </c>
      <c r="E17" s="26">
        <v>1.2538772590562244</v>
      </c>
      <c r="F17" s="26">
        <v>1.308184249842806</v>
      </c>
      <c r="G17" s="26">
        <v>1.3184838193464334</v>
      </c>
      <c r="H17" s="26">
        <v>1.0279542457661102</v>
      </c>
      <c r="I17" s="26">
        <v>1.2044222741652535</v>
      </c>
      <c r="J17" s="25">
        <f>I17-E17</f>
        <v>-4.9454984890970888E-2</v>
      </c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D17" s="7"/>
      <c r="AF17" s="7"/>
    </row>
    <row r="18" spans="1:32" ht="12.75" customHeight="1" x14ac:dyDescent="0.2">
      <c r="A18" s="7"/>
      <c r="B18" s="7"/>
      <c r="C18" s="22"/>
      <c r="D18" s="23"/>
      <c r="E18" s="31"/>
      <c r="F18" s="32"/>
      <c r="G18" s="32"/>
      <c r="H18" s="32"/>
      <c r="I18" s="32"/>
      <c r="J18" s="33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2.75" customHeight="1" x14ac:dyDescent="0.2">
      <c r="A19" s="7"/>
      <c r="B19" s="7"/>
      <c r="C19" s="34"/>
      <c r="D19" s="35" t="s">
        <v>15</v>
      </c>
      <c r="E19" s="26">
        <v>0.13317555293117364</v>
      </c>
      <c r="F19" s="26">
        <v>0.12501136542342139</v>
      </c>
      <c r="G19" s="26">
        <v>0.35955121612614627</v>
      </c>
      <c r="H19" s="26">
        <v>0.13995170445582078</v>
      </c>
      <c r="I19" s="26">
        <v>0.18980096577628949</v>
      </c>
      <c r="J19" s="36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spans="1:32" ht="12.75" customHeight="1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2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2.75" customHeight="1" x14ac:dyDescent="0.2">
      <c r="A22" s="7"/>
      <c r="B22" s="7"/>
      <c r="C22" s="17" t="s">
        <v>16</v>
      </c>
      <c r="D22" s="18"/>
      <c r="E22" s="37"/>
      <c r="F22" s="38"/>
      <c r="G22" s="38"/>
      <c r="H22" s="38"/>
      <c r="I22" s="38"/>
      <c r="J22" s="39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</row>
    <row r="23" spans="1:32" ht="12.75" customHeight="1" x14ac:dyDescent="0.2">
      <c r="A23" s="7"/>
      <c r="B23" s="7"/>
      <c r="C23" s="22"/>
      <c r="D23" s="23" t="s">
        <v>17</v>
      </c>
      <c r="E23" s="26">
        <v>26.9</v>
      </c>
      <c r="F23" s="26">
        <v>27.2</v>
      </c>
      <c r="G23" s="26">
        <v>29.4</v>
      </c>
      <c r="H23" s="26">
        <v>30</v>
      </c>
      <c r="I23" s="26">
        <v>31.9</v>
      </c>
      <c r="J23" s="30">
        <v>5.0999999999999996</v>
      </c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32" ht="12.75" customHeight="1" x14ac:dyDescent="0.2">
      <c r="A24" s="7"/>
      <c r="B24" s="7"/>
      <c r="C24" s="34"/>
      <c r="D24" s="40" t="s">
        <v>18</v>
      </c>
      <c r="E24" s="88">
        <v>24.51</v>
      </c>
      <c r="F24" s="89">
        <v>24.535</v>
      </c>
      <c r="G24" s="89">
        <v>23.727499999999999</v>
      </c>
      <c r="H24" s="89">
        <v>24.48</v>
      </c>
      <c r="I24" s="89">
        <v>24.965</v>
      </c>
      <c r="J24" s="43">
        <v>10</v>
      </c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</row>
    <row r="25" spans="1:32" ht="12.75" customHeight="1" x14ac:dyDescent="0.2">
      <c r="A25" s="7"/>
      <c r="B25" s="7"/>
      <c r="C25" s="7"/>
      <c r="D25" s="7"/>
      <c r="E25" s="44"/>
      <c r="F25" s="44"/>
      <c r="G25" s="44"/>
      <c r="H25" s="44"/>
      <c r="I25" s="44"/>
      <c r="J25" s="44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B25" s="7"/>
      <c r="AC25" s="7"/>
      <c r="AD25" s="7"/>
      <c r="AE25" s="7"/>
      <c r="AF25" s="7"/>
    </row>
    <row r="26" spans="1:32" ht="12.75" customHeight="1" x14ac:dyDescent="0.2">
      <c r="A26" s="7"/>
      <c r="B26" s="7"/>
      <c r="C26" s="17" t="s">
        <v>19</v>
      </c>
      <c r="D26" s="18"/>
      <c r="E26" s="45"/>
      <c r="F26" s="46"/>
      <c r="G26" s="46"/>
      <c r="H26" s="46"/>
      <c r="I26" s="46"/>
      <c r="J26" s="47"/>
      <c r="K26" s="87"/>
      <c r="L26" s="82"/>
      <c r="M26" s="82"/>
      <c r="N26" s="82"/>
      <c r="O26" s="82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</row>
    <row r="27" spans="1:32" ht="12.75" customHeight="1" x14ac:dyDescent="0.2">
      <c r="A27" s="7"/>
      <c r="B27" s="7"/>
      <c r="C27" s="22"/>
      <c r="D27" s="27" t="s">
        <v>20</v>
      </c>
      <c r="E27" s="31">
        <v>0.5</v>
      </c>
      <c r="F27" s="44">
        <v>0.8</v>
      </c>
      <c r="G27" s="44">
        <v>1</v>
      </c>
      <c r="H27" s="44">
        <v>-0.5</v>
      </c>
      <c r="I27" s="44">
        <v>1.5</v>
      </c>
      <c r="J27" s="25">
        <f t="shared" ref="J27:J28" si="2">I27-E27</f>
        <v>1</v>
      </c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ht="12.75" customHeight="1" x14ac:dyDescent="0.2">
      <c r="A28" s="7"/>
      <c r="B28" s="7"/>
      <c r="C28" s="34"/>
      <c r="D28" s="35" t="s">
        <v>21</v>
      </c>
      <c r="E28" s="48">
        <f>E23-E24-E27</f>
        <v>1.889999999999997</v>
      </c>
      <c r="F28" s="48">
        <f t="shared" ref="F28:I28" si="3">F23-F24-F27</f>
        <v>1.8649999999999991</v>
      </c>
      <c r="G28" s="48">
        <f t="shared" si="3"/>
        <v>4.6724999999999994</v>
      </c>
      <c r="H28" s="48">
        <f>H23-H24-H27</f>
        <v>6.02</v>
      </c>
      <c r="I28" s="48">
        <f t="shared" si="3"/>
        <v>5.4349999999999987</v>
      </c>
      <c r="J28" s="49">
        <f t="shared" si="2"/>
        <v>3.5450000000000017</v>
      </c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</row>
    <row r="29" spans="1:32" ht="12.75" customHeight="1" x14ac:dyDescent="0.2">
      <c r="A29" s="7"/>
      <c r="B29" s="7"/>
      <c r="C29" s="7"/>
      <c r="D29" s="7"/>
      <c r="E29" s="44"/>
      <c r="F29" s="44"/>
      <c r="G29" s="44"/>
      <c r="H29" s="44"/>
      <c r="I29" s="44"/>
      <c r="J29" s="32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</row>
    <row r="30" spans="1:32" ht="12.75" customHeight="1" x14ac:dyDescent="0.2">
      <c r="A30" s="7"/>
      <c r="B30" s="7"/>
      <c r="C30" s="17" t="s">
        <v>22</v>
      </c>
      <c r="D30" s="18"/>
      <c r="E30" s="50"/>
      <c r="F30" s="51"/>
      <c r="G30" s="51"/>
      <c r="H30" s="51"/>
      <c r="I30" s="51"/>
      <c r="J30" s="52" t="s">
        <v>23</v>
      </c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</row>
    <row r="31" spans="1:32" ht="12.75" customHeight="1" x14ac:dyDescent="0.2">
      <c r="A31" s="7"/>
      <c r="B31" s="7"/>
      <c r="C31" s="22"/>
      <c r="D31" s="23" t="s">
        <v>24</v>
      </c>
      <c r="E31" s="53">
        <v>109.21064</v>
      </c>
      <c r="F31" s="54">
        <v>118.52892</v>
      </c>
      <c r="G31" s="54">
        <v>114.67796</v>
      </c>
      <c r="H31" s="54">
        <v>111.04971</v>
      </c>
      <c r="I31" s="54">
        <v>135.50172000000001</v>
      </c>
      <c r="J31" s="25">
        <f t="shared" ref="J31:J32" si="4">I31-E31</f>
        <v>26.291080000000008</v>
      </c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</row>
    <row r="32" spans="1:32" ht="12.75" customHeight="1" x14ac:dyDescent="0.2">
      <c r="A32" s="7"/>
      <c r="B32" s="7"/>
      <c r="C32" s="22"/>
      <c r="D32" s="23" t="s">
        <v>25</v>
      </c>
      <c r="E32" s="31">
        <v>94</v>
      </c>
      <c r="F32" s="44">
        <v>102.875</v>
      </c>
      <c r="G32" s="44">
        <v>105.5</v>
      </c>
      <c r="H32" s="44">
        <v>100</v>
      </c>
      <c r="I32" s="44">
        <v>108.1</v>
      </c>
      <c r="J32" s="25">
        <f t="shared" si="4"/>
        <v>14.099999999999994</v>
      </c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</row>
    <row r="33" spans="1:30" ht="12.75" customHeight="1" x14ac:dyDescent="0.2">
      <c r="A33" s="7"/>
      <c r="B33" s="7"/>
      <c r="C33" s="22"/>
      <c r="D33" s="23" t="s">
        <v>26</v>
      </c>
      <c r="E33" s="24">
        <f>E31/E32*100</f>
        <v>116.18153191489363</v>
      </c>
      <c r="F33" s="24">
        <f t="shared" ref="F33:H33" si="5">F31/F32*100</f>
        <v>115.21644714459296</v>
      </c>
      <c r="G33" s="24">
        <f t="shared" si="5"/>
        <v>108.69948815165877</v>
      </c>
      <c r="H33" s="24">
        <f t="shared" si="5"/>
        <v>111.04971000000002</v>
      </c>
      <c r="I33" s="24">
        <f>I31/I32*100</f>
        <v>125.34849213691028</v>
      </c>
      <c r="J33" s="25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</row>
    <row r="34" spans="1:30" ht="12.75" customHeight="1" x14ac:dyDescent="0.2">
      <c r="A34" s="7"/>
      <c r="B34" s="7"/>
      <c r="C34" s="22"/>
      <c r="D34" s="23" t="s">
        <v>27</v>
      </c>
      <c r="E34" s="55"/>
      <c r="F34" s="7"/>
      <c r="G34" s="7"/>
      <c r="H34" s="7"/>
      <c r="I34" s="7"/>
      <c r="J34" s="21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</row>
    <row r="35" spans="1:30" ht="12.75" customHeight="1" x14ac:dyDescent="0.2">
      <c r="A35" s="7"/>
      <c r="B35" s="7"/>
      <c r="C35" s="22"/>
      <c r="D35" s="23" t="s">
        <v>28</v>
      </c>
      <c r="E35" s="31"/>
      <c r="F35" s="44"/>
      <c r="G35" s="44"/>
      <c r="H35" s="44"/>
      <c r="I35" s="44"/>
      <c r="J35" s="56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</row>
    <row r="36" spans="1:30" ht="12.75" customHeight="1" x14ac:dyDescent="0.2">
      <c r="A36" s="7"/>
      <c r="B36" s="7"/>
      <c r="C36" s="22"/>
      <c r="D36" s="23" t="s">
        <v>29</v>
      </c>
      <c r="E36" s="31"/>
      <c r="F36" s="44"/>
      <c r="G36" s="44"/>
      <c r="H36" s="44"/>
      <c r="I36" s="44"/>
      <c r="J36" s="56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</row>
    <row r="37" spans="1:30" ht="12.75" customHeight="1" x14ac:dyDescent="0.2">
      <c r="A37" s="7"/>
      <c r="B37" s="7"/>
      <c r="C37" s="34"/>
      <c r="D37" s="35" t="s">
        <v>30</v>
      </c>
      <c r="E37" s="41"/>
      <c r="F37" s="42"/>
      <c r="G37" s="42"/>
      <c r="H37" s="42"/>
      <c r="I37" s="42"/>
      <c r="J37" s="5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</row>
    <row r="38" spans="1:30" ht="12.75" customHeight="1" x14ac:dyDescent="0.2">
      <c r="A38" s="7"/>
      <c r="B38" s="7"/>
      <c r="C38" s="7"/>
      <c r="D38" s="7"/>
      <c r="E38" s="7"/>
      <c r="F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</row>
    <row r="39" spans="1:30" ht="12.75" customHeight="1" x14ac:dyDescent="0.2">
      <c r="A39" s="7"/>
      <c r="B39" s="7"/>
      <c r="C39" s="17"/>
      <c r="D39" s="58" t="s">
        <v>31</v>
      </c>
      <c r="E39" s="28">
        <v>31</v>
      </c>
      <c r="F39" s="77">
        <v>32.767248255371165</v>
      </c>
      <c r="G39" s="77">
        <v>33.668134189142862</v>
      </c>
      <c r="H39" s="77">
        <v>31.674445347316301</v>
      </c>
      <c r="I39" s="77">
        <v>33.545319047064339</v>
      </c>
      <c r="J39" s="60">
        <f t="shared" ref="J39:J40" si="6">I39-E39</f>
        <v>2.5453190470643392</v>
      </c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</row>
    <row r="40" spans="1:30" ht="12.75" customHeight="1" x14ac:dyDescent="0.2">
      <c r="A40" s="7"/>
      <c r="B40" s="7"/>
      <c r="C40" s="34"/>
      <c r="D40" s="35" t="s">
        <v>32</v>
      </c>
      <c r="E40" s="77">
        <v>28.5286749854065</v>
      </c>
      <c r="F40" s="77">
        <v>30.386446513942726</v>
      </c>
      <c r="G40" s="77">
        <v>29.420502971957397</v>
      </c>
      <c r="H40" s="77">
        <v>26.93158745085108</v>
      </c>
      <c r="I40" s="77">
        <v>28.753034314687831</v>
      </c>
      <c r="J40" s="60">
        <f t="shared" si="6"/>
        <v>0.22435932928133084</v>
      </c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</row>
    <row r="41" spans="1:30" ht="12.75" customHeight="1" x14ac:dyDescent="0.2">
      <c r="A41" s="61"/>
      <c r="B41" s="61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</row>
    <row r="42" spans="1:30" ht="12.75" customHeight="1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</row>
    <row r="43" spans="1:30" ht="12.75" customHeight="1" x14ac:dyDescent="0.2">
      <c r="A43" s="7"/>
      <c r="B43" s="7"/>
      <c r="C43" s="62" t="s">
        <v>33</v>
      </c>
      <c r="D43" s="63"/>
      <c r="E43" s="64">
        <f>E11+E19</f>
        <v>4.6970528119873967</v>
      </c>
      <c r="F43" s="64">
        <f t="shared" ref="F43:I43" si="7">F11+F19</f>
        <v>4.9431956152662231</v>
      </c>
      <c r="G43" s="64">
        <f t="shared" si="7"/>
        <v>8.4880350354725849</v>
      </c>
      <c r="H43" s="64">
        <f t="shared" si="7"/>
        <v>8.8879059502219278</v>
      </c>
      <c r="I43" s="64">
        <f t="shared" si="7"/>
        <v>9.804223239941539</v>
      </c>
      <c r="J43" s="65">
        <f>I43-E42</f>
        <v>9.804223239941539</v>
      </c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</row>
    <row r="44" spans="1:30" ht="12.75" customHeight="1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</row>
    <row r="45" spans="1:30" ht="12.75" customHeight="1" x14ac:dyDescent="0.2">
      <c r="A45" s="7"/>
      <c r="B45" s="7"/>
      <c r="C45" s="17" t="s">
        <v>34</v>
      </c>
      <c r="D45" s="18"/>
      <c r="E45" s="50"/>
      <c r="F45" s="51"/>
      <c r="G45" s="51"/>
      <c r="H45" s="51"/>
      <c r="I45" s="51"/>
      <c r="J45" s="66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</row>
    <row r="46" spans="1:30" ht="12.75" customHeight="1" x14ac:dyDescent="0.2">
      <c r="A46" s="61"/>
      <c r="C46" s="22"/>
      <c r="D46" s="27" t="s">
        <v>35</v>
      </c>
      <c r="E46" s="24">
        <f>E47+E48+E49+E51+E52</f>
        <v>79.88</v>
      </c>
      <c r="F46" s="24">
        <f>F47+F48+F49+F51+F52</f>
        <v>48.978999999999999</v>
      </c>
      <c r="G46" s="24">
        <f t="shared" ref="G46:I46" si="8">G47+G48+G49+G51+G52</f>
        <v>70.760000000000005</v>
      </c>
      <c r="H46" s="24">
        <f t="shared" si="8"/>
        <v>45.11</v>
      </c>
      <c r="I46" s="24">
        <f t="shared" si="8"/>
        <v>109.13799999999999</v>
      </c>
      <c r="J46" s="6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</row>
    <row r="47" spans="1:30" ht="12.75" customHeight="1" x14ac:dyDescent="0.2">
      <c r="A47" s="7"/>
      <c r="C47" s="22"/>
      <c r="D47" s="23" t="s">
        <v>36</v>
      </c>
      <c r="E47" s="26">
        <v>14.31</v>
      </c>
      <c r="F47" s="26">
        <v>14.17</v>
      </c>
      <c r="G47" s="26">
        <v>6.04</v>
      </c>
      <c r="H47" s="26">
        <v>4.07</v>
      </c>
      <c r="I47" s="26">
        <v>8.3000000000000007</v>
      </c>
      <c r="J47" s="67">
        <f>I47-E47</f>
        <v>-6.01</v>
      </c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</row>
    <row r="48" spans="1:30" ht="12.75" customHeight="1" x14ac:dyDescent="0.2">
      <c r="A48" s="7"/>
      <c r="C48" s="22"/>
      <c r="D48" s="23" t="s">
        <v>37</v>
      </c>
      <c r="E48" s="26">
        <v>3.86</v>
      </c>
      <c r="F48" s="26">
        <v>-10.66</v>
      </c>
      <c r="G48" s="26">
        <v>15.03</v>
      </c>
      <c r="H48" s="26">
        <v>-7.29</v>
      </c>
      <c r="I48" s="26">
        <v>66.13</v>
      </c>
      <c r="J48" s="67">
        <f t="shared" ref="J48" si="9">I48-E48</f>
        <v>62.269999999999996</v>
      </c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</row>
    <row r="49" spans="1:30" ht="12.75" customHeight="1" x14ac:dyDescent="0.2">
      <c r="A49" s="7"/>
      <c r="C49" s="22"/>
      <c r="D49" s="23" t="s">
        <v>38</v>
      </c>
      <c r="E49" s="31">
        <v>10.47</v>
      </c>
      <c r="F49" s="44">
        <v>-5.101</v>
      </c>
      <c r="G49" s="44">
        <v>2.34</v>
      </c>
      <c r="H49" s="44">
        <v>-1.88</v>
      </c>
      <c r="I49" s="44">
        <v>-17.431999999999999</v>
      </c>
      <c r="J49" s="6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</row>
    <row r="50" spans="1:30" ht="12.75" customHeight="1" x14ac:dyDescent="0.2">
      <c r="A50" s="7"/>
      <c r="B50" s="7"/>
      <c r="C50" s="68"/>
      <c r="D50" s="23" t="s">
        <v>39</v>
      </c>
      <c r="E50" s="31">
        <v>6.81</v>
      </c>
      <c r="F50" s="44">
        <v>16.03</v>
      </c>
      <c r="G50" s="44">
        <v>-19.47</v>
      </c>
      <c r="H50" s="44">
        <v>-4.3499999999999996</v>
      </c>
      <c r="I50" s="44">
        <v>13.42</v>
      </c>
      <c r="J50" s="6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</row>
    <row r="51" spans="1:30" ht="12.75" customHeight="1" x14ac:dyDescent="0.2">
      <c r="A51" s="7"/>
      <c r="B51" s="7"/>
      <c r="C51" s="68"/>
      <c r="D51" s="27" t="s">
        <v>40</v>
      </c>
      <c r="E51" s="31">
        <v>0.14000000000000001</v>
      </c>
      <c r="F51" s="44">
        <v>7.0000000000000007E-2</v>
      </c>
      <c r="G51" s="44">
        <v>-6.75</v>
      </c>
      <c r="H51" s="44">
        <v>-0.59</v>
      </c>
      <c r="I51" s="44">
        <v>6.24</v>
      </c>
      <c r="J51" s="6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</row>
    <row r="52" spans="1:30" ht="12.75" customHeight="1" x14ac:dyDescent="0.2">
      <c r="A52" s="7"/>
      <c r="B52" s="7"/>
      <c r="C52" s="69"/>
      <c r="D52" s="40" t="s">
        <v>41</v>
      </c>
      <c r="E52" s="26">
        <v>51.1</v>
      </c>
      <c r="F52" s="26">
        <v>50.5</v>
      </c>
      <c r="G52" s="26">
        <v>54.1</v>
      </c>
      <c r="H52" s="26">
        <v>50.8</v>
      </c>
      <c r="I52" s="26">
        <v>45.9</v>
      </c>
      <c r="J52" s="70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</row>
    <row r="53" spans="1:30" ht="12.75" customHeight="1" x14ac:dyDescent="0.2">
      <c r="A53" s="7"/>
      <c r="B53" s="7"/>
      <c r="D53" s="7"/>
      <c r="J53" s="32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</row>
    <row r="54" spans="1:30" ht="12.75" customHeight="1" x14ac:dyDescent="0.2">
      <c r="A54" s="7"/>
      <c r="B54" s="7"/>
      <c r="C54" s="71"/>
      <c r="D54" s="63" t="s">
        <v>42</v>
      </c>
      <c r="E54" s="72">
        <f>-(E43-E46-E51)</f>
        <v>75.322947188012606</v>
      </c>
      <c r="F54" s="73">
        <f t="shared" ref="F54:I54" si="10">-(F43-F46-F51)</f>
        <v>44.10580438473378</v>
      </c>
      <c r="G54" s="73">
        <f t="shared" si="10"/>
        <v>55.52196496452742</v>
      </c>
      <c r="H54" s="73">
        <f t="shared" si="10"/>
        <v>35.632094049778068</v>
      </c>
      <c r="I54" s="73">
        <f t="shared" si="10"/>
        <v>105.57377676005845</v>
      </c>
      <c r="J54" s="74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</row>
    <row r="55" spans="1:30" ht="12.75" customHeight="1" x14ac:dyDescent="0.2">
      <c r="A55" s="7"/>
      <c r="B55" s="7"/>
      <c r="C55" s="7"/>
      <c r="D55" s="7"/>
      <c r="E55" s="75" t="s">
        <v>43</v>
      </c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</row>
    <row r="56" spans="1:30" ht="12.75" customHeight="1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</row>
    <row r="57" spans="1:30" ht="12.75" customHeight="1" x14ac:dyDescent="0.2">
      <c r="A57" s="7"/>
      <c r="C57" s="7"/>
      <c r="D57" s="7"/>
      <c r="E57" s="7"/>
      <c r="F57" s="7"/>
      <c r="G57" s="7"/>
      <c r="H57" s="7"/>
      <c r="I57" s="7"/>
      <c r="J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</row>
    <row r="58" spans="1:30" ht="12.75" customHeight="1" x14ac:dyDescent="0.2">
      <c r="A58" s="7"/>
      <c r="C58" s="7"/>
      <c r="D58" s="7"/>
      <c r="E58" s="7"/>
      <c r="F58" s="7"/>
      <c r="G58" s="7"/>
      <c r="H58" s="7"/>
      <c r="I58" s="7"/>
      <c r="J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</row>
    <row r="59" spans="1:30" ht="12.75" customHeight="1" x14ac:dyDescent="0.2">
      <c r="A59" s="7"/>
      <c r="C59" s="7"/>
      <c r="D59" s="7"/>
      <c r="E59" s="7"/>
      <c r="F59" s="7"/>
      <c r="G59" s="7"/>
      <c r="H59" s="7"/>
      <c r="I59" s="7"/>
      <c r="J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</row>
    <row r="60" spans="1:30" ht="12.75" customHeight="1" x14ac:dyDescent="0.2">
      <c r="A60" s="7"/>
      <c r="C60" s="7"/>
      <c r="D60" s="7"/>
      <c r="E60" s="7"/>
      <c r="F60" s="7"/>
      <c r="G60" s="7"/>
      <c r="H60" s="7"/>
      <c r="I60" s="7"/>
      <c r="J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</row>
    <row r="61" spans="1:30" ht="12.75" customHeight="1" x14ac:dyDescent="0.2">
      <c r="A61" s="7"/>
      <c r="C61" s="7"/>
      <c r="D61" s="7"/>
      <c r="E61" s="7"/>
      <c r="F61" s="7"/>
      <c r="G61" s="7"/>
      <c r="H61" s="7"/>
      <c r="I61" s="7"/>
      <c r="J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</row>
    <row r="62" spans="1:30" ht="12.75" customHeight="1" x14ac:dyDescent="0.2">
      <c r="A62" s="7"/>
      <c r="C62" s="7"/>
      <c r="D62" s="7"/>
      <c r="E62" s="7"/>
      <c r="F62" s="7"/>
      <c r="G62" s="7"/>
      <c r="H62" s="7"/>
      <c r="I62" s="7"/>
      <c r="J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</row>
    <row r="63" spans="1:30" ht="12.75" customHeight="1" x14ac:dyDescent="0.2">
      <c r="A63" s="7"/>
      <c r="C63" s="7"/>
      <c r="D63" s="7"/>
      <c r="E63" s="7"/>
      <c r="F63" s="7"/>
      <c r="G63" s="7"/>
      <c r="H63" s="7"/>
      <c r="I63" s="7"/>
      <c r="J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</row>
    <row r="64" spans="1:30" ht="12.75" customHeight="1" x14ac:dyDescent="0.2">
      <c r="A64" s="7"/>
      <c r="C64" s="7"/>
      <c r="D64" s="7"/>
      <c r="E64" s="7"/>
      <c r="F64" s="7"/>
      <c r="G64" s="7"/>
      <c r="H64" s="7"/>
      <c r="I64" s="7"/>
      <c r="J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</row>
    <row r="65" spans="1:30" ht="12.75" customHeight="1" x14ac:dyDescent="0.2">
      <c r="A65" s="7"/>
      <c r="C65" s="7"/>
      <c r="D65" s="7"/>
      <c r="E65" s="7"/>
      <c r="F65" s="7"/>
      <c r="G65" s="7"/>
      <c r="H65" s="7"/>
      <c r="I65" s="7"/>
      <c r="J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</row>
    <row r="66" spans="1:30" ht="12.75" customHeight="1" x14ac:dyDescent="0.2">
      <c r="A66" s="7"/>
      <c r="C66" s="7"/>
      <c r="D66" s="7"/>
      <c r="E66" s="7"/>
      <c r="F66" s="7"/>
      <c r="G66" s="7"/>
      <c r="H66" s="7"/>
      <c r="I66" s="7"/>
      <c r="J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</row>
    <row r="67" spans="1:30" ht="12.75" customHeight="1" x14ac:dyDescent="0.2">
      <c r="A67" s="7"/>
      <c r="C67" s="7"/>
      <c r="D67" s="7"/>
      <c r="E67" s="7"/>
      <c r="F67" s="7"/>
      <c r="G67" s="7"/>
      <c r="H67" s="7"/>
      <c r="I67" s="7"/>
      <c r="J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</row>
    <row r="68" spans="1:30" ht="12.75" customHeight="1" x14ac:dyDescent="0.2">
      <c r="A68" s="7"/>
      <c r="C68" s="7"/>
      <c r="D68" s="7"/>
      <c r="E68" s="7"/>
      <c r="F68" s="7"/>
      <c r="G68" s="7"/>
      <c r="H68" s="7"/>
      <c r="I68" s="7"/>
      <c r="J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</row>
    <row r="69" spans="1:30" ht="12.75" customHeight="1" x14ac:dyDescent="0.2">
      <c r="A69" s="7"/>
      <c r="C69" s="7"/>
      <c r="D69" s="7"/>
      <c r="E69" s="7"/>
      <c r="F69" s="7"/>
      <c r="G69" s="7"/>
      <c r="H69" s="7"/>
      <c r="I69" s="7"/>
      <c r="J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</row>
    <row r="70" spans="1:30" ht="12.75" customHeight="1" x14ac:dyDescent="0.2">
      <c r="A70" s="7"/>
      <c r="C70" s="7"/>
      <c r="D70" s="7"/>
      <c r="E70" s="7"/>
      <c r="F70" s="7"/>
      <c r="G70" s="7"/>
      <c r="H70" s="7"/>
      <c r="I70" s="7"/>
      <c r="J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</row>
    <row r="71" spans="1:30" ht="12.75" customHeight="1" x14ac:dyDescent="0.2">
      <c r="A71" s="7"/>
      <c r="C71" s="7"/>
      <c r="D71" s="7"/>
      <c r="E71" s="7"/>
      <c r="F71" s="7"/>
      <c r="G71" s="7"/>
      <c r="H71" s="7"/>
      <c r="I71" s="7"/>
      <c r="J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</row>
    <row r="72" spans="1:30" ht="12.75" customHeight="1" x14ac:dyDescent="0.2">
      <c r="A72" s="7"/>
      <c r="C72" s="7"/>
      <c r="D72" s="7"/>
      <c r="E72" s="7"/>
      <c r="F72" s="7"/>
      <c r="G72" s="7"/>
      <c r="H72" s="7"/>
      <c r="I72" s="7"/>
      <c r="J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</row>
    <row r="73" spans="1:30" ht="12.75" customHeight="1" x14ac:dyDescent="0.2">
      <c r="A73" s="7"/>
      <c r="C73" s="7"/>
      <c r="D73" s="7"/>
      <c r="E73" s="7"/>
      <c r="F73" s="7"/>
      <c r="G73" s="7"/>
      <c r="H73" s="7"/>
      <c r="I73" s="7"/>
      <c r="J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</row>
    <row r="74" spans="1:30" ht="12.75" customHeight="1" x14ac:dyDescent="0.2">
      <c r="A74" s="7"/>
      <c r="C74" s="7"/>
      <c r="D74" s="7"/>
      <c r="E74" s="7"/>
      <c r="F74" s="7"/>
      <c r="G74" s="7"/>
      <c r="H74" s="7"/>
      <c r="I74" s="7"/>
      <c r="J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</row>
    <row r="75" spans="1:30" ht="12.75" customHeight="1" x14ac:dyDescent="0.2">
      <c r="A75" s="7"/>
      <c r="C75" s="7"/>
      <c r="D75" s="7"/>
      <c r="E75" s="7"/>
      <c r="F75" s="7"/>
      <c r="G75" s="7"/>
      <c r="H75" s="7"/>
      <c r="I75" s="7"/>
      <c r="J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</row>
    <row r="76" spans="1:30" ht="12.75" customHeight="1" x14ac:dyDescent="0.2">
      <c r="A76" s="7"/>
      <c r="C76" s="7"/>
      <c r="D76" s="7"/>
      <c r="E76" s="7"/>
      <c r="F76" s="7"/>
      <c r="G76" s="7"/>
      <c r="H76" s="7"/>
      <c r="I76" s="7"/>
      <c r="J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</row>
    <row r="77" spans="1:30" ht="12.75" customHeight="1" x14ac:dyDescent="0.2">
      <c r="A77" s="7"/>
      <c r="C77" s="7"/>
      <c r="D77" s="7"/>
      <c r="E77" s="7"/>
      <c r="F77" s="7"/>
      <c r="G77" s="7"/>
      <c r="H77" s="7"/>
      <c r="I77" s="7"/>
      <c r="J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</row>
    <row r="78" spans="1:30" ht="12.75" customHeight="1" x14ac:dyDescent="0.2">
      <c r="A78" s="7"/>
      <c r="C78" s="7"/>
      <c r="D78" s="7"/>
      <c r="E78" s="7"/>
      <c r="F78" s="7"/>
      <c r="G78" s="7"/>
      <c r="H78" s="7"/>
      <c r="I78" s="7"/>
      <c r="J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</row>
    <row r="79" spans="1:30" ht="12.75" customHeight="1" x14ac:dyDescent="0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</row>
    <row r="80" spans="1:30" ht="12.75" customHeight="1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</row>
    <row r="81" spans="1:30" ht="12.75" customHeight="1" x14ac:dyDescent="0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</row>
    <row r="82" spans="1:30" ht="12.75" customHeight="1" x14ac:dyDescent="0.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</row>
    <row r="83" spans="1:30" ht="12.75" customHeight="1" x14ac:dyDescent="0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</row>
    <row r="84" spans="1:30" ht="12.75" customHeight="1" x14ac:dyDescent="0.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</row>
    <row r="85" spans="1:30" ht="12.75" customHeight="1" x14ac:dyDescent="0.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</row>
    <row r="86" spans="1:30" ht="12.75" customHeight="1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</row>
    <row r="87" spans="1:30" ht="12.75" customHeight="1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</row>
    <row r="88" spans="1:30" ht="12.75" customHeight="1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</row>
    <row r="89" spans="1:30" ht="12.75" customHeight="1" x14ac:dyDescent="0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</row>
    <row r="90" spans="1:30" ht="12.75" customHeight="1" x14ac:dyDescent="0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</row>
    <row r="91" spans="1:30" ht="12.75" customHeight="1" x14ac:dyDescent="0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</row>
    <row r="92" spans="1:30" ht="12.75" customHeight="1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</row>
    <row r="93" spans="1:30" ht="12.75" customHeight="1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</row>
    <row r="94" spans="1:30" ht="12.75" customHeight="1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</row>
    <row r="95" spans="1:30" ht="12.75" customHeight="1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</row>
    <row r="96" spans="1:30" ht="12.75" customHeight="1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</row>
    <row r="97" spans="1:30" ht="12.75" customHeight="1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</row>
    <row r="98" spans="1:30" ht="12.75" customHeight="1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</row>
    <row r="99" spans="1:30" ht="12.75" customHeight="1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</row>
    <row r="100" spans="1:30" ht="12.75" customHeight="1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</row>
    <row r="101" spans="1:30" ht="12.75" customHeight="1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</row>
    <row r="102" spans="1:30" ht="12.75" customHeight="1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</row>
    <row r="103" spans="1:30" ht="12.75" customHeight="1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</row>
    <row r="104" spans="1:30" ht="12.75" customHeight="1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</row>
    <row r="105" spans="1:30" ht="12.75" customHeight="1" x14ac:dyDescent="0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</row>
    <row r="106" spans="1:30" ht="12.75" customHeight="1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</row>
    <row r="107" spans="1:30" ht="12.75" customHeight="1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</row>
    <row r="108" spans="1:30" ht="12.75" customHeight="1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</row>
    <row r="109" spans="1:30" ht="12.75" customHeight="1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</row>
    <row r="110" spans="1:30" ht="12.75" customHeight="1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</row>
    <row r="111" spans="1:30" ht="12.75" customHeight="1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</row>
    <row r="112" spans="1:30" ht="12.75" customHeight="1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</row>
    <row r="113" spans="1:30" ht="12.75" customHeight="1" x14ac:dyDescent="0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</row>
    <row r="114" spans="1:30" ht="12.75" customHeight="1" x14ac:dyDescent="0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</row>
    <row r="115" spans="1:30" ht="12.75" customHeight="1" x14ac:dyDescent="0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</row>
    <row r="116" spans="1:30" ht="12.75" customHeight="1" x14ac:dyDescent="0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</row>
    <row r="117" spans="1:30" ht="12.75" customHeight="1" x14ac:dyDescent="0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</row>
    <row r="118" spans="1:30" ht="12.75" customHeight="1" x14ac:dyDescent="0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</row>
    <row r="119" spans="1:30" ht="12.75" customHeight="1" x14ac:dyDescent="0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</row>
    <row r="120" spans="1:30" ht="12.75" customHeight="1" x14ac:dyDescent="0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</row>
    <row r="121" spans="1:30" ht="12.75" customHeight="1" x14ac:dyDescent="0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</row>
    <row r="122" spans="1:30" ht="12.75" customHeight="1" x14ac:dyDescent="0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</row>
    <row r="123" spans="1:30" ht="12.75" customHeight="1" x14ac:dyDescent="0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</row>
    <row r="124" spans="1:30" ht="12.75" customHeight="1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</row>
    <row r="125" spans="1:30" ht="12.75" customHeight="1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</row>
    <row r="126" spans="1:30" ht="12.75" customHeight="1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</row>
    <row r="127" spans="1:30" ht="12.75" customHeight="1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</row>
    <row r="128" spans="1:30" ht="12.75" customHeight="1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</row>
    <row r="129" spans="1:30" ht="12.75" customHeight="1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</row>
    <row r="130" spans="1:30" ht="12.75" customHeight="1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</row>
    <row r="131" spans="1:30" ht="12.75" customHeight="1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</row>
    <row r="132" spans="1:30" ht="12.75" customHeight="1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</row>
    <row r="133" spans="1:30" ht="12.75" customHeight="1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</row>
    <row r="134" spans="1:30" ht="12.75" customHeight="1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</row>
    <row r="135" spans="1:30" ht="12.75" customHeight="1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</row>
    <row r="136" spans="1:30" ht="12.75" customHeight="1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</row>
    <row r="137" spans="1:30" ht="12.75" customHeight="1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</row>
    <row r="138" spans="1:30" ht="12.75" customHeight="1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</row>
    <row r="139" spans="1:30" ht="12.75" customHeight="1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</row>
    <row r="140" spans="1:30" ht="12.75" customHeight="1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</row>
    <row r="141" spans="1:30" ht="12.75" customHeight="1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</row>
    <row r="142" spans="1:30" ht="12.75" customHeight="1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</row>
    <row r="143" spans="1:30" ht="12.75" customHeight="1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</row>
    <row r="144" spans="1:30" ht="12.75" customHeight="1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</row>
    <row r="145" spans="1:30" ht="12.75" customHeight="1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</row>
    <row r="146" spans="1:30" ht="12.75" customHeight="1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</row>
    <row r="147" spans="1:30" ht="12.75" customHeight="1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</row>
    <row r="148" spans="1:30" ht="12.75" customHeight="1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</row>
    <row r="149" spans="1:30" ht="12.75" customHeight="1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</row>
    <row r="150" spans="1:30" ht="12.75" customHeight="1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</row>
    <row r="151" spans="1:30" ht="12.75" customHeight="1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</row>
    <row r="152" spans="1:30" ht="12.75" customHeight="1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</row>
    <row r="153" spans="1:30" ht="12.75" customHeight="1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</row>
    <row r="154" spans="1:30" ht="12.75" customHeight="1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</row>
    <row r="155" spans="1:30" ht="12.75" customHeight="1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</row>
    <row r="156" spans="1:30" ht="12.75" customHeight="1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</row>
    <row r="157" spans="1:30" ht="12.75" customHeight="1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</row>
    <row r="158" spans="1:30" ht="12.75" customHeight="1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</row>
    <row r="159" spans="1:30" ht="12.75" customHeight="1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</row>
    <row r="160" spans="1:30" ht="12.75" customHeight="1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</row>
    <row r="161" spans="1:30" ht="12.75" customHeight="1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</row>
    <row r="162" spans="1:30" ht="12.75" customHeight="1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</row>
    <row r="163" spans="1:30" ht="12.75" customHeight="1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</row>
    <row r="164" spans="1:30" ht="12.75" customHeight="1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</row>
    <row r="165" spans="1:30" ht="12.75" customHeight="1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</row>
    <row r="166" spans="1:30" ht="12.75" customHeight="1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</row>
    <row r="167" spans="1:30" ht="12.75" customHeight="1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</row>
    <row r="168" spans="1:30" ht="12.75" customHeight="1" x14ac:dyDescent="0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</row>
    <row r="169" spans="1:30" ht="12.75" customHeight="1" x14ac:dyDescent="0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</row>
    <row r="170" spans="1:30" ht="12.75" customHeight="1" x14ac:dyDescent="0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</row>
    <row r="171" spans="1:30" ht="12.75" customHeight="1" x14ac:dyDescent="0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</row>
    <row r="172" spans="1:30" ht="12.75" customHeight="1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</row>
    <row r="173" spans="1:30" ht="12.75" customHeight="1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</row>
    <row r="174" spans="1:30" ht="12.75" customHeight="1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</row>
    <row r="175" spans="1:30" ht="12.75" customHeight="1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</row>
    <row r="176" spans="1:30" ht="12.75" customHeight="1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</row>
    <row r="177" spans="1:30" ht="12.75" customHeight="1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</row>
    <row r="178" spans="1:30" ht="12.75" customHeight="1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</row>
    <row r="179" spans="1:30" ht="12.75" customHeight="1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</row>
    <row r="180" spans="1:30" ht="12.75" customHeight="1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</row>
    <row r="181" spans="1:30" ht="12.75" customHeight="1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</row>
    <row r="182" spans="1:30" ht="12.75" customHeight="1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</row>
    <row r="183" spans="1:30" ht="12.75" customHeight="1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</row>
    <row r="184" spans="1:30" ht="12.75" customHeight="1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</row>
    <row r="185" spans="1:30" ht="12.75" customHeight="1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</row>
    <row r="186" spans="1:30" ht="12.75" customHeight="1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</row>
    <row r="187" spans="1:30" ht="12.75" customHeight="1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</row>
    <row r="188" spans="1:30" ht="12.75" customHeight="1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</row>
    <row r="189" spans="1:30" ht="12.75" customHeight="1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</row>
    <row r="190" spans="1:30" ht="12.75" customHeight="1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</row>
    <row r="191" spans="1:30" ht="12.75" customHeight="1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</row>
    <row r="192" spans="1:30" ht="12.75" customHeight="1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</row>
    <row r="193" spans="1:30" ht="12.75" customHeight="1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</row>
    <row r="194" spans="1:30" ht="12.75" customHeight="1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</row>
    <row r="195" spans="1:30" ht="12.75" customHeight="1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</row>
    <row r="196" spans="1:30" ht="12.75" customHeight="1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</row>
    <row r="197" spans="1:30" ht="12.75" customHeight="1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</row>
    <row r="198" spans="1:30" ht="12.75" customHeight="1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</row>
    <row r="199" spans="1:30" ht="12.75" customHeight="1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</row>
    <row r="200" spans="1:30" ht="12.75" customHeight="1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</row>
    <row r="201" spans="1:30" ht="12.75" customHeight="1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</row>
    <row r="202" spans="1:30" ht="12.75" customHeight="1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</row>
    <row r="203" spans="1:30" ht="12.75" customHeight="1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</row>
    <row r="204" spans="1:30" ht="12.75" customHeight="1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</row>
    <row r="205" spans="1:30" ht="12.75" customHeight="1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</row>
    <row r="206" spans="1:30" ht="12.75" customHeight="1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</row>
    <row r="207" spans="1:30" ht="12.75" customHeight="1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</row>
    <row r="208" spans="1:30" ht="12.75" customHeight="1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</row>
    <row r="209" spans="1:30" ht="12.75" customHeight="1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</row>
    <row r="210" spans="1:30" ht="12.75" customHeight="1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</row>
    <row r="211" spans="1:30" ht="12.75" customHeight="1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</row>
    <row r="212" spans="1:30" ht="12.75" customHeight="1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</row>
    <row r="213" spans="1:30" ht="12.75" customHeight="1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</row>
    <row r="214" spans="1:30" ht="12.75" customHeight="1" x14ac:dyDescent="0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</row>
    <row r="215" spans="1:30" ht="12.75" customHeight="1" x14ac:dyDescent="0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</row>
    <row r="216" spans="1:30" ht="12.75" customHeight="1" x14ac:dyDescent="0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</row>
    <row r="217" spans="1:30" ht="12.75" customHeight="1" x14ac:dyDescent="0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</row>
    <row r="218" spans="1:30" ht="12.75" customHeight="1" x14ac:dyDescent="0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</row>
    <row r="219" spans="1:30" ht="12.75" customHeight="1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</row>
    <row r="220" spans="1:30" ht="12.75" customHeight="1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</row>
    <row r="221" spans="1:30" ht="12.75" customHeight="1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</row>
    <row r="222" spans="1:30" ht="12.75" customHeight="1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</row>
    <row r="223" spans="1:30" ht="12.75" customHeight="1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</row>
    <row r="224" spans="1:30" ht="12.75" customHeight="1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</row>
    <row r="225" spans="1:30" ht="12.75" customHeight="1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</row>
    <row r="226" spans="1:30" ht="12.75" customHeight="1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</row>
    <row r="227" spans="1:30" ht="12.75" customHeight="1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</row>
    <row r="228" spans="1:30" ht="12.75" customHeight="1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</row>
    <row r="229" spans="1:30" ht="12.75" customHeight="1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</row>
    <row r="230" spans="1:30" ht="12.75" customHeight="1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</row>
    <row r="231" spans="1:30" ht="12.75" customHeight="1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</row>
    <row r="232" spans="1:30" ht="12.75" customHeight="1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</row>
    <row r="233" spans="1:30" ht="12.75" customHeight="1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</row>
    <row r="234" spans="1:30" ht="12.75" customHeight="1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</row>
    <row r="235" spans="1:30" ht="12.75" customHeight="1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</row>
    <row r="236" spans="1:30" ht="12.75" customHeight="1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</row>
    <row r="237" spans="1:30" ht="12.75" customHeight="1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</row>
    <row r="238" spans="1:30" ht="12.75" customHeight="1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</row>
    <row r="239" spans="1:30" ht="12.75" customHeight="1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</row>
    <row r="240" spans="1:30" ht="12.75" customHeight="1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</row>
    <row r="241" spans="1:30" ht="12.75" customHeight="1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</row>
    <row r="242" spans="1:30" ht="12.75" customHeight="1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</row>
    <row r="243" spans="1:30" ht="12.75" customHeight="1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</row>
    <row r="244" spans="1:30" ht="12.75" customHeight="1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</row>
    <row r="245" spans="1:30" ht="12.75" customHeight="1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</row>
    <row r="246" spans="1:30" ht="12.75" customHeight="1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</row>
    <row r="247" spans="1:30" ht="12.75" customHeight="1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</row>
    <row r="248" spans="1:30" ht="12.75" customHeight="1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</row>
    <row r="249" spans="1:30" ht="12.75" customHeight="1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</row>
    <row r="250" spans="1:30" ht="12.75" customHeight="1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</row>
    <row r="251" spans="1:30" ht="12.75" customHeight="1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</row>
    <row r="252" spans="1:30" ht="12.75" customHeight="1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</row>
    <row r="253" spans="1:30" ht="12.75" customHeight="1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</row>
    <row r="254" spans="1:30" ht="12.75" customHeight="1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</row>
    <row r="255" spans="1:30" ht="12.75" customHeight="1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</row>
    <row r="256" spans="1:30" ht="12.75" customHeight="1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</row>
    <row r="257" spans="1:30" ht="12.75" customHeight="1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</row>
    <row r="258" spans="1:30" ht="12.75" customHeight="1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</row>
    <row r="259" spans="1:30" ht="12.75" customHeight="1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</row>
    <row r="260" spans="1:30" ht="12.75" customHeight="1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</row>
    <row r="261" spans="1:30" ht="12.75" customHeight="1" x14ac:dyDescent="0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</row>
    <row r="262" spans="1:30" ht="12.75" customHeight="1" x14ac:dyDescent="0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</row>
    <row r="263" spans="1:30" ht="12.75" customHeight="1" x14ac:dyDescent="0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</row>
    <row r="264" spans="1:30" ht="12.75" customHeight="1" x14ac:dyDescent="0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</row>
    <row r="265" spans="1:30" ht="12.75" customHeight="1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</row>
    <row r="266" spans="1:30" ht="12.75" customHeight="1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</row>
    <row r="267" spans="1:30" ht="12.75" customHeight="1" x14ac:dyDescent="0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</row>
    <row r="268" spans="1:30" ht="12.75" customHeight="1" x14ac:dyDescent="0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</row>
    <row r="269" spans="1:30" ht="12.75" customHeight="1" x14ac:dyDescent="0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</row>
    <row r="270" spans="1:30" ht="12.75" customHeight="1" x14ac:dyDescent="0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</row>
    <row r="271" spans="1:30" ht="12.75" customHeight="1" x14ac:dyDescent="0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</row>
    <row r="272" spans="1:30" ht="12.75" customHeight="1" x14ac:dyDescent="0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</row>
    <row r="273" spans="1:30" ht="12.75" customHeight="1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</row>
    <row r="274" spans="1:30" ht="12.75" customHeight="1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</row>
    <row r="275" spans="1:30" ht="12.75" customHeight="1" x14ac:dyDescent="0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</row>
    <row r="276" spans="1:30" ht="12.75" customHeight="1" x14ac:dyDescent="0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</row>
    <row r="277" spans="1:30" ht="12.75" customHeight="1" x14ac:dyDescent="0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</row>
    <row r="278" spans="1:30" ht="12.75" customHeight="1" x14ac:dyDescent="0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</row>
    <row r="279" spans="1:30" ht="12.75" customHeight="1" x14ac:dyDescent="0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</row>
    <row r="280" spans="1:30" ht="12.75" customHeight="1" x14ac:dyDescent="0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</row>
    <row r="281" spans="1:30" ht="12.75" customHeight="1" x14ac:dyDescent="0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</row>
    <row r="282" spans="1:30" ht="12.75" customHeight="1" x14ac:dyDescent="0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</row>
    <row r="283" spans="1:30" ht="12.75" customHeight="1" x14ac:dyDescent="0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</row>
    <row r="284" spans="1:30" ht="12.75" customHeight="1" x14ac:dyDescent="0.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</row>
    <row r="285" spans="1:30" ht="12.75" customHeight="1" x14ac:dyDescent="0.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</row>
    <row r="286" spans="1:30" ht="12.75" customHeight="1" x14ac:dyDescent="0.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</row>
    <row r="287" spans="1:30" ht="12.75" customHeight="1" x14ac:dyDescent="0.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</row>
    <row r="288" spans="1:30" ht="12.75" customHeight="1" x14ac:dyDescent="0.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</row>
    <row r="289" spans="1:30" ht="12.75" customHeight="1" x14ac:dyDescent="0.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</row>
    <row r="290" spans="1:30" ht="12.75" customHeight="1" x14ac:dyDescent="0.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</row>
    <row r="291" spans="1:30" ht="12.75" customHeight="1" x14ac:dyDescent="0.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</row>
    <row r="292" spans="1:30" ht="12.75" customHeight="1" x14ac:dyDescent="0.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</row>
    <row r="293" spans="1:30" ht="12.75" customHeight="1" x14ac:dyDescent="0.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</row>
    <row r="294" spans="1:30" ht="12.75" customHeight="1" x14ac:dyDescent="0.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</row>
    <row r="295" spans="1:30" ht="12.75" customHeight="1" x14ac:dyDescent="0.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</row>
    <row r="296" spans="1:30" ht="12.75" customHeight="1" x14ac:dyDescent="0.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</row>
    <row r="297" spans="1:30" ht="12.75" customHeight="1" x14ac:dyDescent="0.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</row>
    <row r="298" spans="1:30" ht="12.75" customHeight="1" x14ac:dyDescent="0.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</row>
    <row r="299" spans="1:30" ht="12.75" customHeight="1" x14ac:dyDescent="0.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</row>
    <row r="300" spans="1:30" ht="12.75" customHeight="1" x14ac:dyDescent="0.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</row>
    <row r="301" spans="1:30" ht="12.75" customHeight="1" x14ac:dyDescent="0.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</row>
    <row r="302" spans="1:30" ht="12.75" customHeight="1" x14ac:dyDescent="0.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</row>
    <row r="303" spans="1:30" ht="12.75" customHeight="1" x14ac:dyDescent="0.2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</row>
    <row r="304" spans="1:30" ht="12.75" customHeight="1" x14ac:dyDescent="0.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</row>
    <row r="305" spans="1:30" ht="12.75" customHeight="1" x14ac:dyDescent="0.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</row>
    <row r="306" spans="1:30" ht="12.75" customHeight="1" x14ac:dyDescent="0.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</row>
    <row r="307" spans="1:30" ht="12.75" customHeight="1" x14ac:dyDescent="0.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</row>
    <row r="308" spans="1:30" ht="12.75" customHeight="1" x14ac:dyDescent="0.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</row>
    <row r="309" spans="1:30" ht="12.75" customHeight="1" x14ac:dyDescent="0.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</row>
    <row r="310" spans="1:30" ht="12.75" customHeight="1" x14ac:dyDescent="0.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</row>
    <row r="311" spans="1:30" ht="12.75" customHeight="1" x14ac:dyDescent="0.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</row>
    <row r="312" spans="1:30" ht="12.75" customHeight="1" x14ac:dyDescent="0.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</row>
    <row r="313" spans="1:30" ht="12.75" customHeight="1" x14ac:dyDescent="0.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</row>
    <row r="314" spans="1:30" ht="12.75" customHeight="1" x14ac:dyDescent="0.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</row>
    <row r="315" spans="1:30" ht="12.75" customHeight="1" x14ac:dyDescent="0.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</row>
    <row r="316" spans="1:30" ht="12.75" customHeight="1" x14ac:dyDescent="0.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</row>
    <row r="317" spans="1:30" ht="12.75" customHeight="1" x14ac:dyDescent="0.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</row>
    <row r="318" spans="1:30" ht="12.75" customHeight="1" x14ac:dyDescent="0.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</row>
    <row r="319" spans="1:30" ht="12.75" customHeight="1" x14ac:dyDescent="0.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</row>
    <row r="320" spans="1:30" ht="12.75" customHeight="1" x14ac:dyDescent="0.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</row>
    <row r="321" spans="1:30" ht="12.75" customHeight="1" x14ac:dyDescent="0.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</row>
    <row r="322" spans="1:30" ht="12.75" customHeight="1" x14ac:dyDescent="0.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</row>
    <row r="323" spans="1:30" ht="12.75" customHeight="1" x14ac:dyDescent="0.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</row>
    <row r="324" spans="1:30" ht="12.75" customHeight="1" x14ac:dyDescent="0.2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</row>
    <row r="325" spans="1:30" ht="12.75" customHeight="1" x14ac:dyDescent="0.2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</row>
    <row r="326" spans="1:30" ht="12.75" customHeight="1" x14ac:dyDescent="0.2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</row>
    <row r="327" spans="1:30" ht="12.75" customHeight="1" x14ac:dyDescent="0.2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</row>
    <row r="328" spans="1:30" ht="12.75" customHeight="1" x14ac:dyDescent="0.2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</row>
    <row r="329" spans="1:30" ht="12.75" customHeight="1" x14ac:dyDescent="0.2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</row>
    <row r="330" spans="1:30" ht="12.75" customHeight="1" x14ac:dyDescent="0.2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</row>
    <row r="331" spans="1:30" ht="12.75" customHeight="1" x14ac:dyDescent="0.2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</row>
    <row r="332" spans="1:30" ht="12.75" customHeight="1" x14ac:dyDescent="0.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</row>
    <row r="333" spans="1:30" ht="12.75" customHeight="1" x14ac:dyDescent="0.2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</row>
    <row r="334" spans="1:30" ht="12.75" customHeight="1" x14ac:dyDescent="0.2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</row>
    <row r="335" spans="1:30" ht="12.75" customHeight="1" x14ac:dyDescent="0.2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</row>
    <row r="336" spans="1:30" ht="12.75" customHeight="1" x14ac:dyDescent="0.2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</row>
    <row r="337" spans="1:30" ht="12.75" customHeight="1" x14ac:dyDescent="0.2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</row>
    <row r="338" spans="1:30" ht="12.75" customHeight="1" x14ac:dyDescent="0.2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</row>
    <row r="339" spans="1:30" ht="12.75" customHeight="1" x14ac:dyDescent="0.2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</row>
    <row r="340" spans="1:30" ht="12.75" customHeight="1" x14ac:dyDescent="0.2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</row>
    <row r="341" spans="1:30" ht="12.75" customHeight="1" x14ac:dyDescent="0.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</row>
    <row r="342" spans="1:30" ht="12.75" customHeight="1" x14ac:dyDescent="0.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</row>
    <row r="343" spans="1:30" ht="12.75" customHeight="1" x14ac:dyDescent="0.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</row>
    <row r="344" spans="1:30" ht="12.75" customHeight="1" x14ac:dyDescent="0.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</row>
    <row r="345" spans="1:30" ht="12.75" customHeight="1" x14ac:dyDescent="0.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</row>
    <row r="346" spans="1:30" ht="12.75" customHeight="1" x14ac:dyDescent="0.2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</row>
    <row r="347" spans="1:30" ht="12.75" customHeight="1" x14ac:dyDescent="0.2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</row>
    <row r="348" spans="1:30" ht="12.75" customHeight="1" x14ac:dyDescent="0.2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</row>
    <row r="349" spans="1:30" ht="12.75" customHeight="1" x14ac:dyDescent="0.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</row>
    <row r="350" spans="1:30" ht="12.75" customHeight="1" x14ac:dyDescent="0.2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</row>
    <row r="351" spans="1:30" ht="12.75" customHeight="1" x14ac:dyDescent="0.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</row>
    <row r="352" spans="1:30" ht="12.75" customHeight="1" x14ac:dyDescent="0.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</row>
    <row r="353" spans="1:30" ht="12.75" customHeight="1" x14ac:dyDescent="0.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</row>
    <row r="354" spans="1:30" ht="12.75" customHeight="1" x14ac:dyDescent="0.2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</row>
    <row r="355" spans="1:30" ht="12.75" customHeight="1" x14ac:dyDescent="0.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</row>
    <row r="356" spans="1:30" ht="12.75" customHeight="1" x14ac:dyDescent="0.2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</row>
    <row r="357" spans="1:30" ht="12.75" customHeight="1" x14ac:dyDescent="0.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</row>
    <row r="358" spans="1:30" ht="12.75" customHeight="1" x14ac:dyDescent="0.2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</row>
    <row r="359" spans="1:30" ht="12.75" customHeight="1" x14ac:dyDescent="0.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</row>
    <row r="360" spans="1:30" ht="12.75" customHeight="1" x14ac:dyDescent="0.2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</row>
    <row r="361" spans="1:30" ht="12.75" customHeight="1" x14ac:dyDescent="0.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</row>
    <row r="362" spans="1:30" ht="12.75" customHeight="1" x14ac:dyDescent="0.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</row>
    <row r="363" spans="1:30" ht="12.75" customHeight="1" x14ac:dyDescent="0.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</row>
    <row r="364" spans="1:30" ht="12.75" customHeight="1" x14ac:dyDescent="0.2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</row>
    <row r="365" spans="1:30" ht="12.75" customHeight="1" x14ac:dyDescent="0.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</row>
    <row r="366" spans="1:30" ht="12.75" customHeight="1" x14ac:dyDescent="0.2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</row>
    <row r="367" spans="1:30" ht="12.75" customHeight="1" x14ac:dyDescent="0.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</row>
    <row r="368" spans="1:30" ht="12.75" customHeight="1" x14ac:dyDescent="0.2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</row>
    <row r="369" spans="1:30" ht="12.75" customHeight="1" x14ac:dyDescent="0.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</row>
    <row r="370" spans="1:30" ht="12.75" customHeight="1" x14ac:dyDescent="0.2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</row>
    <row r="371" spans="1:30" ht="12.75" customHeight="1" x14ac:dyDescent="0.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</row>
    <row r="372" spans="1:30" ht="12.75" customHeight="1" x14ac:dyDescent="0.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</row>
    <row r="373" spans="1:30" ht="12.75" customHeight="1" x14ac:dyDescent="0.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</row>
    <row r="374" spans="1:30" ht="12.75" customHeight="1" x14ac:dyDescent="0.2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</row>
    <row r="375" spans="1:30" ht="12.75" customHeight="1" x14ac:dyDescent="0.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</row>
    <row r="376" spans="1:30" ht="12.75" customHeight="1" x14ac:dyDescent="0.2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</row>
    <row r="377" spans="1:30" ht="12.75" customHeight="1" x14ac:dyDescent="0.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</row>
    <row r="378" spans="1:30" ht="12.75" customHeight="1" x14ac:dyDescent="0.2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</row>
    <row r="379" spans="1:30" ht="12.75" customHeight="1" x14ac:dyDescent="0.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</row>
    <row r="380" spans="1:30" ht="12.75" customHeight="1" x14ac:dyDescent="0.2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</row>
    <row r="381" spans="1:30" ht="12.75" customHeight="1" x14ac:dyDescent="0.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</row>
    <row r="382" spans="1:30" ht="12.75" customHeight="1" x14ac:dyDescent="0.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</row>
    <row r="383" spans="1:30" ht="12.75" customHeight="1" x14ac:dyDescent="0.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</row>
    <row r="384" spans="1:30" ht="12.75" customHeight="1" x14ac:dyDescent="0.2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</row>
    <row r="385" spans="1:30" ht="12.75" customHeight="1" x14ac:dyDescent="0.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</row>
    <row r="386" spans="1:30" ht="12.75" customHeight="1" x14ac:dyDescent="0.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</row>
    <row r="387" spans="1:30" ht="12.75" customHeight="1" x14ac:dyDescent="0.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</row>
    <row r="388" spans="1:30" ht="12.75" customHeight="1" x14ac:dyDescent="0.2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</row>
    <row r="389" spans="1:30" ht="12.75" customHeight="1" x14ac:dyDescent="0.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</row>
    <row r="390" spans="1:30" ht="12.75" customHeight="1" x14ac:dyDescent="0.2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</row>
    <row r="391" spans="1:30" ht="12.75" customHeight="1" x14ac:dyDescent="0.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</row>
    <row r="392" spans="1:30" ht="12.75" customHeight="1" x14ac:dyDescent="0.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</row>
    <row r="393" spans="1:30" ht="12.75" customHeight="1" x14ac:dyDescent="0.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</row>
    <row r="394" spans="1:30" ht="12.75" customHeight="1" x14ac:dyDescent="0.2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</row>
    <row r="395" spans="1:30" ht="12.75" customHeight="1" x14ac:dyDescent="0.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</row>
    <row r="396" spans="1:30" ht="12.75" customHeight="1" x14ac:dyDescent="0.2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</row>
    <row r="397" spans="1:30" ht="12.75" customHeight="1" x14ac:dyDescent="0.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</row>
    <row r="398" spans="1:30" ht="12.75" customHeight="1" x14ac:dyDescent="0.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</row>
    <row r="399" spans="1:30" ht="12.75" customHeight="1" x14ac:dyDescent="0.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</row>
    <row r="400" spans="1:30" ht="12.75" customHeight="1" x14ac:dyDescent="0.2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</row>
    <row r="401" spans="1:30" ht="12.75" customHeight="1" x14ac:dyDescent="0.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</row>
    <row r="402" spans="1:30" ht="12.75" customHeight="1" x14ac:dyDescent="0.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</row>
    <row r="403" spans="1:30" ht="12.75" customHeight="1" x14ac:dyDescent="0.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</row>
    <row r="404" spans="1:30" ht="12.75" customHeight="1" x14ac:dyDescent="0.2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</row>
    <row r="405" spans="1:30" ht="12.75" customHeight="1" x14ac:dyDescent="0.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</row>
    <row r="406" spans="1:30" ht="12.75" customHeight="1" x14ac:dyDescent="0.2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</row>
    <row r="407" spans="1:30" ht="12.75" customHeight="1" x14ac:dyDescent="0.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</row>
    <row r="408" spans="1:30" ht="12.75" customHeight="1" x14ac:dyDescent="0.2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</row>
    <row r="409" spans="1:30" ht="12.75" customHeight="1" x14ac:dyDescent="0.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</row>
    <row r="410" spans="1:30" ht="12.75" customHeight="1" x14ac:dyDescent="0.2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</row>
    <row r="411" spans="1:30" ht="12.75" customHeight="1" x14ac:dyDescent="0.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</row>
    <row r="412" spans="1:30" ht="12.75" customHeight="1" x14ac:dyDescent="0.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</row>
    <row r="413" spans="1:30" ht="12.75" customHeight="1" x14ac:dyDescent="0.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</row>
    <row r="414" spans="1:30" ht="12.75" customHeight="1" x14ac:dyDescent="0.2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</row>
    <row r="415" spans="1:30" ht="12.75" customHeight="1" x14ac:dyDescent="0.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</row>
    <row r="416" spans="1:30" ht="12.75" customHeight="1" x14ac:dyDescent="0.2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</row>
    <row r="417" spans="1:30" ht="12.75" customHeight="1" x14ac:dyDescent="0.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</row>
    <row r="418" spans="1:30" ht="12.75" customHeight="1" x14ac:dyDescent="0.2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</row>
    <row r="419" spans="1:30" ht="12.75" customHeight="1" x14ac:dyDescent="0.2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</row>
    <row r="420" spans="1:30" ht="12.75" customHeight="1" x14ac:dyDescent="0.2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</row>
    <row r="421" spans="1:30" ht="12.75" customHeight="1" x14ac:dyDescent="0.2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</row>
    <row r="422" spans="1:30" ht="12.75" customHeight="1" x14ac:dyDescent="0.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</row>
    <row r="423" spans="1:30" ht="12.75" customHeight="1" x14ac:dyDescent="0.2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</row>
    <row r="424" spans="1:30" ht="12.75" customHeight="1" x14ac:dyDescent="0.2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</row>
    <row r="425" spans="1:30" ht="12.75" customHeight="1" x14ac:dyDescent="0.2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</row>
    <row r="426" spans="1:30" ht="12.75" customHeight="1" x14ac:dyDescent="0.2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</row>
    <row r="427" spans="1:30" ht="12.75" customHeight="1" x14ac:dyDescent="0.2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</row>
    <row r="428" spans="1:30" ht="12.75" customHeight="1" x14ac:dyDescent="0.2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</row>
    <row r="429" spans="1:30" ht="12.75" customHeight="1" x14ac:dyDescent="0.2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</row>
    <row r="430" spans="1:30" ht="12.75" customHeight="1" x14ac:dyDescent="0.2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</row>
    <row r="431" spans="1:30" ht="12.75" customHeight="1" x14ac:dyDescent="0.2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</row>
    <row r="432" spans="1:30" ht="12.75" customHeight="1" x14ac:dyDescent="0.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</row>
    <row r="433" spans="1:30" ht="12.75" customHeight="1" x14ac:dyDescent="0.2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</row>
    <row r="434" spans="1:30" ht="12.75" customHeight="1" x14ac:dyDescent="0.2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</row>
    <row r="435" spans="1:30" ht="12.75" customHeight="1" x14ac:dyDescent="0.2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</row>
    <row r="436" spans="1:30" ht="12.75" customHeight="1" x14ac:dyDescent="0.2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</row>
    <row r="437" spans="1:30" ht="12.75" customHeight="1" x14ac:dyDescent="0.2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</row>
    <row r="438" spans="1:30" ht="12.75" customHeight="1" x14ac:dyDescent="0.2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</row>
    <row r="439" spans="1:30" ht="12.75" customHeight="1" x14ac:dyDescent="0.2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</row>
    <row r="440" spans="1:30" ht="12.75" customHeight="1" x14ac:dyDescent="0.2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</row>
    <row r="441" spans="1:30" ht="12.75" customHeight="1" x14ac:dyDescent="0.2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</row>
    <row r="442" spans="1:30" ht="12.75" customHeight="1" x14ac:dyDescent="0.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</row>
    <row r="443" spans="1:30" ht="12.75" customHeight="1" x14ac:dyDescent="0.2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</row>
    <row r="444" spans="1:30" ht="12.75" customHeight="1" x14ac:dyDescent="0.2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</row>
    <row r="445" spans="1:30" ht="12.75" customHeight="1" x14ac:dyDescent="0.2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</row>
    <row r="446" spans="1:30" ht="12.75" customHeight="1" x14ac:dyDescent="0.2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</row>
    <row r="447" spans="1:30" ht="12.75" customHeight="1" x14ac:dyDescent="0.2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</row>
    <row r="448" spans="1:30" ht="12.75" customHeight="1" x14ac:dyDescent="0.2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</row>
    <row r="449" spans="1:30" ht="12.75" customHeight="1" x14ac:dyDescent="0.2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</row>
    <row r="450" spans="1:30" ht="12.75" customHeight="1" x14ac:dyDescent="0.2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</row>
    <row r="451" spans="1:30" ht="12.75" customHeight="1" x14ac:dyDescent="0.2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</row>
    <row r="452" spans="1:30" ht="12.75" customHeight="1" x14ac:dyDescent="0.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</row>
    <row r="453" spans="1:30" ht="12.75" customHeight="1" x14ac:dyDescent="0.2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</row>
    <row r="454" spans="1:30" ht="12.75" customHeight="1" x14ac:dyDescent="0.2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</row>
    <row r="455" spans="1:30" ht="12.75" customHeight="1" x14ac:dyDescent="0.2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</row>
    <row r="456" spans="1:30" ht="12.75" customHeight="1" x14ac:dyDescent="0.2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</row>
    <row r="457" spans="1:30" ht="12.75" customHeight="1" x14ac:dyDescent="0.2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</row>
    <row r="458" spans="1:30" ht="12.75" customHeight="1" x14ac:dyDescent="0.2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</row>
    <row r="459" spans="1:30" ht="12.75" customHeight="1" x14ac:dyDescent="0.2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</row>
    <row r="460" spans="1:30" ht="12.75" customHeight="1" x14ac:dyDescent="0.2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</row>
    <row r="461" spans="1:30" ht="12.75" customHeight="1" x14ac:dyDescent="0.2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</row>
    <row r="462" spans="1:30" ht="12.75" customHeight="1" x14ac:dyDescent="0.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</row>
    <row r="463" spans="1:30" ht="12.75" customHeight="1" x14ac:dyDescent="0.2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</row>
    <row r="464" spans="1:30" ht="12.75" customHeight="1" x14ac:dyDescent="0.2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</row>
    <row r="465" spans="1:30" ht="12.75" customHeight="1" x14ac:dyDescent="0.2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</row>
    <row r="466" spans="1:30" ht="12.75" customHeight="1" x14ac:dyDescent="0.2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</row>
    <row r="467" spans="1:30" ht="12.75" customHeight="1" x14ac:dyDescent="0.2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</row>
    <row r="468" spans="1:30" ht="12.75" customHeight="1" x14ac:dyDescent="0.2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</row>
    <row r="469" spans="1:30" ht="12.75" customHeight="1" x14ac:dyDescent="0.2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</row>
    <row r="470" spans="1:30" ht="12.75" customHeight="1" x14ac:dyDescent="0.2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</row>
    <row r="471" spans="1:30" ht="12.75" customHeight="1" x14ac:dyDescent="0.2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</row>
    <row r="472" spans="1:30" ht="12.75" customHeight="1" x14ac:dyDescent="0.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</row>
    <row r="473" spans="1:30" ht="12.75" customHeight="1" x14ac:dyDescent="0.2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</row>
    <row r="474" spans="1:30" ht="12.75" customHeight="1" x14ac:dyDescent="0.2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</row>
    <row r="475" spans="1:30" ht="12.75" customHeight="1" x14ac:dyDescent="0.2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</row>
    <row r="476" spans="1:30" ht="12.75" customHeight="1" x14ac:dyDescent="0.2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</row>
    <row r="477" spans="1:30" ht="12.75" customHeight="1" x14ac:dyDescent="0.2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</row>
    <row r="478" spans="1:30" ht="12.75" customHeight="1" x14ac:dyDescent="0.2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</row>
    <row r="479" spans="1:30" ht="12.75" customHeight="1" x14ac:dyDescent="0.2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</row>
    <row r="480" spans="1:30" ht="12.75" customHeight="1" x14ac:dyDescent="0.2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</row>
    <row r="481" spans="1:30" ht="12.75" customHeight="1" x14ac:dyDescent="0.2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</row>
    <row r="482" spans="1:30" ht="12.75" customHeight="1" x14ac:dyDescent="0.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</row>
    <row r="483" spans="1:30" ht="12.75" customHeight="1" x14ac:dyDescent="0.2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</row>
    <row r="484" spans="1:30" ht="12.75" customHeight="1" x14ac:dyDescent="0.2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</row>
    <row r="485" spans="1:30" ht="12.75" customHeight="1" x14ac:dyDescent="0.2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</row>
    <row r="486" spans="1:30" ht="12.75" customHeight="1" x14ac:dyDescent="0.2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</row>
    <row r="487" spans="1:30" ht="12.75" customHeight="1" x14ac:dyDescent="0.2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</row>
    <row r="488" spans="1:30" ht="12.75" customHeight="1" x14ac:dyDescent="0.2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</row>
    <row r="489" spans="1:30" ht="12.75" customHeight="1" x14ac:dyDescent="0.2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</row>
    <row r="490" spans="1:30" ht="12.75" customHeight="1" x14ac:dyDescent="0.2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</row>
    <row r="491" spans="1:30" ht="12.75" customHeight="1" x14ac:dyDescent="0.2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</row>
    <row r="492" spans="1:30" ht="12.75" customHeight="1" x14ac:dyDescent="0.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</row>
    <row r="493" spans="1:30" ht="12.75" customHeight="1" x14ac:dyDescent="0.2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</row>
    <row r="494" spans="1:30" ht="12.75" customHeight="1" x14ac:dyDescent="0.2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</row>
    <row r="495" spans="1:30" ht="12.75" customHeight="1" x14ac:dyDescent="0.2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</row>
    <row r="496" spans="1:30" ht="12.75" customHeight="1" x14ac:dyDescent="0.2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</row>
    <row r="497" spans="1:30" ht="12.75" customHeight="1" x14ac:dyDescent="0.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</row>
    <row r="498" spans="1:30" ht="12.75" customHeight="1" x14ac:dyDescent="0.2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</row>
    <row r="499" spans="1:30" ht="12.75" customHeight="1" x14ac:dyDescent="0.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</row>
    <row r="500" spans="1:30" ht="12.75" customHeight="1" x14ac:dyDescent="0.2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</row>
    <row r="501" spans="1:30" ht="12.75" customHeight="1" x14ac:dyDescent="0.2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</row>
    <row r="502" spans="1:30" ht="12.75" customHeight="1" x14ac:dyDescent="0.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</row>
    <row r="503" spans="1:30" ht="12.75" customHeight="1" x14ac:dyDescent="0.2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</row>
    <row r="504" spans="1:30" ht="12.75" customHeight="1" x14ac:dyDescent="0.2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</row>
    <row r="505" spans="1:30" ht="12.75" customHeight="1" x14ac:dyDescent="0.2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</row>
    <row r="506" spans="1:30" ht="12.75" customHeight="1" x14ac:dyDescent="0.2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</row>
    <row r="507" spans="1:30" ht="12.75" customHeight="1" x14ac:dyDescent="0.2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</row>
    <row r="508" spans="1:30" ht="12.75" customHeight="1" x14ac:dyDescent="0.2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</row>
    <row r="509" spans="1:30" ht="12.75" customHeight="1" x14ac:dyDescent="0.2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</row>
    <row r="510" spans="1:30" ht="12.75" customHeight="1" x14ac:dyDescent="0.2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</row>
    <row r="511" spans="1:30" ht="12.75" customHeight="1" x14ac:dyDescent="0.2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</row>
    <row r="512" spans="1:30" ht="12.75" customHeight="1" x14ac:dyDescent="0.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</row>
    <row r="513" spans="1:30" ht="12.75" customHeight="1" x14ac:dyDescent="0.2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</row>
    <row r="514" spans="1:30" ht="12.75" customHeight="1" x14ac:dyDescent="0.2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</row>
    <row r="515" spans="1:30" ht="12.75" customHeight="1" x14ac:dyDescent="0.2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</row>
    <row r="516" spans="1:30" ht="12.75" customHeight="1" x14ac:dyDescent="0.2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</row>
    <row r="517" spans="1:30" ht="12.75" customHeight="1" x14ac:dyDescent="0.2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</row>
    <row r="518" spans="1:30" ht="12.75" customHeight="1" x14ac:dyDescent="0.2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</row>
    <row r="519" spans="1:30" ht="12.75" customHeight="1" x14ac:dyDescent="0.2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</row>
    <row r="520" spans="1:30" ht="12.75" customHeight="1" x14ac:dyDescent="0.2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</row>
    <row r="521" spans="1:30" ht="12.75" customHeight="1" x14ac:dyDescent="0.2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</row>
    <row r="522" spans="1:30" ht="12.75" customHeight="1" x14ac:dyDescent="0.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</row>
    <row r="523" spans="1:30" ht="12.75" customHeight="1" x14ac:dyDescent="0.2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</row>
    <row r="524" spans="1:30" ht="12.75" customHeight="1" x14ac:dyDescent="0.2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</row>
    <row r="525" spans="1:30" ht="12.75" customHeight="1" x14ac:dyDescent="0.2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</row>
    <row r="526" spans="1:30" ht="12.75" customHeight="1" x14ac:dyDescent="0.2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</row>
    <row r="527" spans="1:30" ht="12.75" customHeight="1" x14ac:dyDescent="0.2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</row>
    <row r="528" spans="1:30" ht="12.75" customHeight="1" x14ac:dyDescent="0.2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</row>
    <row r="529" spans="1:30" ht="12.75" customHeight="1" x14ac:dyDescent="0.2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</row>
    <row r="530" spans="1:30" ht="12.75" customHeight="1" x14ac:dyDescent="0.2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</row>
    <row r="531" spans="1:30" ht="12.75" customHeight="1" x14ac:dyDescent="0.2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</row>
    <row r="532" spans="1:30" ht="12.75" customHeight="1" x14ac:dyDescent="0.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</row>
    <row r="533" spans="1:30" ht="12.75" customHeight="1" x14ac:dyDescent="0.2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</row>
    <row r="534" spans="1:30" ht="12.75" customHeight="1" x14ac:dyDescent="0.2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</row>
    <row r="535" spans="1:30" ht="12.75" customHeight="1" x14ac:dyDescent="0.2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</row>
    <row r="536" spans="1:30" ht="12.75" customHeight="1" x14ac:dyDescent="0.2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</row>
    <row r="537" spans="1:30" ht="12.75" customHeight="1" x14ac:dyDescent="0.2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</row>
    <row r="538" spans="1:30" ht="12.75" customHeight="1" x14ac:dyDescent="0.2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</row>
    <row r="539" spans="1:30" ht="12.75" customHeight="1" x14ac:dyDescent="0.2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</row>
    <row r="540" spans="1:30" ht="12.75" customHeight="1" x14ac:dyDescent="0.2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</row>
    <row r="541" spans="1:30" ht="12.75" customHeight="1" x14ac:dyDescent="0.2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</row>
    <row r="542" spans="1:30" ht="12.75" customHeight="1" x14ac:dyDescent="0.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</row>
    <row r="543" spans="1:30" ht="12.75" customHeight="1" x14ac:dyDescent="0.2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</row>
    <row r="544" spans="1:30" ht="12.75" customHeight="1" x14ac:dyDescent="0.2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</row>
    <row r="545" spans="1:30" ht="12.75" customHeight="1" x14ac:dyDescent="0.2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</row>
    <row r="546" spans="1:30" ht="12.75" customHeight="1" x14ac:dyDescent="0.2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</row>
    <row r="547" spans="1:30" ht="12.75" customHeight="1" x14ac:dyDescent="0.2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</row>
    <row r="548" spans="1:30" ht="12.75" customHeight="1" x14ac:dyDescent="0.2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</row>
    <row r="549" spans="1:30" ht="12.75" customHeight="1" x14ac:dyDescent="0.2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</row>
    <row r="550" spans="1:30" ht="12.75" customHeight="1" x14ac:dyDescent="0.2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</row>
    <row r="551" spans="1:30" ht="12.75" customHeight="1" x14ac:dyDescent="0.2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</row>
    <row r="552" spans="1:30" ht="12.75" customHeight="1" x14ac:dyDescent="0.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</row>
    <row r="553" spans="1:30" ht="12.75" customHeight="1" x14ac:dyDescent="0.2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</row>
    <row r="554" spans="1:30" ht="12.75" customHeight="1" x14ac:dyDescent="0.2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</row>
    <row r="555" spans="1:30" ht="12.75" customHeight="1" x14ac:dyDescent="0.2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</row>
    <row r="556" spans="1:30" ht="12.75" customHeight="1" x14ac:dyDescent="0.2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</row>
    <row r="557" spans="1:30" ht="12.75" customHeight="1" x14ac:dyDescent="0.2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</row>
    <row r="558" spans="1:30" ht="12.75" customHeight="1" x14ac:dyDescent="0.2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</row>
    <row r="559" spans="1:30" ht="12.75" customHeight="1" x14ac:dyDescent="0.2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</row>
    <row r="560" spans="1:30" ht="12.75" customHeight="1" x14ac:dyDescent="0.2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</row>
    <row r="561" spans="1:30" ht="12.75" customHeight="1" x14ac:dyDescent="0.2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</row>
    <row r="562" spans="1:30" ht="12.75" customHeight="1" x14ac:dyDescent="0.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</row>
    <row r="563" spans="1:30" ht="12.75" customHeight="1" x14ac:dyDescent="0.2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</row>
    <row r="564" spans="1:30" ht="12.75" customHeight="1" x14ac:dyDescent="0.2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</row>
    <row r="565" spans="1:30" ht="12.75" customHeight="1" x14ac:dyDescent="0.2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</row>
    <row r="566" spans="1:30" ht="12.75" customHeight="1" x14ac:dyDescent="0.2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</row>
    <row r="567" spans="1:30" ht="12.75" customHeight="1" x14ac:dyDescent="0.2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</row>
    <row r="568" spans="1:30" ht="12.75" customHeight="1" x14ac:dyDescent="0.2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</row>
    <row r="569" spans="1:30" ht="12.75" customHeight="1" x14ac:dyDescent="0.2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</row>
    <row r="570" spans="1:30" ht="12.75" customHeight="1" x14ac:dyDescent="0.2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</row>
    <row r="571" spans="1:30" ht="12.75" customHeight="1" x14ac:dyDescent="0.2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</row>
    <row r="572" spans="1:30" ht="12.75" customHeight="1" x14ac:dyDescent="0.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</row>
    <row r="573" spans="1:30" ht="12.75" customHeight="1" x14ac:dyDescent="0.2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</row>
    <row r="574" spans="1:30" ht="12.75" customHeight="1" x14ac:dyDescent="0.2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</row>
    <row r="575" spans="1:30" ht="12.75" customHeight="1" x14ac:dyDescent="0.2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</row>
    <row r="576" spans="1:30" ht="12.75" customHeight="1" x14ac:dyDescent="0.2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</row>
    <row r="577" spans="1:30" ht="12.75" customHeight="1" x14ac:dyDescent="0.2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</row>
    <row r="578" spans="1:30" ht="12.75" customHeight="1" x14ac:dyDescent="0.2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</row>
    <row r="579" spans="1:30" ht="12.75" customHeight="1" x14ac:dyDescent="0.2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</row>
    <row r="580" spans="1:30" ht="12.75" customHeight="1" x14ac:dyDescent="0.2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</row>
    <row r="581" spans="1:30" ht="12.75" customHeight="1" x14ac:dyDescent="0.2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</row>
    <row r="582" spans="1:30" ht="12.75" customHeight="1" x14ac:dyDescent="0.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</row>
    <row r="583" spans="1:30" ht="12.75" customHeight="1" x14ac:dyDescent="0.2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</row>
    <row r="584" spans="1:30" ht="12.75" customHeight="1" x14ac:dyDescent="0.2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</row>
    <row r="585" spans="1:30" ht="12.75" customHeight="1" x14ac:dyDescent="0.2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</row>
    <row r="586" spans="1:30" ht="12.75" customHeight="1" x14ac:dyDescent="0.2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</row>
    <row r="587" spans="1:30" ht="12.75" customHeight="1" x14ac:dyDescent="0.2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</row>
    <row r="588" spans="1:30" ht="12.75" customHeight="1" x14ac:dyDescent="0.2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</row>
    <row r="589" spans="1:30" ht="12.75" customHeight="1" x14ac:dyDescent="0.2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</row>
    <row r="590" spans="1:30" ht="12.75" customHeight="1" x14ac:dyDescent="0.2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</row>
    <row r="591" spans="1:30" ht="12.75" customHeight="1" x14ac:dyDescent="0.2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</row>
    <row r="592" spans="1:30" ht="12.75" customHeight="1" x14ac:dyDescent="0.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</row>
    <row r="593" spans="1:30" ht="12.75" customHeight="1" x14ac:dyDescent="0.2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</row>
    <row r="594" spans="1:30" ht="12.75" customHeight="1" x14ac:dyDescent="0.2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</row>
    <row r="595" spans="1:30" ht="12.75" customHeight="1" x14ac:dyDescent="0.2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</row>
    <row r="596" spans="1:30" ht="12.75" customHeight="1" x14ac:dyDescent="0.2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</row>
    <row r="597" spans="1:30" ht="12.75" customHeight="1" x14ac:dyDescent="0.2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</row>
    <row r="598" spans="1:30" ht="12.75" customHeight="1" x14ac:dyDescent="0.2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</row>
    <row r="599" spans="1:30" ht="12.75" customHeight="1" x14ac:dyDescent="0.2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</row>
    <row r="600" spans="1:30" ht="12.75" customHeight="1" x14ac:dyDescent="0.2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</row>
    <row r="601" spans="1:30" ht="12.75" customHeight="1" x14ac:dyDescent="0.2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</row>
    <row r="602" spans="1:30" ht="12.75" customHeight="1" x14ac:dyDescent="0.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</row>
    <row r="603" spans="1:30" ht="12.75" customHeight="1" x14ac:dyDescent="0.2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</row>
    <row r="604" spans="1:30" ht="12.75" customHeight="1" x14ac:dyDescent="0.2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</row>
    <row r="605" spans="1:30" ht="12.75" customHeight="1" x14ac:dyDescent="0.2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</row>
    <row r="606" spans="1:30" ht="12.75" customHeight="1" x14ac:dyDescent="0.2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</row>
    <row r="607" spans="1:30" ht="12.75" customHeight="1" x14ac:dyDescent="0.2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</row>
    <row r="608" spans="1:30" ht="12.75" customHeight="1" x14ac:dyDescent="0.2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</row>
    <row r="609" spans="1:30" ht="12.75" customHeight="1" x14ac:dyDescent="0.2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</row>
    <row r="610" spans="1:30" ht="12.75" customHeight="1" x14ac:dyDescent="0.2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</row>
    <row r="611" spans="1:30" ht="12.75" customHeight="1" x14ac:dyDescent="0.2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</row>
    <row r="612" spans="1:30" ht="12.75" customHeight="1" x14ac:dyDescent="0.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</row>
    <row r="613" spans="1:30" ht="12.75" customHeight="1" x14ac:dyDescent="0.2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</row>
    <row r="614" spans="1:30" ht="12.75" customHeight="1" x14ac:dyDescent="0.2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</row>
    <row r="615" spans="1:30" ht="12.75" customHeight="1" x14ac:dyDescent="0.2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</row>
    <row r="616" spans="1:30" ht="12.75" customHeight="1" x14ac:dyDescent="0.2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</row>
    <row r="617" spans="1:30" ht="12.75" customHeight="1" x14ac:dyDescent="0.2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</row>
    <row r="618" spans="1:30" ht="12.75" customHeight="1" x14ac:dyDescent="0.2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</row>
    <row r="619" spans="1:30" ht="12.75" customHeight="1" x14ac:dyDescent="0.2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</row>
    <row r="620" spans="1:30" ht="12.75" customHeight="1" x14ac:dyDescent="0.2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</row>
    <row r="621" spans="1:30" ht="12.75" customHeight="1" x14ac:dyDescent="0.2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</row>
    <row r="622" spans="1:30" ht="12.75" customHeight="1" x14ac:dyDescent="0.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</row>
    <row r="623" spans="1:30" ht="12.75" customHeight="1" x14ac:dyDescent="0.2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</row>
    <row r="624" spans="1:30" ht="12.75" customHeight="1" x14ac:dyDescent="0.2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</row>
    <row r="625" spans="1:30" ht="12.75" customHeight="1" x14ac:dyDescent="0.2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</row>
    <row r="626" spans="1:30" ht="12.75" customHeight="1" x14ac:dyDescent="0.2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</row>
    <row r="627" spans="1:30" ht="12.75" customHeight="1" x14ac:dyDescent="0.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</row>
    <row r="628" spans="1:30" ht="12.75" customHeight="1" x14ac:dyDescent="0.2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</row>
    <row r="629" spans="1:30" ht="12.75" customHeight="1" x14ac:dyDescent="0.2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</row>
    <row r="630" spans="1:30" ht="12.75" customHeight="1" x14ac:dyDescent="0.2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</row>
    <row r="631" spans="1:30" ht="12.75" customHeight="1" x14ac:dyDescent="0.2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</row>
    <row r="632" spans="1:30" ht="12.75" customHeight="1" x14ac:dyDescent="0.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</row>
    <row r="633" spans="1:30" ht="12.75" customHeight="1" x14ac:dyDescent="0.2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</row>
    <row r="634" spans="1:30" ht="12.75" customHeight="1" x14ac:dyDescent="0.2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</row>
    <row r="635" spans="1:30" ht="12.75" customHeight="1" x14ac:dyDescent="0.2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</row>
    <row r="636" spans="1:30" ht="12.75" customHeight="1" x14ac:dyDescent="0.2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</row>
    <row r="637" spans="1:30" ht="12.75" customHeight="1" x14ac:dyDescent="0.2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</row>
    <row r="638" spans="1:30" ht="12.75" customHeight="1" x14ac:dyDescent="0.2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</row>
    <row r="639" spans="1:30" ht="12.75" customHeight="1" x14ac:dyDescent="0.2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</row>
    <row r="640" spans="1:30" ht="12.75" customHeight="1" x14ac:dyDescent="0.2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</row>
    <row r="641" spans="1:30" ht="12.75" customHeight="1" x14ac:dyDescent="0.2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</row>
    <row r="642" spans="1:30" ht="12.75" customHeight="1" x14ac:dyDescent="0.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</row>
    <row r="643" spans="1:30" ht="12.75" customHeight="1" x14ac:dyDescent="0.2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</row>
    <row r="644" spans="1:30" ht="12.75" customHeight="1" x14ac:dyDescent="0.2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</row>
    <row r="645" spans="1:30" ht="12.75" customHeight="1" x14ac:dyDescent="0.2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</row>
    <row r="646" spans="1:30" ht="12.75" customHeight="1" x14ac:dyDescent="0.2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</row>
    <row r="647" spans="1:30" ht="12.75" customHeight="1" x14ac:dyDescent="0.2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</row>
    <row r="648" spans="1:30" ht="12.75" customHeight="1" x14ac:dyDescent="0.2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</row>
    <row r="649" spans="1:30" ht="12.75" customHeight="1" x14ac:dyDescent="0.2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</row>
    <row r="650" spans="1:30" ht="12.75" customHeight="1" x14ac:dyDescent="0.2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</row>
    <row r="651" spans="1:30" ht="12.75" customHeight="1" x14ac:dyDescent="0.2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</row>
    <row r="652" spans="1:30" ht="12.75" customHeight="1" x14ac:dyDescent="0.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</row>
    <row r="653" spans="1:30" ht="12.75" customHeight="1" x14ac:dyDescent="0.2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</row>
    <row r="654" spans="1:30" ht="12.75" customHeight="1" x14ac:dyDescent="0.2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</row>
    <row r="655" spans="1:30" ht="12.75" customHeight="1" x14ac:dyDescent="0.2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</row>
    <row r="656" spans="1:30" ht="12.75" customHeight="1" x14ac:dyDescent="0.2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</row>
    <row r="657" spans="1:30" ht="12.75" customHeight="1" x14ac:dyDescent="0.2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</row>
    <row r="658" spans="1:30" ht="12.75" customHeight="1" x14ac:dyDescent="0.2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</row>
    <row r="659" spans="1:30" ht="12.75" customHeight="1" x14ac:dyDescent="0.2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</row>
    <row r="660" spans="1:30" ht="12.75" customHeight="1" x14ac:dyDescent="0.2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</row>
    <row r="661" spans="1:30" ht="12.75" customHeight="1" x14ac:dyDescent="0.2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</row>
    <row r="662" spans="1:30" ht="12.75" customHeight="1" x14ac:dyDescent="0.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</row>
    <row r="663" spans="1:30" ht="12.75" customHeight="1" x14ac:dyDescent="0.2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</row>
    <row r="664" spans="1:30" ht="12.75" customHeight="1" x14ac:dyDescent="0.2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</row>
    <row r="665" spans="1:30" ht="12.75" customHeight="1" x14ac:dyDescent="0.2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</row>
    <row r="666" spans="1:30" ht="12.75" customHeight="1" x14ac:dyDescent="0.2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</row>
    <row r="667" spans="1:30" ht="12.75" customHeight="1" x14ac:dyDescent="0.2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</row>
    <row r="668" spans="1:30" ht="12.75" customHeight="1" x14ac:dyDescent="0.2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</row>
    <row r="669" spans="1:30" ht="12.75" customHeight="1" x14ac:dyDescent="0.2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</row>
    <row r="670" spans="1:30" ht="12.75" customHeight="1" x14ac:dyDescent="0.2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</row>
    <row r="671" spans="1:30" ht="12.75" customHeight="1" x14ac:dyDescent="0.2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</row>
    <row r="672" spans="1:30" ht="12.75" customHeight="1" x14ac:dyDescent="0.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</row>
    <row r="673" spans="1:30" ht="12.75" customHeight="1" x14ac:dyDescent="0.2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</row>
    <row r="674" spans="1:30" ht="12.75" customHeight="1" x14ac:dyDescent="0.2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</row>
    <row r="675" spans="1:30" ht="12.75" customHeight="1" x14ac:dyDescent="0.2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</row>
    <row r="676" spans="1:30" ht="12.75" customHeight="1" x14ac:dyDescent="0.2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</row>
    <row r="677" spans="1:30" ht="12.75" customHeight="1" x14ac:dyDescent="0.2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</row>
    <row r="678" spans="1:30" ht="12.75" customHeight="1" x14ac:dyDescent="0.2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</row>
    <row r="679" spans="1:30" ht="12.75" customHeight="1" x14ac:dyDescent="0.2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</row>
    <row r="680" spans="1:30" ht="12.75" customHeight="1" x14ac:dyDescent="0.2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</row>
    <row r="681" spans="1:30" ht="12.75" customHeight="1" x14ac:dyDescent="0.2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</row>
    <row r="682" spans="1:30" ht="12.75" customHeight="1" x14ac:dyDescent="0.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</row>
    <row r="683" spans="1:30" ht="12.75" customHeight="1" x14ac:dyDescent="0.2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</row>
    <row r="684" spans="1:30" ht="12.75" customHeight="1" x14ac:dyDescent="0.2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</row>
    <row r="685" spans="1:30" ht="12.75" customHeight="1" x14ac:dyDescent="0.2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</row>
    <row r="686" spans="1:30" ht="12.75" customHeight="1" x14ac:dyDescent="0.2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</row>
    <row r="687" spans="1:30" ht="12.75" customHeight="1" x14ac:dyDescent="0.2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</row>
    <row r="688" spans="1:30" ht="12.75" customHeight="1" x14ac:dyDescent="0.2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</row>
    <row r="689" spans="1:30" ht="12.75" customHeight="1" x14ac:dyDescent="0.2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</row>
    <row r="690" spans="1:30" ht="12.75" customHeight="1" x14ac:dyDescent="0.2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</row>
    <row r="691" spans="1:30" ht="12.75" customHeight="1" x14ac:dyDescent="0.2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</row>
    <row r="692" spans="1:30" ht="12.75" customHeight="1" x14ac:dyDescent="0.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</row>
    <row r="693" spans="1:30" ht="12.75" customHeight="1" x14ac:dyDescent="0.2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</row>
    <row r="694" spans="1:30" ht="12.75" customHeight="1" x14ac:dyDescent="0.2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</row>
    <row r="695" spans="1:30" ht="12.75" customHeight="1" x14ac:dyDescent="0.2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</row>
    <row r="696" spans="1:30" ht="12.75" customHeight="1" x14ac:dyDescent="0.2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</row>
    <row r="697" spans="1:30" ht="12.75" customHeight="1" x14ac:dyDescent="0.2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</row>
    <row r="698" spans="1:30" ht="12.75" customHeight="1" x14ac:dyDescent="0.2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</row>
    <row r="699" spans="1:30" ht="12.75" customHeight="1" x14ac:dyDescent="0.2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</row>
    <row r="700" spans="1:30" ht="12.75" customHeight="1" x14ac:dyDescent="0.2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</row>
    <row r="701" spans="1:30" ht="12.75" customHeight="1" x14ac:dyDescent="0.2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</row>
    <row r="702" spans="1:30" ht="12.75" customHeight="1" x14ac:dyDescent="0.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</row>
    <row r="703" spans="1:30" ht="12.75" customHeight="1" x14ac:dyDescent="0.2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</row>
    <row r="704" spans="1:30" ht="12.75" customHeight="1" x14ac:dyDescent="0.2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</row>
    <row r="705" spans="1:30" ht="12.75" customHeight="1" x14ac:dyDescent="0.2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</row>
    <row r="706" spans="1:30" ht="12.75" customHeight="1" x14ac:dyDescent="0.2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</row>
    <row r="707" spans="1:30" ht="12.75" customHeight="1" x14ac:dyDescent="0.2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</row>
    <row r="708" spans="1:30" ht="12.75" customHeight="1" x14ac:dyDescent="0.2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</row>
    <row r="709" spans="1:30" ht="12.75" customHeight="1" x14ac:dyDescent="0.2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</row>
    <row r="710" spans="1:30" ht="12.75" customHeight="1" x14ac:dyDescent="0.2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</row>
    <row r="711" spans="1:30" ht="12.75" customHeight="1" x14ac:dyDescent="0.2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</row>
    <row r="712" spans="1:30" ht="12.75" customHeight="1" x14ac:dyDescent="0.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</row>
    <row r="713" spans="1:30" ht="12.75" customHeight="1" x14ac:dyDescent="0.2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</row>
    <row r="714" spans="1:30" ht="12.75" customHeight="1" x14ac:dyDescent="0.2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</row>
    <row r="715" spans="1:30" ht="12.75" customHeight="1" x14ac:dyDescent="0.2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</row>
    <row r="716" spans="1:30" ht="12.75" customHeight="1" x14ac:dyDescent="0.2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</row>
    <row r="717" spans="1:30" ht="12.75" customHeight="1" x14ac:dyDescent="0.2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</row>
    <row r="718" spans="1:30" ht="12.75" customHeight="1" x14ac:dyDescent="0.2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</row>
    <row r="719" spans="1:30" ht="12.75" customHeight="1" x14ac:dyDescent="0.2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</row>
    <row r="720" spans="1:30" ht="12.75" customHeight="1" x14ac:dyDescent="0.2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</row>
    <row r="721" spans="1:30" ht="12.75" customHeight="1" x14ac:dyDescent="0.2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</row>
    <row r="722" spans="1:30" ht="12.75" customHeight="1" x14ac:dyDescent="0.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</row>
    <row r="723" spans="1:30" ht="12.75" customHeight="1" x14ac:dyDescent="0.2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</row>
    <row r="724" spans="1:30" ht="12.75" customHeight="1" x14ac:dyDescent="0.2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</row>
    <row r="725" spans="1:30" ht="12.75" customHeight="1" x14ac:dyDescent="0.2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</row>
    <row r="726" spans="1:30" ht="12.75" customHeight="1" x14ac:dyDescent="0.2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</row>
    <row r="727" spans="1:30" ht="12.75" customHeight="1" x14ac:dyDescent="0.2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</row>
    <row r="728" spans="1:30" ht="12.75" customHeight="1" x14ac:dyDescent="0.2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</row>
    <row r="729" spans="1:30" ht="12.75" customHeight="1" x14ac:dyDescent="0.2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</row>
    <row r="730" spans="1:30" ht="12.75" customHeight="1" x14ac:dyDescent="0.2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</row>
    <row r="731" spans="1:30" ht="12.75" customHeight="1" x14ac:dyDescent="0.2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</row>
    <row r="732" spans="1:30" ht="12.75" customHeight="1" x14ac:dyDescent="0.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</row>
    <row r="733" spans="1:30" ht="12.75" customHeight="1" x14ac:dyDescent="0.2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</row>
    <row r="734" spans="1:30" ht="12.75" customHeight="1" x14ac:dyDescent="0.2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</row>
    <row r="735" spans="1:30" ht="12.75" customHeight="1" x14ac:dyDescent="0.2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</row>
    <row r="736" spans="1:30" ht="12.75" customHeight="1" x14ac:dyDescent="0.2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</row>
    <row r="737" spans="1:30" ht="12.75" customHeight="1" x14ac:dyDescent="0.2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</row>
    <row r="738" spans="1:30" ht="12.75" customHeight="1" x14ac:dyDescent="0.2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</row>
    <row r="739" spans="1:30" ht="12.75" customHeight="1" x14ac:dyDescent="0.2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</row>
    <row r="740" spans="1:30" ht="12.75" customHeight="1" x14ac:dyDescent="0.2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</row>
    <row r="741" spans="1:30" ht="12.75" customHeight="1" x14ac:dyDescent="0.2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</row>
    <row r="742" spans="1:30" ht="12.75" customHeight="1" x14ac:dyDescent="0.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</row>
    <row r="743" spans="1:30" ht="12.75" customHeight="1" x14ac:dyDescent="0.2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</row>
    <row r="744" spans="1:30" ht="12.75" customHeight="1" x14ac:dyDescent="0.2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</row>
    <row r="745" spans="1:30" ht="12.75" customHeight="1" x14ac:dyDescent="0.2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</row>
    <row r="746" spans="1:30" ht="12.75" customHeight="1" x14ac:dyDescent="0.2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</row>
    <row r="747" spans="1:30" ht="12.75" customHeight="1" x14ac:dyDescent="0.2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</row>
    <row r="748" spans="1:30" ht="12.75" customHeight="1" x14ac:dyDescent="0.2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</row>
    <row r="749" spans="1:30" ht="12.75" customHeight="1" x14ac:dyDescent="0.2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</row>
    <row r="750" spans="1:30" ht="12.75" customHeight="1" x14ac:dyDescent="0.2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</row>
    <row r="751" spans="1:30" ht="12.75" customHeight="1" x14ac:dyDescent="0.2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</row>
    <row r="752" spans="1:30" ht="12.75" customHeight="1" x14ac:dyDescent="0.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</row>
    <row r="753" spans="1:30" ht="12.75" customHeight="1" x14ac:dyDescent="0.2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</row>
    <row r="754" spans="1:30" ht="12.75" customHeight="1" x14ac:dyDescent="0.2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</row>
    <row r="755" spans="1:30" ht="12.75" customHeight="1" x14ac:dyDescent="0.2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</row>
    <row r="756" spans="1:30" ht="12.75" customHeight="1" x14ac:dyDescent="0.2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</row>
    <row r="757" spans="1:30" ht="12.75" customHeight="1" x14ac:dyDescent="0.2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</row>
    <row r="758" spans="1:30" ht="12.75" customHeight="1" x14ac:dyDescent="0.2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</row>
    <row r="759" spans="1:30" ht="12.75" customHeight="1" x14ac:dyDescent="0.2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</row>
    <row r="760" spans="1:30" ht="12.75" customHeight="1" x14ac:dyDescent="0.2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</row>
    <row r="761" spans="1:30" ht="12.75" customHeight="1" x14ac:dyDescent="0.2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</row>
    <row r="762" spans="1:30" ht="12.75" customHeight="1" x14ac:dyDescent="0.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</row>
    <row r="763" spans="1:30" ht="12.75" customHeight="1" x14ac:dyDescent="0.2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</row>
    <row r="764" spans="1:30" ht="12.75" customHeight="1" x14ac:dyDescent="0.2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</row>
    <row r="765" spans="1:30" ht="12.75" customHeight="1" x14ac:dyDescent="0.2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</row>
    <row r="766" spans="1:30" ht="12.75" customHeight="1" x14ac:dyDescent="0.2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</row>
    <row r="767" spans="1:30" ht="12.75" customHeight="1" x14ac:dyDescent="0.2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</row>
    <row r="768" spans="1:30" ht="12.75" customHeight="1" x14ac:dyDescent="0.2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</row>
    <row r="769" spans="1:30" ht="12.75" customHeight="1" x14ac:dyDescent="0.2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</row>
    <row r="770" spans="1:30" ht="12.75" customHeight="1" x14ac:dyDescent="0.2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</row>
    <row r="771" spans="1:30" ht="12.75" customHeight="1" x14ac:dyDescent="0.2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</row>
    <row r="772" spans="1:30" ht="12.75" customHeight="1" x14ac:dyDescent="0.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</row>
    <row r="773" spans="1:30" ht="12.75" customHeight="1" x14ac:dyDescent="0.2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</row>
    <row r="774" spans="1:30" ht="12.75" customHeight="1" x14ac:dyDescent="0.2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</row>
    <row r="775" spans="1:30" ht="12.75" customHeight="1" x14ac:dyDescent="0.2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</row>
    <row r="776" spans="1:30" ht="12.75" customHeight="1" x14ac:dyDescent="0.2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</row>
    <row r="777" spans="1:30" ht="12.75" customHeight="1" x14ac:dyDescent="0.2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</row>
    <row r="778" spans="1:30" ht="12.75" customHeight="1" x14ac:dyDescent="0.2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</row>
    <row r="779" spans="1:30" ht="12.75" customHeight="1" x14ac:dyDescent="0.2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</row>
    <row r="780" spans="1:30" ht="12.75" customHeight="1" x14ac:dyDescent="0.2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</row>
    <row r="781" spans="1:30" ht="12.75" customHeight="1" x14ac:dyDescent="0.2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</row>
    <row r="782" spans="1:30" ht="12.75" customHeight="1" x14ac:dyDescent="0.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</row>
    <row r="783" spans="1:30" ht="12.75" customHeight="1" x14ac:dyDescent="0.2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</row>
    <row r="784" spans="1:30" ht="12.75" customHeight="1" x14ac:dyDescent="0.2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</row>
    <row r="785" spans="1:30" ht="12.75" customHeight="1" x14ac:dyDescent="0.2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</row>
    <row r="786" spans="1:30" ht="12.75" customHeight="1" x14ac:dyDescent="0.2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</row>
    <row r="787" spans="1:30" ht="12.75" customHeight="1" x14ac:dyDescent="0.2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</row>
    <row r="788" spans="1:30" ht="12.75" customHeight="1" x14ac:dyDescent="0.2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</row>
    <row r="789" spans="1:30" ht="12.75" customHeight="1" x14ac:dyDescent="0.2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</row>
    <row r="790" spans="1:30" ht="12.75" customHeight="1" x14ac:dyDescent="0.2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</row>
    <row r="791" spans="1:30" ht="12.75" customHeight="1" x14ac:dyDescent="0.2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</row>
    <row r="792" spans="1:30" ht="12.75" customHeight="1" x14ac:dyDescent="0.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</row>
    <row r="793" spans="1:30" ht="12.75" customHeight="1" x14ac:dyDescent="0.2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</row>
    <row r="794" spans="1:30" ht="12.75" customHeight="1" x14ac:dyDescent="0.2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</row>
    <row r="795" spans="1:30" ht="12.75" customHeight="1" x14ac:dyDescent="0.2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</row>
    <row r="796" spans="1:30" ht="12.75" customHeight="1" x14ac:dyDescent="0.2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</row>
    <row r="797" spans="1:30" ht="12.75" customHeight="1" x14ac:dyDescent="0.2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</row>
    <row r="798" spans="1:30" ht="12.75" customHeight="1" x14ac:dyDescent="0.2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</row>
    <row r="799" spans="1:30" ht="12.75" customHeight="1" x14ac:dyDescent="0.2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</row>
    <row r="800" spans="1:30" ht="12.75" customHeight="1" x14ac:dyDescent="0.2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</row>
    <row r="801" spans="1:30" ht="12.75" customHeight="1" x14ac:dyDescent="0.2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</row>
    <row r="802" spans="1:30" ht="12.75" customHeight="1" x14ac:dyDescent="0.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</row>
    <row r="803" spans="1:30" ht="12.75" customHeight="1" x14ac:dyDescent="0.2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</row>
    <row r="804" spans="1:30" ht="12.75" customHeight="1" x14ac:dyDescent="0.2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</row>
    <row r="805" spans="1:30" ht="12.75" customHeight="1" x14ac:dyDescent="0.2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</row>
    <row r="806" spans="1:30" ht="12.75" customHeight="1" x14ac:dyDescent="0.2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</row>
    <row r="807" spans="1:30" ht="12.75" customHeight="1" x14ac:dyDescent="0.2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</row>
    <row r="808" spans="1:30" ht="12.75" customHeight="1" x14ac:dyDescent="0.2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</row>
    <row r="809" spans="1:30" ht="12.75" customHeight="1" x14ac:dyDescent="0.2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</row>
    <row r="810" spans="1:30" ht="12.75" customHeight="1" x14ac:dyDescent="0.2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</row>
    <row r="811" spans="1:30" ht="12.75" customHeight="1" x14ac:dyDescent="0.2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</row>
    <row r="812" spans="1:30" ht="12.75" customHeight="1" x14ac:dyDescent="0.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</row>
    <row r="813" spans="1:30" ht="12.75" customHeight="1" x14ac:dyDescent="0.2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</row>
    <row r="814" spans="1:30" ht="12.75" customHeight="1" x14ac:dyDescent="0.2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</row>
    <row r="815" spans="1:30" ht="12.75" customHeight="1" x14ac:dyDescent="0.2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</row>
    <row r="816" spans="1:30" ht="12.75" customHeight="1" x14ac:dyDescent="0.2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</row>
    <row r="817" spans="1:30" ht="12.75" customHeight="1" x14ac:dyDescent="0.2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</row>
    <row r="818" spans="1:30" ht="12.75" customHeight="1" x14ac:dyDescent="0.2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</row>
    <row r="819" spans="1:30" ht="12.75" customHeight="1" x14ac:dyDescent="0.2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</row>
    <row r="820" spans="1:30" ht="12.75" customHeight="1" x14ac:dyDescent="0.2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</row>
    <row r="821" spans="1:30" ht="12.75" customHeight="1" x14ac:dyDescent="0.2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</row>
    <row r="822" spans="1:30" ht="12.75" customHeight="1" x14ac:dyDescent="0.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</row>
    <row r="823" spans="1:30" ht="12.75" customHeight="1" x14ac:dyDescent="0.2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</row>
    <row r="824" spans="1:30" ht="12.75" customHeight="1" x14ac:dyDescent="0.2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</row>
    <row r="825" spans="1:30" ht="12.75" customHeight="1" x14ac:dyDescent="0.2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</row>
    <row r="826" spans="1:30" ht="12.75" customHeight="1" x14ac:dyDescent="0.2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</row>
    <row r="827" spans="1:30" ht="12.75" customHeight="1" x14ac:dyDescent="0.2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</row>
    <row r="828" spans="1:30" ht="12.75" customHeight="1" x14ac:dyDescent="0.2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</row>
    <row r="829" spans="1:30" ht="12.75" customHeight="1" x14ac:dyDescent="0.2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</row>
    <row r="830" spans="1:30" ht="12.75" customHeight="1" x14ac:dyDescent="0.2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</row>
    <row r="831" spans="1:30" ht="12.75" customHeight="1" x14ac:dyDescent="0.2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</row>
    <row r="832" spans="1:30" ht="12.75" customHeight="1" x14ac:dyDescent="0.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</row>
    <row r="833" spans="1:30" ht="12.75" customHeight="1" x14ac:dyDescent="0.2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</row>
    <row r="834" spans="1:30" ht="12.75" customHeight="1" x14ac:dyDescent="0.2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</row>
    <row r="835" spans="1:30" ht="12.75" customHeight="1" x14ac:dyDescent="0.2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</row>
    <row r="836" spans="1:30" ht="12.75" customHeight="1" x14ac:dyDescent="0.2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</row>
    <row r="837" spans="1:30" ht="12.75" customHeight="1" x14ac:dyDescent="0.2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</row>
    <row r="838" spans="1:30" ht="12.75" customHeight="1" x14ac:dyDescent="0.2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</row>
    <row r="839" spans="1:30" ht="12.75" customHeight="1" x14ac:dyDescent="0.2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</row>
    <row r="840" spans="1:30" ht="12.75" customHeight="1" x14ac:dyDescent="0.2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</row>
    <row r="841" spans="1:30" ht="12.75" customHeight="1" x14ac:dyDescent="0.2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</row>
    <row r="842" spans="1:30" ht="12.75" customHeight="1" x14ac:dyDescent="0.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</row>
    <row r="843" spans="1:30" ht="12.75" customHeight="1" x14ac:dyDescent="0.2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</row>
    <row r="844" spans="1:30" ht="12.75" customHeight="1" x14ac:dyDescent="0.2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</row>
    <row r="845" spans="1:30" ht="12.75" customHeight="1" x14ac:dyDescent="0.2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</row>
    <row r="846" spans="1:30" ht="12.75" customHeight="1" x14ac:dyDescent="0.2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</row>
    <row r="847" spans="1:30" ht="12.75" customHeight="1" x14ac:dyDescent="0.2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</row>
    <row r="848" spans="1:30" ht="12.75" customHeight="1" x14ac:dyDescent="0.2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</row>
    <row r="849" spans="1:30" ht="12.75" customHeight="1" x14ac:dyDescent="0.2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</row>
    <row r="850" spans="1:30" ht="12.75" customHeight="1" x14ac:dyDescent="0.2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</row>
    <row r="851" spans="1:30" ht="12.75" customHeight="1" x14ac:dyDescent="0.2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</row>
    <row r="852" spans="1:30" ht="12.75" customHeight="1" x14ac:dyDescent="0.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</row>
    <row r="853" spans="1:30" ht="12.75" customHeight="1" x14ac:dyDescent="0.2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</row>
    <row r="854" spans="1:30" ht="12.75" customHeight="1" x14ac:dyDescent="0.2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</row>
    <row r="855" spans="1:30" ht="12.75" customHeight="1" x14ac:dyDescent="0.2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</row>
    <row r="856" spans="1:30" ht="12.75" customHeight="1" x14ac:dyDescent="0.2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</row>
    <row r="857" spans="1:30" ht="12.75" customHeight="1" x14ac:dyDescent="0.2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</row>
    <row r="858" spans="1:30" ht="12.75" customHeight="1" x14ac:dyDescent="0.2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</row>
    <row r="859" spans="1:30" ht="12.75" customHeight="1" x14ac:dyDescent="0.2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</row>
    <row r="860" spans="1:30" ht="12.75" customHeight="1" x14ac:dyDescent="0.2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</row>
    <row r="861" spans="1:30" ht="12.75" customHeight="1" x14ac:dyDescent="0.2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</row>
    <row r="862" spans="1:30" ht="12.75" customHeight="1" x14ac:dyDescent="0.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</row>
    <row r="863" spans="1:30" ht="12.75" customHeight="1" x14ac:dyDescent="0.2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</row>
    <row r="864" spans="1:30" ht="12.75" customHeight="1" x14ac:dyDescent="0.2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</row>
    <row r="865" spans="1:30" ht="12.75" customHeight="1" x14ac:dyDescent="0.2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</row>
    <row r="866" spans="1:30" ht="12.75" customHeight="1" x14ac:dyDescent="0.2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</row>
    <row r="867" spans="1:30" ht="12.75" customHeight="1" x14ac:dyDescent="0.2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</row>
    <row r="868" spans="1:30" ht="12.75" customHeight="1" x14ac:dyDescent="0.2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</row>
    <row r="869" spans="1:30" ht="12.75" customHeight="1" x14ac:dyDescent="0.2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</row>
    <row r="870" spans="1:30" ht="12.75" customHeight="1" x14ac:dyDescent="0.2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</row>
    <row r="871" spans="1:30" ht="12.75" customHeight="1" x14ac:dyDescent="0.2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</row>
    <row r="872" spans="1:30" ht="12.75" customHeight="1" x14ac:dyDescent="0.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</row>
    <row r="873" spans="1:30" ht="12.75" customHeight="1" x14ac:dyDescent="0.2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</row>
    <row r="874" spans="1:30" ht="12.75" customHeight="1" x14ac:dyDescent="0.2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</row>
    <row r="875" spans="1:30" ht="12.75" customHeight="1" x14ac:dyDescent="0.2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</row>
    <row r="876" spans="1:30" ht="12.75" customHeight="1" x14ac:dyDescent="0.2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</row>
    <row r="877" spans="1:30" ht="12.75" customHeight="1" x14ac:dyDescent="0.2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</row>
    <row r="878" spans="1:30" ht="12.75" customHeight="1" x14ac:dyDescent="0.2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</row>
    <row r="879" spans="1:30" ht="12.75" customHeight="1" x14ac:dyDescent="0.2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</row>
    <row r="880" spans="1:30" ht="12.75" customHeight="1" x14ac:dyDescent="0.2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</row>
    <row r="881" spans="1:30" ht="12.75" customHeight="1" x14ac:dyDescent="0.2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</row>
    <row r="882" spans="1:30" ht="12.75" customHeight="1" x14ac:dyDescent="0.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</row>
    <row r="883" spans="1:30" ht="12.75" customHeight="1" x14ac:dyDescent="0.2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</row>
    <row r="884" spans="1:30" ht="12.75" customHeight="1" x14ac:dyDescent="0.2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</row>
    <row r="885" spans="1:30" ht="12.75" customHeight="1" x14ac:dyDescent="0.2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</row>
    <row r="886" spans="1:30" ht="12.75" customHeight="1" x14ac:dyDescent="0.2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</row>
    <row r="887" spans="1:30" ht="12.75" customHeight="1" x14ac:dyDescent="0.2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</row>
    <row r="888" spans="1:30" ht="12.75" customHeight="1" x14ac:dyDescent="0.2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</row>
    <row r="889" spans="1:30" ht="12.75" customHeight="1" x14ac:dyDescent="0.2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</row>
    <row r="890" spans="1:30" ht="12.75" customHeight="1" x14ac:dyDescent="0.2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</row>
    <row r="891" spans="1:30" ht="12.75" customHeight="1" x14ac:dyDescent="0.2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</row>
    <row r="892" spans="1:30" ht="12.75" customHeight="1" x14ac:dyDescent="0.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</row>
    <row r="893" spans="1:30" ht="12.75" customHeight="1" x14ac:dyDescent="0.2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</row>
    <row r="894" spans="1:30" ht="12.75" customHeight="1" x14ac:dyDescent="0.2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</row>
    <row r="895" spans="1:30" ht="12.75" customHeight="1" x14ac:dyDescent="0.2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</row>
    <row r="896" spans="1:30" ht="12.75" customHeight="1" x14ac:dyDescent="0.2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</row>
    <row r="897" spans="1:30" ht="12.75" customHeight="1" x14ac:dyDescent="0.2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</row>
    <row r="898" spans="1:30" ht="12.75" customHeight="1" x14ac:dyDescent="0.2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</row>
    <row r="899" spans="1:30" ht="12.75" customHeight="1" x14ac:dyDescent="0.2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</row>
    <row r="900" spans="1:30" ht="12.75" customHeight="1" x14ac:dyDescent="0.2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</row>
    <row r="901" spans="1:30" ht="12.75" customHeight="1" x14ac:dyDescent="0.2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</row>
    <row r="902" spans="1:30" ht="12.75" customHeight="1" x14ac:dyDescent="0.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</row>
    <row r="903" spans="1:30" ht="12.75" customHeight="1" x14ac:dyDescent="0.2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</row>
    <row r="904" spans="1:30" ht="12.75" customHeight="1" x14ac:dyDescent="0.2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</row>
    <row r="905" spans="1:30" ht="12.75" customHeight="1" x14ac:dyDescent="0.2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</row>
    <row r="906" spans="1:30" ht="12.75" customHeight="1" x14ac:dyDescent="0.2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</row>
    <row r="907" spans="1:30" ht="12.75" customHeight="1" x14ac:dyDescent="0.2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</row>
    <row r="908" spans="1:30" ht="12.75" customHeight="1" x14ac:dyDescent="0.2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</row>
    <row r="909" spans="1:30" ht="12.75" customHeight="1" x14ac:dyDescent="0.2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</row>
    <row r="910" spans="1:30" ht="12.75" customHeight="1" x14ac:dyDescent="0.2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</row>
    <row r="911" spans="1:30" ht="12.75" customHeight="1" x14ac:dyDescent="0.2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</row>
    <row r="912" spans="1:30" ht="12.75" customHeight="1" x14ac:dyDescent="0.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</row>
    <row r="913" spans="1:30" ht="12.75" customHeight="1" x14ac:dyDescent="0.2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</row>
    <row r="914" spans="1:30" ht="12.75" customHeight="1" x14ac:dyDescent="0.2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</row>
    <row r="915" spans="1:30" ht="12.75" customHeight="1" x14ac:dyDescent="0.2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</row>
    <row r="916" spans="1:30" ht="12.75" customHeight="1" x14ac:dyDescent="0.2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</row>
    <row r="917" spans="1:30" ht="12.75" customHeight="1" x14ac:dyDescent="0.2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</row>
    <row r="918" spans="1:30" ht="12.75" customHeight="1" x14ac:dyDescent="0.2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</row>
    <row r="919" spans="1:30" ht="12.75" customHeight="1" x14ac:dyDescent="0.2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</row>
    <row r="920" spans="1:30" ht="12.75" customHeight="1" x14ac:dyDescent="0.2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</row>
    <row r="921" spans="1:30" ht="12.75" customHeight="1" x14ac:dyDescent="0.2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</row>
    <row r="922" spans="1:30" ht="12.75" customHeight="1" x14ac:dyDescent="0.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</row>
    <row r="923" spans="1:30" ht="12.75" customHeight="1" x14ac:dyDescent="0.2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</row>
    <row r="924" spans="1:30" ht="12.75" customHeight="1" x14ac:dyDescent="0.2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</row>
    <row r="925" spans="1:30" ht="12.75" customHeight="1" x14ac:dyDescent="0.2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</row>
    <row r="926" spans="1:30" ht="12.75" customHeight="1" x14ac:dyDescent="0.2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</row>
    <row r="927" spans="1:30" ht="12.75" customHeight="1" x14ac:dyDescent="0.2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</row>
    <row r="928" spans="1:30" ht="12.75" customHeight="1" x14ac:dyDescent="0.2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</row>
    <row r="929" spans="1:30" ht="12.75" customHeight="1" x14ac:dyDescent="0.2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</row>
    <row r="930" spans="1:30" ht="12.75" customHeight="1" x14ac:dyDescent="0.2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</row>
    <row r="931" spans="1:30" ht="12.75" customHeight="1" x14ac:dyDescent="0.2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</row>
    <row r="932" spans="1:30" ht="12.75" customHeight="1" x14ac:dyDescent="0.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</row>
    <row r="933" spans="1:30" ht="12.75" customHeight="1" x14ac:dyDescent="0.2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</row>
    <row r="934" spans="1:30" ht="12.75" customHeight="1" x14ac:dyDescent="0.2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</row>
    <row r="935" spans="1:30" ht="12.75" customHeight="1" x14ac:dyDescent="0.2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</row>
    <row r="936" spans="1:30" ht="12.75" customHeight="1" x14ac:dyDescent="0.2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</row>
    <row r="937" spans="1:30" ht="12.75" customHeight="1" x14ac:dyDescent="0.2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</row>
    <row r="938" spans="1:30" ht="12.75" customHeight="1" x14ac:dyDescent="0.2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</row>
    <row r="939" spans="1:30" ht="12.75" customHeight="1" x14ac:dyDescent="0.2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</row>
    <row r="940" spans="1:30" ht="12.75" customHeight="1" x14ac:dyDescent="0.2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</row>
    <row r="941" spans="1:30" ht="12.75" customHeight="1" x14ac:dyDescent="0.2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</row>
    <row r="942" spans="1:30" ht="12.75" customHeight="1" x14ac:dyDescent="0.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</row>
    <row r="943" spans="1:30" ht="12.75" customHeight="1" x14ac:dyDescent="0.2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</row>
    <row r="944" spans="1:30" ht="12.75" customHeight="1" x14ac:dyDescent="0.2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</row>
    <row r="945" spans="1:30" ht="12.75" customHeight="1" x14ac:dyDescent="0.2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</row>
    <row r="946" spans="1:30" ht="12.75" customHeight="1" x14ac:dyDescent="0.2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</row>
    <row r="947" spans="1:30" ht="12.75" customHeight="1" x14ac:dyDescent="0.2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</row>
    <row r="948" spans="1:30" ht="12.75" customHeight="1" x14ac:dyDescent="0.2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</row>
    <row r="949" spans="1:30" ht="12.75" customHeight="1" x14ac:dyDescent="0.2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</row>
    <row r="950" spans="1:30" ht="12.75" customHeight="1" x14ac:dyDescent="0.2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</row>
    <row r="951" spans="1:30" ht="12.75" customHeight="1" x14ac:dyDescent="0.2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</row>
    <row r="952" spans="1:30" ht="12.75" customHeight="1" x14ac:dyDescent="0.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</row>
    <row r="953" spans="1:30" ht="12.75" customHeight="1" x14ac:dyDescent="0.2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</row>
    <row r="954" spans="1:30" ht="12.75" customHeight="1" x14ac:dyDescent="0.2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</row>
    <row r="955" spans="1:30" ht="12.75" customHeight="1" x14ac:dyDescent="0.2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</row>
    <row r="956" spans="1:30" ht="12.75" customHeight="1" x14ac:dyDescent="0.2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</row>
    <row r="957" spans="1:30" ht="12.75" customHeight="1" x14ac:dyDescent="0.2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</row>
    <row r="958" spans="1:30" ht="12.75" customHeight="1" x14ac:dyDescent="0.2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</row>
    <row r="959" spans="1:30" ht="12.75" customHeight="1" x14ac:dyDescent="0.2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</row>
    <row r="960" spans="1:30" ht="12.75" customHeight="1" x14ac:dyDescent="0.2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</row>
    <row r="961" spans="1:30" ht="12.75" customHeight="1" x14ac:dyDescent="0.2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</row>
    <row r="962" spans="1:30" ht="12.75" customHeight="1" x14ac:dyDescent="0.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</row>
    <row r="963" spans="1:30" ht="12.75" customHeight="1" x14ac:dyDescent="0.2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</row>
    <row r="964" spans="1:30" ht="12.75" customHeight="1" x14ac:dyDescent="0.2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</row>
    <row r="965" spans="1:30" ht="12.75" customHeight="1" x14ac:dyDescent="0.2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</row>
    <row r="966" spans="1:30" ht="12.75" customHeight="1" x14ac:dyDescent="0.2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</row>
    <row r="967" spans="1:30" ht="12.75" customHeight="1" x14ac:dyDescent="0.2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</row>
    <row r="968" spans="1:30" ht="12.75" customHeight="1" x14ac:dyDescent="0.2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</row>
    <row r="969" spans="1:30" ht="12.75" customHeight="1" x14ac:dyDescent="0.2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</row>
    <row r="970" spans="1:30" ht="12.75" customHeight="1" x14ac:dyDescent="0.2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</row>
    <row r="971" spans="1:30" ht="12.75" customHeight="1" x14ac:dyDescent="0.2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</row>
    <row r="972" spans="1:30" ht="12.75" customHeight="1" x14ac:dyDescent="0.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</row>
    <row r="973" spans="1:30" ht="12.75" customHeight="1" x14ac:dyDescent="0.2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</row>
    <row r="974" spans="1:30" ht="12.75" customHeight="1" x14ac:dyDescent="0.2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</row>
    <row r="975" spans="1:30" ht="12.75" customHeight="1" x14ac:dyDescent="0.2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</row>
    <row r="976" spans="1:30" ht="12.75" customHeight="1" x14ac:dyDescent="0.2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</row>
    <row r="977" spans="1:30" ht="12.75" customHeight="1" x14ac:dyDescent="0.2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</row>
    <row r="978" spans="1:30" ht="12.75" customHeight="1" x14ac:dyDescent="0.2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</row>
    <row r="979" spans="1:30" ht="12.75" customHeight="1" x14ac:dyDescent="0.2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</row>
    <row r="980" spans="1:30" ht="12.75" customHeight="1" x14ac:dyDescent="0.2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</row>
    <row r="981" spans="1:30" ht="12.75" customHeight="1" x14ac:dyDescent="0.2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</row>
    <row r="982" spans="1:30" ht="12.75" customHeight="1" x14ac:dyDescent="0.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</row>
    <row r="983" spans="1:30" ht="12.75" customHeight="1" x14ac:dyDescent="0.2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</row>
    <row r="984" spans="1:30" ht="12.75" customHeight="1" x14ac:dyDescent="0.2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</row>
    <row r="985" spans="1:30" ht="12.75" customHeight="1" x14ac:dyDescent="0.2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</row>
    <row r="986" spans="1:30" ht="12.75" customHeight="1" x14ac:dyDescent="0.2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</row>
    <row r="987" spans="1:30" ht="12.75" customHeight="1" x14ac:dyDescent="0.2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</row>
    <row r="988" spans="1:30" ht="12.75" customHeight="1" x14ac:dyDescent="0.2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</row>
    <row r="989" spans="1:30" ht="12.75" customHeight="1" x14ac:dyDescent="0.2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</row>
    <row r="990" spans="1:30" ht="12.75" customHeight="1" x14ac:dyDescent="0.2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</row>
    <row r="991" spans="1:30" ht="12.75" customHeight="1" x14ac:dyDescent="0.2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</row>
    <row r="992" spans="1:30" ht="12.75" customHeight="1" x14ac:dyDescent="0.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</row>
    <row r="993" spans="1:30" ht="12.75" customHeight="1" x14ac:dyDescent="0.2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</row>
    <row r="994" spans="1:30" ht="12.75" customHeight="1" x14ac:dyDescent="0.2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</row>
    <row r="995" spans="1:30" ht="12.75" customHeight="1" x14ac:dyDescent="0.2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</row>
    <row r="996" spans="1:30" ht="12.75" customHeight="1" x14ac:dyDescent="0.2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</row>
    <row r="997" spans="1:30" ht="12.75" customHeight="1" x14ac:dyDescent="0.2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</row>
    <row r="998" spans="1:30" ht="12.75" customHeight="1" x14ac:dyDescent="0.2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</row>
    <row r="999" spans="1:30" ht="12.75" customHeight="1" x14ac:dyDescent="0.2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</row>
    <row r="1000" spans="1:30" ht="12.75" customHeight="1" x14ac:dyDescent="0.2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</row>
  </sheetData>
  <mergeCells count="2">
    <mergeCell ref="E4:J6"/>
    <mergeCell ref="K26:O26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MDSx Episode Analysis HARDPASTE</vt:lpstr>
      <vt:lpstr>Research Sweden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E. Tanner</dc:creator>
  <cp:lastModifiedBy>Nikita Kuznetsov</cp:lastModifiedBy>
  <dcterms:created xsi:type="dcterms:W3CDTF">2017-07-07T13:35:12Z</dcterms:created>
  <dcterms:modified xsi:type="dcterms:W3CDTF">2025-04-07T19:27:17Z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-332391817</vt:i4>
  </property>
  <property fmtid="{D5CDD505-2E9C-101B-9397-08002B2CF9AE}" pid="3" name="_NewReviewCycle">
    <vt:lpwstr/>
  </property>
  <property fmtid="{D5CDD505-2E9C-101B-9397-08002B2CF9AE}" pid="4" name="_EmailSubject">
    <vt:lpwstr>MDSx - Module 9 revised spreadsheet and PPT slides based on revised videos</vt:lpwstr>
  </property>
  <property fmtid="{D5CDD505-2E9C-101B-9397-08002B2CF9AE}" pid="5" name="_AuthorEmail">
    <vt:lpwstr>ETanner@imf.org</vt:lpwstr>
  </property>
  <property fmtid="{D5CDD505-2E9C-101B-9397-08002B2CF9AE}" pid="6" name="_AuthorEmailDisplayName">
    <vt:lpwstr>Tanner, Evan Curtis</vt:lpwstr>
  </property>
  <property fmtid="{D5CDD505-2E9C-101B-9397-08002B2CF9AE}" pid="7" name="_ReviewingToolsShownOnce">
    <vt:lpwstr/>
  </property>
</Properties>
</file>