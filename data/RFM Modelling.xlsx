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ink/ink4.xml" ContentType="application/inkml+xml"/>
  <Override PartName="/xl/ink/ink5.xml" ContentType="application/inkml+xml"/>
  <Override PartName="/xl/ink/ink6.xml" ContentType="application/inkml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 filterPrivacy="1" hidePivotFieldList="1"/>
  <xr:revisionPtr revIDLastSave="0" documentId="13_ncr:1_{5E932F3A-9E9E-DF4A-AD04-23701AC166DF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Variant 1" sheetId="7" r:id="rId1"/>
    <sheet name="Variant 2" sheetId="8" r:id="rId2"/>
  </sheets>
  <definedNames>
    <definedName name="_xlnm._FilterDatabase" localSheetId="0" hidden="1">'Variant 1'!#REF!</definedName>
    <definedName name="_xlchart.v1.0" hidden="1">'Variant 2'!$AM$69:$AM$98</definedName>
    <definedName name="_xlchart.v1.1" hidden="1">'Variant 2'!$AN$68</definedName>
    <definedName name="_xlchart.v1.10" hidden="1">'Variant 2'!$AN$68</definedName>
    <definedName name="_xlchart.v1.11" hidden="1">'Variant 2'!$AN$69:$AN$98</definedName>
    <definedName name="_xlchart.v1.12" hidden="1">'Variant 2'!$AM$69:$AM$98</definedName>
    <definedName name="_xlchart.v1.13" hidden="1">'Variant 2'!$AN$68</definedName>
    <definedName name="_xlchart.v1.14" hidden="1">'Variant 2'!$AN$69:$AN$98</definedName>
    <definedName name="_xlchart.v1.2" hidden="1">'Variant 2'!$AN$69:$AN$98</definedName>
    <definedName name="_xlchart.v1.3" hidden="1">'Variant 2'!$AM$69:$AM$98</definedName>
    <definedName name="_xlchart.v1.4" hidden="1">'Variant 2'!$AN$68</definedName>
    <definedName name="_xlchart.v1.5" hidden="1">'Variant 2'!$AN$69:$AN$98</definedName>
    <definedName name="_xlchart.v1.6" hidden="1">'Variant 2'!$AM$69:$AM$98</definedName>
    <definedName name="_xlchart.v1.7" hidden="1">'Variant 2'!$AN$68</definedName>
    <definedName name="_xlchart.v1.8" hidden="1">'Variant 2'!$AN$69:$AN$98</definedName>
    <definedName name="_xlchart.v1.9" hidden="1">'Variant 2'!$AM$69:$AM$98</definedName>
  </definedNames>
  <calcPr calcId="191029"/>
  <pivotCaches>
    <pivotCache cacheId="109" r:id="rId3"/>
    <pivotCache cacheId="1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8" l="1"/>
  <c r="AS4" i="8" s="1"/>
  <c r="AL4" i="8"/>
  <c r="AL5" i="8"/>
  <c r="AL6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2" i="8"/>
  <c r="AT4" i="8" s="1"/>
  <c r="AJ3" i="8" a="1"/>
  <c r="AJ3" i="8" s="1"/>
  <c r="AJ2" i="8" a="1"/>
  <c r="AJ2" i="8" s="1"/>
  <c r="AK3" i="8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2" i="8"/>
  <c r="AS3" i="8" s="1"/>
  <c r="AJ4" i="8" a="1"/>
  <c r="AJ4" i="8" s="1"/>
  <c r="AJ5" i="8" a="1"/>
  <c r="AJ5" i="8"/>
  <c r="AJ6" i="8" a="1"/>
  <c r="AJ6" i="8" s="1"/>
  <c r="AJ7" i="8" a="1"/>
  <c r="AJ7" i="8" s="1"/>
  <c r="AJ8" i="8" a="1"/>
  <c r="AJ8" i="8"/>
  <c r="AJ9" i="8" a="1"/>
  <c r="AJ9" i="8"/>
  <c r="AJ10" i="8" a="1"/>
  <c r="AJ10" i="8"/>
  <c r="AJ11" i="8" a="1"/>
  <c r="AJ11" i="8" s="1"/>
  <c r="AJ12" i="8" a="1"/>
  <c r="AJ12" i="8"/>
  <c r="AJ13" i="8" a="1"/>
  <c r="AJ13" i="8" s="1"/>
  <c r="AJ14" i="8" a="1"/>
  <c r="AJ14" i="8"/>
  <c r="AJ15" i="8" a="1"/>
  <c r="AJ15" i="8" s="1"/>
  <c r="AJ16" i="8" a="1"/>
  <c r="AJ16" i="8"/>
  <c r="AJ17" i="8" a="1"/>
  <c r="AJ17" i="8"/>
  <c r="AJ18" i="8" a="1"/>
  <c r="AJ18" i="8"/>
  <c r="AJ19" i="8" a="1"/>
  <c r="AJ19" i="8" s="1"/>
  <c r="AJ20" i="8" a="1"/>
  <c r="AJ20" i="8" s="1"/>
  <c r="AJ21" i="8" a="1"/>
  <c r="AJ21" i="8" s="1"/>
  <c r="AJ22" i="8" a="1"/>
  <c r="AJ22" i="8"/>
  <c r="AJ23" i="8" a="1"/>
  <c r="AJ23" i="8" s="1"/>
  <c r="AJ24" i="8" a="1"/>
  <c r="AJ24" i="8" s="1"/>
  <c r="AJ25" i="8" a="1"/>
  <c r="AJ25" i="8"/>
  <c r="AJ26" i="8" a="1"/>
  <c r="AJ26" i="8"/>
  <c r="AJ27" i="8" a="1"/>
  <c r="AJ27" i="8" s="1"/>
  <c r="AJ28" i="8" a="1"/>
  <c r="AJ28" i="8" s="1"/>
  <c r="AJ29" i="8" a="1"/>
  <c r="AJ29" i="8"/>
  <c r="AJ30" i="8" a="1"/>
  <c r="AJ30" i="8" s="1"/>
  <c r="AJ31" i="8" a="1"/>
  <c r="AJ31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D2" i="8"/>
  <c r="E2" i="8" s="1"/>
  <c r="F2" i="8" s="1"/>
  <c r="G2" i="8" s="1"/>
  <c r="H2" i="8" s="1"/>
  <c r="I2" i="8" s="1"/>
  <c r="E11" i="8"/>
  <c r="N2" i="8"/>
  <c r="M2" i="8"/>
  <c r="L2" i="8"/>
  <c r="K2" i="8"/>
  <c r="F11" i="7"/>
  <c r="G11" i="7" s="1"/>
  <c r="H11" i="7" s="1"/>
  <c r="I11" i="7" s="1"/>
  <c r="J11" i="7" s="1"/>
  <c r="E11" i="7"/>
  <c r="D9" i="7"/>
  <c r="E9" i="7" s="1"/>
  <c r="F9" i="7" s="1"/>
  <c r="G9" i="7" s="1"/>
  <c r="H9" i="7" s="1"/>
  <c r="I9" i="7" s="1"/>
  <c r="J9" i="7" s="1"/>
  <c r="K9" i="7" s="1"/>
  <c r="L9" i="7" s="1"/>
  <c r="M9" i="7" s="1"/>
  <c r="N9" i="7" s="1"/>
  <c r="N2" i="7"/>
  <c r="M2" i="7"/>
  <c r="L2" i="7"/>
  <c r="K2" i="7"/>
  <c r="J2" i="7"/>
  <c r="I2" i="7"/>
  <c r="H2" i="7"/>
  <c r="G2" i="7"/>
  <c r="F2" i="7"/>
  <c r="E2" i="7"/>
  <c r="D2" i="7"/>
  <c r="AM26" i="8" l="1"/>
  <c r="AM21" i="8"/>
  <c r="AS2" i="8"/>
  <c r="AM23" i="8"/>
  <c r="AM6" i="8"/>
  <c r="AR2" i="8"/>
  <c r="AM25" i="8"/>
  <c r="AM14" i="8"/>
  <c r="AM4" i="8"/>
  <c r="AO40" i="8"/>
  <c r="AO48" i="8"/>
  <c r="AO56" i="8"/>
  <c r="AO64" i="8"/>
  <c r="AO41" i="8"/>
  <c r="AO49" i="8"/>
  <c r="AO57" i="8"/>
  <c r="AO35" i="8"/>
  <c r="AO43" i="8"/>
  <c r="AO51" i="8"/>
  <c r="AO59" i="8"/>
  <c r="AO42" i="8"/>
  <c r="AO50" i="8"/>
  <c r="AO58" i="8"/>
  <c r="AO36" i="8"/>
  <c r="AO44" i="8"/>
  <c r="AO52" i="8"/>
  <c r="AO60" i="8"/>
  <c r="AO37" i="8"/>
  <c r="AO45" i="8"/>
  <c r="AO53" i="8"/>
  <c r="AO61" i="8"/>
  <c r="AO39" i="8"/>
  <c r="AO47" i="8"/>
  <c r="AO55" i="8"/>
  <c r="AO63" i="8"/>
  <c r="AO38" i="8"/>
  <c r="AO46" i="8"/>
  <c r="AO54" i="8"/>
  <c r="AO62" i="8"/>
  <c r="AM29" i="8"/>
  <c r="AO23" i="8"/>
  <c r="AO15" i="8"/>
  <c r="AR4" i="8"/>
  <c r="AT3" i="8"/>
  <c r="AR3" i="8"/>
  <c r="AN21" i="8" s="1"/>
  <c r="AT2" i="8"/>
  <c r="F11" i="8"/>
  <c r="G11" i="8" s="1"/>
  <c r="H11" i="8" s="1"/>
  <c r="I11" i="8" s="1"/>
  <c r="J11" i="8" s="1"/>
  <c r="AN42" i="8" l="1"/>
  <c r="AN50" i="8"/>
  <c r="AN58" i="8"/>
  <c r="AN43" i="8"/>
  <c r="AN51" i="8"/>
  <c r="AN59" i="8"/>
  <c r="AN37" i="8"/>
  <c r="AN45" i="8"/>
  <c r="AN53" i="8"/>
  <c r="AN61" i="8"/>
  <c r="AN36" i="8"/>
  <c r="AN44" i="8"/>
  <c r="AN52" i="8"/>
  <c r="AN60" i="8"/>
  <c r="AN38" i="8"/>
  <c r="AN46" i="8"/>
  <c r="AN54" i="8"/>
  <c r="AN62" i="8"/>
  <c r="AN39" i="8"/>
  <c r="AN47" i="8"/>
  <c r="AN55" i="8"/>
  <c r="AN63" i="8"/>
  <c r="AN41" i="8"/>
  <c r="AN49" i="8"/>
  <c r="AN57" i="8"/>
  <c r="AN35" i="8"/>
  <c r="AN40" i="8"/>
  <c r="AN48" i="8"/>
  <c r="AN56" i="8"/>
  <c r="AN64" i="8"/>
  <c r="AN6" i="8"/>
  <c r="AN14" i="8"/>
  <c r="AN22" i="8"/>
  <c r="AN30" i="8"/>
  <c r="AN10" i="8"/>
  <c r="AN18" i="8"/>
  <c r="AN26" i="8"/>
  <c r="AN13" i="8"/>
  <c r="AM36" i="8"/>
  <c r="AM44" i="8"/>
  <c r="AP44" i="8" s="1"/>
  <c r="AM52" i="8"/>
  <c r="AM60" i="8"/>
  <c r="AM37" i="8"/>
  <c r="AP37" i="8" s="1"/>
  <c r="AM45" i="8"/>
  <c r="AP45" i="8" s="1"/>
  <c r="AM53" i="8"/>
  <c r="AP53" i="8" s="1"/>
  <c r="AM61" i="8"/>
  <c r="AP61" i="8" s="1"/>
  <c r="AM39" i="8"/>
  <c r="AP39" i="8" s="1"/>
  <c r="AM47" i="8"/>
  <c r="AP47" i="8" s="1"/>
  <c r="AM55" i="8"/>
  <c r="AM63" i="8"/>
  <c r="AM38" i="8"/>
  <c r="AP38" i="8" s="1"/>
  <c r="AM46" i="8"/>
  <c r="AP46" i="8" s="1"/>
  <c r="AM54" i="8"/>
  <c r="AP54" i="8" s="1"/>
  <c r="AM62" i="8"/>
  <c r="AP62" i="8" s="1"/>
  <c r="AM40" i="8"/>
  <c r="AP40" i="8" s="1"/>
  <c r="AM48" i="8"/>
  <c r="AP48" i="8" s="1"/>
  <c r="AM56" i="8"/>
  <c r="AM64" i="8"/>
  <c r="AM41" i="8"/>
  <c r="AP41" i="8" s="1"/>
  <c r="AM49" i="8"/>
  <c r="AP49" i="8" s="1"/>
  <c r="AM57" i="8"/>
  <c r="AP57" i="8" s="1"/>
  <c r="AM35" i="8"/>
  <c r="AP35" i="8" s="1"/>
  <c r="AM43" i="8"/>
  <c r="AP43" i="8" s="1"/>
  <c r="AM51" i="8"/>
  <c r="AM59" i="8"/>
  <c r="AM42" i="8"/>
  <c r="AM50" i="8"/>
  <c r="AP50" i="8" s="1"/>
  <c r="AM58" i="8"/>
  <c r="AP58" i="8" s="1"/>
  <c r="AN19" i="8"/>
  <c r="AO8" i="8"/>
  <c r="AO16" i="8"/>
  <c r="AO24" i="8"/>
  <c r="AO2" i="8"/>
  <c r="AO10" i="8"/>
  <c r="AO18" i="8"/>
  <c r="AO26" i="8"/>
  <c r="AO4" i="8"/>
  <c r="AO12" i="8"/>
  <c r="AO20" i="8"/>
  <c r="AO28" i="8"/>
  <c r="AO6" i="8"/>
  <c r="AO14" i="8"/>
  <c r="AO22" i="8"/>
  <c r="AO30" i="8"/>
  <c r="AN29" i="8"/>
  <c r="AO31" i="8"/>
  <c r="AM12" i="8"/>
  <c r="AM16" i="8"/>
  <c r="AM24" i="8"/>
  <c r="AM2" i="8"/>
  <c r="AN17" i="8"/>
  <c r="AO17" i="8"/>
  <c r="AO13" i="8"/>
  <c r="AN23" i="8"/>
  <c r="AM18" i="8"/>
  <c r="AN9" i="8"/>
  <c r="AO3" i="8"/>
  <c r="AM28" i="8"/>
  <c r="AN31" i="8"/>
  <c r="AM5" i="8"/>
  <c r="AM30" i="8"/>
  <c r="AM19" i="8"/>
  <c r="AM15" i="8"/>
  <c r="AO11" i="8"/>
  <c r="AN2" i="8"/>
  <c r="AO29" i="8"/>
  <c r="AM17" i="8"/>
  <c r="AM8" i="8"/>
  <c r="AM10" i="8"/>
  <c r="AO9" i="8"/>
  <c r="AM20" i="8"/>
  <c r="AO19" i="8"/>
  <c r="AN11" i="8"/>
  <c r="AN15" i="8"/>
  <c r="AN12" i="8"/>
  <c r="AN8" i="8"/>
  <c r="AN16" i="8"/>
  <c r="AN20" i="8"/>
  <c r="AM27" i="8"/>
  <c r="AO5" i="8"/>
  <c r="AM7" i="8"/>
  <c r="AN7" i="8"/>
  <c r="AN24" i="8"/>
  <c r="AM11" i="8"/>
  <c r="AM3" i="8"/>
  <c r="AM22" i="8"/>
  <c r="AN3" i="8"/>
  <c r="AM9" i="8"/>
  <c r="AM31" i="8"/>
  <c r="AO21" i="8"/>
  <c r="AN5" i="8"/>
  <c r="AO7" i="8"/>
  <c r="AM13" i="8"/>
  <c r="AN25" i="8"/>
  <c r="AN4" i="8"/>
  <c r="AO25" i="8"/>
  <c r="AO27" i="8"/>
  <c r="AN27" i="8"/>
  <c r="AN28" i="8"/>
  <c r="AP51" i="8" l="1"/>
  <c r="AP36" i="8"/>
  <c r="AP42" i="8"/>
  <c r="AP64" i="8"/>
  <c r="AP63" i="8"/>
  <c r="AP60" i="8"/>
  <c r="AP59" i="8"/>
  <c r="AP56" i="8"/>
  <c r="AP55" i="8"/>
  <c r="AP5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<sst xmlns="http://schemas.openxmlformats.org/spreadsheetml/2006/main" count="323" uniqueCount="72">
  <si>
    <t>1Q</t>
  </si>
  <si>
    <t>2Q</t>
  </si>
  <si>
    <t>3Q</t>
  </si>
  <si>
    <t>4Q</t>
  </si>
  <si>
    <t>Profits per quarter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</si>
  <si>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</si>
  <si>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</si>
  <si>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</si>
  <si>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</si>
  <si>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</si>
  <si>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</si>
  <si>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</si>
  <si>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</si>
  <si>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</si>
  <si>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</si>
  <si>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</si>
  <si>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</si>
  <si>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</si>
  <si>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</si>
  <si>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</si>
  <si>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</si>
  <si>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</si>
  <si>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</si>
  <si>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</si>
  <si>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</si>
  <si>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</si>
  <si>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</si>
  <si>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</si>
  <si>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</si>
  <si>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</si>
  <si>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</si>
  <si>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</si>
  <si>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</si>
  <si>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</si>
  <si>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</si>
  <si>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r>
      <t xml:space="preserve">Note: </t>
    </r>
    <r>
      <rPr>
        <sz val="11"/>
        <color rgb="FFFF0000"/>
        <rFont val="Calibri"/>
        <family val="2"/>
        <scheme val="minor"/>
      </rPr>
      <t>red colored values of CAC</t>
    </r>
  </si>
  <si>
    <t>R</t>
  </si>
  <si>
    <t>F</t>
  </si>
  <si>
    <t>M</t>
  </si>
  <si>
    <t>1 Завдання</t>
  </si>
  <si>
    <t>Bad-Good</t>
  </si>
  <si>
    <t>To determine 8 (=2*2*2) classes and describe their characteristics</t>
  </si>
  <si>
    <t>2 Завдання</t>
  </si>
  <si>
    <t xml:space="preserve">Score values </t>
  </si>
  <si>
    <t>1-2-3</t>
  </si>
  <si>
    <t xml:space="preserve">Weights </t>
  </si>
  <si>
    <t>To construct score values distributions</t>
  </si>
  <si>
    <t>3 Завдання</t>
  </si>
  <si>
    <t>Graphs of pairs of score values (R-F), (F-M), (R-M)</t>
  </si>
  <si>
    <t>Recency</t>
  </si>
  <si>
    <t>Frequency</t>
  </si>
  <si>
    <t>Monetary</t>
  </si>
  <si>
    <t>Group</t>
  </si>
  <si>
    <t>Median</t>
  </si>
  <si>
    <t>R_Group</t>
  </si>
  <si>
    <t>F_Group</t>
  </si>
  <si>
    <t>M_Group</t>
  </si>
  <si>
    <t>CAC</t>
  </si>
  <si>
    <t>Bad</t>
  </si>
  <si>
    <t>Good</t>
  </si>
  <si>
    <t>Average of Recency</t>
  </si>
  <si>
    <t>Average of Frequency</t>
  </si>
  <si>
    <t>Sum of Monetary</t>
  </si>
  <si>
    <t>33_%</t>
  </si>
  <si>
    <t>66_%</t>
  </si>
  <si>
    <t>Score_Value</t>
  </si>
  <si>
    <t>Bin</t>
  </si>
  <si>
    <t>More</t>
  </si>
  <si>
    <t>Bins</t>
  </si>
  <si>
    <t>(2-3)</t>
  </si>
  <si>
    <t>(1-2]</t>
  </si>
  <si>
    <t>Count of Profits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</si>
</sst>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6" borderId="1" xfId="0" applyFont="1" applyFill="1" applyBorder="1"/>
    <xf numFmtId="0" fontId="4" fillId="5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5" borderId="1" xfId="0" applyFont="1" applyFill="1" applyBorder="1"/>
    <xf numFmtId="0" fontId="6" fillId="5" borderId="1" xfId="0" applyFont="1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0" fillId="4" borderId="0" xfId="0" applyFill="1"/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0" fontId="1" fillId="7" borderId="0" xfId="0" applyFont="1" applyFill="1"/>
    <xf numFmtId="1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NumberFormat="1" applyFill="1" applyBorder="1" applyAlignme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'Variant 2'!$AS$35:$AS$40</c:f>
              <c:strCache>
                <c:ptCount val="6"/>
                <c:pt idx="0">
                  <c:v>1</c:v>
                </c:pt>
                <c:pt idx="1">
                  <c:v>1.4</c:v>
                </c:pt>
                <c:pt idx="2">
                  <c:v>1.8</c:v>
                </c:pt>
                <c:pt idx="3">
                  <c:v>2.2</c:v>
                </c:pt>
                <c:pt idx="4">
                  <c:v>2.6</c:v>
                </c:pt>
                <c:pt idx="5">
                  <c:v>More</c:v>
                </c:pt>
              </c:strCache>
            </c:strRef>
          </c:cat>
          <c:val>
            <c:numRef>
              <c:f>'Variant 2'!$AT$35:$AT$40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D8-684D-8DBE-A2DC0A800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8847247"/>
        <c:axId val="464831504"/>
      </c:barChart>
      <c:catAx>
        <c:axId val="1438847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4831504"/>
        <c:crosses val="autoZero"/>
        <c:auto val="1"/>
        <c:lblAlgn val="ctr"/>
        <c:lblOffset val="100"/>
        <c:noMultiLvlLbl val="0"/>
      </c:catAx>
      <c:valAx>
        <c:axId val="464831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884724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 (with bins)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'Variant 2'!$BD$35:$BD$38</c:f>
              <c:strCache>
                <c:ptCount val="4"/>
                <c:pt idx="0">
                  <c:v>1</c:v>
                </c:pt>
                <c:pt idx="1">
                  <c:v>(1-2]</c:v>
                </c:pt>
                <c:pt idx="2">
                  <c:v>(2-3)</c:v>
                </c:pt>
                <c:pt idx="3">
                  <c:v>3</c:v>
                </c:pt>
              </c:strCache>
            </c:strRef>
          </c:cat>
          <c:val>
            <c:numRef>
              <c:f>'Variant 2'!$BE$35:$BE$38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5-224D-9CD9-AB7282CA1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672847"/>
        <c:axId val="2013732431"/>
      </c:barChart>
      <c:catAx>
        <c:axId val="2013672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3732431"/>
        <c:crosses val="autoZero"/>
        <c:auto val="1"/>
        <c:lblAlgn val="ctr"/>
        <c:lblOffset val="100"/>
        <c:noMultiLvlLbl val="0"/>
      </c:catAx>
      <c:valAx>
        <c:axId val="2013732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367284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R_F_plot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'Variant 2'!$AV$85</c:f>
              <c:strCache>
                <c:ptCount val="1"/>
                <c:pt idx="0">
                  <c:v>F_Group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A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'Variant 2'!$AU$86:$AU$92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</c:numCache>
            </c:numRef>
          </c:xVal>
          <c:yVal>
            <c:numRef>
              <c:f>'Variant 2'!$AV$86:$AV$92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bubbleSize>
            <c:numRef>
              <c:f>'Variant 2'!$AW$86:$AW$92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EAB7-2B47-85E4-F5F5C37A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076901231"/>
        <c:axId val="1397367039"/>
      </c:bubbleChart>
      <c:valAx>
        <c:axId val="207690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397367039"/>
        <c:crosses val="autoZero"/>
        <c:crossBetween val="midCat"/>
      </c:valAx>
      <c:valAx>
        <c:axId val="139736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207690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R_M_plot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bubbleChart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A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'Variant 2'!$AY$86:$AY$93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</c:numCache>
            </c:numRef>
          </c:xVal>
          <c:yVal>
            <c:numRef>
              <c:f>'Variant 2'!$AZ$86:$AZ$93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</c:numCache>
            </c:numRef>
          </c:yVal>
          <c:bubbleSize>
            <c:numRef>
              <c:f>'Variant 2'!$BA$86:$BA$93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21E-EF41-84D9-E5B3DB357F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74625872"/>
        <c:axId val="854328720"/>
      </c:bubbleChart>
      <c:valAx>
        <c:axId val="7462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854328720"/>
        <c:crosses val="autoZero"/>
        <c:crossBetween val="midCat"/>
      </c:valAx>
      <c:valAx>
        <c:axId val="85432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7462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F_M_plot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bubbleChart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A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'Variant 2'!$BD$86:$BD$91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xVal>
          <c:yVal>
            <c:numRef>
              <c:f>'Variant 2'!$BE$86:$BE$91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bubbleSize>
            <c:numRef>
              <c:f>'Variant 2'!$BF$86:$BF$91</c:f>
              <c:numCache>
                <c:formatCode>General</c:formatCode>
                <c:ptCount val="6"/>
                <c:pt idx="0">
                  <c:v>10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4203-A942-9579-E0354A83147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941864367"/>
        <c:axId val="1934740751"/>
      </c:bubbleChart>
      <c:valAx>
        <c:axId val="194186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934740751"/>
        <c:crosses val="autoZero"/>
        <c:crossBetween val="midCat"/>
      </c:valAx>
      <c:valAx>
        <c:axId val="193474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94186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ustomXml" Target="../ink/ink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ustomXml" Target="../ink/ink5.xml"/><Relationship Id="rId7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ustomXml" Target="../ink/ink4.xml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customXml" Target="../ink/ink6.xml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540660</xdr:colOff>
      <xdr:row>3</xdr:row>
      <xdr:rowOff>126360</xdr:rowOff>
    </xdr:from>
    <xdr:to>
      <xdr:col>16</xdr:col>
      <xdr:colOff>541020</xdr:colOff>
      <xdr:row>3</xdr:row>
      <xdr:rowOff>126720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Рукописный ввод 5">
              <a:extLst>
                <a:ext uri="{FF2B5EF4-FFF2-40B4-BE49-F238E27FC236}">
                  <a16:creationId xmlns:a16="http://schemas.microsoft.com/office/drawing/2014/main" id="{5BD72FC2-77A8-4836-8574-30B7B56B6840}"/>
                </a:ext>
              </a:extLst>
            </xdr14:cNvPr>
            <xdr14:cNvContentPartPr/>
          </xdr14:nvContentPartPr>
          <xdr14:nvPr macro=""/>
          <xdr14:xfrm>
            <a:off x="11121030" y="675000"/>
            <a:ext cx="360" cy="360"/>
          </xdr14:xfrm>
        </xdr:contentPart>
      </mc:Choice>
      <mc:Fallback xmlns="">
        <xdr:pic>
          <xdr:nvPicPr>
            <xdr:cNvPr id="6" name="Рукописный ввод 5">
              <a:extLst>
                <a:ext uri="{FF2B5EF4-FFF2-40B4-BE49-F238E27FC236}">
                  <a16:creationId xmlns:a16="http://schemas.microsoft.com/office/drawing/2014/main" id="{C4B7573A-49E5-4E86-AB31-83C2476E73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12390" y="6663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540660</xdr:colOff>
      <xdr:row>3</xdr:row>
      <xdr:rowOff>126360</xdr:rowOff>
    </xdr:from>
    <xdr:to>
      <xdr:col>17</xdr:col>
      <xdr:colOff>541020</xdr:colOff>
      <xdr:row>3</xdr:row>
      <xdr:rowOff>126720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Рукописный ввод 5">
              <a:extLst>
                <a:ext uri="{FF2B5EF4-FFF2-40B4-BE49-F238E27FC236}">
                  <a16:creationId xmlns:a16="http://schemas.microsoft.com/office/drawing/2014/main" id="{21C1E599-8B94-48B6-AA57-6684E5F7EA70}"/>
                </a:ext>
              </a:extLst>
            </xdr14:cNvPr>
            <xdr14:cNvContentPartPr/>
          </xdr14:nvContentPartPr>
          <xdr14:nvPr macro=""/>
          <xdr14:xfrm>
            <a:off x="11121030" y="675000"/>
            <a:ext cx="360" cy="360"/>
          </xdr14:xfrm>
        </xdr:contentPart>
      </mc:Choice>
      <mc:Fallback xmlns="">
        <xdr:pic>
          <xdr:nvPicPr>
            <xdr:cNvPr id="6" name="Рукописный ввод 5">
              <a:extLst>
                <a:ext uri="{FF2B5EF4-FFF2-40B4-BE49-F238E27FC236}">
                  <a16:creationId xmlns:a16="http://schemas.microsoft.com/office/drawing/2014/main" id="{C4B7573A-49E5-4E86-AB31-83C2476E73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12390" y="6663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18</xdr:col>
      <xdr:colOff>540660</xdr:colOff>
      <xdr:row>3</xdr:row>
      <xdr:rowOff>126360</xdr:rowOff>
    </xdr:from>
    <xdr:to>
      <xdr:col>18</xdr:col>
      <xdr:colOff>541020</xdr:colOff>
      <xdr:row>3</xdr:row>
      <xdr:rowOff>126720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Рукописный ввод 5">
              <a:extLst>
                <a:ext uri="{FF2B5EF4-FFF2-40B4-BE49-F238E27FC236}">
                  <a16:creationId xmlns:a16="http://schemas.microsoft.com/office/drawing/2014/main" id="{F91B1484-B0C9-4DF7-BC9B-3F11F96C0F26}"/>
                </a:ext>
              </a:extLst>
            </xdr14:cNvPr>
            <xdr14:cNvContentPartPr/>
          </xdr14:nvContentPartPr>
          <xdr14:nvPr macro=""/>
          <xdr14:xfrm>
            <a:off x="11121030" y="675000"/>
            <a:ext cx="360" cy="360"/>
          </xdr14:xfrm>
        </xdr:contentPart>
      </mc:Choice>
      <mc:Fallback xmlns="">
        <xdr:pic>
          <xdr:nvPicPr>
            <xdr:cNvPr id="6" name="Рукописный ввод 5">
              <a:extLst>
                <a:ext uri="{FF2B5EF4-FFF2-40B4-BE49-F238E27FC236}">
                  <a16:creationId xmlns:a16="http://schemas.microsoft.com/office/drawing/2014/main" id="{C4B7573A-49E5-4E86-AB31-83C2476E73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12390" y="6663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540660</xdr:colOff>
      <xdr:row>3</xdr:row>
      <xdr:rowOff>126360</xdr:rowOff>
    </xdr:from>
    <xdr:to>
      <xdr:col>16</xdr:col>
      <xdr:colOff>541020</xdr:colOff>
      <xdr:row>3</xdr:row>
      <xdr:rowOff>126720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Рукописный ввод 5">
              <a:extLst>
                <a:ext uri="{FF2B5EF4-FFF2-40B4-BE49-F238E27FC236}">
                  <a16:creationId xmlns:a16="http://schemas.microsoft.com/office/drawing/2014/main" id="{C4B7573A-49E5-4E86-AB31-83C2476E7337}"/>
                </a:ext>
              </a:extLst>
            </xdr14:cNvPr>
            <xdr14:cNvContentPartPr/>
          </xdr14:nvContentPartPr>
          <xdr14:nvPr macro=""/>
          <xdr14:xfrm>
            <a:off x="11121030" y="675000"/>
            <a:ext cx="360" cy="360"/>
          </xdr14:xfrm>
        </xdr:contentPart>
      </mc:Choice>
      <mc:Fallback xmlns="">
        <xdr:pic>
          <xdr:nvPicPr>
            <xdr:cNvPr id="6" name="Рукописный ввод 5">
              <a:extLst>
                <a:ext uri="{FF2B5EF4-FFF2-40B4-BE49-F238E27FC236}">
                  <a16:creationId xmlns:a16="http://schemas.microsoft.com/office/drawing/2014/main" id="{C4B7573A-49E5-4E86-AB31-83C2476E73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12390" y="6663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540660</xdr:colOff>
      <xdr:row>3</xdr:row>
      <xdr:rowOff>126360</xdr:rowOff>
    </xdr:from>
    <xdr:to>
      <xdr:col>17</xdr:col>
      <xdr:colOff>541020</xdr:colOff>
      <xdr:row>3</xdr:row>
      <xdr:rowOff>126720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" name="Рукописный ввод 5">
              <a:extLst>
                <a:ext uri="{FF2B5EF4-FFF2-40B4-BE49-F238E27FC236}">
                  <a16:creationId xmlns:a16="http://schemas.microsoft.com/office/drawing/2014/main" id="{9225C701-3C14-4539-A513-2669B0C7709C}"/>
                </a:ext>
              </a:extLst>
            </xdr14:cNvPr>
            <xdr14:cNvContentPartPr/>
          </xdr14:nvContentPartPr>
          <xdr14:nvPr macro=""/>
          <xdr14:xfrm>
            <a:off x="11121030" y="675000"/>
            <a:ext cx="360" cy="360"/>
          </xdr14:xfrm>
        </xdr:contentPart>
      </mc:Choice>
      <mc:Fallback xmlns="">
        <xdr:pic>
          <xdr:nvPicPr>
            <xdr:cNvPr id="6" name="Рукописный ввод 5">
              <a:extLst>
                <a:ext uri="{FF2B5EF4-FFF2-40B4-BE49-F238E27FC236}">
                  <a16:creationId xmlns:a16="http://schemas.microsoft.com/office/drawing/2014/main" id="{C4B7573A-49E5-4E86-AB31-83C2476E73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12390" y="6663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18</xdr:col>
      <xdr:colOff>540660</xdr:colOff>
      <xdr:row>3</xdr:row>
      <xdr:rowOff>126360</xdr:rowOff>
    </xdr:from>
    <xdr:to>
      <xdr:col>18</xdr:col>
      <xdr:colOff>541020</xdr:colOff>
      <xdr:row>3</xdr:row>
      <xdr:rowOff>126720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" name="Рукописный ввод 5">
              <a:extLst>
                <a:ext uri="{FF2B5EF4-FFF2-40B4-BE49-F238E27FC236}">
                  <a16:creationId xmlns:a16="http://schemas.microsoft.com/office/drawing/2014/main" id="{05C4B491-AE3D-4CB3-A278-D2F8A5381477}"/>
                </a:ext>
              </a:extLst>
            </xdr14:cNvPr>
            <xdr14:cNvContentPartPr/>
          </xdr14:nvContentPartPr>
          <xdr14:nvPr macro=""/>
          <xdr14:xfrm>
            <a:off x="11121030" y="675000"/>
            <a:ext cx="360" cy="360"/>
          </xdr14:xfrm>
        </xdr:contentPart>
      </mc:Choice>
      <mc:Fallback xmlns="">
        <xdr:pic>
          <xdr:nvPicPr>
            <xdr:cNvPr id="6" name="Рукописный ввод 5">
              <a:extLst>
                <a:ext uri="{FF2B5EF4-FFF2-40B4-BE49-F238E27FC236}">
                  <a16:creationId xmlns:a16="http://schemas.microsoft.com/office/drawing/2014/main" id="{C4B7573A-49E5-4E86-AB31-83C2476E73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12390" y="6663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45</xdr:col>
      <xdr:colOff>469900</xdr:colOff>
      <xdr:row>51</xdr:row>
      <xdr:rowOff>76200</xdr:rowOff>
    </xdr:from>
    <xdr:to>
      <xdr:col>54</xdr:col>
      <xdr:colOff>596900</xdr:colOff>
      <xdr:row>74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B645F2-5620-F18D-A44D-43BF4D95F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609600</xdr:colOff>
      <xdr:row>35</xdr:row>
      <xdr:rowOff>127000</xdr:rowOff>
    </xdr:from>
    <xdr:to>
      <xdr:col>54</xdr:col>
      <xdr:colOff>469900</xdr:colOff>
      <xdr:row>50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8137C7-0D1C-A159-D5B9-393608472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450850</xdr:colOff>
      <xdr:row>75</xdr:row>
      <xdr:rowOff>69850</xdr:rowOff>
    </xdr:from>
    <xdr:to>
      <xdr:col>45</xdr:col>
      <xdr:colOff>558800</xdr:colOff>
      <xdr:row>95</xdr:row>
      <xdr:rowOff>139700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8283B98-946A-3203-A232-D35C1A71D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419100</xdr:colOff>
      <xdr:row>94</xdr:row>
      <xdr:rowOff>184150</xdr:rowOff>
    </xdr:from>
    <xdr:to>
      <xdr:col>45</xdr:col>
      <xdr:colOff>622300</xdr:colOff>
      <xdr:row>112</xdr:row>
      <xdr:rowOff>127000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91AF4A0-7B14-5FA3-45CD-6591C3715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158750</xdr:colOff>
      <xdr:row>88</xdr:row>
      <xdr:rowOff>146050</xdr:rowOff>
    </xdr:from>
    <xdr:to>
      <xdr:col>51</xdr:col>
      <xdr:colOff>825500</xdr:colOff>
      <xdr:row>106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F997BD8-662B-C359-AB12-52C1781F3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4-18T12:52:03.94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1580 1876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4-18T12:52:03.949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1580 1876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4-18T12:52:03.950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1580 1876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4-19T05:43:51.771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1580 1876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4-18T12:46:19.60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1580 1876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4-18T12:46:21.299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1580 1876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67.455024884257" createdVersion="8" refreshedVersion="8" minRefreshableVersion="3" recordCount="30" xr:uid="{C8C5CA1D-178E-0844-BE04-85CAA2DB4878}">
  <cacheSource type="worksheet">
    <worksheetSource ref="V1:AO31" sheet="Variant 2"/>
  </cacheSource>
  <cacheFields count="20">
    <cacheField name="Profits per quarter" numFmtId="0">
      <sharedItems/>
    </cacheField>
    <cacheField name="CAC" numFmtId="0">
      <sharedItems containsString="0" containsBlank="1" containsNumber="1" containsInteger="1" minValue="-400" maxValue="-50"/>
    </cacheField>
    <cacheField name="1" numFmtId="0">
      <sharedItems containsString="0" containsBlank="1" containsNumber="1" containsInteger="1" minValue="-50" maxValue="1200"/>
    </cacheField>
    <cacheField name="2" numFmtId="0">
      <sharedItems containsString="0" containsBlank="1" containsNumber="1" containsInteger="1" minValue="10" maxValue="1890"/>
    </cacheField>
    <cacheField name="3" numFmtId="0">
      <sharedItems containsString="0" containsBlank="1" containsNumber="1" containsInteger="1" minValue="-500" maxValue="1200"/>
    </cacheField>
    <cacheField name="4" numFmtId="0">
      <sharedItems containsString="0" containsBlank="1" containsNumber="1" containsInteger="1" minValue="20" maxValue="1340"/>
    </cacheField>
    <cacheField name="5" numFmtId="0">
      <sharedItems containsString="0" containsBlank="1" containsNumber="1" containsInteger="1" minValue="-200" maxValue="2300"/>
    </cacheField>
    <cacheField name="6" numFmtId="0">
      <sharedItems containsString="0" containsBlank="1" containsNumber="1" containsInteger="1" minValue="40" maxValue="1000"/>
    </cacheField>
    <cacheField name="7" numFmtId="0">
      <sharedItems containsString="0" containsBlank="1" containsNumber="1" containsInteger="1" minValue="40" maxValue="1000"/>
    </cacheField>
    <cacheField name="8" numFmtId="0">
      <sharedItems containsString="0" containsBlank="1" containsNumber="1" containsInteger="1" minValue="40" maxValue="1000"/>
    </cacheField>
    <cacheField name="9" numFmtId="0">
      <sharedItems containsString="0" containsBlank="1" containsNumber="1" containsInteger="1" minValue="-300" maxValue="680"/>
    </cacheField>
    <cacheField name="10" numFmtId="0">
      <sharedItems containsString="0" containsBlank="1" containsNumber="1" containsInteger="1" minValue="80" maxValue="740"/>
    </cacheField>
    <cacheField name="11" numFmtId="0">
      <sharedItems containsString="0" containsBlank="1" containsNumber="1" containsInteger="1" minValue="80" maxValue="800"/>
    </cacheField>
    <cacheField name="12" numFmtId="0">
      <sharedItems containsString="0" containsBlank="1" containsNumber="1" containsInteger="1" minValue="80" maxValue="860"/>
    </cacheField>
    <cacheField name="Recency" numFmtId="0">
      <sharedItems containsSemiMixedTypes="0" containsString="0" containsNumber="1" containsInteger="1" minValue="0" maxValue="11"/>
    </cacheField>
    <cacheField name="Frequency" numFmtId="0">
      <sharedItems containsSemiMixedTypes="0" containsString="0" containsNumber="1" containsInteger="1" minValue="0" maxValue="12"/>
    </cacheField>
    <cacheField name="Monetary" numFmtId="0">
      <sharedItems containsSemiMixedTypes="0" containsString="0" containsNumber="1" containsInteger="1" minValue="-300" maxValue="6140"/>
    </cacheField>
    <cacheField name="R_Group" numFmtId="0">
      <sharedItems count="2">
        <s v="Good"/>
        <s v="Bad"/>
      </sharedItems>
    </cacheField>
    <cacheField name="F_Group" numFmtId="0">
      <sharedItems count="2">
        <s v="Good"/>
        <s v="Bad"/>
      </sharedItems>
    </cacheField>
    <cacheField name="M_Group" numFmtId="0">
      <sharedItems count="2">
        <s v="Good"/>
        <s v="Ba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67.487372337964" createdVersion="8" refreshedVersion="8" minRefreshableVersion="3" recordCount="30" xr:uid="{B2DBD57F-A37E-1549-8313-457F7BA823C1}">
  <cacheSource type="worksheet">
    <worksheetSource ref="V68:AO98" sheet="Variant 2"/>
  </cacheSource>
  <cacheFields count="20">
    <cacheField name="Profits per quarter" numFmtId="0">
      <sharedItems count="30">
        <s v="Customer 1"/>
        <s v="Customer 2"/>
        <s v="Customer 3"/>
        <s v="Customer 4"/>
        <s v="Customer 5"/>
        <s v="Customer 6"/>
        <s v="Customer 7"/>
        <s v="Customer 8"/>
        <s v="Customer 9"/>
        <s v="Customer 10"/>
        <s v="Customer 11"/>
        <s v="Customer 12"/>
        <s v="Customer 13"/>
        <s v="Customer 14"/>
        <s v="Customer 15"/>
        <s v="Customer 16"/>
        <s v="Customer 17"/>
        <s v="Customer 18"/>
        <s v="Customer 19"/>
        <s v="Customer 20"/>
        <s v="Customer 21"/>
        <s v="Customer 22"/>
        <s v="Customer 23"/>
        <s v="Customer 24"/>
        <s v="Customer 25"/>
        <s v="Customer 26"/>
        <s v="Customer 27"/>
        <s v="Customer 28"/>
        <s v="Customer 29"/>
        <s v="Customer 30"/>
      </sharedItems>
    </cacheField>
    <cacheField name="CAC" numFmtId="0">
      <sharedItems containsString="0" containsBlank="1" containsNumber="1" containsInteger="1" minValue="-400" maxValue="-50"/>
    </cacheField>
    <cacheField name="1" numFmtId="0">
      <sharedItems containsString="0" containsBlank="1" containsNumber="1" containsInteger="1" minValue="-50" maxValue="1200"/>
    </cacheField>
    <cacheField name="2" numFmtId="0">
      <sharedItems containsString="0" containsBlank="1" containsNumber="1" containsInteger="1" minValue="10" maxValue="1890"/>
    </cacheField>
    <cacheField name="3" numFmtId="0">
      <sharedItems containsString="0" containsBlank="1" containsNumber="1" containsInteger="1" minValue="-500" maxValue="1200"/>
    </cacheField>
    <cacheField name="4" numFmtId="0">
      <sharedItems containsString="0" containsBlank="1" containsNumber="1" containsInteger="1" minValue="20" maxValue="1340"/>
    </cacheField>
    <cacheField name="5" numFmtId="0">
      <sharedItems containsString="0" containsBlank="1" containsNumber="1" containsInteger="1" minValue="-200" maxValue="2300"/>
    </cacheField>
    <cacheField name="6" numFmtId="0">
      <sharedItems containsString="0" containsBlank="1" containsNumber="1" containsInteger="1" minValue="40" maxValue="1000"/>
    </cacheField>
    <cacheField name="7" numFmtId="0">
      <sharedItems containsString="0" containsBlank="1" containsNumber="1" containsInteger="1" minValue="40" maxValue="1000"/>
    </cacheField>
    <cacheField name="8" numFmtId="0">
      <sharedItems containsString="0" containsBlank="1" containsNumber="1" containsInteger="1" minValue="40" maxValue="1000"/>
    </cacheField>
    <cacheField name="9" numFmtId="0">
      <sharedItems containsString="0" containsBlank="1" containsNumber="1" containsInteger="1" minValue="-300" maxValue="680"/>
    </cacheField>
    <cacheField name="10" numFmtId="0">
      <sharedItems containsString="0" containsBlank="1" containsNumber="1" containsInteger="1" minValue="80" maxValue="740"/>
    </cacheField>
    <cacheField name="11" numFmtId="0">
      <sharedItems containsString="0" containsBlank="1" containsNumber="1" containsInteger="1" minValue="80" maxValue="800"/>
    </cacheField>
    <cacheField name="12" numFmtId="0">
      <sharedItems containsString="0" containsBlank="1" containsNumber="1" containsInteger="1" minValue="80" maxValue="860"/>
    </cacheField>
    <cacheField name="Recency" numFmtId="0">
      <sharedItems containsSemiMixedTypes="0" containsString="0" containsNumber="1" containsInteger="1" minValue="0" maxValue="11"/>
    </cacheField>
    <cacheField name="Frequency" numFmtId="0">
      <sharedItems containsSemiMixedTypes="0" containsString="0" containsNumber="1" containsInteger="1" minValue="0" maxValue="12"/>
    </cacheField>
    <cacheField name="Monetary" numFmtId="0">
      <sharedItems containsSemiMixedTypes="0" containsString="0" containsNumber="1" containsInteger="1" minValue="-300" maxValue="6140"/>
    </cacheField>
    <cacheField name="R_Group" numFmtId="0">
      <sharedItems containsSemiMixedTypes="0" containsString="0" containsNumber="1" containsInteger="1" minValue="1" maxValue="3" count="3">
        <n v="3"/>
        <n v="2"/>
        <n v="1"/>
      </sharedItems>
    </cacheField>
    <cacheField name="F_Group" numFmtId="0">
      <sharedItems containsSemiMixedTypes="0" containsString="0" containsNumber="1" containsInteger="1" minValue="1" maxValue="3" count="3">
        <n v="3"/>
        <n v="2"/>
        <n v="1"/>
      </sharedItems>
    </cacheField>
    <cacheField name="M_Group" numFmtId="0">
      <sharedItems containsSemiMixedTypes="0" containsString="0" containsNumber="1" containsInteger="1" minValue="1" maxValue="3" count="3"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ustomer 1"/>
    <n v="-200"/>
    <n v="50"/>
    <n v="150"/>
    <n v="250"/>
    <n v="350"/>
    <n v="450"/>
    <n v="550"/>
    <n v="650"/>
    <m/>
    <n v="100"/>
    <n v="100"/>
    <n v="100"/>
    <n v="100"/>
    <n v="0"/>
    <n v="11"/>
    <n v="2650"/>
    <x v="0"/>
    <x v="0"/>
    <x v="0"/>
  </r>
  <r>
    <s v="Customer 2"/>
    <m/>
    <m/>
    <m/>
    <n v="-500"/>
    <n v="1340"/>
    <n v="2300"/>
    <n v="1000"/>
    <n v="1000"/>
    <n v="1000"/>
    <m/>
    <m/>
    <m/>
    <m/>
    <n v="4"/>
    <n v="5"/>
    <n v="6140"/>
    <x v="1"/>
    <x v="0"/>
    <x v="0"/>
  </r>
  <r>
    <s v="Customer 3"/>
    <n v="-100"/>
    <n v="20"/>
    <n v="20"/>
    <n v="20"/>
    <n v="20"/>
    <n v="40"/>
    <n v="40"/>
    <n v="40"/>
    <n v="40"/>
    <n v="80"/>
    <n v="80"/>
    <n v="80"/>
    <n v="80"/>
    <n v="0"/>
    <n v="12"/>
    <n v="460"/>
    <x v="0"/>
    <x v="0"/>
    <x v="1"/>
  </r>
  <r>
    <s v="Customer 4"/>
    <n v="-100"/>
    <n v="40"/>
    <n v="40"/>
    <n v="40"/>
    <n v="20"/>
    <n v="80"/>
    <n v="80"/>
    <n v="80"/>
    <n v="40"/>
    <n v="80"/>
    <n v="80"/>
    <n v="80"/>
    <n v="80"/>
    <n v="0"/>
    <n v="12"/>
    <n v="640"/>
    <x v="0"/>
    <x v="0"/>
    <x v="0"/>
  </r>
  <r>
    <s v="Customer 5"/>
    <m/>
    <n v="-50"/>
    <n v="400"/>
    <n v="400"/>
    <n v="400"/>
    <n v="310"/>
    <n v="380"/>
    <n v="300"/>
    <n v="300"/>
    <n v="300"/>
    <n v="300"/>
    <n v="300"/>
    <n v="300"/>
    <n v="0"/>
    <n v="11"/>
    <n v="3640"/>
    <x v="0"/>
    <x v="0"/>
    <x v="0"/>
  </r>
  <r>
    <s v="Customer 6"/>
    <n v="-400"/>
    <n v="150"/>
    <n v="150"/>
    <n v="150"/>
    <n v="150"/>
    <n v="200"/>
    <n v="200"/>
    <n v="200"/>
    <n v="200"/>
    <n v="200"/>
    <n v="200"/>
    <n v="200"/>
    <n v="200"/>
    <n v="0"/>
    <n v="12"/>
    <n v="1800"/>
    <x v="0"/>
    <x v="0"/>
    <x v="0"/>
  </r>
  <r>
    <s v="Customer 7"/>
    <n v="-50"/>
    <n v="400"/>
    <m/>
    <m/>
    <n v="400"/>
    <n v="400"/>
    <m/>
    <m/>
    <n v="400"/>
    <n v="400"/>
    <m/>
    <m/>
    <n v="400"/>
    <n v="0"/>
    <n v="6"/>
    <n v="2350"/>
    <x v="0"/>
    <x v="0"/>
    <x v="0"/>
  </r>
  <r>
    <s v="Customer 8"/>
    <n v="-400"/>
    <n v="200"/>
    <n v="260"/>
    <n v="320"/>
    <n v="380"/>
    <n v="440"/>
    <n v="500"/>
    <n v="560"/>
    <n v="620"/>
    <n v="680"/>
    <n v="740"/>
    <n v="800"/>
    <n v="860"/>
    <n v="0"/>
    <n v="12"/>
    <n v="5960"/>
    <x v="0"/>
    <x v="0"/>
    <x v="0"/>
  </r>
  <r>
    <s v="Customer 9"/>
    <n v="-100"/>
    <n v="560"/>
    <n v="560"/>
    <n v="560"/>
    <n v="560"/>
    <n v="560"/>
    <n v="560"/>
    <m/>
    <m/>
    <m/>
    <m/>
    <m/>
    <m/>
    <n v="6"/>
    <n v="6"/>
    <n v="3260"/>
    <x v="1"/>
    <x v="0"/>
    <x v="0"/>
  </r>
  <r>
    <s v="Customer 10"/>
    <n v="-100"/>
    <m/>
    <n v="600"/>
    <n v="575"/>
    <n v="550"/>
    <n v="525"/>
    <n v="500"/>
    <n v="475"/>
    <n v="450"/>
    <m/>
    <m/>
    <m/>
    <m/>
    <n v="4"/>
    <n v="7"/>
    <n v="3575"/>
    <x v="1"/>
    <x v="0"/>
    <x v="0"/>
  </r>
  <r>
    <s v="Customer 11"/>
    <n v="-100"/>
    <n v="80"/>
    <n v="80"/>
    <n v="80"/>
    <n v="80"/>
    <n v="80"/>
    <n v="80"/>
    <n v="80"/>
    <n v="80"/>
    <n v="80"/>
    <n v="80"/>
    <n v="80"/>
    <n v="80"/>
    <n v="0"/>
    <n v="12"/>
    <n v="860"/>
    <x v="0"/>
    <x v="0"/>
    <x v="0"/>
  </r>
  <r>
    <s v="Customer 12"/>
    <n v="-100"/>
    <m/>
    <n v="400"/>
    <m/>
    <m/>
    <n v="310"/>
    <m/>
    <n v="300"/>
    <m/>
    <n v="230"/>
    <m/>
    <m/>
    <m/>
    <n v="3"/>
    <n v="4"/>
    <n v="1140"/>
    <x v="0"/>
    <x v="0"/>
    <x v="0"/>
  </r>
  <r>
    <s v="Customer 13"/>
    <n v="-100"/>
    <m/>
    <n v="60"/>
    <n v="80"/>
    <n v="120"/>
    <n v="200"/>
    <m/>
    <m/>
    <n v="210"/>
    <m/>
    <m/>
    <m/>
    <m/>
    <n v="4"/>
    <n v="5"/>
    <n v="570"/>
    <x v="1"/>
    <x v="0"/>
    <x v="1"/>
  </r>
  <r>
    <s v="Customer 14"/>
    <m/>
    <n v="-50"/>
    <n v="1890"/>
    <m/>
    <m/>
    <m/>
    <m/>
    <m/>
    <m/>
    <m/>
    <m/>
    <m/>
    <m/>
    <n v="10"/>
    <n v="1"/>
    <n v="1840"/>
    <x v="1"/>
    <x v="1"/>
    <x v="0"/>
  </r>
  <r>
    <s v="Customer 15"/>
    <n v="-100"/>
    <n v="89"/>
    <n v="10"/>
    <n v="35"/>
    <n v="65"/>
    <n v="80"/>
    <n v="120"/>
    <n v="140"/>
    <n v="145"/>
    <n v="168"/>
    <n v="189"/>
    <n v="201"/>
    <n v="201"/>
    <n v="0"/>
    <n v="12"/>
    <n v="1343"/>
    <x v="0"/>
    <x v="0"/>
    <x v="0"/>
  </r>
  <r>
    <s v="Customer 16"/>
    <n v="-100"/>
    <m/>
    <n v="25"/>
    <n v="35"/>
    <n v="45"/>
    <n v="55"/>
    <n v="80"/>
    <n v="80"/>
    <n v="80"/>
    <n v="75"/>
    <n v="80"/>
    <n v="80"/>
    <n v="80"/>
    <n v="0"/>
    <n v="11"/>
    <n v="615"/>
    <x v="0"/>
    <x v="0"/>
    <x v="0"/>
  </r>
  <r>
    <s v="Customer 17"/>
    <n v="-300"/>
    <n v="1200"/>
    <n v="1200"/>
    <n v="1200"/>
    <m/>
    <m/>
    <m/>
    <m/>
    <m/>
    <m/>
    <m/>
    <m/>
    <m/>
    <n v="9"/>
    <n v="3"/>
    <n v="3300"/>
    <x v="1"/>
    <x v="1"/>
    <x v="0"/>
  </r>
  <r>
    <s v="Customer 18"/>
    <n v="-100"/>
    <n v="90"/>
    <m/>
    <m/>
    <m/>
    <m/>
    <m/>
    <m/>
    <m/>
    <m/>
    <m/>
    <m/>
    <m/>
    <n v="11"/>
    <n v="1"/>
    <n v="-10"/>
    <x v="1"/>
    <x v="1"/>
    <x v="1"/>
  </r>
  <r>
    <s v="Customer 19"/>
    <n v="-100"/>
    <m/>
    <n v="60"/>
    <n v="60"/>
    <m/>
    <m/>
    <m/>
    <m/>
    <m/>
    <m/>
    <m/>
    <m/>
    <m/>
    <n v="9"/>
    <n v="2"/>
    <n v="20"/>
    <x v="1"/>
    <x v="1"/>
    <x v="1"/>
  </r>
  <r>
    <s v="Customer 20"/>
    <m/>
    <m/>
    <m/>
    <n v="-100"/>
    <m/>
    <m/>
    <m/>
    <m/>
    <m/>
    <m/>
    <m/>
    <m/>
    <m/>
    <n v="9"/>
    <n v="0"/>
    <n v="-100"/>
    <x v="1"/>
    <x v="1"/>
    <x v="1"/>
  </r>
  <r>
    <s v="Customer 21"/>
    <m/>
    <m/>
    <m/>
    <m/>
    <m/>
    <n v="-50"/>
    <m/>
    <m/>
    <m/>
    <m/>
    <m/>
    <m/>
    <m/>
    <n v="7"/>
    <n v="0"/>
    <n v="-50"/>
    <x v="1"/>
    <x v="1"/>
    <x v="1"/>
  </r>
  <r>
    <s v="Customer 22"/>
    <m/>
    <m/>
    <m/>
    <m/>
    <m/>
    <n v="-200"/>
    <m/>
    <m/>
    <m/>
    <m/>
    <m/>
    <m/>
    <m/>
    <n v="7"/>
    <n v="0"/>
    <n v="-200"/>
    <x v="1"/>
    <x v="1"/>
    <x v="1"/>
  </r>
  <r>
    <s v="Customer 23"/>
    <m/>
    <m/>
    <m/>
    <m/>
    <m/>
    <n v="-200"/>
    <m/>
    <m/>
    <m/>
    <m/>
    <m/>
    <m/>
    <m/>
    <n v="7"/>
    <n v="0"/>
    <n v="-200"/>
    <x v="1"/>
    <x v="1"/>
    <x v="1"/>
  </r>
  <r>
    <s v="Customer 24"/>
    <m/>
    <m/>
    <m/>
    <m/>
    <m/>
    <n v="-200"/>
    <m/>
    <m/>
    <m/>
    <m/>
    <m/>
    <m/>
    <m/>
    <n v="7"/>
    <n v="0"/>
    <n v="-200"/>
    <x v="1"/>
    <x v="1"/>
    <x v="1"/>
  </r>
  <r>
    <s v="Customer 25"/>
    <m/>
    <m/>
    <m/>
    <m/>
    <m/>
    <n v="-200"/>
    <m/>
    <m/>
    <m/>
    <m/>
    <m/>
    <m/>
    <m/>
    <n v="7"/>
    <n v="0"/>
    <n v="-200"/>
    <x v="1"/>
    <x v="1"/>
    <x v="1"/>
  </r>
  <r>
    <s v="Customer 26"/>
    <m/>
    <m/>
    <m/>
    <m/>
    <m/>
    <m/>
    <m/>
    <m/>
    <m/>
    <n v="-300"/>
    <m/>
    <m/>
    <m/>
    <n v="3"/>
    <n v="0"/>
    <n v="-300"/>
    <x v="0"/>
    <x v="1"/>
    <x v="1"/>
  </r>
  <r>
    <s v="Customer 27"/>
    <m/>
    <m/>
    <m/>
    <m/>
    <m/>
    <m/>
    <m/>
    <m/>
    <m/>
    <n v="-300"/>
    <m/>
    <m/>
    <m/>
    <n v="3"/>
    <n v="0"/>
    <n v="-300"/>
    <x v="0"/>
    <x v="1"/>
    <x v="1"/>
  </r>
  <r>
    <s v="Customer 28"/>
    <m/>
    <m/>
    <m/>
    <m/>
    <m/>
    <m/>
    <m/>
    <m/>
    <m/>
    <n v="-300"/>
    <m/>
    <m/>
    <m/>
    <n v="3"/>
    <n v="0"/>
    <n v="-300"/>
    <x v="0"/>
    <x v="1"/>
    <x v="1"/>
  </r>
  <r>
    <s v="Customer 29"/>
    <m/>
    <m/>
    <m/>
    <m/>
    <m/>
    <m/>
    <m/>
    <m/>
    <m/>
    <n v="-300"/>
    <m/>
    <m/>
    <m/>
    <n v="3"/>
    <n v="0"/>
    <n v="-300"/>
    <x v="0"/>
    <x v="1"/>
    <x v="1"/>
  </r>
  <r>
    <s v="Customer 30"/>
    <m/>
    <m/>
    <m/>
    <m/>
    <m/>
    <m/>
    <m/>
    <m/>
    <m/>
    <n v="-300"/>
    <m/>
    <m/>
    <m/>
    <n v="3"/>
    <n v="0"/>
    <n v="-300"/>
    <x v="0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-200"/>
    <n v="50"/>
    <n v="150"/>
    <n v="250"/>
    <n v="350"/>
    <n v="450"/>
    <n v="550"/>
    <n v="650"/>
    <m/>
    <n v="100"/>
    <n v="100"/>
    <n v="100"/>
    <n v="100"/>
    <n v="0"/>
    <n v="11"/>
    <n v="2650"/>
    <x v="0"/>
    <x v="0"/>
    <x v="0"/>
  </r>
  <r>
    <x v="1"/>
    <m/>
    <m/>
    <m/>
    <n v="-500"/>
    <n v="1340"/>
    <n v="2300"/>
    <n v="1000"/>
    <n v="1000"/>
    <n v="1000"/>
    <m/>
    <m/>
    <m/>
    <m/>
    <n v="4"/>
    <n v="5"/>
    <n v="6140"/>
    <x v="1"/>
    <x v="1"/>
    <x v="0"/>
  </r>
  <r>
    <x v="2"/>
    <n v="-100"/>
    <n v="20"/>
    <n v="20"/>
    <n v="20"/>
    <n v="20"/>
    <n v="40"/>
    <n v="40"/>
    <n v="40"/>
    <n v="40"/>
    <n v="80"/>
    <n v="80"/>
    <n v="80"/>
    <n v="80"/>
    <n v="0"/>
    <n v="12"/>
    <n v="460"/>
    <x v="0"/>
    <x v="0"/>
    <x v="1"/>
  </r>
  <r>
    <x v="3"/>
    <n v="-100"/>
    <n v="40"/>
    <n v="40"/>
    <n v="40"/>
    <n v="20"/>
    <n v="80"/>
    <n v="80"/>
    <n v="80"/>
    <n v="40"/>
    <n v="80"/>
    <n v="80"/>
    <n v="80"/>
    <n v="80"/>
    <n v="0"/>
    <n v="12"/>
    <n v="640"/>
    <x v="0"/>
    <x v="0"/>
    <x v="1"/>
  </r>
  <r>
    <x v="4"/>
    <m/>
    <n v="-50"/>
    <n v="400"/>
    <n v="400"/>
    <n v="400"/>
    <n v="310"/>
    <n v="380"/>
    <n v="300"/>
    <n v="300"/>
    <n v="300"/>
    <n v="300"/>
    <n v="300"/>
    <n v="300"/>
    <n v="0"/>
    <n v="11"/>
    <n v="3640"/>
    <x v="0"/>
    <x v="0"/>
    <x v="0"/>
  </r>
  <r>
    <x v="5"/>
    <n v="-400"/>
    <n v="150"/>
    <n v="150"/>
    <n v="150"/>
    <n v="150"/>
    <n v="200"/>
    <n v="200"/>
    <n v="200"/>
    <n v="200"/>
    <n v="200"/>
    <n v="200"/>
    <n v="200"/>
    <n v="200"/>
    <n v="0"/>
    <n v="12"/>
    <n v="1800"/>
    <x v="0"/>
    <x v="0"/>
    <x v="0"/>
  </r>
  <r>
    <x v="6"/>
    <n v="-50"/>
    <n v="400"/>
    <m/>
    <m/>
    <n v="400"/>
    <n v="400"/>
    <m/>
    <m/>
    <n v="400"/>
    <n v="400"/>
    <m/>
    <m/>
    <n v="400"/>
    <n v="0"/>
    <n v="6"/>
    <n v="2350"/>
    <x v="0"/>
    <x v="1"/>
    <x v="0"/>
  </r>
  <r>
    <x v="7"/>
    <n v="-400"/>
    <n v="200"/>
    <n v="260"/>
    <n v="320"/>
    <n v="380"/>
    <n v="440"/>
    <n v="500"/>
    <n v="560"/>
    <n v="620"/>
    <n v="680"/>
    <n v="740"/>
    <n v="800"/>
    <n v="860"/>
    <n v="0"/>
    <n v="12"/>
    <n v="5960"/>
    <x v="0"/>
    <x v="0"/>
    <x v="0"/>
  </r>
  <r>
    <x v="8"/>
    <n v="-100"/>
    <n v="560"/>
    <n v="560"/>
    <n v="560"/>
    <n v="560"/>
    <n v="560"/>
    <n v="560"/>
    <m/>
    <m/>
    <m/>
    <m/>
    <m/>
    <m/>
    <n v="6"/>
    <n v="6"/>
    <n v="3260"/>
    <x v="1"/>
    <x v="1"/>
    <x v="0"/>
  </r>
  <r>
    <x v="9"/>
    <n v="-100"/>
    <m/>
    <n v="600"/>
    <n v="575"/>
    <n v="550"/>
    <n v="525"/>
    <n v="500"/>
    <n v="475"/>
    <n v="450"/>
    <m/>
    <m/>
    <m/>
    <m/>
    <n v="4"/>
    <n v="7"/>
    <n v="3575"/>
    <x v="1"/>
    <x v="0"/>
    <x v="0"/>
  </r>
  <r>
    <x v="10"/>
    <n v="-100"/>
    <n v="80"/>
    <n v="80"/>
    <n v="80"/>
    <n v="80"/>
    <n v="80"/>
    <n v="80"/>
    <n v="80"/>
    <n v="80"/>
    <n v="80"/>
    <n v="80"/>
    <n v="80"/>
    <n v="80"/>
    <n v="0"/>
    <n v="12"/>
    <n v="860"/>
    <x v="0"/>
    <x v="0"/>
    <x v="1"/>
  </r>
  <r>
    <x v="11"/>
    <n v="-100"/>
    <m/>
    <n v="400"/>
    <m/>
    <m/>
    <n v="310"/>
    <m/>
    <n v="300"/>
    <m/>
    <n v="230"/>
    <m/>
    <m/>
    <m/>
    <n v="3"/>
    <n v="4"/>
    <n v="1140"/>
    <x v="1"/>
    <x v="1"/>
    <x v="1"/>
  </r>
  <r>
    <x v="12"/>
    <n v="-100"/>
    <m/>
    <n v="60"/>
    <n v="80"/>
    <n v="120"/>
    <n v="200"/>
    <m/>
    <m/>
    <n v="210"/>
    <m/>
    <m/>
    <m/>
    <m/>
    <n v="4"/>
    <n v="5"/>
    <n v="570"/>
    <x v="1"/>
    <x v="1"/>
    <x v="1"/>
  </r>
  <r>
    <x v="13"/>
    <m/>
    <n v="-50"/>
    <n v="1890"/>
    <m/>
    <m/>
    <m/>
    <m/>
    <m/>
    <m/>
    <m/>
    <m/>
    <m/>
    <m/>
    <n v="10"/>
    <n v="1"/>
    <n v="1840"/>
    <x v="2"/>
    <x v="1"/>
    <x v="0"/>
  </r>
  <r>
    <x v="14"/>
    <n v="-100"/>
    <n v="89"/>
    <n v="10"/>
    <n v="35"/>
    <n v="65"/>
    <n v="80"/>
    <n v="120"/>
    <n v="140"/>
    <n v="145"/>
    <n v="168"/>
    <n v="189"/>
    <n v="201"/>
    <n v="201"/>
    <n v="0"/>
    <n v="12"/>
    <n v="1343"/>
    <x v="0"/>
    <x v="0"/>
    <x v="1"/>
  </r>
  <r>
    <x v="15"/>
    <n v="-100"/>
    <m/>
    <n v="25"/>
    <n v="35"/>
    <n v="45"/>
    <n v="55"/>
    <n v="80"/>
    <n v="80"/>
    <n v="80"/>
    <n v="75"/>
    <n v="80"/>
    <n v="80"/>
    <n v="80"/>
    <n v="0"/>
    <n v="11"/>
    <n v="615"/>
    <x v="0"/>
    <x v="0"/>
    <x v="1"/>
  </r>
  <r>
    <x v="16"/>
    <n v="-300"/>
    <n v="1200"/>
    <n v="1200"/>
    <n v="1200"/>
    <m/>
    <m/>
    <m/>
    <m/>
    <m/>
    <m/>
    <m/>
    <m/>
    <m/>
    <n v="9"/>
    <n v="3"/>
    <n v="3300"/>
    <x v="2"/>
    <x v="1"/>
    <x v="0"/>
  </r>
  <r>
    <x v="17"/>
    <n v="-100"/>
    <n v="90"/>
    <m/>
    <m/>
    <m/>
    <m/>
    <m/>
    <m/>
    <m/>
    <m/>
    <m/>
    <m/>
    <m/>
    <n v="11"/>
    <n v="1"/>
    <n v="-10"/>
    <x v="2"/>
    <x v="1"/>
    <x v="1"/>
  </r>
  <r>
    <x v="18"/>
    <n v="-100"/>
    <m/>
    <n v="60"/>
    <n v="60"/>
    <m/>
    <m/>
    <m/>
    <m/>
    <m/>
    <m/>
    <m/>
    <m/>
    <m/>
    <n v="9"/>
    <n v="2"/>
    <n v="20"/>
    <x v="2"/>
    <x v="1"/>
    <x v="1"/>
  </r>
  <r>
    <x v="19"/>
    <m/>
    <m/>
    <m/>
    <n v="-100"/>
    <m/>
    <m/>
    <m/>
    <m/>
    <m/>
    <m/>
    <m/>
    <m/>
    <m/>
    <n v="9"/>
    <n v="0"/>
    <n v="-100"/>
    <x v="2"/>
    <x v="2"/>
    <x v="2"/>
  </r>
  <r>
    <x v="20"/>
    <m/>
    <m/>
    <m/>
    <m/>
    <m/>
    <n v="-50"/>
    <m/>
    <m/>
    <m/>
    <m/>
    <m/>
    <m/>
    <m/>
    <n v="7"/>
    <n v="0"/>
    <n v="-50"/>
    <x v="2"/>
    <x v="2"/>
    <x v="1"/>
  </r>
  <r>
    <x v="21"/>
    <m/>
    <m/>
    <m/>
    <m/>
    <m/>
    <n v="-200"/>
    <m/>
    <m/>
    <m/>
    <m/>
    <m/>
    <m/>
    <m/>
    <n v="7"/>
    <n v="0"/>
    <n v="-200"/>
    <x v="2"/>
    <x v="2"/>
    <x v="2"/>
  </r>
  <r>
    <x v="22"/>
    <m/>
    <m/>
    <m/>
    <m/>
    <m/>
    <n v="-200"/>
    <m/>
    <m/>
    <m/>
    <m/>
    <m/>
    <m/>
    <m/>
    <n v="7"/>
    <n v="0"/>
    <n v="-200"/>
    <x v="2"/>
    <x v="2"/>
    <x v="2"/>
  </r>
  <r>
    <x v="23"/>
    <m/>
    <m/>
    <m/>
    <m/>
    <m/>
    <n v="-200"/>
    <m/>
    <m/>
    <m/>
    <m/>
    <m/>
    <m/>
    <m/>
    <n v="7"/>
    <n v="0"/>
    <n v="-200"/>
    <x v="2"/>
    <x v="2"/>
    <x v="2"/>
  </r>
  <r>
    <x v="24"/>
    <m/>
    <m/>
    <m/>
    <m/>
    <m/>
    <n v="-200"/>
    <m/>
    <m/>
    <m/>
    <m/>
    <m/>
    <m/>
    <m/>
    <n v="7"/>
    <n v="0"/>
    <n v="-200"/>
    <x v="2"/>
    <x v="2"/>
    <x v="2"/>
  </r>
  <r>
    <x v="25"/>
    <m/>
    <m/>
    <m/>
    <m/>
    <m/>
    <m/>
    <m/>
    <m/>
    <m/>
    <n v="-300"/>
    <m/>
    <m/>
    <m/>
    <n v="3"/>
    <n v="0"/>
    <n v="-300"/>
    <x v="1"/>
    <x v="2"/>
    <x v="2"/>
  </r>
  <r>
    <x v="26"/>
    <m/>
    <m/>
    <m/>
    <m/>
    <m/>
    <m/>
    <m/>
    <m/>
    <m/>
    <n v="-300"/>
    <m/>
    <m/>
    <m/>
    <n v="3"/>
    <n v="0"/>
    <n v="-300"/>
    <x v="1"/>
    <x v="2"/>
    <x v="2"/>
  </r>
  <r>
    <x v="27"/>
    <m/>
    <m/>
    <m/>
    <m/>
    <m/>
    <m/>
    <m/>
    <m/>
    <m/>
    <n v="-300"/>
    <m/>
    <m/>
    <m/>
    <n v="3"/>
    <n v="0"/>
    <n v="-300"/>
    <x v="1"/>
    <x v="2"/>
    <x v="2"/>
  </r>
  <r>
    <x v="28"/>
    <m/>
    <m/>
    <m/>
    <m/>
    <m/>
    <m/>
    <m/>
    <m/>
    <m/>
    <n v="-300"/>
    <m/>
    <m/>
    <m/>
    <n v="3"/>
    <n v="0"/>
    <n v="-300"/>
    <x v="1"/>
    <x v="2"/>
    <x v="2"/>
  </r>
  <r>
    <x v="29"/>
    <m/>
    <m/>
    <m/>
    <m/>
    <m/>
    <m/>
    <m/>
    <m/>
    <m/>
    <n v="-300"/>
    <m/>
    <m/>
    <m/>
    <n v="3"/>
    <n v="0"/>
    <n v="-300"/>
    <x v="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46CC3-8A14-6344-8092-AAEC7A1105CC}" name="PivotTable17" cacheId="1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U76:AW82" firstHeaderRow="1" firstDataRow="1" firstDataCol="2"/>
  <pivotFields count="20">
    <pivotField dataField="1" compact="0" outline="0" showAll="0" defaultSubtotal="0">
      <items count="30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8"/>
    <field x="19"/>
  </rowFields>
  <rowItems count="6">
    <i>
      <x/>
      <x/>
    </i>
    <i r="1">
      <x v="1"/>
    </i>
    <i>
      <x v="1"/>
      <x v="1"/>
    </i>
    <i r="1">
      <x v="2"/>
    </i>
    <i>
      <x v="2"/>
      <x v="1"/>
    </i>
    <i r="1">
      <x v="2"/>
    </i>
  </rowItems>
  <colItems count="1">
    <i/>
  </colItems>
  <dataFields count="1">
    <dataField name="Count of Profits per quart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D42E0-8590-C342-B766-81A2E954078F}" name="PivotTable16" cacheId="10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V1:BA8" firstHeaderRow="0" firstDataRow="1" firstDataCol="3"/>
  <pivotFields count="2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7"/>
    <field x="18"/>
    <field x="19"/>
  </rowFields>
  <rowItems count="7">
    <i>
      <x/>
      <x/>
      <x/>
    </i>
    <i r="2">
      <x v="1"/>
    </i>
    <i r="1">
      <x v="1"/>
      <x/>
    </i>
    <i r="2">
      <x v="1"/>
    </i>
    <i>
      <x v="1"/>
      <x/>
      <x/>
    </i>
    <i r="1">
      <x v="1"/>
      <x/>
    </i>
    <i r="2"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cency" fld="14" subtotal="average" baseField="0" baseItem="0"/>
    <dataField name="Average of Frequency" fld="15" subtotal="average" baseField="0" baseItem="0"/>
    <dataField name="Sum of Monetary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44C7-5374-4E2B-9AC5-3B88093B4FD1}">
  <dimension ref="A1:S31"/>
  <sheetViews>
    <sheetView topLeftCell="D1" workbookViewId="0">
      <selection activeCell="F5" sqref="F5"/>
    </sheetView>
  </sheetViews>
  <sheetFormatPr baseColWidth="10" defaultColWidth="8.83203125" defaultRowHeight="15" x14ac:dyDescent="0.2"/>
  <cols>
    <col min="1" max="1" width="14.83203125" customWidth="1"/>
    <col min="2" max="2" width="7.1640625" customWidth="1"/>
    <col min="3" max="15" width="11.5" customWidth="1"/>
  </cols>
  <sheetData>
    <row r="1" spans="1:19" x14ac:dyDescent="0.2">
      <c r="A1" s="13" t="s">
        <v>4</v>
      </c>
      <c r="B1" s="1"/>
      <c r="C1" s="2" t="s">
        <v>0</v>
      </c>
      <c r="D1" s="2" t="s">
        <v>1</v>
      </c>
      <c r="E1" s="2" t="s">
        <v>2</v>
      </c>
      <c r="F1" s="2" t="s">
        <v>3</v>
      </c>
      <c r="G1" s="3" t="s">
        <v>0</v>
      </c>
      <c r="H1" s="3" t="s">
        <v>1</v>
      </c>
      <c r="I1" s="3" t="s">
        <v>2</v>
      </c>
      <c r="J1" s="3" t="s">
        <v>3</v>
      </c>
      <c r="K1" s="4" t="s">
        <v>0</v>
      </c>
      <c r="L1" s="4" t="s">
        <v>1</v>
      </c>
      <c r="M1" s="4" t="s">
        <v>2</v>
      </c>
      <c r="N1" s="4" t="s">
        <v>3</v>
      </c>
      <c r="Q1" s="15" t="s">
        <v>39</v>
      </c>
      <c r="R1" s="15"/>
      <c r="S1" s="15"/>
    </row>
    <row r="2" spans="1:19" x14ac:dyDescent="0.2">
      <c r="A2" s="6" t="s">
        <v>5</v>
      </c>
      <c r="B2" s="8">
        <v>-100</v>
      </c>
      <c r="C2" s="5">
        <v>50</v>
      </c>
      <c r="D2" s="5">
        <f>100</f>
        <v>100</v>
      </c>
      <c r="E2" s="5">
        <f>100</f>
        <v>100</v>
      </c>
      <c r="F2" s="5">
        <f>100</f>
        <v>100</v>
      </c>
      <c r="G2" s="5">
        <f>100</f>
        <v>100</v>
      </c>
      <c r="H2" s="5">
        <f>100</f>
        <v>100</v>
      </c>
      <c r="I2" s="5">
        <f>100</f>
        <v>100</v>
      </c>
      <c r="J2" s="5">
        <f>100</f>
        <v>100</v>
      </c>
      <c r="K2" s="5">
        <f>100</f>
        <v>100</v>
      </c>
      <c r="L2" s="5">
        <f>100</f>
        <v>100</v>
      </c>
      <c r="M2" s="5">
        <f>100</f>
        <v>100</v>
      </c>
      <c r="N2" s="5">
        <f>100</f>
        <v>100</v>
      </c>
    </row>
    <row r="3" spans="1:19" x14ac:dyDescent="0.2">
      <c r="A3" s="6" t="s">
        <v>6</v>
      </c>
      <c r="B3" s="11"/>
      <c r="C3" s="5"/>
      <c r="D3" s="1"/>
      <c r="E3" s="10">
        <v>-100</v>
      </c>
      <c r="F3" s="1">
        <v>340</v>
      </c>
      <c r="G3" s="1">
        <v>450</v>
      </c>
      <c r="H3" s="1">
        <v>1000</v>
      </c>
      <c r="I3" s="1"/>
      <c r="J3" s="1"/>
      <c r="K3" s="1"/>
      <c r="L3" s="1"/>
      <c r="M3" s="1"/>
      <c r="N3" s="1"/>
      <c r="Q3" s="16" t="s">
        <v>36</v>
      </c>
      <c r="R3" s="16" t="s">
        <v>37</v>
      </c>
      <c r="S3" s="16" t="s">
        <v>38</v>
      </c>
    </row>
    <row r="4" spans="1:19" x14ac:dyDescent="0.2">
      <c r="A4" s="6" t="s">
        <v>7</v>
      </c>
      <c r="B4" s="8">
        <v>-100</v>
      </c>
      <c r="C4" s="5">
        <v>20</v>
      </c>
      <c r="D4" s="5">
        <v>20</v>
      </c>
      <c r="E4" s="5">
        <v>20</v>
      </c>
      <c r="F4" s="5">
        <v>20</v>
      </c>
      <c r="G4" s="1">
        <v>40</v>
      </c>
      <c r="H4" s="1">
        <v>40</v>
      </c>
      <c r="I4" s="1">
        <v>40</v>
      </c>
      <c r="J4" s="1">
        <v>40</v>
      </c>
      <c r="K4" s="1">
        <v>80</v>
      </c>
      <c r="L4" s="1">
        <v>80</v>
      </c>
      <c r="M4" s="1">
        <v>80</v>
      </c>
      <c r="N4" s="1">
        <v>80</v>
      </c>
      <c r="Q4" t="s">
        <v>40</v>
      </c>
      <c r="R4" t="s">
        <v>40</v>
      </c>
      <c r="S4" t="s">
        <v>40</v>
      </c>
    </row>
    <row r="5" spans="1:19" x14ac:dyDescent="0.2">
      <c r="A5" s="6" t="s">
        <v>8</v>
      </c>
      <c r="B5" s="8">
        <v>-300</v>
      </c>
      <c r="C5" s="5">
        <v>1200</v>
      </c>
      <c r="D5" s="5">
        <v>1200</v>
      </c>
      <c r="E5" s="5">
        <v>1200</v>
      </c>
      <c r="F5" s="1"/>
      <c r="G5" s="1"/>
      <c r="H5" s="1"/>
      <c r="I5" s="1"/>
      <c r="J5" s="1"/>
      <c r="K5" s="1"/>
      <c r="L5" s="1"/>
      <c r="M5" s="1"/>
      <c r="N5" s="1"/>
    </row>
    <row r="6" spans="1:19" x14ac:dyDescent="0.2">
      <c r="A6" s="7" t="s">
        <v>9</v>
      </c>
      <c r="B6" s="12"/>
      <c r="C6" s="8">
        <v>-50</v>
      </c>
      <c r="D6" s="5">
        <v>400</v>
      </c>
      <c r="E6" s="5"/>
      <c r="F6" s="5"/>
      <c r="G6" s="5">
        <v>310</v>
      </c>
      <c r="H6" s="5">
        <v>380</v>
      </c>
      <c r="I6" s="5">
        <v>300</v>
      </c>
      <c r="J6" s="5"/>
      <c r="K6" s="5">
        <v>230</v>
      </c>
      <c r="L6" s="1"/>
      <c r="M6" s="1">
        <v>158</v>
      </c>
      <c r="N6" s="1">
        <v>152</v>
      </c>
      <c r="Q6" t="s">
        <v>41</v>
      </c>
    </row>
    <row r="7" spans="1:19" x14ac:dyDescent="0.2">
      <c r="A7" s="6" t="s">
        <v>10</v>
      </c>
      <c r="B7" s="11"/>
      <c r="C7" s="5"/>
      <c r="D7" s="1"/>
      <c r="E7" s="9">
        <v>-400</v>
      </c>
      <c r="F7" s="1"/>
      <c r="G7" s="1">
        <v>200</v>
      </c>
      <c r="H7" s="1">
        <v>200</v>
      </c>
      <c r="I7" s="1">
        <v>200</v>
      </c>
      <c r="J7" s="1">
        <v>200</v>
      </c>
      <c r="K7" s="1">
        <v>200</v>
      </c>
      <c r="L7" s="1">
        <v>200</v>
      </c>
      <c r="M7" s="1">
        <v>200</v>
      </c>
      <c r="N7" s="1">
        <v>200</v>
      </c>
    </row>
    <row r="8" spans="1:19" x14ac:dyDescent="0.2">
      <c r="A8" s="6" t="s">
        <v>11</v>
      </c>
      <c r="B8" s="8">
        <v>-50</v>
      </c>
      <c r="C8" s="1">
        <v>400</v>
      </c>
      <c r="D8" s="1"/>
      <c r="E8" s="1"/>
      <c r="F8" s="1">
        <v>400</v>
      </c>
      <c r="G8" s="1">
        <v>400</v>
      </c>
      <c r="H8" s="1"/>
      <c r="I8" s="1"/>
      <c r="J8" s="1">
        <v>400</v>
      </c>
      <c r="K8" s="1">
        <v>400</v>
      </c>
      <c r="L8" s="1"/>
      <c r="M8" s="1"/>
      <c r="N8" s="1">
        <v>400</v>
      </c>
    </row>
    <row r="9" spans="1:19" x14ac:dyDescent="0.2">
      <c r="A9" s="6" t="s">
        <v>12</v>
      </c>
      <c r="B9" s="8">
        <v>-50</v>
      </c>
      <c r="C9" s="1">
        <v>100</v>
      </c>
      <c r="D9" s="1">
        <f>C9+20</f>
        <v>120</v>
      </c>
      <c r="E9" s="1">
        <f>D9+20</f>
        <v>140</v>
      </c>
      <c r="F9" s="1">
        <f t="shared" ref="F9:G9" si="0">E9+20</f>
        <v>160</v>
      </c>
      <c r="G9" s="1">
        <f t="shared" si="0"/>
        <v>180</v>
      </c>
      <c r="H9" s="1">
        <f>G9+30</f>
        <v>210</v>
      </c>
      <c r="I9" s="1">
        <f t="shared" ref="I9:N9" si="1">H9+30</f>
        <v>240</v>
      </c>
      <c r="J9" s="1">
        <f t="shared" si="1"/>
        <v>270</v>
      </c>
      <c r="K9" s="1">
        <f t="shared" si="1"/>
        <v>300</v>
      </c>
      <c r="L9" s="1">
        <f t="shared" si="1"/>
        <v>330</v>
      </c>
      <c r="M9" s="1">
        <f t="shared" si="1"/>
        <v>360</v>
      </c>
      <c r="N9" s="1">
        <f t="shared" si="1"/>
        <v>390</v>
      </c>
      <c r="Q9" s="15" t="s">
        <v>42</v>
      </c>
    </row>
    <row r="10" spans="1:19" x14ac:dyDescent="0.2">
      <c r="A10" s="6" t="s">
        <v>13</v>
      </c>
      <c r="B10" s="8">
        <v>-50</v>
      </c>
      <c r="C10" s="1">
        <v>560</v>
      </c>
      <c r="D10" s="1">
        <v>560</v>
      </c>
      <c r="E10" s="1">
        <v>560</v>
      </c>
      <c r="F10" s="1">
        <v>560</v>
      </c>
      <c r="G10" s="1">
        <v>560</v>
      </c>
      <c r="H10" s="1">
        <v>560</v>
      </c>
      <c r="I10" s="1"/>
      <c r="J10" s="1"/>
      <c r="K10" s="1"/>
      <c r="L10" s="1"/>
      <c r="M10" s="1"/>
      <c r="N10" s="1"/>
    </row>
    <row r="11" spans="1:19" x14ac:dyDescent="0.2">
      <c r="A11" s="6" t="s">
        <v>14</v>
      </c>
      <c r="B11" s="8">
        <v>-50</v>
      </c>
      <c r="C11" s="1"/>
      <c r="D11" s="1">
        <v>600</v>
      </c>
      <c r="E11" s="1">
        <f>D11-25</f>
        <v>575</v>
      </c>
      <c r="F11" s="1">
        <f t="shared" ref="F11:J11" si="2">E11-25</f>
        <v>550</v>
      </c>
      <c r="G11" s="1">
        <f t="shared" si="2"/>
        <v>525</v>
      </c>
      <c r="H11" s="1">
        <f>G11-25</f>
        <v>500</v>
      </c>
      <c r="I11" s="1">
        <f t="shared" si="2"/>
        <v>475</v>
      </c>
      <c r="J11" s="1">
        <f t="shared" si="2"/>
        <v>450</v>
      </c>
      <c r="K11" s="1"/>
      <c r="L11" s="1"/>
      <c r="M11" s="1"/>
      <c r="N11" s="1"/>
      <c r="Q11" s="16" t="s">
        <v>36</v>
      </c>
      <c r="R11" s="16" t="s">
        <v>37</v>
      </c>
      <c r="S11" s="16" t="s">
        <v>38</v>
      </c>
    </row>
    <row r="12" spans="1:19" x14ac:dyDescent="0.2">
      <c r="A12" s="6" t="s">
        <v>15</v>
      </c>
      <c r="B12" s="8">
        <v>-50</v>
      </c>
      <c r="C12" s="1">
        <v>80</v>
      </c>
      <c r="D12" s="1">
        <v>80</v>
      </c>
      <c r="E12" s="1">
        <v>80</v>
      </c>
      <c r="F12" s="1">
        <v>80</v>
      </c>
      <c r="G12" s="1">
        <v>80</v>
      </c>
      <c r="H12" s="1">
        <v>80</v>
      </c>
      <c r="I12" s="1">
        <v>80</v>
      </c>
      <c r="J12" s="1">
        <v>80</v>
      </c>
      <c r="K12" s="1">
        <v>80</v>
      </c>
      <c r="L12" s="1">
        <v>80</v>
      </c>
      <c r="M12" s="1">
        <v>80</v>
      </c>
      <c r="N12" s="1">
        <v>80</v>
      </c>
      <c r="P12" t="s">
        <v>43</v>
      </c>
      <c r="Q12" s="17" t="s">
        <v>44</v>
      </c>
      <c r="R12" s="17" t="s">
        <v>44</v>
      </c>
      <c r="S12" s="17" t="s">
        <v>44</v>
      </c>
    </row>
    <row r="13" spans="1:19" x14ac:dyDescent="0.2">
      <c r="A13" s="6" t="s">
        <v>16</v>
      </c>
      <c r="B13" s="11"/>
      <c r="C13" s="8">
        <v>-50</v>
      </c>
      <c r="D13" s="5">
        <v>400</v>
      </c>
      <c r="E13" s="5"/>
      <c r="F13" s="5"/>
      <c r="G13" s="5">
        <v>310</v>
      </c>
      <c r="H13" s="5"/>
      <c r="I13" s="5">
        <v>300</v>
      </c>
      <c r="J13" s="5"/>
      <c r="K13" s="5">
        <v>230</v>
      </c>
      <c r="L13" s="5"/>
      <c r="M13" s="5"/>
      <c r="N13" s="1"/>
      <c r="Q13" s="16"/>
      <c r="R13" s="16"/>
      <c r="S13" s="16"/>
    </row>
    <row r="14" spans="1:19" x14ac:dyDescent="0.2">
      <c r="A14" s="6" t="s">
        <v>17</v>
      </c>
      <c r="B14" s="11"/>
      <c r="C14" s="8">
        <v>-50</v>
      </c>
      <c r="D14" s="5">
        <v>60</v>
      </c>
      <c r="E14" s="5">
        <v>80</v>
      </c>
      <c r="F14" s="5">
        <v>120</v>
      </c>
      <c r="G14" s="5">
        <v>200</v>
      </c>
      <c r="H14" s="5"/>
      <c r="I14" s="5"/>
      <c r="J14" s="5">
        <v>210</v>
      </c>
      <c r="K14" s="5"/>
      <c r="L14" s="5"/>
      <c r="M14" s="5"/>
      <c r="N14" s="1"/>
      <c r="P14" t="s">
        <v>45</v>
      </c>
      <c r="Q14" s="16">
        <v>0.2</v>
      </c>
      <c r="R14" s="16">
        <v>0.4</v>
      </c>
      <c r="S14" s="16">
        <v>0.4</v>
      </c>
    </row>
    <row r="15" spans="1:19" x14ac:dyDescent="0.2">
      <c r="A15" s="6" t="s">
        <v>18</v>
      </c>
      <c r="B15" s="11"/>
      <c r="C15" s="8">
        <v>-50</v>
      </c>
      <c r="D15" s="5">
        <v>1410</v>
      </c>
      <c r="E15" s="5"/>
      <c r="F15" s="5"/>
      <c r="G15" s="5"/>
      <c r="H15" s="5"/>
      <c r="I15" s="5"/>
      <c r="J15" s="5"/>
      <c r="K15" s="5"/>
      <c r="L15" s="5"/>
      <c r="M15" s="5"/>
      <c r="N15" s="1"/>
    </row>
    <row r="16" spans="1:19" x14ac:dyDescent="0.2">
      <c r="A16" s="6" t="s">
        <v>19</v>
      </c>
      <c r="B16" s="8">
        <v>-100</v>
      </c>
      <c r="C16" s="1">
        <v>5</v>
      </c>
      <c r="D16" s="5">
        <v>10</v>
      </c>
      <c r="E16" s="5">
        <v>35</v>
      </c>
      <c r="F16" s="5">
        <v>74</v>
      </c>
      <c r="G16" s="5">
        <v>80</v>
      </c>
      <c r="H16" s="5">
        <v>120</v>
      </c>
      <c r="I16" s="5">
        <v>140</v>
      </c>
      <c r="J16" s="5">
        <v>145</v>
      </c>
      <c r="K16" s="5">
        <v>168</v>
      </c>
      <c r="L16" s="5">
        <v>189</v>
      </c>
      <c r="M16" s="5">
        <v>201</v>
      </c>
      <c r="N16" s="1"/>
      <c r="Q16" t="s">
        <v>46</v>
      </c>
    </row>
    <row r="17" spans="1:17" x14ac:dyDescent="0.2">
      <c r="A17" s="6" t="s">
        <v>20</v>
      </c>
      <c r="B17" s="8">
        <v>-100</v>
      </c>
      <c r="C17" s="1"/>
      <c r="D17" s="5">
        <v>25</v>
      </c>
      <c r="E17" s="5">
        <v>35</v>
      </c>
      <c r="F17" s="5">
        <v>45</v>
      </c>
      <c r="G17" s="5">
        <v>55</v>
      </c>
      <c r="H17" s="5">
        <v>65</v>
      </c>
      <c r="I17" s="5">
        <v>65</v>
      </c>
      <c r="J17" s="5">
        <v>65</v>
      </c>
      <c r="K17" s="5">
        <v>65</v>
      </c>
      <c r="L17" s="5">
        <v>65</v>
      </c>
      <c r="M17" s="5">
        <v>65</v>
      </c>
      <c r="N17" s="1"/>
    </row>
    <row r="18" spans="1:17" x14ac:dyDescent="0.2">
      <c r="A18" s="6" t="s">
        <v>21</v>
      </c>
      <c r="B18" s="8">
        <v>-100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7" x14ac:dyDescent="0.2">
      <c r="A19" s="6" t="s">
        <v>22</v>
      </c>
      <c r="B19" s="8">
        <v>-100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Q19" s="15" t="s">
        <v>47</v>
      </c>
    </row>
    <row r="20" spans="1:17" x14ac:dyDescent="0.2">
      <c r="A20" s="6" t="s">
        <v>23</v>
      </c>
      <c r="B20" s="8">
        <v>-100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7" x14ac:dyDescent="0.2">
      <c r="A21" s="6" t="s">
        <v>24</v>
      </c>
      <c r="B21" s="5"/>
      <c r="C21" s="1"/>
      <c r="D21" s="1"/>
      <c r="E21" s="10">
        <v>-200</v>
      </c>
      <c r="F21" s="1"/>
      <c r="G21" s="1"/>
      <c r="H21" s="1"/>
      <c r="I21" s="1"/>
      <c r="J21" s="1"/>
      <c r="K21" s="1"/>
      <c r="L21" s="1"/>
      <c r="M21" s="1"/>
      <c r="N21" s="1"/>
      <c r="Q21" t="s">
        <v>48</v>
      </c>
    </row>
    <row r="22" spans="1:17" x14ac:dyDescent="0.2">
      <c r="A22" s="6" t="s">
        <v>25</v>
      </c>
      <c r="B22" s="5"/>
      <c r="C22" s="1"/>
      <c r="D22" s="1"/>
      <c r="E22" s="1"/>
      <c r="F22" s="1"/>
      <c r="G22" s="10">
        <v>-50</v>
      </c>
      <c r="H22" s="1"/>
      <c r="I22" s="1"/>
      <c r="J22" s="1"/>
      <c r="K22" s="1"/>
      <c r="L22" s="1"/>
      <c r="M22" s="1"/>
      <c r="N22" s="1"/>
    </row>
    <row r="23" spans="1:17" x14ac:dyDescent="0.2">
      <c r="A23" s="6" t="s">
        <v>26</v>
      </c>
      <c r="B23" s="5"/>
      <c r="C23" s="1"/>
      <c r="D23" s="1"/>
      <c r="E23" s="1"/>
      <c r="F23" s="1"/>
      <c r="G23" s="10">
        <v>-200</v>
      </c>
      <c r="I23" s="1"/>
      <c r="J23" s="1"/>
      <c r="K23" s="1"/>
      <c r="L23" s="1"/>
      <c r="M23" s="1"/>
      <c r="N23" s="1"/>
    </row>
    <row r="24" spans="1:17" x14ac:dyDescent="0.2">
      <c r="A24" s="6" t="s">
        <v>27</v>
      </c>
      <c r="B24" s="5"/>
      <c r="C24" s="1"/>
      <c r="D24" s="1"/>
      <c r="E24" s="1"/>
      <c r="F24" s="1"/>
      <c r="G24" s="10">
        <v>-200</v>
      </c>
      <c r="I24" s="1"/>
      <c r="J24" s="1"/>
      <c r="K24" s="1"/>
      <c r="L24" s="1"/>
      <c r="M24" s="1"/>
      <c r="N24" s="1"/>
    </row>
    <row r="25" spans="1:17" x14ac:dyDescent="0.2">
      <c r="A25" s="6" t="s">
        <v>28</v>
      </c>
      <c r="B25" s="5"/>
      <c r="C25" s="1"/>
      <c r="D25" s="1"/>
      <c r="E25" s="1"/>
      <c r="F25" s="1"/>
      <c r="G25" s="10">
        <v>-200</v>
      </c>
      <c r="I25" s="1"/>
      <c r="J25" s="1"/>
      <c r="K25" s="1"/>
      <c r="L25" s="1"/>
      <c r="M25" s="1"/>
      <c r="N25" s="1"/>
    </row>
    <row r="26" spans="1:17" x14ac:dyDescent="0.2">
      <c r="A26" s="6" t="s">
        <v>29</v>
      </c>
      <c r="B26" s="5"/>
      <c r="C26" s="1"/>
      <c r="D26" s="1"/>
      <c r="E26" s="1"/>
      <c r="F26" s="1"/>
      <c r="G26" s="10">
        <v>-200</v>
      </c>
      <c r="I26" s="1"/>
      <c r="J26" s="1"/>
      <c r="K26" s="1"/>
      <c r="L26" s="1"/>
      <c r="M26" s="1"/>
      <c r="N26" s="1"/>
    </row>
    <row r="27" spans="1:17" x14ac:dyDescent="0.2">
      <c r="A27" s="6" t="s">
        <v>30</v>
      </c>
      <c r="B27" s="5"/>
      <c r="C27" s="1"/>
      <c r="D27" s="1"/>
      <c r="E27" s="1"/>
      <c r="F27" s="1"/>
      <c r="G27" s="10">
        <v>-400</v>
      </c>
      <c r="I27" s="1"/>
      <c r="J27" s="1"/>
      <c r="K27" s="1"/>
      <c r="L27" s="1"/>
      <c r="M27" s="1"/>
      <c r="N27" s="1"/>
    </row>
    <row r="28" spans="1:17" x14ac:dyDescent="0.2">
      <c r="A28" s="6" t="s">
        <v>31</v>
      </c>
      <c r="B28" s="5"/>
      <c r="C28" s="1"/>
      <c r="D28" s="1"/>
      <c r="E28" s="1"/>
      <c r="F28" s="1"/>
      <c r="G28" s="10">
        <v>-400</v>
      </c>
      <c r="I28" s="1"/>
      <c r="J28" s="1"/>
      <c r="K28" s="1"/>
      <c r="L28" s="1"/>
      <c r="M28" s="1"/>
      <c r="N28" s="1"/>
    </row>
    <row r="29" spans="1:17" x14ac:dyDescent="0.2">
      <c r="A29" s="6" t="s">
        <v>32</v>
      </c>
      <c r="B29" s="5"/>
      <c r="C29" s="1"/>
      <c r="D29" s="1"/>
      <c r="E29" s="1"/>
      <c r="F29" s="1"/>
      <c r="G29" s="10">
        <v>-400</v>
      </c>
      <c r="I29" s="1"/>
      <c r="J29" s="1"/>
      <c r="K29" s="1"/>
      <c r="L29" s="1"/>
      <c r="M29" s="1"/>
      <c r="N29" s="1"/>
    </row>
    <row r="30" spans="1:17" x14ac:dyDescent="0.2">
      <c r="A30" s="6" t="s">
        <v>33</v>
      </c>
      <c r="B30" s="5"/>
      <c r="C30" s="1"/>
      <c r="D30" s="1"/>
      <c r="E30" s="1"/>
      <c r="F30" s="1"/>
      <c r="G30" s="1"/>
      <c r="H30" s="1"/>
      <c r="I30" s="1"/>
      <c r="J30" s="1"/>
      <c r="K30" s="1"/>
      <c r="L30" s="10">
        <v>-150</v>
      </c>
      <c r="M30" s="1"/>
      <c r="N30" s="1"/>
    </row>
    <row r="31" spans="1:17" x14ac:dyDescent="0.2">
      <c r="A31" s="6" t="s">
        <v>34</v>
      </c>
      <c r="B31" s="5"/>
      <c r="C31" s="1"/>
      <c r="D31" s="1"/>
      <c r="E31" s="1"/>
      <c r="F31" s="1"/>
      <c r="G31" s="1"/>
      <c r="H31" s="1"/>
      <c r="I31" s="1"/>
      <c r="J31" s="1"/>
      <c r="K31" s="1"/>
      <c r="L31" s="10">
        <v>-150</v>
      </c>
      <c r="M31" s="1"/>
      <c r="N3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7B66-A222-4D47-99C2-F7AF4253ED47}">
  <dimension ref="A1:BF98"/>
  <sheetViews>
    <sheetView tabSelected="1" workbookViewId="0">
      <selection activeCell="AQ88" sqref="AQ88"/>
    </sheetView>
  </sheetViews>
  <sheetFormatPr baseColWidth="10" defaultColWidth="8.83203125" defaultRowHeight="15" x14ac:dyDescent="0.2"/>
  <cols>
    <col min="1" max="1" width="15.83203125" customWidth="1"/>
    <col min="16" max="16" width="13.1640625" customWidth="1"/>
    <col min="17" max="17" width="11.5" customWidth="1"/>
    <col min="18" max="18" width="10.83203125" customWidth="1"/>
    <col min="19" max="19" width="11.1640625" customWidth="1"/>
    <col min="47" max="48" width="11" bestFit="1" customWidth="1"/>
    <col min="49" max="49" width="22.5" bestFit="1" customWidth="1"/>
    <col min="50" max="50" width="11" bestFit="1" customWidth="1"/>
    <col min="51" max="51" width="16.33203125" bestFit="1" customWidth="1"/>
    <col min="52" max="52" width="18" bestFit="1" customWidth="1"/>
    <col min="53" max="53" width="14.33203125" bestFit="1" customWidth="1"/>
  </cols>
  <sheetData>
    <row r="1" spans="1:53" x14ac:dyDescent="0.2">
      <c r="A1" s="13" t="s">
        <v>4</v>
      </c>
      <c r="B1" s="1"/>
      <c r="C1" s="2" t="s">
        <v>0</v>
      </c>
      <c r="D1" s="2" t="s">
        <v>1</v>
      </c>
      <c r="E1" s="2" t="s">
        <v>2</v>
      </c>
      <c r="F1" s="2" t="s">
        <v>3</v>
      </c>
      <c r="G1" s="3" t="s">
        <v>0</v>
      </c>
      <c r="H1" s="3" t="s">
        <v>1</v>
      </c>
      <c r="I1" s="3" t="s">
        <v>2</v>
      </c>
      <c r="J1" s="3" t="s">
        <v>3</v>
      </c>
      <c r="K1" s="4" t="s">
        <v>0</v>
      </c>
      <c r="L1" s="4" t="s">
        <v>1</v>
      </c>
      <c r="M1" s="4" t="s">
        <v>2</v>
      </c>
      <c r="N1" s="4" t="s">
        <v>3</v>
      </c>
      <c r="Q1" s="15" t="s">
        <v>39</v>
      </c>
      <c r="R1" s="15"/>
      <c r="S1" s="15"/>
      <c r="U1" s="15"/>
      <c r="V1" s="13" t="s">
        <v>4</v>
      </c>
      <c r="W1" s="1" t="s">
        <v>57</v>
      </c>
      <c r="X1" s="2">
        <v>1</v>
      </c>
      <c r="Y1" s="2">
        <v>2</v>
      </c>
      <c r="Z1" s="2">
        <v>3</v>
      </c>
      <c r="AA1" s="2">
        <v>4</v>
      </c>
      <c r="AB1" s="2">
        <v>5</v>
      </c>
      <c r="AC1" s="2">
        <v>6</v>
      </c>
      <c r="AD1" s="2">
        <v>7</v>
      </c>
      <c r="AE1" s="2">
        <v>8</v>
      </c>
      <c r="AF1" s="2">
        <v>9</v>
      </c>
      <c r="AG1" s="2">
        <v>10</v>
      </c>
      <c r="AH1" s="2">
        <v>11</v>
      </c>
      <c r="AI1" s="2">
        <v>12</v>
      </c>
      <c r="AJ1" t="s">
        <v>49</v>
      </c>
      <c r="AK1" t="s">
        <v>50</v>
      </c>
      <c r="AL1" t="s">
        <v>51</v>
      </c>
      <c r="AM1" t="s">
        <v>54</v>
      </c>
      <c r="AN1" t="s">
        <v>55</v>
      </c>
      <c r="AO1" t="s">
        <v>56</v>
      </c>
      <c r="AQ1" t="s">
        <v>52</v>
      </c>
      <c r="AR1" t="s">
        <v>53</v>
      </c>
      <c r="AS1" t="s">
        <v>63</v>
      </c>
      <c r="AT1" t="s">
        <v>64</v>
      </c>
      <c r="AV1" s="19" t="s">
        <v>54</v>
      </c>
      <c r="AW1" s="19" t="s">
        <v>55</v>
      </c>
      <c r="AX1" s="19" t="s">
        <v>56</v>
      </c>
      <c r="AY1" t="s">
        <v>60</v>
      </c>
      <c r="AZ1" t="s">
        <v>61</v>
      </c>
      <c r="BA1" t="s">
        <v>62</v>
      </c>
    </row>
    <row r="2" spans="1:53" x14ac:dyDescent="0.2">
      <c r="A2" s="6" t="s">
        <v>5</v>
      </c>
      <c r="B2" s="8">
        <v>-200</v>
      </c>
      <c r="C2" s="5">
        <v>50</v>
      </c>
      <c r="D2" s="5">
        <f>100+C2</f>
        <v>150</v>
      </c>
      <c r="E2" s="5">
        <f t="shared" ref="E2:I2" si="0">100+D2</f>
        <v>250</v>
      </c>
      <c r="F2" s="5">
        <f t="shared" si="0"/>
        <v>350</v>
      </c>
      <c r="G2" s="5">
        <f t="shared" si="0"/>
        <v>450</v>
      </c>
      <c r="H2" s="5">
        <f t="shared" si="0"/>
        <v>550</v>
      </c>
      <c r="I2" s="5">
        <f t="shared" si="0"/>
        <v>650</v>
      </c>
      <c r="J2" s="5"/>
      <c r="K2" s="5">
        <f>100</f>
        <v>100</v>
      </c>
      <c r="L2" s="5">
        <f>100</f>
        <v>100</v>
      </c>
      <c r="M2" s="5">
        <f>100</f>
        <v>100</v>
      </c>
      <c r="N2" s="5">
        <f>100</f>
        <v>100</v>
      </c>
      <c r="V2" s="6" t="s">
        <v>5</v>
      </c>
      <c r="W2" s="8">
        <v>-200</v>
      </c>
      <c r="X2" s="5">
        <v>50</v>
      </c>
      <c r="Y2" s="5">
        <v>150</v>
      </c>
      <c r="Z2" s="5">
        <v>250</v>
      </c>
      <c r="AA2" s="5">
        <v>350</v>
      </c>
      <c r="AB2" s="5">
        <v>450</v>
      </c>
      <c r="AC2" s="5">
        <v>550</v>
      </c>
      <c r="AD2" s="5">
        <v>650</v>
      </c>
      <c r="AE2" s="5"/>
      <c r="AF2" s="5">
        <v>100</v>
      </c>
      <c r="AG2" s="5">
        <v>100</v>
      </c>
      <c r="AH2" s="5">
        <v>100</v>
      </c>
      <c r="AI2" s="5">
        <v>100</v>
      </c>
      <c r="AJ2" cm="1">
        <f t="array" ref="AJ2">12 - LOOKUP(2, 1/(X2:AI2&lt;&gt;""), $X$1:$AI$1)</f>
        <v>0</v>
      </c>
      <c r="AK2">
        <f>COUNTIF(X2:AI2,"&gt;0")</f>
        <v>11</v>
      </c>
      <c r="AL2">
        <f>SUM(W2:AI2)</f>
        <v>2650</v>
      </c>
      <c r="AM2" t="str">
        <f>IF(AJ2&lt;=$AR$2,"Good","Bad")</f>
        <v>Good</v>
      </c>
      <c r="AN2" t="str">
        <f>IF(AK2&gt;=$AR$3,"Good","Bad")</f>
        <v>Good</v>
      </c>
      <c r="AO2" t="str">
        <f>IF(AL2&gt;=$AR$4,"Good","Bad")</f>
        <v>Good</v>
      </c>
      <c r="AQ2" t="s">
        <v>36</v>
      </c>
      <c r="AR2">
        <f>MEDIAN(AJ2:AJ31)</f>
        <v>3</v>
      </c>
      <c r="AS2">
        <f>_xlfn.PERCENTILE.INC($AJ$2:$AJ$31,0.33)</f>
        <v>1.7100000000000009</v>
      </c>
      <c r="AT2">
        <f>_xlfn.PERCENTILE.INC($AJ$2:$AJ$31,0.667)</f>
        <v>6.343</v>
      </c>
      <c r="AV2" t="s">
        <v>58</v>
      </c>
      <c r="AW2" t="s">
        <v>58</v>
      </c>
      <c r="AX2" t="s">
        <v>58</v>
      </c>
      <c r="AY2" s="20">
        <v>8</v>
      </c>
      <c r="AZ2" s="20">
        <v>0.375</v>
      </c>
      <c r="BA2" s="20">
        <v>-940</v>
      </c>
    </row>
    <row r="3" spans="1:53" x14ac:dyDescent="0.2">
      <c r="A3" s="6" t="s">
        <v>6</v>
      </c>
      <c r="B3" s="11"/>
      <c r="C3" s="5"/>
      <c r="D3" s="1"/>
      <c r="E3" s="10">
        <v>-500</v>
      </c>
      <c r="F3" s="1">
        <v>1340</v>
      </c>
      <c r="G3" s="1">
        <v>2300</v>
      </c>
      <c r="H3" s="1">
        <v>1000</v>
      </c>
      <c r="I3" s="1">
        <v>1000</v>
      </c>
      <c r="J3" s="1">
        <v>1000</v>
      </c>
      <c r="K3" s="1"/>
      <c r="L3" s="1"/>
      <c r="M3" s="1"/>
      <c r="N3" s="1"/>
      <c r="Q3" s="16" t="s">
        <v>36</v>
      </c>
      <c r="R3" s="16" t="s">
        <v>37</v>
      </c>
      <c r="S3" s="16" t="s">
        <v>38</v>
      </c>
      <c r="V3" s="6" t="s">
        <v>6</v>
      </c>
      <c r="W3" s="11"/>
      <c r="X3" s="5"/>
      <c r="Y3" s="1"/>
      <c r="Z3" s="10">
        <v>-500</v>
      </c>
      <c r="AA3" s="1">
        <v>1340</v>
      </c>
      <c r="AB3" s="1">
        <v>2300</v>
      </c>
      <c r="AC3" s="1">
        <v>1000</v>
      </c>
      <c r="AD3" s="1">
        <v>1000</v>
      </c>
      <c r="AE3" s="1">
        <v>1000</v>
      </c>
      <c r="AF3" s="1"/>
      <c r="AG3" s="1"/>
      <c r="AH3" s="1"/>
      <c r="AI3" s="1"/>
      <c r="AJ3" cm="1">
        <f t="array" ref="AJ3">12 - LOOKUP(2, 1/(X3:AI3&lt;&gt;""), $X$1:$AI$1)</f>
        <v>4</v>
      </c>
      <c r="AK3">
        <f t="shared" ref="AK3:AK31" si="1">COUNTIF(X3:AI3,"&gt;0")</f>
        <v>5</v>
      </c>
      <c r="AL3">
        <f t="shared" ref="AL3:AL31" si="2">SUM(W3:AI3)</f>
        <v>6140</v>
      </c>
      <c r="AM3" t="str">
        <f>IF(AJ3&lt;=$AR$2,"Good","Bad")</f>
        <v>Bad</v>
      </c>
      <c r="AN3" t="str">
        <f>IF(AK3&gt;=$AR$3,"Good","Bad")</f>
        <v>Good</v>
      </c>
      <c r="AO3" t="str">
        <f>IF(AL3&gt;=$AR$4,"Good","Bad")</f>
        <v>Good</v>
      </c>
      <c r="AQ3" t="s">
        <v>37</v>
      </c>
      <c r="AR3" s="18">
        <f>MEDIAN(AK2:AK31)</f>
        <v>3.5</v>
      </c>
      <c r="AS3">
        <f>_xlfn.PERCENTILE.INC($AK$2:$AK$31,0.33)</f>
        <v>0</v>
      </c>
      <c r="AT3">
        <f>_xlfn.PERCENTILE.INC($AK$2:$AK$31,0.667)</f>
        <v>6.343</v>
      </c>
      <c r="AV3" t="s">
        <v>58</v>
      </c>
      <c r="AW3" t="s">
        <v>58</v>
      </c>
      <c r="AX3" t="s">
        <v>59</v>
      </c>
      <c r="AY3" s="20">
        <v>9.5</v>
      </c>
      <c r="AZ3" s="20">
        <v>2</v>
      </c>
      <c r="BA3" s="20">
        <v>5140</v>
      </c>
    </row>
    <row r="4" spans="1:53" x14ac:dyDescent="0.2">
      <c r="A4" s="6" t="s">
        <v>7</v>
      </c>
      <c r="B4" s="8">
        <v>-100</v>
      </c>
      <c r="C4" s="5">
        <v>20</v>
      </c>
      <c r="D4" s="5">
        <v>20</v>
      </c>
      <c r="E4" s="5">
        <v>20</v>
      </c>
      <c r="F4" s="5">
        <v>20</v>
      </c>
      <c r="G4" s="1">
        <v>40</v>
      </c>
      <c r="H4" s="1">
        <v>40</v>
      </c>
      <c r="I4" s="1">
        <v>40</v>
      </c>
      <c r="J4" s="1">
        <v>40</v>
      </c>
      <c r="K4" s="1">
        <v>80</v>
      </c>
      <c r="L4" s="1">
        <v>80</v>
      </c>
      <c r="M4" s="1">
        <v>80</v>
      </c>
      <c r="N4" s="1">
        <v>80</v>
      </c>
      <c r="Q4" t="s">
        <v>40</v>
      </c>
      <c r="R4" t="s">
        <v>40</v>
      </c>
      <c r="S4" t="s">
        <v>40</v>
      </c>
      <c r="V4" s="6" t="s">
        <v>7</v>
      </c>
      <c r="W4" s="8">
        <v>-100</v>
      </c>
      <c r="X4" s="5">
        <v>20</v>
      </c>
      <c r="Y4" s="5">
        <v>20</v>
      </c>
      <c r="Z4" s="5">
        <v>20</v>
      </c>
      <c r="AA4" s="5">
        <v>20</v>
      </c>
      <c r="AB4" s="1">
        <v>40</v>
      </c>
      <c r="AC4" s="1">
        <v>40</v>
      </c>
      <c r="AD4" s="1">
        <v>40</v>
      </c>
      <c r="AE4" s="1">
        <v>40</v>
      </c>
      <c r="AF4" s="1">
        <v>80</v>
      </c>
      <c r="AG4" s="1">
        <v>80</v>
      </c>
      <c r="AH4" s="1">
        <v>80</v>
      </c>
      <c r="AI4" s="1">
        <v>80</v>
      </c>
      <c r="AJ4" cm="1">
        <f t="array" ref="AJ4">12 - LOOKUP(2, 1/(X4:AI4&lt;&gt;""), $X$1:$AI$1)</f>
        <v>0</v>
      </c>
      <c r="AK4">
        <f t="shared" si="1"/>
        <v>12</v>
      </c>
      <c r="AL4">
        <f t="shared" si="2"/>
        <v>460</v>
      </c>
      <c r="AM4" t="str">
        <f>IF(AJ4&lt;=$AR$2,"Good","Bad")</f>
        <v>Good</v>
      </c>
      <c r="AN4" t="str">
        <f>IF(AK4&gt;=$AR$3,"Good","Bad")</f>
        <v>Good</v>
      </c>
      <c r="AO4" t="str">
        <f>IF(AL4&gt;=$AR$4,"Good","Bad")</f>
        <v>Bad</v>
      </c>
      <c r="AQ4" t="s">
        <v>38</v>
      </c>
      <c r="AR4" s="18">
        <f>MEDIAN(AL2:AL31)</f>
        <v>592.5</v>
      </c>
      <c r="AS4">
        <f>_xlfn.PERCENTILE.INC($AL$2:$AL$31,0.33)</f>
        <v>-71.499999999999986</v>
      </c>
      <c r="AT4">
        <f>_xlfn.PERCENTILE.INC($AL$2:$AL$31,0.667)</f>
        <v>1499.751</v>
      </c>
      <c r="AV4" t="s">
        <v>58</v>
      </c>
      <c r="AW4" t="s">
        <v>59</v>
      </c>
      <c r="AX4" t="s">
        <v>58</v>
      </c>
      <c r="AY4" s="20">
        <v>4</v>
      </c>
      <c r="AZ4" s="20">
        <v>5</v>
      </c>
      <c r="BA4" s="20">
        <v>570</v>
      </c>
    </row>
    <row r="5" spans="1:53" x14ac:dyDescent="0.2">
      <c r="A5" s="6" t="s">
        <v>8</v>
      </c>
      <c r="B5" s="8">
        <v>-100</v>
      </c>
      <c r="C5" s="5">
        <v>40</v>
      </c>
      <c r="D5" s="5">
        <v>40</v>
      </c>
      <c r="E5" s="5">
        <v>40</v>
      </c>
      <c r="F5" s="5">
        <v>20</v>
      </c>
      <c r="G5" s="1">
        <v>80</v>
      </c>
      <c r="H5" s="1">
        <v>80</v>
      </c>
      <c r="I5" s="1">
        <v>80</v>
      </c>
      <c r="J5" s="1">
        <v>40</v>
      </c>
      <c r="K5" s="1">
        <v>80</v>
      </c>
      <c r="L5" s="1">
        <v>80</v>
      </c>
      <c r="M5" s="1">
        <v>80</v>
      </c>
      <c r="N5" s="1">
        <v>80</v>
      </c>
      <c r="V5" s="6" t="s">
        <v>8</v>
      </c>
      <c r="W5" s="8">
        <v>-100</v>
      </c>
      <c r="X5" s="5">
        <v>40</v>
      </c>
      <c r="Y5" s="5">
        <v>40</v>
      </c>
      <c r="Z5" s="5">
        <v>40</v>
      </c>
      <c r="AA5" s="5">
        <v>20</v>
      </c>
      <c r="AB5" s="1">
        <v>80</v>
      </c>
      <c r="AC5" s="1">
        <v>80</v>
      </c>
      <c r="AD5" s="1">
        <v>80</v>
      </c>
      <c r="AE5" s="1">
        <v>40</v>
      </c>
      <c r="AF5" s="1">
        <v>80</v>
      </c>
      <c r="AG5" s="1">
        <v>80</v>
      </c>
      <c r="AH5" s="1">
        <v>80</v>
      </c>
      <c r="AI5" s="1">
        <v>80</v>
      </c>
      <c r="AJ5" cm="1">
        <f t="array" ref="AJ5">12 - LOOKUP(2, 1/(X5:AI5&lt;&gt;""), $X$1:$AI$1)</f>
        <v>0</v>
      </c>
      <c r="AK5">
        <f t="shared" si="1"/>
        <v>12</v>
      </c>
      <c r="AL5">
        <f t="shared" si="2"/>
        <v>640</v>
      </c>
      <c r="AM5" t="str">
        <f>IF(AJ5&lt;=$AR$2,"Good","Bad")</f>
        <v>Good</v>
      </c>
      <c r="AN5" t="str">
        <f>IF(AK5&gt;=$AR$3,"Good","Bad")</f>
        <v>Good</v>
      </c>
      <c r="AO5" t="str">
        <f>IF(AL5&gt;=$AR$4,"Good","Bad")</f>
        <v>Good</v>
      </c>
      <c r="AV5" t="s">
        <v>58</v>
      </c>
      <c r="AW5" t="s">
        <v>59</v>
      </c>
      <c r="AX5" t="s">
        <v>59</v>
      </c>
      <c r="AY5" s="20">
        <v>4.666666666666667</v>
      </c>
      <c r="AZ5" s="20">
        <v>6</v>
      </c>
      <c r="BA5" s="20">
        <v>12975</v>
      </c>
    </row>
    <row r="6" spans="1:53" x14ac:dyDescent="0.2">
      <c r="A6" s="7" t="s">
        <v>9</v>
      </c>
      <c r="B6" s="12"/>
      <c r="C6" s="8">
        <v>-50</v>
      </c>
      <c r="D6" s="5">
        <v>400</v>
      </c>
      <c r="E6" s="5">
        <v>400</v>
      </c>
      <c r="F6" s="5">
        <v>400</v>
      </c>
      <c r="G6" s="5">
        <v>310</v>
      </c>
      <c r="H6" s="5">
        <v>380</v>
      </c>
      <c r="I6" s="5">
        <v>300</v>
      </c>
      <c r="J6" s="5">
        <v>300</v>
      </c>
      <c r="K6" s="5">
        <v>300</v>
      </c>
      <c r="L6" s="5">
        <v>300</v>
      </c>
      <c r="M6" s="5">
        <v>300</v>
      </c>
      <c r="N6" s="5">
        <v>300</v>
      </c>
      <c r="Q6" t="s">
        <v>41</v>
      </c>
      <c r="V6" s="7" t="s">
        <v>9</v>
      </c>
      <c r="W6" s="12"/>
      <c r="X6" s="8">
        <v>-50</v>
      </c>
      <c r="Y6" s="5">
        <v>400</v>
      </c>
      <c r="Z6" s="5">
        <v>400</v>
      </c>
      <c r="AA6" s="5">
        <v>400</v>
      </c>
      <c r="AB6" s="5">
        <v>310</v>
      </c>
      <c r="AC6" s="5">
        <v>380</v>
      </c>
      <c r="AD6" s="5">
        <v>300</v>
      </c>
      <c r="AE6" s="5">
        <v>300</v>
      </c>
      <c r="AF6" s="5">
        <v>300</v>
      </c>
      <c r="AG6" s="5">
        <v>300</v>
      </c>
      <c r="AH6" s="5">
        <v>300</v>
      </c>
      <c r="AI6" s="5">
        <v>300</v>
      </c>
      <c r="AJ6" cm="1">
        <f t="array" ref="AJ6">12 - LOOKUP(2, 1/(X6:AI6&lt;&gt;""), $X$1:$AI$1)</f>
        <v>0</v>
      </c>
      <c r="AK6">
        <f t="shared" si="1"/>
        <v>11</v>
      </c>
      <c r="AL6">
        <f t="shared" si="2"/>
        <v>3640</v>
      </c>
      <c r="AM6" t="str">
        <f>IF(AJ6&lt;=$AR$2,"Good","Bad")</f>
        <v>Good</v>
      </c>
      <c r="AN6" t="str">
        <f>IF(AK6&gt;=$AR$3,"Good","Bad")</f>
        <v>Good</v>
      </c>
      <c r="AO6" t="str">
        <f>IF(AL6&gt;=$AR$4,"Good","Bad")</f>
        <v>Good</v>
      </c>
      <c r="AV6" t="s">
        <v>59</v>
      </c>
      <c r="AW6" t="s">
        <v>58</v>
      </c>
      <c r="AX6" t="s">
        <v>58</v>
      </c>
      <c r="AY6" s="20">
        <v>3</v>
      </c>
      <c r="AZ6" s="20">
        <v>0</v>
      </c>
      <c r="BA6" s="20">
        <v>-1500</v>
      </c>
    </row>
    <row r="7" spans="1:53" x14ac:dyDescent="0.2">
      <c r="A7" s="6" t="s">
        <v>10</v>
      </c>
      <c r="B7" s="9">
        <v>-400</v>
      </c>
      <c r="C7" s="5">
        <v>150</v>
      </c>
      <c r="D7" s="5">
        <v>150</v>
      </c>
      <c r="E7" s="5">
        <v>150</v>
      </c>
      <c r="F7" s="5">
        <v>150</v>
      </c>
      <c r="G7" s="1">
        <v>200</v>
      </c>
      <c r="H7" s="1">
        <v>200</v>
      </c>
      <c r="I7" s="1">
        <v>200</v>
      </c>
      <c r="J7" s="1">
        <v>200</v>
      </c>
      <c r="K7" s="1">
        <v>200</v>
      </c>
      <c r="L7" s="1">
        <v>200</v>
      </c>
      <c r="M7" s="1">
        <v>200</v>
      </c>
      <c r="N7" s="1">
        <v>200</v>
      </c>
      <c r="V7" s="6" t="s">
        <v>10</v>
      </c>
      <c r="W7" s="9">
        <v>-400</v>
      </c>
      <c r="X7" s="5">
        <v>150</v>
      </c>
      <c r="Y7" s="5">
        <v>150</v>
      </c>
      <c r="Z7" s="5">
        <v>150</v>
      </c>
      <c r="AA7" s="5">
        <v>150</v>
      </c>
      <c r="AB7" s="1">
        <v>200</v>
      </c>
      <c r="AC7" s="1">
        <v>200</v>
      </c>
      <c r="AD7" s="1">
        <v>200</v>
      </c>
      <c r="AE7" s="1">
        <v>200</v>
      </c>
      <c r="AF7" s="1">
        <v>200</v>
      </c>
      <c r="AG7" s="1">
        <v>200</v>
      </c>
      <c r="AH7" s="1">
        <v>200</v>
      </c>
      <c r="AI7" s="1">
        <v>200</v>
      </c>
      <c r="AJ7" cm="1">
        <f t="array" ref="AJ7">12 - LOOKUP(2, 1/(X7:AI7&lt;&gt;""), $X$1:$AI$1)</f>
        <v>0</v>
      </c>
      <c r="AK7">
        <f t="shared" si="1"/>
        <v>12</v>
      </c>
      <c r="AL7">
        <f t="shared" si="2"/>
        <v>1800</v>
      </c>
      <c r="AM7" t="str">
        <f>IF(AJ7&lt;=$AR$2,"Good","Bad")</f>
        <v>Good</v>
      </c>
      <c r="AN7" t="str">
        <f>IF(AK7&gt;=$AR$3,"Good","Bad")</f>
        <v>Good</v>
      </c>
      <c r="AO7" t="str">
        <f>IF(AL7&gt;=$AR$4,"Good","Bad")</f>
        <v>Good</v>
      </c>
      <c r="AV7" t="s">
        <v>59</v>
      </c>
      <c r="AW7" t="s">
        <v>59</v>
      </c>
      <c r="AX7" t="s">
        <v>58</v>
      </c>
      <c r="AY7" s="20">
        <v>0</v>
      </c>
      <c r="AZ7" s="20">
        <v>12</v>
      </c>
      <c r="BA7" s="20">
        <v>460</v>
      </c>
    </row>
    <row r="8" spans="1:53" x14ac:dyDescent="0.2">
      <c r="A8" s="6" t="s">
        <v>11</v>
      </c>
      <c r="B8" s="8">
        <v>-50</v>
      </c>
      <c r="C8" s="1">
        <v>400</v>
      </c>
      <c r="D8" s="1"/>
      <c r="E8" s="1"/>
      <c r="F8" s="1">
        <v>400</v>
      </c>
      <c r="G8" s="1">
        <v>400</v>
      </c>
      <c r="H8" s="1"/>
      <c r="I8" s="1"/>
      <c r="J8" s="1">
        <v>400</v>
      </c>
      <c r="K8" s="1">
        <v>400</v>
      </c>
      <c r="L8" s="1"/>
      <c r="M8" s="1"/>
      <c r="N8" s="1">
        <v>400</v>
      </c>
      <c r="V8" s="6" t="s">
        <v>11</v>
      </c>
      <c r="W8" s="8">
        <v>-50</v>
      </c>
      <c r="X8" s="1">
        <v>400</v>
      </c>
      <c r="Y8" s="1"/>
      <c r="Z8" s="1"/>
      <c r="AA8" s="1">
        <v>400</v>
      </c>
      <c r="AB8" s="1">
        <v>400</v>
      </c>
      <c r="AC8" s="1"/>
      <c r="AD8" s="1"/>
      <c r="AE8" s="1">
        <v>400</v>
      </c>
      <c r="AF8" s="1">
        <v>400</v>
      </c>
      <c r="AG8" s="1"/>
      <c r="AH8" s="1"/>
      <c r="AI8" s="1">
        <v>400</v>
      </c>
      <c r="AJ8" cm="1">
        <f t="array" ref="AJ8">12 - LOOKUP(2, 1/(X8:AI8&lt;&gt;""), $X$1:$AI$1)</f>
        <v>0</v>
      </c>
      <c r="AK8">
        <f t="shared" si="1"/>
        <v>6</v>
      </c>
      <c r="AL8">
        <f t="shared" si="2"/>
        <v>2350</v>
      </c>
      <c r="AM8" t="str">
        <f>IF(AJ8&lt;=$AR$2,"Good","Bad")</f>
        <v>Good</v>
      </c>
      <c r="AN8" t="str">
        <f>IF(AK8&gt;=$AR$3,"Good","Bad")</f>
        <v>Good</v>
      </c>
      <c r="AO8" t="str">
        <f>IF(AL8&gt;=$AR$4,"Good","Bad")</f>
        <v>Good</v>
      </c>
      <c r="AV8" t="s">
        <v>59</v>
      </c>
      <c r="AW8" t="s">
        <v>59</v>
      </c>
      <c r="AX8" t="s">
        <v>59</v>
      </c>
      <c r="AY8" s="20">
        <v>0.3</v>
      </c>
      <c r="AZ8" s="20">
        <v>10.3</v>
      </c>
      <c r="BA8" s="20">
        <v>20998</v>
      </c>
    </row>
    <row r="9" spans="1:53" x14ac:dyDescent="0.2">
      <c r="A9" s="6" t="s">
        <v>12</v>
      </c>
      <c r="B9" s="8">
        <v>-400</v>
      </c>
      <c r="C9" s="1">
        <v>200</v>
      </c>
      <c r="D9" s="1">
        <f>C9+60</f>
        <v>260</v>
      </c>
      <c r="E9" s="1">
        <f t="shared" ref="E9:N9" si="3">D9+60</f>
        <v>320</v>
      </c>
      <c r="F9" s="1">
        <f t="shared" si="3"/>
        <v>380</v>
      </c>
      <c r="G9" s="1">
        <f t="shared" si="3"/>
        <v>440</v>
      </c>
      <c r="H9" s="1">
        <f t="shared" si="3"/>
        <v>500</v>
      </c>
      <c r="I9" s="1">
        <f t="shared" si="3"/>
        <v>560</v>
      </c>
      <c r="J9" s="1">
        <f t="shared" si="3"/>
        <v>620</v>
      </c>
      <c r="K9" s="1">
        <f t="shared" si="3"/>
        <v>680</v>
      </c>
      <c r="L9" s="1">
        <f t="shared" si="3"/>
        <v>740</v>
      </c>
      <c r="M9" s="1">
        <f t="shared" si="3"/>
        <v>800</v>
      </c>
      <c r="N9" s="1">
        <f t="shared" si="3"/>
        <v>860</v>
      </c>
      <c r="Q9" s="15" t="s">
        <v>42</v>
      </c>
      <c r="V9" s="6" t="s">
        <v>12</v>
      </c>
      <c r="W9" s="8">
        <v>-400</v>
      </c>
      <c r="X9" s="1">
        <v>200</v>
      </c>
      <c r="Y9" s="1">
        <v>260</v>
      </c>
      <c r="Z9" s="1">
        <v>320</v>
      </c>
      <c r="AA9" s="1">
        <v>380</v>
      </c>
      <c r="AB9" s="1">
        <v>440</v>
      </c>
      <c r="AC9" s="1">
        <v>500</v>
      </c>
      <c r="AD9" s="1">
        <v>560</v>
      </c>
      <c r="AE9" s="1">
        <v>620</v>
      </c>
      <c r="AF9" s="1">
        <v>680</v>
      </c>
      <c r="AG9" s="1">
        <v>740</v>
      </c>
      <c r="AH9" s="1">
        <v>800</v>
      </c>
      <c r="AI9" s="1">
        <v>860</v>
      </c>
      <c r="AJ9" cm="1">
        <f t="array" ref="AJ9">12 - LOOKUP(2, 1/(X9:AI9&lt;&gt;""), $X$1:$AI$1)</f>
        <v>0</v>
      </c>
      <c r="AK9">
        <f t="shared" si="1"/>
        <v>12</v>
      </c>
      <c r="AL9">
        <f t="shared" si="2"/>
        <v>5960</v>
      </c>
      <c r="AM9" t="str">
        <f>IF(AJ9&lt;=$AR$2,"Good","Bad")</f>
        <v>Good</v>
      </c>
      <c r="AN9" t="str">
        <f>IF(AK9&gt;=$AR$3,"Good","Bad")</f>
        <v>Good</v>
      </c>
      <c r="AO9" t="str">
        <f>IF(AL9&gt;=$AR$4,"Good","Bad")</f>
        <v>Good</v>
      </c>
    </row>
    <row r="10" spans="1:53" x14ac:dyDescent="0.2">
      <c r="A10" s="6" t="s">
        <v>13</v>
      </c>
      <c r="B10" s="8">
        <v>-100</v>
      </c>
      <c r="C10" s="1">
        <v>560</v>
      </c>
      <c r="D10" s="1">
        <v>560</v>
      </c>
      <c r="E10" s="1">
        <v>560</v>
      </c>
      <c r="F10" s="1">
        <v>560</v>
      </c>
      <c r="G10" s="1">
        <v>560</v>
      </c>
      <c r="H10" s="1">
        <v>560</v>
      </c>
      <c r="I10" s="1"/>
      <c r="J10" s="1"/>
      <c r="K10" s="1"/>
      <c r="L10" s="1"/>
      <c r="M10" s="1"/>
      <c r="N10" s="1"/>
      <c r="V10" s="6" t="s">
        <v>13</v>
      </c>
      <c r="W10" s="8">
        <v>-100</v>
      </c>
      <c r="X10" s="1">
        <v>560</v>
      </c>
      <c r="Y10" s="1">
        <v>560</v>
      </c>
      <c r="Z10" s="1">
        <v>560</v>
      </c>
      <c r="AA10" s="1">
        <v>560</v>
      </c>
      <c r="AB10" s="1">
        <v>560</v>
      </c>
      <c r="AC10" s="1">
        <v>560</v>
      </c>
      <c r="AD10" s="1"/>
      <c r="AE10" s="1"/>
      <c r="AF10" s="1"/>
      <c r="AG10" s="1"/>
      <c r="AH10" s="1"/>
      <c r="AI10" s="1"/>
      <c r="AJ10" cm="1">
        <f t="array" ref="AJ10">12 - LOOKUP(2, 1/(X10:AI10&lt;&gt;""), $X$1:$AI$1)</f>
        <v>6</v>
      </c>
      <c r="AK10">
        <f t="shared" si="1"/>
        <v>6</v>
      </c>
      <c r="AL10">
        <f t="shared" si="2"/>
        <v>3260</v>
      </c>
      <c r="AM10" t="str">
        <f>IF(AJ10&lt;=$AR$2,"Good","Bad")</f>
        <v>Bad</v>
      </c>
      <c r="AN10" t="str">
        <f>IF(AK10&gt;=$AR$3,"Good","Bad")</f>
        <v>Good</v>
      </c>
      <c r="AO10" t="str">
        <f>IF(AL10&gt;=$AR$4,"Good","Bad")</f>
        <v>Good</v>
      </c>
    </row>
    <row r="11" spans="1:53" x14ac:dyDescent="0.2">
      <c r="A11" s="6" t="s">
        <v>14</v>
      </c>
      <c r="B11" s="8">
        <v>-100</v>
      </c>
      <c r="C11" s="1"/>
      <c r="D11" s="1">
        <v>600</v>
      </c>
      <c r="E11" s="1">
        <f>D11-25</f>
        <v>575</v>
      </c>
      <c r="F11" s="1">
        <f t="shared" ref="F11:J11" si="4">E11-25</f>
        <v>550</v>
      </c>
      <c r="G11" s="1">
        <f t="shared" si="4"/>
        <v>525</v>
      </c>
      <c r="H11" s="1">
        <f>G11-25</f>
        <v>500</v>
      </c>
      <c r="I11" s="1">
        <f t="shared" si="4"/>
        <v>475</v>
      </c>
      <c r="J11" s="1">
        <f t="shared" si="4"/>
        <v>450</v>
      </c>
      <c r="K11" s="1"/>
      <c r="L11" s="1"/>
      <c r="M11" s="1"/>
      <c r="N11" s="1"/>
      <c r="Q11" s="16" t="s">
        <v>36</v>
      </c>
      <c r="R11" s="16" t="s">
        <v>37</v>
      </c>
      <c r="S11" s="16" t="s">
        <v>38</v>
      </c>
      <c r="V11" s="6" t="s">
        <v>14</v>
      </c>
      <c r="W11" s="8">
        <v>-100</v>
      </c>
      <c r="X11" s="1"/>
      <c r="Y11" s="1">
        <v>600</v>
      </c>
      <c r="Z11" s="1">
        <v>575</v>
      </c>
      <c r="AA11" s="1">
        <v>550</v>
      </c>
      <c r="AB11" s="1">
        <v>525</v>
      </c>
      <c r="AC11" s="1">
        <v>500</v>
      </c>
      <c r="AD11" s="1">
        <v>475</v>
      </c>
      <c r="AE11" s="1">
        <v>450</v>
      </c>
      <c r="AF11" s="1"/>
      <c r="AG11" s="1"/>
      <c r="AH11" s="1"/>
      <c r="AI11" s="1"/>
      <c r="AJ11" cm="1">
        <f t="array" ref="AJ11">12 - LOOKUP(2, 1/(X11:AI11&lt;&gt;""), $X$1:$AI$1)</f>
        <v>4</v>
      </c>
      <c r="AK11">
        <f t="shared" si="1"/>
        <v>7</v>
      </c>
      <c r="AL11">
        <f t="shared" si="2"/>
        <v>3575</v>
      </c>
      <c r="AM11" t="str">
        <f>IF(AJ11&lt;=$AR$2,"Good","Bad")</f>
        <v>Bad</v>
      </c>
      <c r="AN11" t="str">
        <f>IF(AK11&gt;=$AR$3,"Good","Bad")</f>
        <v>Good</v>
      </c>
      <c r="AO11" t="str">
        <f>IF(AL11&gt;=$AR$4,"Good","Bad")</f>
        <v>Good</v>
      </c>
      <c r="AV11" s="21" t="s">
        <v>54</v>
      </c>
      <c r="AW11" s="21" t="s">
        <v>55</v>
      </c>
      <c r="AX11" s="21" t="s">
        <v>56</v>
      </c>
      <c r="AY11" s="21" t="s">
        <v>60</v>
      </c>
      <c r="AZ11" s="21" t="s">
        <v>61</v>
      </c>
      <c r="BA11" s="21" t="s">
        <v>62</v>
      </c>
    </row>
    <row r="12" spans="1:53" x14ac:dyDescent="0.2">
      <c r="A12" s="6" t="s">
        <v>15</v>
      </c>
      <c r="B12" s="8">
        <v>-100</v>
      </c>
      <c r="C12" s="1">
        <v>80</v>
      </c>
      <c r="D12" s="1">
        <v>80</v>
      </c>
      <c r="E12" s="1">
        <v>80</v>
      </c>
      <c r="F12" s="1">
        <v>80</v>
      </c>
      <c r="G12" s="1">
        <v>80</v>
      </c>
      <c r="H12" s="1">
        <v>80</v>
      </c>
      <c r="I12" s="1">
        <v>80</v>
      </c>
      <c r="J12" s="1">
        <v>80</v>
      </c>
      <c r="K12" s="1">
        <v>80</v>
      </c>
      <c r="L12" s="1">
        <v>80</v>
      </c>
      <c r="M12" s="1">
        <v>80</v>
      </c>
      <c r="N12" s="1">
        <v>80</v>
      </c>
      <c r="P12" t="s">
        <v>43</v>
      </c>
      <c r="Q12" s="17" t="s">
        <v>44</v>
      </c>
      <c r="R12" s="17" t="s">
        <v>44</v>
      </c>
      <c r="S12" s="17" t="s">
        <v>44</v>
      </c>
      <c r="V12" s="6" t="s">
        <v>15</v>
      </c>
      <c r="W12" s="8">
        <v>-100</v>
      </c>
      <c r="X12" s="1">
        <v>80</v>
      </c>
      <c r="Y12" s="1">
        <v>80</v>
      </c>
      <c r="Z12" s="1">
        <v>80</v>
      </c>
      <c r="AA12" s="1">
        <v>80</v>
      </c>
      <c r="AB12" s="1">
        <v>80</v>
      </c>
      <c r="AC12" s="1">
        <v>80</v>
      </c>
      <c r="AD12" s="1">
        <v>80</v>
      </c>
      <c r="AE12" s="1">
        <v>80</v>
      </c>
      <c r="AF12" s="1">
        <v>80</v>
      </c>
      <c r="AG12" s="1">
        <v>80</v>
      </c>
      <c r="AH12" s="1">
        <v>80</v>
      </c>
      <c r="AI12" s="1">
        <v>80</v>
      </c>
      <c r="AJ12" cm="1">
        <f t="array" ref="AJ12">12 - LOOKUP(2, 1/(X12:AI12&lt;&gt;""), $X$1:$AI$1)</f>
        <v>0</v>
      </c>
      <c r="AK12">
        <f t="shared" si="1"/>
        <v>12</v>
      </c>
      <c r="AL12">
        <f t="shared" si="2"/>
        <v>860</v>
      </c>
      <c r="AM12" t="str">
        <f>IF(AJ12&lt;=$AR$2,"Good","Bad")</f>
        <v>Good</v>
      </c>
      <c r="AN12" t="str">
        <f>IF(AK12&gt;=$AR$3,"Good","Bad")</f>
        <v>Good</v>
      </c>
      <c r="AO12" t="str">
        <f>IF(AL12&gt;=$AR$4,"Good","Bad")</f>
        <v>Good</v>
      </c>
      <c r="AV12" t="s">
        <v>58</v>
      </c>
      <c r="AW12" t="s">
        <v>58</v>
      </c>
      <c r="AX12" t="s">
        <v>58</v>
      </c>
      <c r="AY12" s="22">
        <v>8</v>
      </c>
      <c r="AZ12" s="22">
        <v>0.375</v>
      </c>
      <c r="BA12" s="22">
        <v>-940</v>
      </c>
    </row>
    <row r="13" spans="1:53" x14ac:dyDescent="0.2">
      <c r="A13" s="6" t="s">
        <v>16</v>
      </c>
      <c r="B13" s="8">
        <v>-100</v>
      </c>
      <c r="C13" s="8"/>
      <c r="D13" s="5">
        <v>400</v>
      </c>
      <c r="E13" s="5"/>
      <c r="F13" s="5"/>
      <c r="G13" s="5">
        <v>310</v>
      </c>
      <c r="H13" s="5"/>
      <c r="I13" s="5">
        <v>300</v>
      </c>
      <c r="J13" s="5"/>
      <c r="K13" s="5">
        <v>230</v>
      </c>
      <c r="L13" s="5"/>
      <c r="M13" s="5"/>
      <c r="N13" s="1"/>
      <c r="Q13" s="16"/>
      <c r="R13" s="16"/>
      <c r="S13" s="16"/>
      <c r="V13" s="6" t="s">
        <v>16</v>
      </c>
      <c r="W13" s="8">
        <v>-100</v>
      </c>
      <c r="X13" s="8"/>
      <c r="Y13" s="5">
        <v>400</v>
      </c>
      <c r="Z13" s="5"/>
      <c r="AA13" s="5"/>
      <c r="AB13" s="5">
        <v>310</v>
      </c>
      <c r="AC13" s="5"/>
      <c r="AD13" s="5">
        <v>300</v>
      </c>
      <c r="AE13" s="5"/>
      <c r="AF13" s="5">
        <v>230</v>
      </c>
      <c r="AG13" s="5"/>
      <c r="AH13" s="5"/>
      <c r="AI13" s="1"/>
      <c r="AJ13" cm="1">
        <f t="array" ref="AJ13">12 - LOOKUP(2, 1/(X13:AI13&lt;&gt;""), $X$1:$AI$1)</f>
        <v>3</v>
      </c>
      <c r="AK13">
        <f t="shared" si="1"/>
        <v>4</v>
      </c>
      <c r="AL13">
        <f t="shared" si="2"/>
        <v>1140</v>
      </c>
      <c r="AM13" t="str">
        <f>IF(AJ13&lt;=$AR$2,"Good","Bad")</f>
        <v>Good</v>
      </c>
      <c r="AN13" t="str">
        <f>IF(AK13&gt;=$AR$3,"Good","Bad")</f>
        <v>Good</v>
      </c>
      <c r="AO13" t="str">
        <f>IF(AL13&gt;=$AR$4,"Good","Bad")</f>
        <v>Good</v>
      </c>
      <c r="AV13" t="s">
        <v>58</v>
      </c>
      <c r="AW13" t="s">
        <v>58</v>
      </c>
      <c r="AX13" t="s">
        <v>59</v>
      </c>
      <c r="AY13" s="22">
        <v>9.5</v>
      </c>
      <c r="AZ13" s="22">
        <v>2</v>
      </c>
      <c r="BA13" s="22">
        <v>5140</v>
      </c>
    </row>
    <row r="14" spans="1:53" x14ac:dyDescent="0.2">
      <c r="A14" s="6" t="s">
        <v>17</v>
      </c>
      <c r="B14" s="8">
        <v>-100</v>
      </c>
      <c r="C14" s="8"/>
      <c r="D14" s="5">
        <v>60</v>
      </c>
      <c r="E14" s="5">
        <v>80</v>
      </c>
      <c r="F14" s="5">
        <v>120</v>
      </c>
      <c r="G14" s="5">
        <v>200</v>
      </c>
      <c r="H14" s="5"/>
      <c r="I14" s="5"/>
      <c r="J14" s="5">
        <v>210</v>
      </c>
      <c r="K14" s="5"/>
      <c r="L14" s="5"/>
      <c r="M14" s="5"/>
      <c r="N14" s="1"/>
      <c r="P14" t="s">
        <v>45</v>
      </c>
      <c r="Q14" s="16">
        <v>0.2</v>
      </c>
      <c r="R14" s="16">
        <v>0.4</v>
      </c>
      <c r="S14" s="16">
        <v>0.4</v>
      </c>
      <c r="V14" s="6" t="s">
        <v>17</v>
      </c>
      <c r="W14" s="8">
        <v>-100</v>
      </c>
      <c r="X14" s="8"/>
      <c r="Y14" s="5">
        <v>60</v>
      </c>
      <c r="Z14" s="5">
        <v>80</v>
      </c>
      <c r="AA14" s="5">
        <v>120</v>
      </c>
      <c r="AB14" s="5">
        <v>200</v>
      </c>
      <c r="AC14" s="5"/>
      <c r="AD14" s="5"/>
      <c r="AE14" s="5">
        <v>210</v>
      </c>
      <c r="AF14" s="5"/>
      <c r="AG14" s="5"/>
      <c r="AH14" s="5"/>
      <c r="AI14" s="1"/>
      <c r="AJ14" cm="1">
        <f t="array" ref="AJ14">12 - LOOKUP(2, 1/(X14:AI14&lt;&gt;""), $X$1:$AI$1)</f>
        <v>4</v>
      </c>
      <c r="AK14">
        <f t="shared" si="1"/>
        <v>5</v>
      </c>
      <c r="AL14">
        <f t="shared" si="2"/>
        <v>570</v>
      </c>
      <c r="AM14" t="str">
        <f>IF(AJ14&lt;=$AR$2,"Good","Bad")</f>
        <v>Bad</v>
      </c>
      <c r="AN14" t="str">
        <f>IF(AK14&gt;=$AR$3,"Good","Bad")</f>
        <v>Good</v>
      </c>
      <c r="AO14" t="str">
        <f>IF(AL14&gt;=$AR$4,"Good","Bad")</f>
        <v>Bad</v>
      </c>
      <c r="AV14" t="s">
        <v>58</v>
      </c>
      <c r="AW14" t="s">
        <v>59</v>
      </c>
      <c r="AX14" t="s">
        <v>58</v>
      </c>
      <c r="AY14" s="22">
        <v>4</v>
      </c>
      <c r="AZ14" s="22">
        <v>5</v>
      </c>
      <c r="BA14" s="22">
        <v>570</v>
      </c>
    </row>
    <row r="15" spans="1:53" x14ac:dyDescent="0.2">
      <c r="A15" s="6" t="s">
        <v>18</v>
      </c>
      <c r="B15" s="11"/>
      <c r="C15" s="8">
        <v>-50</v>
      </c>
      <c r="D15" s="5">
        <v>1890</v>
      </c>
      <c r="E15" s="5"/>
      <c r="F15" s="5"/>
      <c r="G15" s="5"/>
      <c r="H15" s="5"/>
      <c r="I15" s="5"/>
      <c r="J15" s="5"/>
      <c r="K15" s="5"/>
      <c r="L15" s="5"/>
      <c r="M15" s="5"/>
      <c r="N15" s="1"/>
      <c r="V15" s="6" t="s">
        <v>18</v>
      </c>
      <c r="W15" s="11"/>
      <c r="X15" s="8">
        <v>-50</v>
      </c>
      <c r="Y15" s="5">
        <v>1890</v>
      </c>
      <c r="Z15" s="5"/>
      <c r="AA15" s="5"/>
      <c r="AB15" s="5"/>
      <c r="AC15" s="5"/>
      <c r="AD15" s="5"/>
      <c r="AE15" s="5"/>
      <c r="AF15" s="5"/>
      <c r="AG15" s="5"/>
      <c r="AH15" s="5"/>
      <c r="AI15" s="1"/>
      <c r="AJ15" cm="1">
        <f t="array" ref="AJ15">12 - LOOKUP(2, 1/(X15:AI15&lt;&gt;""), $X$1:$AI$1)</f>
        <v>10</v>
      </c>
      <c r="AK15">
        <f t="shared" si="1"/>
        <v>1</v>
      </c>
      <c r="AL15">
        <f t="shared" si="2"/>
        <v>1840</v>
      </c>
      <c r="AM15" t="str">
        <f>IF(AJ15&lt;=$AR$2,"Good","Bad")</f>
        <v>Bad</v>
      </c>
      <c r="AN15" t="str">
        <f>IF(AK15&gt;=$AR$3,"Good","Bad")</f>
        <v>Bad</v>
      </c>
      <c r="AO15" t="str">
        <f>IF(AL15&gt;=$AR$4,"Good","Bad")</f>
        <v>Good</v>
      </c>
      <c r="AV15" t="s">
        <v>58</v>
      </c>
      <c r="AW15" t="s">
        <v>59</v>
      </c>
      <c r="AX15" t="s">
        <v>59</v>
      </c>
      <c r="AY15" s="22">
        <v>4.666666666666667</v>
      </c>
      <c r="AZ15" s="22">
        <v>6</v>
      </c>
      <c r="BA15" s="22">
        <v>12975</v>
      </c>
    </row>
    <row r="16" spans="1:53" x14ac:dyDescent="0.2">
      <c r="A16" s="6" t="s">
        <v>19</v>
      </c>
      <c r="B16" s="8">
        <v>-100</v>
      </c>
      <c r="C16" s="1">
        <v>89</v>
      </c>
      <c r="D16" s="5">
        <v>10</v>
      </c>
      <c r="E16" s="5">
        <v>35</v>
      </c>
      <c r="F16" s="5">
        <v>65</v>
      </c>
      <c r="G16" s="5">
        <v>80</v>
      </c>
      <c r="H16" s="5">
        <v>120</v>
      </c>
      <c r="I16" s="5">
        <v>140</v>
      </c>
      <c r="J16" s="5">
        <v>145</v>
      </c>
      <c r="K16" s="5">
        <v>168</v>
      </c>
      <c r="L16" s="5">
        <v>189</v>
      </c>
      <c r="M16" s="5">
        <v>201</v>
      </c>
      <c r="N16" s="5">
        <v>201</v>
      </c>
      <c r="Q16" t="s">
        <v>46</v>
      </c>
      <c r="V16" s="6" t="s">
        <v>19</v>
      </c>
      <c r="W16" s="8">
        <v>-100</v>
      </c>
      <c r="X16" s="1">
        <v>89</v>
      </c>
      <c r="Y16" s="5">
        <v>10</v>
      </c>
      <c r="Z16" s="5">
        <v>35</v>
      </c>
      <c r="AA16" s="5">
        <v>65</v>
      </c>
      <c r="AB16" s="5">
        <v>80</v>
      </c>
      <c r="AC16" s="5">
        <v>120</v>
      </c>
      <c r="AD16" s="5">
        <v>140</v>
      </c>
      <c r="AE16" s="5">
        <v>145</v>
      </c>
      <c r="AF16" s="5">
        <v>168</v>
      </c>
      <c r="AG16" s="5">
        <v>189</v>
      </c>
      <c r="AH16" s="5">
        <v>201</v>
      </c>
      <c r="AI16" s="5">
        <v>201</v>
      </c>
      <c r="AJ16" cm="1">
        <f t="array" ref="AJ16">12 - LOOKUP(2, 1/(X16:AI16&lt;&gt;""), $X$1:$AI$1)</f>
        <v>0</v>
      </c>
      <c r="AK16">
        <f t="shared" si="1"/>
        <v>12</v>
      </c>
      <c r="AL16">
        <f t="shared" si="2"/>
        <v>1343</v>
      </c>
      <c r="AM16" t="str">
        <f>IF(AJ16&lt;=$AR$2,"Good","Bad")</f>
        <v>Good</v>
      </c>
      <c r="AN16" t="str">
        <f>IF(AK16&gt;=$AR$3,"Good","Bad")</f>
        <v>Good</v>
      </c>
      <c r="AO16" t="str">
        <f>IF(AL16&gt;=$AR$4,"Good","Bad")</f>
        <v>Good</v>
      </c>
      <c r="AV16" t="s">
        <v>59</v>
      </c>
      <c r="AW16" t="s">
        <v>58</v>
      </c>
      <c r="AX16" t="s">
        <v>58</v>
      </c>
      <c r="AY16" s="22">
        <v>3</v>
      </c>
      <c r="AZ16" s="22">
        <v>0</v>
      </c>
      <c r="BA16" s="22">
        <v>-1500</v>
      </c>
    </row>
    <row r="17" spans="1:53" x14ac:dyDescent="0.2">
      <c r="A17" s="6" t="s">
        <v>20</v>
      </c>
      <c r="B17" s="8">
        <v>-100</v>
      </c>
      <c r="C17" s="1"/>
      <c r="D17" s="5">
        <v>25</v>
      </c>
      <c r="E17" s="5">
        <v>35</v>
      </c>
      <c r="F17" s="5">
        <v>45</v>
      </c>
      <c r="G17" s="5">
        <v>55</v>
      </c>
      <c r="H17" s="5">
        <v>80</v>
      </c>
      <c r="I17" s="5">
        <v>80</v>
      </c>
      <c r="J17" s="5">
        <v>80</v>
      </c>
      <c r="K17" s="5">
        <v>75</v>
      </c>
      <c r="L17" s="5">
        <v>80</v>
      </c>
      <c r="M17" s="5">
        <v>80</v>
      </c>
      <c r="N17" s="5">
        <v>80</v>
      </c>
      <c r="V17" s="6" t="s">
        <v>20</v>
      </c>
      <c r="W17" s="8">
        <v>-100</v>
      </c>
      <c r="X17" s="1"/>
      <c r="Y17" s="5">
        <v>25</v>
      </c>
      <c r="Z17" s="5">
        <v>35</v>
      </c>
      <c r="AA17" s="5">
        <v>45</v>
      </c>
      <c r="AB17" s="5">
        <v>55</v>
      </c>
      <c r="AC17" s="5">
        <v>80</v>
      </c>
      <c r="AD17" s="5">
        <v>80</v>
      </c>
      <c r="AE17" s="5">
        <v>80</v>
      </c>
      <c r="AF17" s="5">
        <v>75</v>
      </c>
      <c r="AG17" s="5">
        <v>80</v>
      </c>
      <c r="AH17" s="5">
        <v>80</v>
      </c>
      <c r="AI17" s="5">
        <v>80</v>
      </c>
      <c r="AJ17" cm="1">
        <f t="array" ref="AJ17">12 - LOOKUP(2, 1/(X17:AI17&lt;&gt;""), $X$1:$AI$1)</f>
        <v>0</v>
      </c>
      <c r="AK17">
        <f t="shared" si="1"/>
        <v>11</v>
      </c>
      <c r="AL17">
        <f t="shared" si="2"/>
        <v>615</v>
      </c>
      <c r="AM17" t="str">
        <f>IF(AJ17&lt;=$AR$2,"Good","Bad")</f>
        <v>Good</v>
      </c>
      <c r="AN17" t="str">
        <f>IF(AK17&gt;=$AR$3,"Good","Bad")</f>
        <v>Good</v>
      </c>
      <c r="AO17" t="str">
        <f>IF(AL17&gt;=$AR$4,"Good","Bad")</f>
        <v>Good</v>
      </c>
      <c r="AV17" t="s">
        <v>59</v>
      </c>
      <c r="AW17" t="s">
        <v>59</v>
      </c>
      <c r="AX17" t="s">
        <v>58</v>
      </c>
      <c r="AY17" s="22">
        <v>0</v>
      </c>
      <c r="AZ17" s="22">
        <v>12</v>
      </c>
      <c r="BA17" s="22">
        <v>460</v>
      </c>
    </row>
    <row r="18" spans="1:53" x14ac:dyDescent="0.2">
      <c r="A18" s="6" t="s">
        <v>21</v>
      </c>
      <c r="B18" s="8">
        <v>-300</v>
      </c>
      <c r="C18" s="5">
        <v>1200</v>
      </c>
      <c r="D18" s="5">
        <v>1200</v>
      </c>
      <c r="E18" s="5">
        <v>1200</v>
      </c>
      <c r="F18" s="1"/>
      <c r="G18" s="1"/>
      <c r="H18" s="1"/>
      <c r="I18" s="1"/>
      <c r="J18" s="1"/>
      <c r="K18" s="1"/>
      <c r="L18" s="1"/>
      <c r="M18" s="1"/>
      <c r="N18" s="1"/>
      <c r="V18" s="6" t="s">
        <v>21</v>
      </c>
      <c r="W18" s="8">
        <v>-300</v>
      </c>
      <c r="X18" s="5">
        <v>1200</v>
      </c>
      <c r="Y18" s="5">
        <v>1200</v>
      </c>
      <c r="Z18" s="5">
        <v>1200</v>
      </c>
      <c r="AA18" s="1"/>
      <c r="AB18" s="1"/>
      <c r="AC18" s="1"/>
      <c r="AD18" s="1"/>
      <c r="AE18" s="1"/>
      <c r="AF18" s="1"/>
      <c r="AG18" s="1"/>
      <c r="AH18" s="1"/>
      <c r="AI18" s="1"/>
      <c r="AJ18" cm="1">
        <f t="array" ref="AJ18">12 - LOOKUP(2, 1/(X18:AI18&lt;&gt;""), $X$1:$AI$1)</f>
        <v>9</v>
      </c>
      <c r="AK18">
        <f t="shared" si="1"/>
        <v>3</v>
      </c>
      <c r="AL18">
        <f t="shared" si="2"/>
        <v>3300</v>
      </c>
      <c r="AM18" t="str">
        <f>IF(AJ18&lt;=$AR$2,"Good","Bad")</f>
        <v>Bad</v>
      </c>
      <c r="AN18" t="str">
        <f>IF(AK18&gt;=$AR$3,"Good","Bad")</f>
        <v>Bad</v>
      </c>
      <c r="AO18" t="str">
        <f>IF(AL18&gt;=$AR$4,"Good","Bad")</f>
        <v>Good</v>
      </c>
      <c r="AV18" t="s">
        <v>59</v>
      </c>
      <c r="AW18" t="s">
        <v>59</v>
      </c>
      <c r="AX18" t="s">
        <v>59</v>
      </c>
      <c r="AY18" s="22">
        <v>0.3</v>
      </c>
      <c r="AZ18" s="22">
        <v>10.3</v>
      </c>
      <c r="BA18" s="22">
        <v>20998</v>
      </c>
    </row>
    <row r="19" spans="1:53" x14ac:dyDescent="0.2">
      <c r="A19" s="6" t="s">
        <v>22</v>
      </c>
      <c r="B19" s="8">
        <v>-100</v>
      </c>
      <c r="C19" s="1">
        <v>90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Q19" s="15" t="s">
        <v>47</v>
      </c>
      <c r="V19" s="6" t="s">
        <v>22</v>
      </c>
      <c r="W19" s="8">
        <v>-100</v>
      </c>
      <c r="X19" s="1">
        <v>90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cm="1">
        <f t="array" ref="AJ19">12 - LOOKUP(2, 1/(X19:AI19&lt;&gt;""), $X$1:$AI$1)</f>
        <v>11</v>
      </c>
      <c r="AK19">
        <f t="shared" si="1"/>
        <v>1</v>
      </c>
      <c r="AL19">
        <f t="shared" si="2"/>
        <v>-10</v>
      </c>
      <c r="AM19" t="str">
        <f>IF(AJ19&lt;=$AR$2,"Good","Bad")</f>
        <v>Bad</v>
      </c>
      <c r="AN19" t="str">
        <f>IF(AK19&gt;=$AR$3,"Good","Bad")</f>
        <v>Bad</v>
      </c>
      <c r="AO19" t="str">
        <f>IF(AL19&gt;=$AR$4,"Good","Bad")</f>
        <v>Bad</v>
      </c>
    </row>
    <row r="20" spans="1:53" x14ac:dyDescent="0.2">
      <c r="A20" s="6" t="s">
        <v>23</v>
      </c>
      <c r="B20" s="8">
        <v>-100</v>
      </c>
      <c r="C20" s="1"/>
      <c r="D20" s="1">
        <v>60</v>
      </c>
      <c r="E20" s="1">
        <v>60</v>
      </c>
      <c r="F20" s="1"/>
      <c r="G20" s="1"/>
      <c r="H20" s="1"/>
      <c r="I20" s="1"/>
      <c r="J20" s="1"/>
      <c r="K20" s="1"/>
      <c r="L20" s="1"/>
      <c r="M20" s="1"/>
      <c r="N20" s="1"/>
      <c r="V20" s="6" t="s">
        <v>23</v>
      </c>
      <c r="W20" s="8">
        <v>-100</v>
      </c>
      <c r="X20" s="1"/>
      <c r="Y20" s="1">
        <v>60</v>
      </c>
      <c r="Z20" s="1">
        <v>60</v>
      </c>
      <c r="AA20" s="1"/>
      <c r="AB20" s="1"/>
      <c r="AC20" s="1"/>
      <c r="AD20" s="1"/>
      <c r="AE20" s="1"/>
      <c r="AF20" s="1"/>
      <c r="AG20" s="1"/>
      <c r="AH20" s="1"/>
      <c r="AI20" s="1"/>
      <c r="AJ20" cm="1">
        <f t="array" ref="AJ20">12 - LOOKUP(2, 1/(X20:AI20&lt;&gt;""), $X$1:$AI$1)</f>
        <v>9</v>
      </c>
      <c r="AK20">
        <f t="shared" si="1"/>
        <v>2</v>
      </c>
      <c r="AL20">
        <f t="shared" si="2"/>
        <v>20</v>
      </c>
      <c r="AM20" t="str">
        <f>IF(AJ20&lt;=$AR$2,"Good","Bad")</f>
        <v>Bad</v>
      </c>
      <c r="AN20" t="str">
        <f>IF(AK20&gt;=$AR$3,"Good","Bad")</f>
        <v>Bad</v>
      </c>
      <c r="AO20" t="str">
        <f>IF(AL20&gt;=$AR$4,"Good","Bad")</f>
        <v>Bad</v>
      </c>
    </row>
    <row r="21" spans="1:53" x14ac:dyDescent="0.2">
      <c r="A21" s="6" t="s">
        <v>24</v>
      </c>
      <c r="B21" s="5"/>
      <c r="C21" s="1"/>
      <c r="D21" s="1"/>
      <c r="E21" s="10">
        <v>-100</v>
      </c>
      <c r="F21" s="1"/>
      <c r="G21" s="1"/>
      <c r="H21" s="1"/>
      <c r="I21" s="1"/>
      <c r="J21" s="1"/>
      <c r="K21" s="1"/>
      <c r="L21" s="1"/>
      <c r="M21" s="1"/>
      <c r="N21" s="1"/>
      <c r="Q21" t="s">
        <v>48</v>
      </c>
      <c r="V21" s="6" t="s">
        <v>24</v>
      </c>
      <c r="W21" s="5"/>
      <c r="X21" s="1"/>
      <c r="Y21" s="1"/>
      <c r="Z21" s="10">
        <v>-100</v>
      </c>
      <c r="AA21" s="1"/>
      <c r="AB21" s="1"/>
      <c r="AC21" s="1"/>
      <c r="AD21" s="1"/>
      <c r="AE21" s="1"/>
      <c r="AF21" s="1"/>
      <c r="AG21" s="1"/>
      <c r="AH21" s="1"/>
      <c r="AI21" s="1"/>
      <c r="AJ21" cm="1">
        <f t="array" ref="AJ21">12 - LOOKUP(2, 1/(X21:AI21&lt;&gt;""), $X$1:$AI$1)</f>
        <v>9</v>
      </c>
      <c r="AK21">
        <f t="shared" si="1"/>
        <v>0</v>
      </c>
      <c r="AL21">
        <f t="shared" si="2"/>
        <v>-100</v>
      </c>
      <c r="AM21" t="str">
        <f>IF(AJ21&lt;=$AR$2,"Good","Bad")</f>
        <v>Bad</v>
      </c>
      <c r="AN21" t="str">
        <f>IF(AK21&gt;=$AR$3,"Good","Bad")</f>
        <v>Bad</v>
      </c>
      <c r="AO21" t="str">
        <f>IF(AL21&gt;=$AR$4,"Good","Bad")</f>
        <v>Bad</v>
      </c>
    </row>
    <row r="22" spans="1:53" x14ac:dyDescent="0.2">
      <c r="A22" s="6" t="s">
        <v>25</v>
      </c>
      <c r="B22" s="5"/>
      <c r="C22" s="1"/>
      <c r="D22" s="1"/>
      <c r="E22" s="1"/>
      <c r="F22" s="1"/>
      <c r="G22" s="10">
        <v>-50</v>
      </c>
      <c r="H22" s="1"/>
      <c r="I22" s="1"/>
      <c r="J22" s="1"/>
      <c r="K22" s="1"/>
      <c r="L22" s="1"/>
      <c r="M22" s="1"/>
      <c r="N22" s="1"/>
      <c r="V22" s="6" t="s">
        <v>25</v>
      </c>
      <c r="W22" s="5"/>
      <c r="X22" s="1"/>
      <c r="Y22" s="1"/>
      <c r="Z22" s="1"/>
      <c r="AA22" s="1"/>
      <c r="AB22" s="10">
        <v>-50</v>
      </c>
      <c r="AC22" s="1"/>
      <c r="AD22" s="1"/>
      <c r="AE22" s="1"/>
      <c r="AF22" s="1"/>
      <c r="AG22" s="1"/>
      <c r="AH22" s="1"/>
      <c r="AI22" s="1"/>
      <c r="AJ22" cm="1">
        <f t="array" ref="AJ22">12 - LOOKUP(2, 1/(X22:AI22&lt;&gt;""), $X$1:$AI$1)</f>
        <v>7</v>
      </c>
      <c r="AK22">
        <f t="shared" si="1"/>
        <v>0</v>
      </c>
      <c r="AL22">
        <f t="shared" si="2"/>
        <v>-50</v>
      </c>
      <c r="AM22" t="str">
        <f>IF(AJ22&lt;=$AR$2,"Good","Bad")</f>
        <v>Bad</v>
      </c>
      <c r="AN22" t="str">
        <f>IF(AK22&gt;=$AR$3,"Good","Bad")</f>
        <v>Bad</v>
      </c>
      <c r="AO22" t="str">
        <f>IF(AL22&gt;=$AR$4,"Good","Bad")</f>
        <v>Bad</v>
      </c>
    </row>
    <row r="23" spans="1:53" x14ac:dyDescent="0.2">
      <c r="A23" s="6" t="s">
        <v>26</v>
      </c>
      <c r="B23" s="5"/>
      <c r="C23" s="1"/>
      <c r="D23" s="1"/>
      <c r="E23" s="1"/>
      <c r="F23" s="1"/>
      <c r="G23" s="10">
        <v>-200</v>
      </c>
      <c r="I23" s="1"/>
      <c r="J23" s="1"/>
      <c r="K23" s="1"/>
      <c r="L23" s="1"/>
      <c r="M23" s="1"/>
      <c r="N23" s="1"/>
      <c r="V23" s="6" t="s">
        <v>26</v>
      </c>
      <c r="W23" s="5"/>
      <c r="X23" s="1"/>
      <c r="Y23" s="1"/>
      <c r="Z23" s="1"/>
      <c r="AA23" s="1"/>
      <c r="AB23" s="10">
        <v>-200</v>
      </c>
      <c r="AD23" s="1"/>
      <c r="AE23" s="1"/>
      <c r="AF23" s="1"/>
      <c r="AG23" s="1"/>
      <c r="AH23" s="1"/>
      <c r="AI23" s="1"/>
      <c r="AJ23" cm="1">
        <f t="array" ref="AJ23">12 - LOOKUP(2, 1/(X23:AI23&lt;&gt;""), $X$1:$AI$1)</f>
        <v>7</v>
      </c>
      <c r="AK23">
        <f t="shared" si="1"/>
        <v>0</v>
      </c>
      <c r="AL23">
        <f t="shared" si="2"/>
        <v>-200</v>
      </c>
      <c r="AM23" t="str">
        <f>IF(AJ23&lt;=$AR$2,"Good","Bad")</f>
        <v>Bad</v>
      </c>
      <c r="AN23" t="str">
        <f>IF(AK23&gt;=$AR$3,"Good","Bad")</f>
        <v>Bad</v>
      </c>
      <c r="AO23" t="str">
        <f>IF(AL23&gt;=$AR$4,"Good","Bad")</f>
        <v>Bad</v>
      </c>
    </row>
    <row r="24" spans="1:53" x14ac:dyDescent="0.2">
      <c r="A24" s="6" t="s">
        <v>27</v>
      </c>
      <c r="B24" s="5"/>
      <c r="C24" s="1"/>
      <c r="D24" s="1"/>
      <c r="E24" s="1"/>
      <c r="F24" s="1"/>
      <c r="G24" s="10">
        <v>-200</v>
      </c>
      <c r="I24" s="1"/>
      <c r="J24" s="1"/>
      <c r="K24" s="1"/>
      <c r="L24" s="1"/>
      <c r="M24" s="1"/>
      <c r="N24" s="1"/>
      <c r="V24" s="6" t="s">
        <v>27</v>
      </c>
      <c r="W24" s="5"/>
      <c r="X24" s="1"/>
      <c r="Y24" s="1"/>
      <c r="Z24" s="1"/>
      <c r="AA24" s="1"/>
      <c r="AB24" s="10">
        <v>-200</v>
      </c>
      <c r="AD24" s="1"/>
      <c r="AE24" s="1"/>
      <c r="AF24" s="1"/>
      <c r="AG24" s="1"/>
      <c r="AH24" s="1"/>
      <c r="AI24" s="1"/>
      <c r="AJ24" cm="1">
        <f t="array" ref="AJ24">12 - LOOKUP(2, 1/(X24:AI24&lt;&gt;""), $X$1:$AI$1)</f>
        <v>7</v>
      </c>
      <c r="AK24">
        <f t="shared" si="1"/>
        <v>0</v>
      </c>
      <c r="AL24">
        <f t="shared" si="2"/>
        <v>-200</v>
      </c>
      <c r="AM24" t="str">
        <f>IF(AJ24&lt;=$AR$2,"Good","Bad")</f>
        <v>Bad</v>
      </c>
      <c r="AN24" t="str">
        <f>IF(AK24&gt;=$AR$3,"Good","Bad")</f>
        <v>Bad</v>
      </c>
      <c r="AO24" t="str">
        <f>IF(AL24&gt;=$AR$4,"Good","Bad")</f>
        <v>Bad</v>
      </c>
    </row>
    <row r="25" spans="1:53" x14ac:dyDescent="0.2">
      <c r="A25" s="6" t="s">
        <v>28</v>
      </c>
      <c r="B25" s="5"/>
      <c r="C25" s="1"/>
      <c r="D25" s="1"/>
      <c r="E25" s="1"/>
      <c r="F25" s="1"/>
      <c r="G25" s="10">
        <v>-200</v>
      </c>
      <c r="I25" s="1"/>
      <c r="J25" s="1"/>
      <c r="K25" s="1"/>
      <c r="L25" s="1"/>
      <c r="M25" s="1"/>
      <c r="N25" s="1"/>
      <c r="V25" s="6" t="s">
        <v>28</v>
      </c>
      <c r="W25" s="5"/>
      <c r="X25" s="1"/>
      <c r="Y25" s="1"/>
      <c r="Z25" s="1"/>
      <c r="AA25" s="1"/>
      <c r="AB25" s="10">
        <v>-200</v>
      </c>
      <c r="AD25" s="1"/>
      <c r="AE25" s="1"/>
      <c r="AF25" s="1"/>
      <c r="AG25" s="1"/>
      <c r="AH25" s="1"/>
      <c r="AI25" s="1"/>
      <c r="AJ25" cm="1">
        <f t="array" ref="AJ25">12 - LOOKUP(2, 1/(X25:AI25&lt;&gt;""), $X$1:$AI$1)</f>
        <v>7</v>
      </c>
      <c r="AK25">
        <f t="shared" si="1"/>
        <v>0</v>
      </c>
      <c r="AL25">
        <f t="shared" si="2"/>
        <v>-200</v>
      </c>
      <c r="AM25" t="str">
        <f>IF(AJ25&lt;=$AR$2,"Good","Bad")</f>
        <v>Bad</v>
      </c>
      <c r="AN25" t="str">
        <f>IF(AK25&gt;=$AR$3,"Good","Bad")</f>
        <v>Bad</v>
      </c>
      <c r="AO25" t="str">
        <f>IF(AL25&gt;=$AR$4,"Good","Bad")</f>
        <v>Bad</v>
      </c>
    </row>
    <row r="26" spans="1:53" x14ac:dyDescent="0.2">
      <c r="A26" s="6" t="s">
        <v>29</v>
      </c>
      <c r="B26" s="5"/>
      <c r="C26" s="1"/>
      <c r="D26" s="1"/>
      <c r="E26" s="1"/>
      <c r="F26" s="1"/>
      <c r="G26" s="10">
        <v>-200</v>
      </c>
      <c r="I26" s="1"/>
      <c r="J26" s="1"/>
      <c r="K26" s="1"/>
      <c r="L26" s="1"/>
      <c r="M26" s="1"/>
      <c r="N26" s="1"/>
      <c r="V26" s="6" t="s">
        <v>29</v>
      </c>
      <c r="W26" s="5"/>
      <c r="X26" s="1"/>
      <c r="Y26" s="1"/>
      <c r="Z26" s="1"/>
      <c r="AA26" s="1"/>
      <c r="AB26" s="10">
        <v>-200</v>
      </c>
      <c r="AD26" s="1"/>
      <c r="AE26" s="1"/>
      <c r="AF26" s="1"/>
      <c r="AG26" s="1"/>
      <c r="AH26" s="1"/>
      <c r="AI26" s="1"/>
      <c r="AJ26" cm="1">
        <f t="array" ref="AJ26">12 - LOOKUP(2, 1/(X26:AI26&lt;&gt;""), $X$1:$AI$1)</f>
        <v>7</v>
      </c>
      <c r="AK26">
        <f t="shared" si="1"/>
        <v>0</v>
      </c>
      <c r="AL26">
        <f t="shared" si="2"/>
        <v>-200</v>
      </c>
      <c r="AM26" t="str">
        <f>IF(AJ26&lt;=$AR$2,"Good","Bad")</f>
        <v>Bad</v>
      </c>
      <c r="AN26" t="str">
        <f>IF(AK26&gt;=$AR$3,"Good","Bad")</f>
        <v>Bad</v>
      </c>
      <c r="AO26" t="str">
        <f>IF(AL26&gt;=$AR$4,"Good","Bad")</f>
        <v>Bad</v>
      </c>
    </row>
    <row r="27" spans="1:53" x14ac:dyDescent="0.2">
      <c r="A27" s="6" t="s">
        <v>30</v>
      </c>
      <c r="B27" s="5"/>
      <c r="C27" s="1"/>
      <c r="D27" s="1"/>
      <c r="E27" s="1"/>
      <c r="F27" s="1"/>
      <c r="G27" s="10"/>
      <c r="I27" s="1"/>
      <c r="J27" s="1"/>
      <c r="K27" s="10">
        <v>-300</v>
      </c>
      <c r="L27" s="1"/>
      <c r="M27" s="1"/>
      <c r="N27" s="1"/>
      <c r="V27" s="6" t="s">
        <v>30</v>
      </c>
      <c r="W27" s="5"/>
      <c r="X27" s="1"/>
      <c r="Y27" s="1"/>
      <c r="Z27" s="1"/>
      <c r="AA27" s="1"/>
      <c r="AB27" s="10"/>
      <c r="AD27" s="1"/>
      <c r="AE27" s="1"/>
      <c r="AF27" s="10">
        <v>-300</v>
      </c>
      <c r="AG27" s="1"/>
      <c r="AH27" s="1"/>
      <c r="AI27" s="1"/>
      <c r="AJ27" cm="1">
        <f t="array" ref="AJ27">12 - LOOKUP(2, 1/(X27:AI27&lt;&gt;""), $X$1:$AI$1)</f>
        <v>3</v>
      </c>
      <c r="AK27">
        <f t="shared" si="1"/>
        <v>0</v>
      </c>
      <c r="AL27">
        <f t="shared" si="2"/>
        <v>-300</v>
      </c>
      <c r="AM27" t="str">
        <f>IF(AJ27&lt;=$AR$2,"Good","Bad")</f>
        <v>Good</v>
      </c>
      <c r="AN27" t="str">
        <f>IF(AK27&gt;=$AR$3,"Good","Bad")</f>
        <v>Bad</v>
      </c>
      <c r="AO27" t="str">
        <f>IF(AL27&gt;=$AR$4,"Good","Bad")</f>
        <v>Bad</v>
      </c>
    </row>
    <row r="28" spans="1:53" x14ac:dyDescent="0.2">
      <c r="A28" s="6" t="s">
        <v>31</v>
      </c>
      <c r="B28" s="5"/>
      <c r="C28" s="1"/>
      <c r="D28" s="1"/>
      <c r="E28" s="1"/>
      <c r="F28" s="1"/>
      <c r="G28" s="10"/>
      <c r="I28" s="1"/>
      <c r="J28" s="1"/>
      <c r="K28" s="10">
        <v>-300</v>
      </c>
      <c r="L28" s="1"/>
      <c r="M28" s="1"/>
      <c r="N28" s="1"/>
      <c r="V28" s="6" t="s">
        <v>31</v>
      </c>
      <c r="W28" s="5"/>
      <c r="X28" s="1"/>
      <c r="Y28" s="1"/>
      <c r="Z28" s="1"/>
      <c r="AA28" s="1"/>
      <c r="AB28" s="10"/>
      <c r="AD28" s="1"/>
      <c r="AE28" s="1"/>
      <c r="AF28" s="10">
        <v>-300</v>
      </c>
      <c r="AG28" s="1"/>
      <c r="AH28" s="1"/>
      <c r="AI28" s="1"/>
      <c r="AJ28" cm="1">
        <f t="array" ref="AJ28">12 - LOOKUP(2, 1/(X28:AI28&lt;&gt;""), $X$1:$AI$1)</f>
        <v>3</v>
      </c>
      <c r="AK28">
        <f t="shared" si="1"/>
        <v>0</v>
      </c>
      <c r="AL28">
        <f t="shared" si="2"/>
        <v>-300</v>
      </c>
      <c r="AM28" t="str">
        <f>IF(AJ28&lt;=$AR$2,"Good","Bad")</f>
        <v>Good</v>
      </c>
      <c r="AN28" t="str">
        <f>IF(AK28&gt;=$AR$3,"Good","Bad")</f>
        <v>Bad</v>
      </c>
      <c r="AO28" t="str">
        <f>IF(AL28&gt;=$AR$4,"Good","Bad")</f>
        <v>Bad</v>
      </c>
    </row>
    <row r="29" spans="1:53" x14ac:dyDescent="0.2">
      <c r="A29" s="6" t="s">
        <v>32</v>
      </c>
      <c r="B29" s="5"/>
      <c r="C29" s="1"/>
      <c r="D29" s="1"/>
      <c r="E29" s="1"/>
      <c r="F29" s="1"/>
      <c r="G29" s="10"/>
      <c r="I29" s="1"/>
      <c r="J29" s="1"/>
      <c r="K29" s="10">
        <v>-300</v>
      </c>
      <c r="L29" s="1"/>
      <c r="M29" s="1"/>
      <c r="N29" s="1"/>
      <c r="V29" s="6" t="s">
        <v>32</v>
      </c>
      <c r="W29" s="5"/>
      <c r="X29" s="1"/>
      <c r="Y29" s="1"/>
      <c r="Z29" s="1"/>
      <c r="AA29" s="1"/>
      <c r="AB29" s="10"/>
      <c r="AD29" s="1"/>
      <c r="AE29" s="1"/>
      <c r="AF29" s="10">
        <v>-300</v>
      </c>
      <c r="AG29" s="1"/>
      <c r="AH29" s="1"/>
      <c r="AI29" s="1"/>
      <c r="AJ29" cm="1">
        <f t="array" ref="AJ29">12 - LOOKUP(2, 1/(X29:AI29&lt;&gt;""), $X$1:$AI$1)</f>
        <v>3</v>
      </c>
      <c r="AK29">
        <f t="shared" si="1"/>
        <v>0</v>
      </c>
      <c r="AL29">
        <f t="shared" si="2"/>
        <v>-300</v>
      </c>
      <c r="AM29" t="str">
        <f>IF(AJ29&lt;=$AR$2,"Good","Bad")</f>
        <v>Good</v>
      </c>
      <c r="AN29" t="str">
        <f>IF(AK29&gt;=$AR$3,"Good","Bad")</f>
        <v>Bad</v>
      </c>
      <c r="AO29" t="str">
        <f>IF(AL29&gt;=$AR$4,"Good","Bad")</f>
        <v>Bad</v>
      </c>
    </row>
    <row r="30" spans="1:53" x14ac:dyDescent="0.2">
      <c r="A30" s="6" t="s">
        <v>33</v>
      </c>
      <c r="B30" s="5"/>
      <c r="C30" s="1"/>
      <c r="D30" s="1"/>
      <c r="E30" s="1"/>
      <c r="F30" s="1"/>
      <c r="G30" s="1"/>
      <c r="H30" s="1"/>
      <c r="I30" s="1"/>
      <c r="J30" s="1"/>
      <c r="K30" s="10">
        <v>-300</v>
      </c>
      <c r="L30" s="10"/>
      <c r="M30" s="1"/>
      <c r="N30" s="1"/>
      <c r="V30" s="6" t="s">
        <v>33</v>
      </c>
      <c r="W30" s="5"/>
      <c r="X30" s="1"/>
      <c r="Y30" s="1"/>
      <c r="Z30" s="1"/>
      <c r="AA30" s="1"/>
      <c r="AB30" s="1"/>
      <c r="AC30" s="1"/>
      <c r="AD30" s="1"/>
      <c r="AE30" s="1"/>
      <c r="AF30" s="10">
        <v>-300</v>
      </c>
      <c r="AG30" s="10"/>
      <c r="AH30" s="1"/>
      <c r="AI30" s="1"/>
      <c r="AJ30" cm="1">
        <f t="array" ref="AJ30">12 - LOOKUP(2, 1/(X30:AI30&lt;&gt;""), $X$1:$AI$1)</f>
        <v>3</v>
      </c>
      <c r="AK30">
        <f t="shared" si="1"/>
        <v>0</v>
      </c>
      <c r="AL30">
        <f t="shared" si="2"/>
        <v>-300</v>
      </c>
      <c r="AM30" t="str">
        <f>IF(AJ30&lt;=$AR$2,"Good","Bad")</f>
        <v>Good</v>
      </c>
      <c r="AN30" t="str">
        <f>IF(AK30&gt;=$AR$3,"Good","Bad")</f>
        <v>Bad</v>
      </c>
      <c r="AO30" t="str">
        <f>IF(AL30&gt;=$AR$4,"Good","Bad")</f>
        <v>Bad</v>
      </c>
    </row>
    <row r="31" spans="1:53" x14ac:dyDescent="0.2">
      <c r="A31" s="6" t="s">
        <v>34</v>
      </c>
      <c r="B31" s="5"/>
      <c r="C31" s="1"/>
      <c r="D31" s="1"/>
      <c r="E31" s="1"/>
      <c r="F31" s="1"/>
      <c r="G31" s="1"/>
      <c r="H31" s="1"/>
      <c r="I31" s="1"/>
      <c r="J31" s="1"/>
      <c r="K31" s="10">
        <v>-300</v>
      </c>
      <c r="L31" s="10"/>
      <c r="M31" s="1"/>
      <c r="N31" s="1"/>
      <c r="V31" s="6" t="s">
        <v>34</v>
      </c>
      <c r="W31" s="5"/>
      <c r="X31" s="1"/>
      <c r="Y31" s="1"/>
      <c r="Z31" s="1"/>
      <c r="AA31" s="1"/>
      <c r="AB31" s="1"/>
      <c r="AC31" s="1"/>
      <c r="AD31" s="1"/>
      <c r="AE31" s="1"/>
      <c r="AF31" s="10">
        <v>-300</v>
      </c>
      <c r="AG31" s="10"/>
      <c r="AH31" s="1"/>
      <c r="AI31" s="1"/>
      <c r="AJ31" cm="1">
        <f t="array" ref="AJ31">12 - LOOKUP(2, 1/(X31:AI31&lt;&gt;""), $X$1:$AI$1)</f>
        <v>3</v>
      </c>
      <c r="AK31">
        <f t="shared" si="1"/>
        <v>0</v>
      </c>
      <c r="AL31">
        <f t="shared" si="2"/>
        <v>-300</v>
      </c>
      <c r="AM31" t="str">
        <f>IF(AJ31&lt;=$AR$2,"Good","Bad")</f>
        <v>Good</v>
      </c>
      <c r="AN31" t="str">
        <f>IF(AK31&gt;=$AR$3,"Good","Bad")</f>
        <v>Bad</v>
      </c>
      <c r="AO31" t="str">
        <f>IF(AL31&gt;=$AR$4,"Good","Bad")</f>
        <v>Bad</v>
      </c>
    </row>
    <row r="33" spans="1:57" ht="45" customHeight="1" thickBot="1" x14ac:dyDescent="0.25">
      <c r="A33" s="14" t="s">
        <v>35</v>
      </c>
    </row>
    <row r="34" spans="1:57" x14ac:dyDescent="0.2">
      <c r="V34" s="13" t="s">
        <v>4</v>
      </c>
      <c r="W34" s="1" t="s">
        <v>57</v>
      </c>
      <c r="X34" s="2">
        <v>1</v>
      </c>
      <c r="Y34" s="2">
        <v>2</v>
      </c>
      <c r="Z34" s="2">
        <v>3</v>
      </c>
      <c r="AA34" s="2">
        <v>4</v>
      </c>
      <c r="AB34" s="2">
        <v>5</v>
      </c>
      <c r="AC34" s="2">
        <v>6</v>
      </c>
      <c r="AD34" s="2">
        <v>7</v>
      </c>
      <c r="AE34" s="2">
        <v>8</v>
      </c>
      <c r="AF34" s="2">
        <v>9</v>
      </c>
      <c r="AG34" s="2">
        <v>10</v>
      </c>
      <c r="AH34" s="2">
        <v>11</v>
      </c>
      <c r="AI34" s="2">
        <v>12</v>
      </c>
      <c r="AJ34" t="s">
        <v>49</v>
      </c>
      <c r="AK34" t="s">
        <v>50</v>
      </c>
      <c r="AL34" t="s">
        <v>51</v>
      </c>
      <c r="AM34" t="s">
        <v>54</v>
      </c>
      <c r="AN34" t="s">
        <v>55</v>
      </c>
      <c r="AO34" t="s">
        <v>56</v>
      </c>
      <c r="AP34" t="s">
        <v>65</v>
      </c>
      <c r="AS34" s="25" t="s">
        <v>66</v>
      </c>
      <c r="AT34" s="25" t="s">
        <v>50</v>
      </c>
      <c r="BA34" t="s">
        <v>68</v>
      </c>
      <c r="BD34" s="25" t="s">
        <v>68</v>
      </c>
      <c r="BE34" s="25" t="s">
        <v>50</v>
      </c>
    </row>
    <row r="35" spans="1:57" x14ac:dyDescent="0.2">
      <c r="V35" s="6" t="s">
        <v>5</v>
      </c>
      <c r="W35" s="8">
        <v>-200</v>
      </c>
      <c r="X35" s="5">
        <v>50</v>
      </c>
      <c r="Y35" s="5">
        <v>150</v>
      </c>
      <c r="Z35" s="5">
        <v>250</v>
      </c>
      <c r="AA35" s="5">
        <v>350</v>
      </c>
      <c r="AB35" s="5">
        <v>450</v>
      </c>
      <c r="AC35" s="5">
        <v>550</v>
      </c>
      <c r="AD35" s="5">
        <v>650</v>
      </c>
      <c r="AE35" s="5"/>
      <c r="AF35" s="5">
        <v>100</v>
      </c>
      <c r="AG35" s="5">
        <v>100</v>
      </c>
      <c r="AH35" s="5">
        <v>100</v>
      </c>
      <c r="AI35" s="5">
        <v>100</v>
      </c>
      <c r="AJ35">
        <v>0</v>
      </c>
      <c r="AK35">
        <v>11</v>
      </c>
      <c r="AL35">
        <v>2650</v>
      </c>
      <c r="AM35">
        <f>IF(AJ35&lt;=$AS$2,3,IF(AJ35&lt;=$AT$2,2,1))</f>
        <v>3</v>
      </c>
      <c r="AN35">
        <f>IF(AK35&gt;=$AT$3,3,IF(AK35&gt;$AS$3,2,1))</f>
        <v>3</v>
      </c>
      <c r="AO35">
        <f>IF(AL35&gt;=$AT$4,3,IF(AL35&gt;=$AS$4,2,1))</f>
        <v>3</v>
      </c>
      <c r="AP35" s="27">
        <f>0.2*AM35+0.4*'Variant 2'!AN35+0.4*'Variant 2'!AO35</f>
        <v>3.0000000000000004</v>
      </c>
      <c r="AS35" s="23">
        <v>1</v>
      </c>
      <c r="AT35" s="23">
        <v>5</v>
      </c>
      <c r="BA35">
        <v>1</v>
      </c>
      <c r="BD35" s="26">
        <v>1</v>
      </c>
      <c r="BE35" s="23">
        <v>5</v>
      </c>
    </row>
    <row r="36" spans="1:57" x14ac:dyDescent="0.2">
      <c r="V36" s="6" t="s">
        <v>6</v>
      </c>
      <c r="W36" s="11"/>
      <c r="X36" s="5"/>
      <c r="Y36" s="1"/>
      <c r="Z36" s="10">
        <v>-500</v>
      </c>
      <c r="AA36" s="1">
        <v>1340</v>
      </c>
      <c r="AB36" s="1">
        <v>2300</v>
      </c>
      <c r="AC36" s="1">
        <v>1000</v>
      </c>
      <c r="AD36" s="1">
        <v>1000</v>
      </c>
      <c r="AE36" s="1">
        <v>1000</v>
      </c>
      <c r="AF36" s="1"/>
      <c r="AG36" s="1"/>
      <c r="AH36" s="1"/>
      <c r="AI36" s="1"/>
      <c r="AJ36">
        <v>4</v>
      </c>
      <c r="AK36">
        <v>5</v>
      </c>
      <c r="AL36">
        <v>6140</v>
      </c>
      <c r="AM36">
        <f t="shared" ref="AM36:AM64" si="5">IF(AJ36&lt;=$AS$2,3,IF(AJ36&lt;=$AT$2,2,1))</f>
        <v>2</v>
      </c>
      <c r="AN36">
        <f t="shared" ref="AN36:AN64" si="6">IF(AK36&gt;=$AT$3,3,IF(AK36&gt;$AS$3,2,1))</f>
        <v>2</v>
      </c>
      <c r="AO36">
        <f t="shared" ref="AO36:AO64" si="7">IF(AL36&gt;=$AT$4,3,IF(AL36&gt;=$AS$4,2,1))</f>
        <v>3</v>
      </c>
      <c r="AP36" s="27">
        <f>0.2*AM36+0.4*'Variant 2'!AN36+0.4*'Variant 2'!AO36</f>
        <v>2.4000000000000004</v>
      </c>
      <c r="AS36" s="23">
        <v>1.4000000000000001</v>
      </c>
      <c r="AT36" s="23">
        <v>6</v>
      </c>
      <c r="BA36">
        <v>2</v>
      </c>
      <c r="BD36" s="26" t="s">
        <v>70</v>
      </c>
      <c r="BE36" s="23">
        <v>10</v>
      </c>
    </row>
    <row r="37" spans="1:57" x14ac:dyDescent="0.2">
      <c r="V37" s="6" t="s">
        <v>7</v>
      </c>
      <c r="W37" s="8">
        <v>-100</v>
      </c>
      <c r="X37" s="5">
        <v>20</v>
      </c>
      <c r="Y37" s="5">
        <v>20</v>
      </c>
      <c r="Z37" s="5">
        <v>20</v>
      </c>
      <c r="AA37" s="5">
        <v>20</v>
      </c>
      <c r="AB37" s="1">
        <v>40</v>
      </c>
      <c r="AC37" s="1">
        <v>40</v>
      </c>
      <c r="AD37" s="1">
        <v>40</v>
      </c>
      <c r="AE37" s="1">
        <v>40</v>
      </c>
      <c r="AF37" s="1">
        <v>80</v>
      </c>
      <c r="AG37" s="1">
        <v>80</v>
      </c>
      <c r="AH37" s="1">
        <v>80</v>
      </c>
      <c r="AI37" s="1">
        <v>80</v>
      </c>
      <c r="AJ37">
        <v>0</v>
      </c>
      <c r="AK37">
        <v>12</v>
      </c>
      <c r="AL37">
        <v>460</v>
      </c>
      <c r="AM37">
        <f t="shared" si="5"/>
        <v>3</v>
      </c>
      <c r="AN37">
        <f t="shared" si="6"/>
        <v>3</v>
      </c>
      <c r="AO37">
        <f t="shared" si="7"/>
        <v>2</v>
      </c>
      <c r="AP37" s="27">
        <f>0.2*AM37+0.4*'Variant 2'!AN37+0.4*'Variant 2'!AO37</f>
        <v>2.6000000000000005</v>
      </c>
      <c r="AS37" s="23">
        <v>1.8000000000000003</v>
      </c>
      <c r="AT37" s="23">
        <v>2</v>
      </c>
      <c r="BA37">
        <v>3</v>
      </c>
      <c r="BD37" s="26" t="s">
        <v>69</v>
      </c>
      <c r="BE37" s="23">
        <v>11</v>
      </c>
    </row>
    <row r="38" spans="1:57" ht="16" thickBot="1" x14ac:dyDescent="0.25">
      <c r="V38" s="6" t="s">
        <v>8</v>
      </c>
      <c r="W38" s="8">
        <v>-100</v>
      </c>
      <c r="X38" s="5">
        <v>40</v>
      </c>
      <c r="Y38" s="5">
        <v>40</v>
      </c>
      <c r="Z38" s="5">
        <v>40</v>
      </c>
      <c r="AA38" s="5">
        <v>20</v>
      </c>
      <c r="AB38" s="1">
        <v>80</v>
      </c>
      <c r="AC38" s="1">
        <v>80</v>
      </c>
      <c r="AD38" s="1">
        <v>80</v>
      </c>
      <c r="AE38" s="1">
        <v>40</v>
      </c>
      <c r="AF38" s="1">
        <v>80</v>
      </c>
      <c r="AG38" s="1">
        <v>80</v>
      </c>
      <c r="AH38" s="1">
        <v>80</v>
      </c>
      <c r="AI38" s="1">
        <v>80</v>
      </c>
      <c r="AJ38">
        <v>0</v>
      </c>
      <c r="AK38">
        <v>12</v>
      </c>
      <c r="AL38">
        <v>640</v>
      </c>
      <c r="AM38">
        <f t="shared" si="5"/>
        <v>3</v>
      </c>
      <c r="AN38">
        <f t="shared" si="6"/>
        <v>3</v>
      </c>
      <c r="AO38">
        <f t="shared" si="7"/>
        <v>2</v>
      </c>
      <c r="AP38" s="27">
        <f>0.2*AM38+0.4*'Variant 2'!AN38+0.4*'Variant 2'!AO38</f>
        <v>2.6000000000000005</v>
      </c>
      <c r="AS38" s="23">
        <v>2.2000000000000002</v>
      </c>
      <c r="AT38" s="23">
        <v>4</v>
      </c>
      <c r="BD38" s="24">
        <v>3</v>
      </c>
      <c r="BE38" s="24">
        <v>4</v>
      </c>
    </row>
    <row r="39" spans="1:57" x14ac:dyDescent="0.2">
      <c r="V39" s="7" t="s">
        <v>9</v>
      </c>
      <c r="W39" s="12"/>
      <c r="X39" s="8">
        <v>-50</v>
      </c>
      <c r="Y39" s="5">
        <v>400</v>
      </c>
      <c r="Z39" s="5">
        <v>400</v>
      </c>
      <c r="AA39" s="5">
        <v>400</v>
      </c>
      <c r="AB39" s="5">
        <v>310</v>
      </c>
      <c r="AC39" s="5">
        <v>380</v>
      </c>
      <c r="AD39" s="5">
        <v>300</v>
      </c>
      <c r="AE39" s="5">
        <v>300</v>
      </c>
      <c r="AF39" s="5">
        <v>300</v>
      </c>
      <c r="AG39" s="5">
        <v>300</v>
      </c>
      <c r="AH39" s="5">
        <v>300</v>
      </c>
      <c r="AI39" s="5">
        <v>300</v>
      </c>
      <c r="AJ39">
        <v>0</v>
      </c>
      <c r="AK39">
        <v>11</v>
      </c>
      <c r="AL39">
        <v>3640</v>
      </c>
      <c r="AM39">
        <f t="shared" si="5"/>
        <v>3</v>
      </c>
      <c r="AN39">
        <f t="shared" si="6"/>
        <v>3</v>
      </c>
      <c r="AO39">
        <f t="shared" si="7"/>
        <v>3</v>
      </c>
      <c r="AP39" s="27">
        <f>0.2*AM39+0.4*'Variant 2'!AN39+0.4*'Variant 2'!AO39</f>
        <v>3.0000000000000004</v>
      </c>
      <c r="AS39" s="23">
        <v>2.6000000000000005</v>
      </c>
      <c r="AT39" s="23">
        <v>8</v>
      </c>
    </row>
    <row r="40" spans="1:57" ht="16" thickBot="1" x14ac:dyDescent="0.25">
      <c r="V40" s="6" t="s">
        <v>10</v>
      </c>
      <c r="W40" s="9">
        <v>-400</v>
      </c>
      <c r="X40" s="5">
        <v>150</v>
      </c>
      <c r="Y40" s="5">
        <v>150</v>
      </c>
      <c r="Z40" s="5">
        <v>150</v>
      </c>
      <c r="AA40" s="5">
        <v>150</v>
      </c>
      <c r="AB40" s="1">
        <v>200</v>
      </c>
      <c r="AC40" s="1">
        <v>200</v>
      </c>
      <c r="AD40" s="1">
        <v>200</v>
      </c>
      <c r="AE40" s="1">
        <v>200</v>
      </c>
      <c r="AF40" s="1">
        <v>200</v>
      </c>
      <c r="AG40" s="1">
        <v>200</v>
      </c>
      <c r="AH40" s="1">
        <v>200</v>
      </c>
      <c r="AI40" s="1">
        <v>200</v>
      </c>
      <c r="AJ40">
        <v>0</v>
      </c>
      <c r="AK40">
        <v>12</v>
      </c>
      <c r="AL40">
        <v>1800</v>
      </c>
      <c r="AM40">
        <f t="shared" si="5"/>
        <v>3</v>
      </c>
      <c r="AN40">
        <f t="shared" si="6"/>
        <v>3</v>
      </c>
      <c r="AO40">
        <f t="shared" si="7"/>
        <v>3</v>
      </c>
      <c r="AP40" s="27">
        <f>0.2*AM40+0.4*'Variant 2'!AN40+0.4*'Variant 2'!AO40</f>
        <v>3.0000000000000004</v>
      </c>
      <c r="AS40" s="24" t="s">
        <v>67</v>
      </c>
      <c r="AT40" s="24">
        <v>5</v>
      </c>
    </row>
    <row r="41" spans="1:57" x14ac:dyDescent="0.2">
      <c r="V41" s="6" t="s">
        <v>11</v>
      </c>
      <c r="W41" s="8">
        <v>-50</v>
      </c>
      <c r="X41" s="1">
        <v>400</v>
      </c>
      <c r="Y41" s="1"/>
      <c r="Z41" s="1"/>
      <c r="AA41" s="1">
        <v>400</v>
      </c>
      <c r="AB41" s="1">
        <v>400</v>
      </c>
      <c r="AC41" s="1"/>
      <c r="AD41" s="1"/>
      <c r="AE41" s="1">
        <v>400</v>
      </c>
      <c r="AF41" s="1">
        <v>400</v>
      </c>
      <c r="AG41" s="1"/>
      <c r="AH41" s="1"/>
      <c r="AI41" s="1">
        <v>400</v>
      </c>
      <c r="AJ41">
        <v>0</v>
      </c>
      <c r="AK41">
        <v>6</v>
      </c>
      <c r="AL41">
        <v>2350</v>
      </c>
      <c r="AM41">
        <f t="shared" si="5"/>
        <v>3</v>
      </c>
      <c r="AN41">
        <f t="shared" si="6"/>
        <v>2</v>
      </c>
      <c r="AO41">
        <f t="shared" si="7"/>
        <v>3</v>
      </c>
      <c r="AP41" s="27">
        <f>0.2*AM41+0.4*'Variant 2'!AN41+0.4*'Variant 2'!AO41</f>
        <v>2.6000000000000005</v>
      </c>
    </row>
    <row r="42" spans="1:57" x14ac:dyDescent="0.2">
      <c r="V42" s="6" t="s">
        <v>12</v>
      </c>
      <c r="W42" s="8">
        <v>-400</v>
      </c>
      <c r="X42" s="1">
        <v>200</v>
      </c>
      <c r="Y42" s="1">
        <v>260</v>
      </c>
      <c r="Z42" s="1">
        <v>320</v>
      </c>
      <c r="AA42" s="1">
        <v>380</v>
      </c>
      <c r="AB42" s="1">
        <v>440</v>
      </c>
      <c r="AC42" s="1">
        <v>500</v>
      </c>
      <c r="AD42" s="1">
        <v>560</v>
      </c>
      <c r="AE42" s="1">
        <v>620</v>
      </c>
      <c r="AF42" s="1">
        <v>680</v>
      </c>
      <c r="AG42" s="1">
        <v>740</v>
      </c>
      <c r="AH42" s="1">
        <v>800</v>
      </c>
      <c r="AI42" s="1">
        <v>860</v>
      </c>
      <c r="AJ42">
        <v>0</v>
      </c>
      <c r="AK42">
        <v>12</v>
      </c>
      <c r="AL42">
        <v>5960</v>
      </c>
      <c r="AM42">
        <f t="shared" si="5"/>
        <v>3</v>
      </c>
      <c r="AN42">
        <f t="shared" si="6"/>
        <v>3</v>
      </c>
      <c r="AO42">
        <f t="shared" si="7"/>
        <v>3</v>
      </c>
      <c r="AP42" s="27">
        <f>0.2*AM42+0.4*'Variant 2'!AN42+0.4*'Variant 2'!AO42</f>
        <v>3.0000000000000004</v>
      </c>
    </row>
    <row r="43" spans="1:57" x14ac:dyDescent="0.2">
      <c r="V43" s="6" t="s">
        <v>13</v>
      </c>
      <c r="W43" s="8">
        <v>-100</v>
      </c>
      <c r="X43" s="1">
        <v>560</v>
      </c>
      <c r="Y43" s="1">
        <v>560</v>
      </c>
      <c r="Z43" s="1">
        <v>560</v>
      </c>
      <c r="AA43" s="1">
        <v>560</v>
      </c>
      <c r="AB43" s="1">
        <v>560</v>
      </c>
      <c r="AC43" s="1">
        <v>560</v>
      </c>
      <c r="AD43" s="1"/>
      <c r="AE43" s="1"/>
      <c r="AF43" s="1"/>
      <c r="AG43" s="1"/>
      <c r="AH43" s="1"/>
      <c r="AI43" s="1"/>
      <c r="AJ43">
        <v>6</v>
      </c>
      <c r="AK43">
        <v>6</v>
      </c>
      <c r="AL43">
        <v>3260</v>
      </c>
      <c r="AM43">
        <f t="shared" si="5"/>
        <v>2</v>
      </c>
      <c r="AN43">
        <f t="shared" si="6"/>
        <v>2</v>
      </c>
      <c r="AO43">
        <f t="shared" si="7"/>
        <v>3</v>
      </c>
      <c r="AP43" s="27">
        <f>0.2*AM43+0.4*'Variant 2'!AN43+0.4*'Variant 2'!AO43</f>
        <v>2.4000000000000004</v>
      </c>
    </row>
    <row r="44" spans="1:57" x14ac:dyDescent="0.2">
      <c r="V44" s="6" t="s">
        <v>14</v>
      </c>
      <c r="W44" s="8">
        <v>-100</v>
      </c>
      <c r="X44" s="1"/>
      <c r="Y44" s="1">
        <v>600</v>
      </c>
      <c r="Z44" s="1">
        <v>575</v>
      </c>
      <c r="AA44" s="1">
        <v>550</v>
      </c>
      <c r="AB44" s="1">
        <v>525</v>
      </c>
      <c r="AC44" s="1">
        <v>500</v>
      </c>
      <c r="AD44" s="1">
        <v>475</v>
      </c>
      <c r="AE44" s="1">
        <v>450</v>
      </c>
      <c r="AF44" s="1"/>
      <c r="AG44" s="1"/>
      <c r="AH44" s="1"/>
      <c r="AI44" s="1"/>
      <c r="AJ44">
        <v>4</v>
      </c>
      <c r="AK44">
        <v>7</v>
      </c>
      <c r="AL44">
        <v>3575</v>
      </c>
      <c r="AM44">
        <f t="shared" si="5"/>
        <v>2</v>
      </c>
      <c r="AN44">
        <f t="shared" si="6"/>
        <v>3</v>
      </c>
      <c r="AO44">
        <f t="shared" si="7"/>
        <v>3</v>
      </c>
      <c r="AP44" s="27">
        <f>0.2*AM44+0.4*'Variant 2'!AN44+0.4*'Variant 2'!AO44</f>
        <v>2.8000000000000003</v>
      </c>
    </row>
    <row r="45" spans="1:57" x14ac:dyDescent="0.2">
      <c r="V45" s="6" t="s">
        <v>15</v>
      </c>
      <c r="W45" s="8">
        <v>-100</v>
      </c>
      <c r="X45" s="1">
        <v>80</v>
      </c>
      <c r="Y45" s="1">
        <v>80</v>
      </c>
      <c r="Z45" s="1">
        <v>80</v>
      </c>
      <c r="AA45" s="1">
        <v>80</v>
      </c>
      <c r="AB45" s="1">
        <v>80</v>
      </c>
      <c r="AC45" s="1">
        <v>80</v>
      </c>
      <c r="AD45" s="1">
        <v>80</v>
      </c>
      <c r="AE45" s="1">
        <v>80</v>
      </c>
      <c r="AF45" s="1">
        <v>80</v>
      </c>
      <c r="AG45" s="1">
        <v>80</v>
      </c>
      <c r="AH45" s="1">
        <v>80</v>
      </c>
      <c r="AI45" s="1">
        <v>80</v>
      </c>
      <c r="AJ45">
        <v>0</v>
      </c>
      <c r="AK45">
        <v>12</v>
      </c>
      <c r="AL45">
        <v>860</v>
      </c>
      <c r="AM45">
        <f t="shared" si="5"/>
        <v>3</v>
      </c>
      <c r="AN45">
        <f t="shared" si="6"/>
        <v>3</v>
      </c>
      <c r="AO45">
        <f t="shared" si="7"/>
        <v>2</v>
      </c>
      <c r="AP45" s="27">
        <f>0.2*AM45+0.4*'Variant 2'!AN45+0.4*'Variant 2'!AO45</f>
        <v>2.6000000000000005</v>
      </c>
    </row>
    <row r="46" spans="1:57" x14ac:dyDescent="0.2">
      <c r="V46" s="6" t="s">
        <v>16</v>
      </c>
      <c r="W46" s="8">
        <v>-100</v>
      </c>
      <c r="X46" s="8"/>
      <c r="Y46" s="5">
        <v>400</v>
      </c>
      <c r="Z46" s="5"/>
      <c r="AA46" s="5"/>
      <c r="AB46" s="5">
        <v>310</v>
      </c>
      <c r="AC46" s="5"/>
      <c r="AD46" s="5">
        <v>300</v>
      </c>
      <c r="AE46" s="5"/>
      <c r="AF46" s="5">
        <v>230</v>
      </c>
      <c r="AG46" s="5"/>
      <c r="AH46" s="5"/>
      <c r="AI46" s="1"/>
      <c r="AJ46">
        <v>3</v>
      </c>
      <c r="AK46">
        <v>4</v>
      </c>
      <c r="AL46">
        <v>1140</v>
      </c>
      <c r="AM46">
        <f t="shared" si="5"/>
        <v>2</v>
      </c>
      <c r="AN46">
        <f t="shared" si="6"/>
        <v>2</v>
      </c>
      <c r="AO46">
        <f t="shared" si="7"/>
        <v>2</v>
      </c>
      <c r="AP46" s="27">
        <f>0.2*AM46+0.4*'Variant 2'!AN46+0.4*'Variant 2'!AO46</f>
        <v>2</v>
      </c>
    </row>
    <row r="47" spans="1:57" x14ac:dyDescent="0.2">
      <c r="V47" s="6" t="s">
        <v>17</v>
      </c>
      <c r="W47" s="8">
        <v>-100</v>
      </c>
      <c r="X47" s="8"/>
      <c r="Y47" s="5">
        <v>60</v>
      </c>
      <c r="Z47" s="5">
        <v>80</v>
      </c>
      <c r="AA47" s="5">
        <v>120</v>
      </c>
      <c r="AB47" s="5">
        <v>200</v>
      </c>
      <c r="AC47" s="5"/>
      <c r="AD47" s="5"/>
      <c r="AE47" s="5">
        <v>210</v>
      </c>
      <c r="AF47" s="5"/>
      <c r="AG47" s="5"/>
      <c r="AH47" s="5"/>
      <c r="AI47" s="1"/>
      <c r="AJ47">
        <v>4</v>
      </c>
      <c r="AK47">
        <v>5</v>
      </c>
      <c r="AL47">
        <v>570</v>
      </c>
      <c r="AM47">
        <f t="shared" si="5"/>
        <v>2</v>
      </c>
      <c r="AN47">
        <f t="shared" si="6"/>
        <v>2</v>
      </c>
      <c r="AO47">
        <f t="shared" si="7"/>
        <v>2</v>
      </c>
      <c r="AP47" s="27">
        <f>0.2*AM47+0.4*'Variant 2'!AN47+0.4*'Variant 2'!AO47</f>
        <v>2</v>
      </c>
    </row>
    <row r="48" spans="1:57" x14ac:dyDescent="0.2">
      <c r="V48" s="6" t="s">
        <v>18</v>
      </c>
      <c r="W48" s="11"/>
      <c r="X48" s="8">
        <v>-50</v>
      </c>
      <c r="Y48" s="5">
        <v>1890</v>
      </c>
      <c r="Z48" s="5"/>
      <c r="AA48" s="5"/>
      <c r="AB48" s="5"/>
      <c r="AC48" s="5"/>
      <c r="AD48" s="5"/>
      <c r="AE48" s="5"/>
      <c r="AF48" s="5"/>
      <c r="AG48" s="5"/>
      <c r="AH48" s="5"/>
      <c r="AI48" s="1"/>
      <c r="AJ48">
        <v>10</v>
      </c>
      <c r="AK48">
        <v>1</v>
      </c>
      <c r="AL48">
        <v>1840</v>
      </c>
      <c r="AM48">
        <f t="shared" si="5"/>
        <v>1</v>
      </c>
      <c r="AN48">
        <f t="shared" si="6"/>
        <v>2</v>
      </c>
      <c r="AO48">
        <f t="shared" si="7"/>
        <v>3</v>
      </c>
      <c r="AP48" s="27">
        <f>0.2*AM48+0.4*'Variant 2'!AN48+0.4*'Variant 2'!AO48</f>
        <v>2.2000000000000002</v>
      </c>
    </row>
    <row r="49" spans="22:42" x14ac:dyDescent="0.2">
      <c r="V49" s="6" t="s">
        <v>19</v>
      </c>
      <c r="W49" s="8">
        <v>-100</v>
      </c>
      <c r="X49" s="1">
        <v>89</v>
      </c>
      <c r="Y49" s="5">
        <v>10</v>
      </c>
      <c r="Z49" s="5">
        <v>35</v>
      </c>
      <c r="AA49" s="5">
        <v>65</v>
      </c>
      <c r="AB49" s="5">
        <v>80</v>
      </c>
      <c r="AC49" s="5">
        <v>120</v>
      </c>
      <c r="AD49" s="5">
        <v>140</v>
      </c>
      <c r="AE49" s="5">
        <v>145</v>
      </c>
      <c r="AF49" s="5">
        <v>168</v>
      </c>
      <c r="AG49" s="5">
        <v>189</v>
      </c>
      <c r="AH49" s="5">
        <v>201</v>
      </c>
      <c r="AI49" s="5">
        <v>201</v>
      </c>
      <c r="AJ49">
        <v>0</v>
      </c>
      <c r="AK49">
        <v>12</v>
      </c>
      <c r="AL49">
        <v>1343</v>
      </c>
      <c r="AM49">
        <f t="shared" si="5"/>
        <v>3</v>
      </c>
      <c r="AN49">
        <f t="shared" si="6"/>
        <v>3</v>
      </c>
      <c r="AO49">
        <f t="shared" si="7"/>
        <v>2</v>
      </c>
      <c r="AP49" s="27">
        <f>0.2*AM49+0.4*'Variant 2'!AN49+0.4*'Variant 2'!AO49</f>
        <v>2.6000000000000005</v>
      </c>
    </row>
    <row r="50" spans="22:42" x14ac:dyDescent="0.2">
      <c r="V50" s="6" t="s">
        <v>20</v>
      </c>
      <c r="W50" s="8">
        <v>-100</v>
      </c>
      <c r="X50" s="1"/>
      <c r="Y50" s="5">
        <v>25</v>
      </c>
      <c r="Z50" s="5">
        <v>35</v>
      </c>
      <c r="AA50" s="5">
        <v>45</v>
      </c>
      <c r="AB50" s="5">
        <v>55</v>
      </c>
      <c r="AC50" s="5">
        <v>80</v>
      </c>
      <c r="AD50" s="5">
        <v>80</v>
      </c>
      <c r="AE50" s="5">
        <v>80</v>
      </c>
      <c r="AF50" s="5">
        <v>75</v>
      </c>
      <c r="AG50" s="5">
        <v>80</v>
      </c>
      <c r="AH50" s="5">
        <v>80</v>
      </c>
      <c r="AI50" s="5">
        <v>80</v>
      </c>
      <c r="AJ50">
        <v>0</v>
      </c>
      <c r="AK50">
        <v>11</v>
      </c>
      <c r="AL50">
        <v>615</v>
      </c>
      <c r="AM50">
        <f t="shared" si="5"/>
        <v>3</v>
      </c>
      <c r="AN50">
        <f t="shared" si="6"/>
        <v>3</v>
      </c>
      <c r="AO50">
        <f t="shared" si="7"/>
        <v>2</v>
      </c>
      <c r="AP50" s="27">
        <f>0.2*AM50+0.4*'Variant 2'!AN50+0.4*'Variant 2'!AO50</f>
        <v>2.6000000000000005</v>
      </c>
    </row>
    <row r="51" spans="22:42" x14ac:dyDescent="0.2">
      <c r="V51" s="6" t="s">
        <v>21</v>
      </c>
      <c r="W51" s="8">
        <v>-300</v>
      </c>
      <c r="X51" s="5">
        <v>1200</v>
      </c>
      <c r="Y51" s="5">
        <v>1200</v>
      </c>
      <c r="Z51" s="5">
        <v>1200</v>
      </c>
      <c r="AA51" s="1"/>
      <c r="AB51" s="1"/>
      <c r="AC51" s="1"/>
      <c r="AD51" s="1"/>
      <c r="AE51" s="1"/>
      <c r="AF51" s="1"/>
      <c r="AG51" s="1"/>
      <c r="AH51" s="1"/>
      <c r="AI51" s="1"/>
      <c r="AJ51">
        <v>9</v>
      </c>
      <c r="AK51">
        <v>3</v>
      </c>
      <c r="AL51">
        <v>3300</v>
      </c>
      <c r="AM51">
        <f t="shared" si="5"/>
        <v>1</v>
      </c>
      <c r="AN51">
        <f t="shared" si="6"/>
        <v>2</v>
      </c>
      <c r="AO51">
        <f t="shared" si="7"/>
        <v>3</v>
      </c>
      <c r="AP51" s="27">
        <f>0.2*AM51+0.4*'Variant 2'!AN51+0.4*'Variant 2'!AO51</f>
        <v>2.2000000000000002</v>
      </c>
    </row>
    <row r="52" spans="22:42" x14ac:dyDescent="0.2">
      <c r="V52" s="6" t="s">
        <v>22</v>
      </c>
      <c r="W52" s="8">
        <v>-100</v>
      </c>
      <c r="X52" s="1">
        <v>90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>
        <v>11</v>
      </c>
      <c r="AK52">
        <v>1</v>
      </c>
      <c r="AL52">
        <v>-10</v>
      </c>
      <c r="AM52">
        <f t="shared" si="5"/>
        <v>1</v>
      </c>
      <c r="AN52">
        <f t="shared" si="6"/>
        <v>2</v>
      </c>
      <c r="AO52">
        <f t="shared" si="7"/>
        <v>2</v>
      </c>
      <c r="AP52" s="27">
        <f>0.2*AM52+0.4*'Variant 2'!AN52+0.4*'Variant 2'!AO52</f>
        <v>1.8</v>
      </c>
    </row>
    <row r="53" spans="22:42" x14ac:dyDescent="0.2">
      <c r="V53" s="6" t="s">
        <v>23</v>
      </c>
      <c r="W53" s="8">
        <v>-100</v>
      </c>
      <c r="X53" s="1"/>
      <c r="Y53" s="1">
        <v>60</v>
      </c>
      <c r="Z53" s="1">
        <v>60</v>
      </c>
      <c r="AA53" s="1"/>
      <c r="AB53" s="1"/>
      <c r="AC53" s="1"/>
      <c r="AD53" s="1"/>
      <c r="AE53" s="1"/>
      <c r="AF53" s="1"/>
      <c r="AG53" s="1"/>
      <c r="AH53" s="1"/>
      <c r="AI53" s="1"/>
      <c r="AJ53">
        <v>9</v>
      </c>
      <c r="AK53">
        <v>2</v>
      </c>
      <c r="AL53">
        <v>20</v>
      </c>
      <c r="AM53">
        <f t="shared" si="5"/>
        <v>1</v>
      </c>
      <c r="AN53">
        <f t="shared" si="6"/>
        <v>2</v>
      </c>
      <c r="AO53">
        <f t="shared" si="7"/>
        <v>2</v>
      </c>
      <c r="AP53" s="27">
        <f>0.2*AM53+0.4*'Variant 2'!AN53+0.4*'Variant 2'!AO53</f>
        <v>1.8</v>
      </c>
    </row>
    <row r="54" spans="22:42" x14ac:dyDescent="0.2">
      <c r="V54" s="6" t="s">
        <v>24</v>
      </c>
      <c r="W54" s="5"/>
      <c r="X54" s="1"/>
      <c r="Y54" s="1"/>
      <c r="Z54" s="10">
        <v>-100</v>
      </c>
      <c r="AA54" s="1"/>
      <c r="AB54" s="1"/>
      <c r="AC54" s="1"/>
      <c r="AD54" s="1"/>
      <c r="AE54" s="1"/>
      <c r="AF54" s="1"/>
      <c r="AG54" s="1"/>
      <c r="AH54" s="1"/>
      <c r="AI54" s="1"/>
      <c r="AJ54">
        <v>9</v>
      </c>
      <c r="AK54">
        <v>0</v>
      </c>
      <c r="AL54">
        <v>-100</v>
      </c>
      <c r="AM54">
        <f t="shared" si="5"/>
        <v>1</v>
      </c>
      <c r="AN54">
        <f t="shared" si="6"/>
        <v>1</v>
      </c>
      <c r="AO54">
        <f t="shared" si="7"/>
        <v>1</v>
      </c>
      <c r="AP54" s="27">
        <f>0.2*AM54+0.4*'Variant 2'!AN54+0.4*'Variant 2'!AO54</f>
        <v>1</v>
      </c>
    </row>
    <row r="55" spans="22:42" x14ac:dyDescent="0.2">
      <c r="V55" s="6" t="s">
        <v>25</v>
      </c>
      <c r="W55" s="5"/>
      <c r="X55" s="1"/>
      <c r="Y55" s="1"/>
      <c r="Z55" s="1"/>
      <c r="AA55" s="1"/>
      <c r="AB55" s="10">
        <v>-50</v>
      </c>
      <c r="AC55" s="1"/>
      <c r="AD55" s="1"/>
      <c r="AE55" s="1"/>
      <c r="AF55" s="1"/>
      <c r="AG55" s="1"/>
      <c r="AH55" s="1"/>
      <c r="AI55" s="1"/>
      <c r="AJ55">
        <v>7</v>
      </c>
      <c r="AK55">
        <v>0</v>
      </c>
      <c r="AL55">
        <v>-50</v>
      </c>
      <c r="AM55">
        <f t="shared" si="5"/>
        <v>1</v>
      </c>
      <c r="AN55">
        <f t="shared" si="6"/>
        <v>1</v>
      </c>
      <c r="AO55">
        <f t="shared" si="7"/>
        <v>2</v>
      </c>
      <c r="AP55" s="27">
        <f>0.2*AM55+0.4*'Variant 2'!AN55+0.4*'Variant 2'!AO55</f>
        <v>1.4000000000000001</v>
      </c>
    </row>
    <row r="56" spans="22:42" x14ac:dyDescent="0.2">
      <c r="V56" s="6" t="s">
        <v>26</v>
      </c>
      <c r="W56" s="5"/>
      <c r="X56" s="1"/>
      <c r="Y56" s="1"/>
      <c r="Z56" s="1"/>
      <c r="AA56" s="1"/>
      <c r="AB56" s="10">
        <v>-200</v>
      </c>
      <c r="AD56" s="1"/>
      <c r="AE56" s="1"/>
      <c r="AF56" s="1"/>
      <c r="AG56" s="1"/>
      <c r="AH56" s="1"/>
      <c r="AI56" s="1"/>
      <c r="AJ56">
        <v>7</v>
      </c>
      <c r="AK56">
        <v>0</v>
      </c>
      <c r="AL56">
        <v>-200</v>
      </c>
      <c r="AM56">
        <f t="shared" si="5"/>
        <v>1</v>
      </c>
      <c r="AN56">
        <f t="shared" si="6"/>
        <v>1</v>
      </c>
      <c r="AO56">
        <f t="shared" si="7"/>
        <v>1</v>
      </c>
      <c r="AP56" s="27">
        <f>0.2*AM56+0.4*'Variant 2'!AN56+0.4*'Variant 2'!AO56</f>
        <v>1</v>
      </c>
    </row>
    <row r="57" spans="22:42" x14ac:dyDescent="0.2">
      <c r="V57" s="6" t="s">
        <v>27</v>
      </c>
      <c r="W57" s="5"/>
      <c r="X57" s="1"/>
      <c r="Y57" s="1"/>
      <c r="Z57" s="1"/>
      <c r="AA57" s="1"/>
      <c r="AB57" s="10">
        <v>-200</v>
      </c>
      <c r="AD57" s="1"/>
      <c r="AE57" s="1"/>
      <c r="AF57" s="1"/>
      <c r="AG57" s="1"/>
      <c r="AH57" s="1"/>
      <c r="AI57" s="1"/>
      <c r="AJ57">
        <v>7</v>
      </c>
      <c r="AK57">
        <v>0</v>
      </c>
      <c r="AL57">
        <v>-200</v>
      </c>
      <c r="AM57">
        <f t="shared" si="5"/>
        <v>1</v>
      </c>
      <c r="AN57">
        <f t="shared" si="6"/>
        <v>1</v>
      </c>
      <c r="AO57">
        <f t="shared" si="7"/>
        <v>1</v>
      </c>
      <c r="AP57" s="27">
        <f>0.2*AM57+0.4*'Variant 2'!AN57+0.4*'Variant 2'!AO57</f>
        <v>1</v>
      </c>
    </row>
    <row r="58" spans="22:42" x14ac:dyDescent="0.2">
      <c r="V58" s="6" t="s">
        <v>28</v>
      </c>
      <c r="W58" s="5"/>
      <c r="X58" s="1"/>
      <c r="Y58" s="1"/>
      <c r="Z58" s="1"/>
      <c r="AA58" s="1"/>
      <c r="AB58" s="10">
        <v>-200</v>
      </c>
      <c r="AD58" s="1"/>
      <c r="AE58" s="1"/>
      <c r="AF58" s="1"/>
      <c r="AG58" s="1"/>
      <c r="AH58" s="1"/>
      <c r="AI58" s="1"/>
      <c r="AJ58">
        <v>7</v>
      </c>
      <c r="AK58">
        <v>0</v>
      </c>
      <c r="AL58">
        <v>-200</v>
      </c>
      <c r="AM58">
        <f t="shared" si="5"/>
        <v>1</v>
      </c>
      <c r="AN58">
        <f t="shared" si="6"/>
        <v>1</v>
      </c>
      <c r="AO58">
        <f t="shared" si="7"/>
        <v>1</v>
      </c>
      <c r="AP58" s="27">
        <f>0.2*AM58+0.4*'Variant 2'!AN58+0.4*'Variant 2'!AO58</f>
        <v>1</v>
      </c>
    </row>
    <row r="59" spans="22:42" x14ac:dyDescent="0.2">
      <c r="V59" s="6" t="s">
        <v>29</v>
      </c>
      <c r="W59" s="5"/>
      <c r="X59" s="1"/>
      <c r="Y59" s="1"/>
      <c r="Z59" s="1"/>
      <c r="AA59" s="1"/>
      <c r="AB59" s="10">
        <v>-200</v>
      </c>
      <c r="AD59" s="1"/>
      <c r="AE59" s="1"/>
      <c r="AF59" s="1"/>
      <c r="AG59" s="1"/>
      <c r="AH59" s="1"/>
      <c r="AI59" s="1"/>
      <c r="AJ59">
        <v>7</v>
      </c>
      <c r="AK59">
        <v>0</v>
      </c>
      <c r="AL59">
        <v>-200</v>
      </c>
      <c r="AM59">
        <f t="shared" si="5"/>
        <v>1</v>
      </c>
      <c r="AN59">
        <f t="shared" si="6"/>
        <v>1</v>
      </c>
      <c r="AO59">
        <f t="shared" si="7"/>
        <v>1</v>
      </c>
      <c r="AP59" s="27">
        <f>0.2*AM59+0.4*'Variant 2'!AN59+0.4*'Variant 2'!AO59</f>
        <v>1</v>
      </c>
    </row>
    <row r="60" spans="22:42" x14ac:dyDescent="0.2">
      <c r="V60" s="6" t="s">
        <v>30</v>
      </c>
      <c r="W60" s="5"/>
      <c r="X60" s="1"/>
      <c r="Y60" s="1"/>
      <c r="Z60" s="1"/>
      <c r="AA60" s="1"/>
      <c r="AB60" s="10"/>
      <c r="AD60" s="1"/>
      <c r="AE60" s="1"/>
      <c r="AF60" s="10">
        <v>-300</v>
      </c>
      <c r="AG60" s="1"/>
      <c r="AH60" s="1"/>
      <c r="AI60" s="1"/>
      <c r="AJ60">
        <v>3</v>
      </c>
      <c r="AK60">
        <v>0</v>
      </c>
      <c r="AL60">
        <v>-300</v>
      </c>
      <c r="AM60">
        <f t="shared" si="5"/>
        <v>2</v>
      </c>
      <c r="AN60">
        <f t="shared" si="6"/>
        <v>1</v>
      </c>
      <c r="AO60">
        <f t="shared" si="7"/>
        <v>1</v>
      </c>
      <c r="AP60" s="27">
        <f>0.2*AM60+0.4*'Variant 2'!AN60+0.4*'Variant 2'!AO60</f>
        <v>1.2000000000000002</v>
      </c>
    </row>
    <row r="61" spans="22:42" x14ac:dyDescent="0.2">
      <c r="V61" s="6" t="s">
        <v>31</v>
      </c>
      <c r="W61" s="5"/>
      <c r="X61" s="1"/>
      <c r="Y61" s="1"/>
      <c r="Z61" s="1"/>
      <c r="AA61" s="1"/>
      <c r="AB61" s="10"/>
      <c r="AD61" s="1"/>
      <c r="AE61" s="1"/>
      <c r="AF61" s="10">
        <v>-300</v>
      </c>
      <c r="AG61" s="1"/>
      <c r="AH61" s="1"/>
      <c r="AI61" s="1"/>
      <c r="AJ61">
        <v>3</v>
      </c>
      <c r="AK61">
        <v>0</v>
      </c>
      <c r="AL61">
        <v>-300</v>
      </c>
      <c r="AM61">
        <f t="shared" si="5"/>
        <v>2</v>
      </c>
      <c r="AN61">
        <f t="shared" si="6"/>
        <v>1</v>
      </c>
      <c r="AO61">
        <f t="shared" si="7"/>
        <v>1</v>
      </c>
      <c r="AP61" s="27">
        <f>0.2*AM61+0.4*'Variant 2'!AN61+0.4*'Variant 2'!AO61</f>
        <v>1.2000000000000002</v>
      </c>
    </row>
    <row r="62" spans="22:42" x14ac:dyDescent="0.2">
      <c r="V62" s="6" t="s">
        <v>32</v>
      </c>
      <c r="W62" s="5"/>
      <c r="X62" s="1"/>
      <c r="Y62" s="1"/>
      <c r="Z62" s="1"/>
      <c r="AA62" s="1"/>
      <c r="AB62" s="10"/>
      <c r="AD62" s="1"/>
      <c r="AE62" s="1"/>
      <c r="AF62" s="10">
        <v>-300</v>
      </c>
      <c r="AG62" s="1"/>
      <c r="AH62" s="1"/>
      <c r="AI62" s="1"/>
      <c r="AJ62">
        <v>3</v>
      </c>
      <c r="AK62">
        <v>0</v>
      </c>
      <c r="AL62">
        <v>-300</v>
      </c>
      <c r="AM62">
        <f t="shared" si="5"/>
        <v>2</v>
      </c>
      <c r="AN62">
        <f t="shared" si="6"/>
        <v>1</v>
      </c>
      <c r="AO62">
        <f t="shared" si="7"/>
        <v>1</v>
      </c>
      <c r="AP62" s="27">
        <f>0.2*AM62+0.4*'Variant 2'!AN62+0.4*'Variant 2'!AO62</f>
        <v>1.2000000000000002</v>
      </c>
    </row>
    <row r="63" spans="22:42" x14ac:dyDescent="0.2">
      <c r="V63" s="6" t="s">
        <v>33</v>
      </c>
      <c r="W63" s="5"/>
      <c r="X63" s="1"/>
      <c r="Y63" s="1"/>
      <c r="Z63" s="1"/>
      <c r="AA63" s="1"/>
      <c r="AB63" s="1"/>
      <c r="AC63" s="1"/>
      <c r="AD63" s="1"/>
      <c r="AE63" s="1"/>
      <c r="AF63" s="10">
        <v>-300</v>
      </c>
      <c r="AG63" s="10"/>
      <c r="AH63" s="1"/>
      <c r="AI63" s="1"/>
      <c r="AJ63">
        <v>3</v>
      </c>
      <c r="AK63">
        <v>0</v>
      </c>
      <c r="AL63">
        <v>-300</v>
      </c>
      <c r="AM63">
        <f t="shared" si="5"/>
        <v>2</v>
      </c>
      <c r="AN63">
        <f t="shared" si="6"/>
        <v>1</v>
      </c>
      <c r="AO63">
        <f t="shared" si="7"/>
        <v>1</v>
      </c>
      <c r="AP63" s="27">
        <f>0.2*AM63+0.4*'Variant 2'!AN63+0.4*'Variant 2'!AO63</f>
        <v>1.2000000000000002</v>
      </c>
    </row>
    <row r="64" spans="22:42" x14ac:dyDescent="0.2">
      <c r="V64" s="6" t="s">
        <v>34</v>
      </c>
      <c r="W64" s="5"/>
      <c r="X64" s="1"/>
      <c r="Y64" s="1"/>
      <c r="Z64" s="1"/>
      <c r="AA64" s="1"/>
      <c r="AB64" s="1"/>
      <c r="AC64" s="1"/>
      <c r="AD64" s="1"/>
      <c r="AE64" s="1"/>
      <c r="AF64" s="10">
        <v>-300</v>
      </c>
      <c r="AG64" s="10"/>
      <c r="AH64" s="1"/>
      <c r="AI64" s="1"/>
      <c r="AJ64">
        <v>3</v>
      </c>
      <c r="AK64">
        <v>0</v>
      </c>
      <c r="AL64">
        <v>-300</v>
      </c>
      <c r="AM64">
        <f t="shared" si="5"/>
        <v>2</v>
      </c>
      <c r="AN64">
        <f t="shared" si="6"/>
        <v>1</v>
      </c>
      <c r="AO64">
        <f t="shared" si="7"/>
        <v>1</v>
      </c>
      <c r="AP64" s="27">
        <f>0.2*AM64+0.4*'Variant 2'!AN64+0.4*'Variant 2'!AO64</f>
        <v>1.2000000000000002</v>
      </c>
    </row>
    <row r="68" spans="22:49" x14ac:dyDescent="0.2">
      <c r="V68" s="13" t="s">
        <v>4</v>
      </c>
      <c r="W68" s="1" t="s">
        <v>57</v>
      </c>
      <c r="X68" s="2">
        <v>1</v>
      </c>
      <c r="Y68" s="2">
        <v>2</v>
      </c>
      <c r="Z68" s="2">
        <v>3</v>
      </c>
      <c r="AA68" s="2">
        <v>4</v>
      </c>
      <c r="AB68" s="2">
        <v>5</v>
      </c>
      <c r="AC68" s="2">
        <v>6</v>
      </c>
      <c r="AD68" s="2">
        <v>7</v>
      </c>
      <c r="AE68" s="2">
        <v>8</v>
      </c>
      <c r="AF68" s="2">
        <v>9</v>
      </c>
      <c r="AG68" s="2">
        <v>10</v>
      </c>
      <c r="AH68" s="2">
        <v>11</v>
      </c>
      <c r="AI68" s="2">
        <v>12</v>
      </c>
      <c r="AJ68" t="s">
        <v>49</v>
      </c>
      <c r="AK68" t="s">
        <v>50</v>
      </c>
      <c r="AL68" t="s">
        <v>51</v>
      </c>
      <c r="AM68" t="s">
        <v>54</v>
      </c>
      <c r="AN68" t="s">
        <v>55</v>
      </c>
      <c r="AO68" t="s">
        <v>56</v>
      </c>
    </row>
    <row r="69" spans="22:49" x14ac:dyDescent="0.2">
      <c r="V69" s="6" t="s">
        <v>5</v>
      </c>
      <c r="W69" s="8">
        <v>-200</v>
      </c>
      <c r="X69" s="5">
        <v>50</v>
      </c>
      <c r="Y69" s="5">
        <v>150</v>
      </c>
      <c r="Z69" s="5">
        <v>250</v>
      </c>
      <c r="AA69" s="5">
        <v>350</v>
      </c>
      <c r="AB69" s="5">
        <v>450</v>
      </c>
      <c r="AC69" s="5">
        <v>550</v>
      </c>
      <c r="AD69" s="5">
        <v>650</v>
      </c>
      <c r="AE69" s="5"/>
      <c r="AF69" s="5">
        <v>100</v>
      </c>
      <c r="AG69" s="5">
        <v>100</v>
      </c>
      <c r="AH69" s="5">
        <v>100</v>
      </c>
      <c r="AI69" s="5">
        <v>100</v>
      </c>
      <c r="AJ69">
        <v>0</v>
      </c>
      <c r="AK69">
        <v>11</v>
      </c>
      <c r="AL69">
        <v>2650</v>
      </c>
      <c r="AM69">
        <v>3</v>
      </c>
      <c r="AN69">
        <v>3</v>
      </c>
      <c r="AO69">
        <v>3</v>
      </c>
    </row>
    <row r="70" spans="22:49" x14ac:dyDescent="0.2">
      <c r="V70" s="6" t="s">
        <v>6</v>
      </c>
      <c r="W70" s="11"/>
      <c r="X70" s="5"/>
      <c r="Y70" s="1"/>
      <c r="Z70" s="10">
        <v>-500</v>
      </c>
      <c r="AA70" s="1">
        <v>1340</v>
      </c>
      <c r="AB70" s="1">
        <v>2300</v>
      </c>
      <c r="AC70" s="1">
        <v>1000</v>
      </c>
      <c r="AD70" s="1">
        <v>1000</v>
      </c>
      <c r="AE70" s="1">
        <v>1000</v>
      </c>
      <c r="AF70" s="1"/>
      <c r="AG70" s="1"/>
      <c r="AH70" s="1"/>
      <c r="AI70" s="1"/>
      <c r="AJ70">
        <v>4</v>
      </c>
      <c r="AK70">
        <v>5</v>
      </c>
      <c r="AL70">
        <v>6140</v>
      </c>
      <c r="AM70">
        <v>2</v>
      </c>
      <c r="AN70">
        <v>2</v>
      </c>
      <c r="AO70">
        <v>3</v>
      </c>
    </row>
    <row r="71" spans="22:49" x14ac:dyDescent="0.2">
      <c r="V71" s="6" t="s">
        <v>7</v>
      </c>
      <c r="W71" s="8">
        <v>-100</v>
      </c>
      <c r="X71" s="5">
        <v>20</v>
      </c>
      <c r="Y71" s="5">
        <v>20</v>
      </c>
      <c r="Z71" s="5">
        <v>20</v>
      </c>
      <c r="AA71" s="5">
        <v>20</v>
      </c>
      <c r="AB71" s="1">
        <v>40</v>
      </c>
      <c r="AC71" s="1">
        <v>40</v>
      </c>
      <c r="AD71" s="1">
        <v>40</v>
      </c>
      <c r="AE71" s="1">
        <v>40</v>
      </c>
      <c r="AF71" s="1">
        <v>80</v>
      </c>
      <c r="AG71" s="1">
        <v>80</v>
      </c>
      <c r="AH71" s="1">
        <v>80</v>
      </c>
      <c r="AI71" s="1">
        <v>80</v>
      </c>
      <c r="AJ71">
        <v>0</v>
      </c>
      <c r="AK71">
        <v>12</v>
      </c>
      <c r="AL71">
        <v>460</v>
      </c>
      <c r="AM71">
        <v>3</v>
      </c>
      <c r="AN71">
        <v>3</v>
      </c>
      <c r="AO71">
        <v>2</v>
      </c>
    </row>
    <row r="72" spans="22:49" x14ac:dyDescent="0.2">
      <c r="V72" s="6" t="s">
        <v>8</v>
      </c>
      <c r="W72" s="8">
        <v>-100</v>
      </c>
      <c r="X72" s="5">
        <v>40</v>
      </c>
      <c r="Y72" s="5">
        <v>40</v>
      </c>
      <c r="Z72" s="5">
        <v>40</v>
      </c>
      <c r="AA72" s="5">
        <v>20</v>
      </c>
      <c r="AB72" s="1">
        <v>80</v>
      </c>
      <c r="AC72" s="1">
        <v>80</v>
      </c>
      <c r="AD72" s="1">
        <v>80</v>
      </c>
      <c r="AE72" s="1">
        <v>40</v>
      </c>
      <c r="AF72" s="1">
        <v>80</v>
      </c>
      <c r="AG72" s="1">
        <v>80</v>
      </c>
      <c r="AH72" s="1">
        <v>80</v>
      </c>
      <c r="AI72" s="1">
        <v>80</v>
      </c>
      <c r="AJ72">
        <v>0</v>
      </c>
      <c r="AK72">
        <v>12</v>
      </c>
      <c r="AL72">
        <v>640</v>
      </c>
      <c r="AM72">
        <v>3</v>
      </c>
      <c r="AN72">
        <v>3</v>
      </c>
      <c r="AO72">
        <v>2</v>
      </c>
    </row>
    <row r="73" spans="22:49" x14ac:dyDescent="0.2">
      <c r="V73" s="7" t="s">
        <v>9</v>
      </c>
      <c r="W73" s="12"/>
      <c r="X73" s="8">
        <v>-50</v>
      </c>
      <c r="Y73" s="5">
        <v>400</v>
      </c>
      <c r="Z73" s="5">
        <v>400</v>
      </c>
      <c r="AA73" s="5">
        <v>400</v>
      </c>
      <c r="AB73" s="5">
        <v>310</v>
      </c>
      <c r="AC73" s="5">
        <v>380</v>
      </c>
      <c r="AD73" s="5">
        <v>300</v>
      </c>
      <c r="AE73" s="5">
        <v>300</v>
      </c>
      <c r="AF73" s="5">
        <v>300</v>
      </c>
      <c r="AG73" s="5">
        <v>300</v>
      </c>
      <c r="AH73" s="5">
        <v>300</v>
      </c>
      <c r="AI73" s="5">
        <v>300</v>
      </c>
      <c r="AJ73">
        <v>0</v>
      </c>
      <c r="AK73">
        <v>11</v>
      </c>
      <c r="AL73">
        <v>3640</v>
      </c>
      <c r="AM73">
        <v>3</v>
      </c>
      <c r="AN73">
        <v>3</v>
      </c>
      <c r="AO73">
        <v>3</v>
      </c>
    </row>
    <row r="74" spans="22:49" x14ac:dyDescent="0.2">
      <c r="V74" s="6" t="s">
        <v>10</v>
      </c>
      <c r="W74" s="9">
        <v>-400</v>
      </c>
      <c r="X74" s="5">
        <v>150</v>
      </c>
      <c r="Y74" s="5">
        <v>150</v>
      </c>
      <c r="Z74" s="5">
        <v>150</v>
      </c>
      <c r="AA74" s="5">
        <v>150</v>
      </c>
      <c r="AB74" s="1">
        <v>200</v>
      </c>
      <c r="AC74" s="1">
        <v>200</v>
      </c>
      <c r="AD74" s="1">
        <v>200</v>
      </c>
      <c r="AE74" s="1">
        <v>200</v>
      </c>
      <c r="AF74" s="1">
        <v>200</v>
      </c>
      <c r="AG74" s="1">
        <v>200</v>
      </c>
      <c r="AH74" s="1">
        <v>200</v>
      </c>
      <c r="AI74" s="1">
        <v>200</v>
      </c>
      <c r="AJ74">
        <v>0</v>
      </c>
      <c r="AK74">
        <v>12</v>
      </c>
      <c r="AL74">
        <v>1800</v>
      </c>
      <c r="AM74">
        <v>3</v>
      </c>
      <c r="AN74">
        <v>3</v>
      </c>
      <c r="AO74">
        <v>3</v>
      </c>
    </row>
    <row r="75" spans="22:49" x14ac:dyDescent="0.2">
      <c r="V75" s="6" t="s">
        <v>11</v>
      </c>
      <c r="W75" s="8">
        <v>-50</v>
      </c>
      <c r="X75" s="1">
        <v>400</v>
      </c>
      <c r="Y75" s="1"/>
      <c r="Z75" s="1"/>
      <c r="AA75" s="1">
        <v>400</v>
      </c>
      <c r="AB75" s="1">
        <v>400</v>
      </c>
      <c r="AC75" s="1"/>
      <c r="AD75" s="1"/>
      <c r="AE75" s="1">
        <v>400</v>
      </c>
      <c r="AF75" s="1">
        <v>400</v>
      </c>
      <c r="AG75" s="1"/>
      <c r="AH75" s="1"/>
      <c r="AI75" s="1">
        <v>400</v>
      </c>
      <c r="AJ75">
        <v>0</v>
      </c>
      <c r="AK75">
        <v>6</v>
      </c>
      <c r="AL75">
        <v>2350</v>
      </c>
      <c r="AM75">
        <v>3</v>
      </c>
      <c r="AN75">
        <v>2</v>
      </c>
      <c r="AO75">
        <v>3</v>
      </c>
    </row>
    <row r="76" spans="22:49" x14ac:dyDescent="0.2">
      <c r="V76" s="6" t="s">
        <v>12</v>
      </c>
      <c r="W76" s="8">
        <v>-400</v>
      </c>
      <c r="X76" s="1">
        <v>200</v>
      </c>
      <c r="Y76" s="1">
        <v>260</v>
      </c>
      <c r="Z76" s="1">
        <v>320</v>
      </c>
      <c r="AA76" s="1">
        <v>380</v>
      </c>
      <c r="AB76" s="1">
        <v>440</v>
      </c>
      <c r="AC76" s="1">
        <v>500</v>
      </c>
      <c r="AD76" s="1">
        <v>560</v>
      </c>
      <c r="AE76" s="1">
        <v>620</v>
      </c>
      <c r="AF76" s="1">
        <v>680</v>
      </c>
      <c r="AG76" s="1">
        <v>740</v>
      </c>
      <c r="AH76" s="1">
        <v>800</v>
      </c>
      <c r="AI76" s="1">
        <v>860</v>
      </c>
      <c r="AJ76">
        <v>0</v>
      </c>
      <c r="AK76">
        <v>12</v>
      </c>
      <c r="AL76">
        <v>5960</v>
      </c>
      <c r="AM76">
        <v>3</v>
      </c>
      <c r="AN76">
        <v>3</v>
      </c>
      <c r="AO76">
        <v>3</v>
      </c>
      <c r="AU76" s="19" t="s">
        <v>55</v>
      </c>
      <c r="AV76" s="19" t="s">
        <v>56</v>
      </c>
      <c r="AW76" t="s">
        <v>71</v>
      </c>
    </row>
    <row r="77" spans="22:49" x14ac:dyDescent="0.2">
      <c r="V77" s="6" t="s">
        <v>13</v>
      </c>
      <c r="W77" s="8">
        <v>-100</v>
      </c>
      <c r="X77" s="1">
        <v>560</v>
      </c>
      <c r="Y77" s="1">
        <v>560</v>
      </c>
      <c r="Z77" s="1">
        <v>560</v>
      </c>
      <c r="AA77" s="1">
        <v>560</v>
      </c>
      <c r="AB77" s="1">
        <v>560</v>
      </c>
      <c r="AC77" s="1">
        <v>560</v>
      </c>
      <c r="AD77" s="1"/>
      <c r="AE77" s="1"/>
      <c r="AF77" s="1"/>
      <c r="AG77" s="1"/>
      <c r="AH77" s="1"/>
      <c r="AI77" s="1"/>
      <c r="AJ77">
        <v>6</v>
      </c>
      <c r="AK77">
        <v>6</v>
      </c>
      <c r="AL77">
        <v>3260</v>
      </c>
      <c r="AM77">
        <v>2</v>
      </c>
      <c r="AN77">
        <v>2</v>
      </c>
      <c r="AO77">
        <v>3</v>
      </c>
      <c r="AU77">
        <v>1</v>
      </c>
      <c r="AV77">
        <v>1</v>
      </c>
      <c r="AW77" s="20">
        <v>10</v>
      </c>
    </row>
    <row r="78" spans="22:49" x14ac:dyDescent="0.2">
      <c r="V78" s="6" t="s">
        <v>14</v>
      </c>
      <c r="W78" s="8">
        <v>-100</v>
      </c>
      <c r="X78" s="1"/>
      <c r="Y78" s="1">
        <v>600</v>
      </c>
      <c r="Z78" s="1">
        <v>575</v>
      </c>
      <c r="AA78" s="1">
        <v>550</v>
      </c>
      <c r="AB78" s="1">
        <v>525</v>
      </c>
      <c r="AC78" s="1">
        <v>500</v>
      </c>
      <c r="AD78" s="1">
        <v>475</v>
      </c>
      <c r="AE78" s="1">
        <v>450</v>
      </c>
      <c r="AF78" s="1"/>
      <c r="AG78" s="1"/>
      <c r="AH78" s="1"/>
      <c r="AI78" s="1"/>
      <c r="AJ78">
        <v>4</v>
      </c>
      <c r="AK78">
        <v>7</v>
      </c>
      <c r="AL78">
        <v>3575</v>
      </c>
      <c r="AM78">
        <v>2</v>
      </c>
      <c r="AN78">
        <v>3</v>
      </c>
      <c r="AO78">
        <v>3</v>
      </c>
      <c r="AU78">
        <v>1</v>
      </c>
      <c r="AV78">
        <v>2</v>
      </c>
      <c r="AW78" s="20">
        <v>1</v>
      </c>
    </row>
    <row r="79" spans="22:49" x14ac:dyDescent="0.2">
      <c r="V79" s="6" t="s">
        <v>15</v>
      </c>
      <c r="W79" s="8">
        <v>-100</v>
      </c>
      <c r="X79" s="1">
        <v>80</v>
      </c>
      <c r="Y79" s="1">
        <v>80</v>
      </c>
      <c r="Z79" s="1">
        <v>80</v>
      </c>
      <c r="AA79" s="1">
        <v>80</v>
      </c>
      <c r="AB79" s="1">
        <v>80</v>
      </c>
      <c r="AC79" s="1">
        <v>80</v>
      </c>
      <c r="AD79" s="1">
        <v>80</v>
      </c>
      <c r="AE79" s="1">
        <v>80</v>
      </c>
      <c r="AF79" s="1">
        <v>80</v>
      </c>
      <c r="AG79" s="1">
        <v>80</v>
      </c>
      <c r="AH79" s="1">
        <v>80</v>
      </c>
      <c r="AI79" s="1">
        <v>80</v>
      </c>
      <c r="AJ79">
        <v>0</v>
      </c>
      <c r="AK79">
        <v>12</v>
      </c>
      <c r="AL79">
        <v>860</v>
      </c>
      <c r="AM79">
        <v>3</v>
      </c>
      <c r="AN79">
        <v>3</v>
      </c>
      <c r="AO79">
        <v>2</v>
      </c>
      <c r="AU79">
        <v>2</v>
      </c>
      <c r="AV79">
        <v>2</v>
      </c>
      <c r="AW79" s="20">
        <v>4</v>
      </c>
    </row>
    <row r="80" spans="22:49" x14ac:dyDescent="0.2">
      <c r="V80" s="6" t="s">
        <v>16</v>
      </c>
      <c r="W80" s="8">
        <v>-100</v>
      </c>
      <c r="X80" s="8"/>
      <c r="Y80" s="5">
        <v>400</v>
      </c>
      <c r="Z80" s="5"/>
      <c r="AA80" s="5"/>
      <c r="AB80" s="5">
        <v>310</v>
      </c>
      <c r="AC80" s="5"/>
      <c r="AD80" s="5">
        <v>300</v>
      </c>
      <c r="AE80" s="5"/>
      <c r="AF80" s="5">
        <v>230</v>
      </c>
      <c r="AG80" s="5"/>
      <c r="AH80" s="5"/>
      <c r="AI80" s="1"/>
      <c r="AJ80">
        <v>3</v>
      </c>
      <c r="AK80">
        <v>4</v>
      </c>
      <c r="AL80">
        <v>1140</v>
      </c>
      <c r="AM80">
        <v>2</v>
      </c>
      <c r="AN80">
        <v>2</v>
      </c>
      <c r="AO80">
        <v>2</v>
      </c>
      <c r="AU80">
        <v>2</v>
      </c>
      <c r="AV80">
        <v>3</v>
      </c>
      <c r="AW80" s="20">
        <v>5</v>
      </c>
    </row>
    <row r="81" spans="22:58" x14ac:dyDescent="0.2">
      <c r="V81" s="6" t="s">
        <v>17</v>
      </c>
      <c r="W81" s="8">
        <v>-100</v>
      </c>
      <c r="X81" s="8"/>
      <c r="Y81" s="5">
        <v>60</v>
      </c>
      <c r="Z81" s="5">
        <v>80</v>
      </c>
      <c r="AA81" s="5">
        <v>120</v>
      </c>
      <c r="AB81" s="5">
        <v>200</v>
      </c>
      <c r="AC81" s="5"/>
      <c r="AD81" s="5"/>
      <c r="AE81" s="5">
        <v>210</v>
      </c>
      <c r="AF81" s="5"/>
      <c r="AG81" s="5"/>
      <c r="AH81" s="5"/>
      <c r="AI81" s="1"/>
      <c r="AJ81">
        <v>4</v>
      </c>
      <c r="AK81">
        <v>5</v>
      </c>
      <c r="AL81">
        <v>570</v>
      </c>
      <c r="AM81">
        <v>2</v>
      </c>
      <c r="AN81">
        <v>2</v>
      </c>
      <c r="AO81">
        <v>2</v>
      </c>
      <c r="AU81">
        <v>3</v>
      </c>
      <c r="AV81">
        <v>2</v>
      </c>
      <c r="AW81" s="20">
        <v>5</v>
      </c>
    </row>
    <row r="82" spans="22:58" x14ac:dyDescent="0.2">
      <c r="V82" s="6" t="s">
        <v>18</v>
      </c>
      <c r="W82" s="11"/>
      <c r="X82" s="8">
        <v>-50</v>
      </c>
      <c r="Y82" s="5">
        <v>1890</v>
      </c>
      <c r="Z82" s="5"/>
      <c r="AA82" s="5"/>
      <c r="AB82" s="5"/>
      <c r="AC82" s="5"/>
      <c r="AD82" s="5"/>
      <c r="AE82" s="5"/>
      <c r="AF82" s="5"/>
      <c r="AG82" s="5"/>
      <c r="AH82" s="5"/>
      <c r="AI82" s="1"/>
      <c r="AJ82">
        <v>10</v>
      </c>
      <c r="AK82">
        <v>1</v>
      </c>
      <c r="AL82">
        <v>1840</v>
      </c>
      <c r="AM82">
        <v>1</v>
      </c>
      <c r="AN82">
        <v>2</v>
      </c>
      <c r="AO82">
        <v>3</v>
      </c>
      <c r="AU82">
        <v>3</v>
      </c>
      <c r="AV82">
        <v>3</v>
      </c>
      <c r="AW82" s="20">
        <v>5</v>
      </c>
    </row>
    <row r="83" spans="22:58" x14ac:dyDescent="0.2">
      <c r="V83" s="6" t="s">
        <v>19</v>
      </c>
      <c r="W83" s="8">
        <v>-100</v>
      </c>
      <c r="X83" s="1">
        <v>89</v>
      </c>
      <c r="Y83" s="5">
        <v>10</v>
      </c>
      <c r="Z83" s="5">
        <v>35</v>
      </c>
      <c r="AA83" s="5">
        <v>65</v>
      </c>
      <c r="AB83" s="5">
        <v>80</v>
      </c>
      <c r="AC83" s="5">
        <v>120</v>
      </c>
      <c r="AD83" s="5">
        <v>140</v>
      </c>
      <c r="AE83" s="5">
        <v>145</v>
      </c>
      <c r="AF83" s="5">
        <v>168</v>
      </c>
      <c r="AG83" s="5">
        <v>189</v>
      </c>
      <c r="AH83" s="5">
        <v>201</v>
      </c>
      <c r="AI83" s="5">
        <v>201</v>
      </c>
      <c r="AJ83">
        <v>0</v>
      </c>
      <c r="AK83">
        <v>12</v>
      </c>
      <c r="AL83">
        <v>1343</v>
      </c>
      <c r="AM83">
        <v>3</v>
      </c>
      <c r="AN83">
        <v>3</v>
      </c>
      <c r="AO83">
        <v>2</v>
      </c>
    </row>
    <row r="84" spans="22:58" x14ac:dyDescent="0.2">
      <c r="V84" s="6" t="s">
        <v>20</v>
      </c>
      <c r="W84" s="8">
        <v>-100</v>
      </c>
      <c r="X84" s="1"/>
      <c r="Y84" s="5">
        <v>25</v>
      </c>
      <c r="Z84" s="5">
        <v>35</v>
      </c>
      <c r="AA84" s="5">
        <v>45</v>
      </c>
      <c r="AB84" s="5">
        <v>55</v>
      </c>
      <c r="AC84" s="5">
        <v>80</v>
      </c>
      <c r="AD84" s="5">
        <v>80</v>
      </c>
      <c r="AE84" s="5">
        <v>80</v>
      </c>
      <c r="AF84" s="5">
        <v>75</v>
      </c>
      <c r="AG84" s="5">
        <v>80</v>
      </c>
      <c r="AH84" s="5">
        <v>80</v>
      </c>
      <c r="AI84" s="5">
        <v>80</v>
      </c>
      <c r="AJ84">
        <v>0</v>
      </c>
      <c r="AK84">
        <v>11</v>
      </c>
      <c r="AL84">
        <v>615</v>
      </c>
      <c r="AM84">
        <v>3</v>
      </c>
      <c r="AN84">
        <v>3</v>
      </c>
      <c r="AO84">
        <v>2</v>
      </c>
    </row>
    <row r="85" spans="22:58" x14ac:dyDescent="0.2">
      <c r="V85" s="6" t="s">
        <v>21</v>
      </c>
      <c r="W85" s="8">
        <v>-300</v>
      </c>
      <c r="X85" s="5">
        <v>1200</v>
      </c>
      <c r="Y85" s="5">
        <v>1200</v>
      </c>
      <c r="Z85" s="5">
        <v>1200</v>
      </c>
      <c r="AA85" s="1"/>
      <c r="AB85" s="1"/>
      <c r="AC85" s="1"/>
      <c r="AD85" s="1"/>
      <c r="AE85" s="1"/>
      <c r="AF85" s="1"/>
      <c r="AG85" s="1"/>
      <c r="AH85" s="1"/>
      <c r="AI85" s="1"/>
      <c r="AJ85">
        <v>9</v>
      </c>
      <c r="AK85">
        <v>3</v>
      </c>
      <c r="AL85">
        <v>3300</v>
      </c>
      <c r="AM85">
        <v>1</v>
      </c>
      <c r="AN85">
        <v>2</v>
      </c>
      <c r="AO85">
        <v>3</v>
      </c>
      <c r="AU85" t="s">
        <v>54</v>
      </c>
      <c r="AV85" t="s">
        <v>55</v>
      </c>
      <c r="AW85" t="s">
        <v>71</v>
      </c>
      <c r="AY85" t="s">
        <v>54</v>
      </c>
      <c r="AZ85" t="s">
        <v>56</v>
      </c>
      <c r="BA85" t="s">
        <v>71</v>
      </c>
      <c r="BD85" t="s">
        <v>55</v>
      </c>
      <c r="BE85" t="s">
        <v>56</v>
      </c>
      <c r="BF85" t="s">
        <v>71</v>
      </c>
    </row>
    <row r="86" spans="22:58" x14ac:dyDescent="0.2">
      <c r="V86" s="6" t="s">
        <v>22</v>
      </c>
      <c r="W86" s="8">
        <v>-100</v>
      </c>
      <c r="X86" s="1">
        <v>90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>
        <v>11</v>
      </c>
      <c r="AK86">
        <v>1</v>
      </c>
      <c r="AL86">
        <v>-10</v>
      </c>
      <c r="AM86">
        <v>1</v>
      </c>
      <c r="AN86">
        <v>2</v>
      </c>
      <c r="AO86">
        <v>2</v>
      </c>
      <c r="AU86">
        <v>1</v>
      </c>
      <c r="AV86">
        <v>1</v>
      </c>
      <c r="AW86" s="20">
        <v>6</v>
      </c>
      <c r="AY86">
        <v>1</v>
      </c>
      <c r="AZ86">
        <v>1</v>
      </c>
      <c r="BA86" s="20">
        <v>5</v>
      </c>
      <c r="BD86">
        <v>1</v>
      </c>
      <c r="BE86">
        <v>1</v>
      </c>
      <c r="BF86" s="20">
        <v>10</v>
      </c>
    </row>
    <row r="87" spans="22:58" x14ac:dyDescent="0.2">
      <c r="V87" s="6" t="s">
        <v>23</v>
      </c>
      <c r="W87" s="8">
        <v>-100</v>
      </c>
      <c r="X87" s="1"/>
      <c r="Y87" s="1">
        <v>60</v>
      </c>
      <c r="Z87" s="1">
        <v>60</v>
      </c>
      <c r="AA87" s="1"/>
      <c r="AB87" s="1"/>
      <c r="AC87" s="1"/>
      <c r="AD87" s="1"/>
      <c r="AE87" s="1"/>
      <c r="AF87" s="1"/>
      <c r="AG87" s="1"/>
      <c r="AH87" s="1"/>
      <c r="AI87" s="1"/>
      <c r="AJ87">
        <v>9</v>
      </c>
      <c r="AK87">
        <v>2</v>
      </c>
      <c r="AL87">
        <v>20</v>
      </c>
      <c r="AM87">
        <v>1</v>
      </c>
      <c r="AN87">
        <v>2</v>
      </c>
      <c r="AO87">
        <v>2</v>
      </c>
      <c r="AU87">
        <v>1</v>
      </c>
      <c r="AV87">
        <v>2</v>
      </c>
      <c r="AW87" s="20">
        <v>4</v>
      </c>
      <c r="AY87">
        <v>1</v>
      </c>
      <c r="AZ87">
        <v>2</v>
      </c>
      <c r="BA87" s="20">
        <v>3</v>
      </c>
      <c r="BD87">
        <v>1</v>
      </c>
      <c r="BE87">
        <v>2</v>
      </c>
      <c r="BF87" s="20">
        <v>1</v>
      </c>
    </row>
    <row r="88" spans="22:58" x14ac:dyDescent="0.2">
      <c r="V88" s="6" t="s">
        <v>24</v>
      </c>
      <c r="W88" s="5"/>
      <c r="X88" s="1"/>
      <c r="Y88" s="1"/>
      <c r="Z88" s="10">
        <v>-100</v>
      </c>
      <c r="AA88" s="1"/>
      <c r="AB88" s="1"/>
      <c r="AC88" s="1"/>
      <c r="AD88" s="1"/>
      <c r="AE88" s="1"/>
      <c r="AF88" s="1"/>
      <c r="AG88" s="1"/>
      <c r="AH88" s="1"/>
      <c r="AI88" s="1"/>
      <c r="AJ88">
        <v>9</v>
      </c>
      <c r="AK88">
        <v>0</v>
      </c>
      <c r="AL88">
        <v>-100</v>
      </c>
      <c r="AM88">
        <v>1</v>
      </c>
      <c r="AN88">
        <v>1</v>
      </c>
      <c r="AO88">
        <v>1</v>
      </c>
      <c r="AU88">
        <v>2</v>
      </c>
      <c r="AV88">
        <v>1</v>
      </c>
      <c r="AW88" s="20">
        <v>5</v>
      </c>
      <c r="AY88">
        <v>1</v>
      </c>
      <c r="AZ88">
        <v>3</v>
      </c>
      <c r="BA88" s="20">
        <v>2</v>
      </c>
      <c r="BD88">
        <v>2</v>
      </c>
      <c r="BE88">
        <v>2</v>
      </c>
      <c r="BF88" s="20">
        <v>4</v>
      </c>
    </row>
    <row r="89" spans="22:58" x14ac:dyDescent="0.2">
      <c r="V89" s="6" t="s">
        <v>25</v>
      </c>
      <c r="W89" s="5"/>
      <c r="X89" s="1"/>
      <c r="Y89" s="1"/>
      <c r="Z89" s="1"/>
      <c r="AA89" s="1"/>
      <c r="AB89" s="10">
        <v>-50</v>
      </c>
      <c r="AC89" s="1"/>
      <c r="AD89" s="1"/>
      <c r="AE89" s="1"/>
      <c r="AF89" s="1"/>
      <c r="AG89" s="1"/>
      <c r="AH89" s="1"/>
      <c r="AI89" s="1"/>
      <c r="AJ89">
        <v>7</v>
      </c>
      <c r="AK89">
        <v>0</v>
      </c>
      <c r="AL89">
        <v>-50</v>
      </c>
      <c r="AM89">
        <v>1</v>
      </c>
      <c r="AN89">
        <v>1</v>
      </c>
      <c r="AO89">
        <v>2</v>
      </c>
      <c r="AU89">
        <v>2</v>
      </c>
      <c r="AV89">
        <v>2</v>
      </c>
      <c r="AW89" s="20">
        <v>4</v>
      </c>
      <c r="AY89">
        <v>2</v>
      </c>
      <c r="AZ89">
        <v>1</v>
      </c>
      <c r="BA89" s="20">
        <v>5</v>
      </c>
      <c r="BD89">
        <v>2</v>
      </c>
      <c r="BE89">
        <v>3</v>
      </c>
      <c r="BF89" s="20">
        <v>5</v>
      </c>
    </row>
    <row r="90" spans="22:58" x14ac:dyDescent="0.2">
      <c r="V90" s="6" t="s">
        <v>26</v>
      </c>
      <c r="W90" s="5"/>
      <c r="X90" s="1"/>
      <c r="Y90" s="1"/>
      <c r="Z90" s="1"/>
      <c r="AA90" s="1"/>
      <c r="AB90" s="10">
        <v>-200</v>
      </c>
      <c r="AD90" s="1"/>
      <c r="AE90" s="1"/>
      <c r="AF90" s="1"/>
      <c r="AG90" s="1"/>
      <c r="AH90" s="1"/>
      <c r="AI90" s="1"/>
      <c r="AJ90">
        <v>7</v>
      </c>
      <c r="AK90">
        <v>0</v>
      </c>
      <c r="AL90">
        <v>-200</v>
      </c>
      <c r="AM90">
        <v>1</v>
      </c>
      <c r="AN90">
        <v>1</v>
      </c>
      <c r="AO90">
        <v>1</v>
      </c>
      <c r="AU90">
        <v>2</v>
      </c>
      <c r="AV90">
        <v>3</v>
      </c>
      <c r="AW90" s="20">
        <v>1</v>
      </c>
      <c r="AY90">
        <v>2</v>
      </c>
      <c r="AZ90">
        <v>2</v>
      </c>
      <c r="BA90" s="20">
        <v>2</v>
      </c>
      <c r="BD90">
        <v>3</v>
      </c>
      <c r="BE90">
        <v>2</v>
      </c>
      <c r="BF90" s="20">
        <v>5</v>
      </c>
    </row>
    <row r="91" spans="22:58" x14ac:dyDescent="0.2">
      <c r="V91" s="6" t="s">
        <v>27</v>
      </c>
      <c r="W91" s="5"/>
      <c r="X91" s="1"/>
      <c r="Y91" s="1"/>
      <c r="Z91" s="1"/>
      <c r="AA91" s="1"/>
      <c r="AB91" s="10">
        <v>-200</v>
      </c>
      <c r="AD91" s="1"/>
      <c r="AE91" s="1"/>
      <c r="AF91" s="1"/>
      <c r="AG91" s="1"/>
      <c r="AH91" s="1"/>
      <c r="AI91" s="1"/>
      <c r="AJ91">
        <v>7</v>
      </c>
      <c r="AK91">
        <v>0</v>
      </c>
      <c r="AL91">
        <v>-200</v>
      </c>
      <c r="AM91">
        <v>1</v>
      </c>
      <c r="AN91">
        <v>1</v>
      </c>
      <c r="AO91">
        <v>1</v>
      </c>
      <c r="AU91">
        <v>3</v>
      </c>
      <c r="AV91">
        <v>2</v>
      </c>
      <c r="AW91" s="20">
        <v>1</v>
      </c>
      <c r="AY91">
        <v>2</v>
      </c>
      <c r="AZ91">
        <v>3</v>
      </c>
      <c r="BA91" s="20">
        <v>3</v>
      </c>
      <c r="BD91">
        <v>3</v>
      </c>
      <c r="BE91">
        <v>3</v>
      </c>
      <c r="BF91" s="20">
        <v>5</v>
      </c>
    </row>
    <row r="92" spans="22:58" x14ac:dyDescent="0.2">
      <c r="V92" s="6" t="s">
        <v>28</v>
      </c>
      <c r="W92" s="5"/>
      <c r="X92" s="1"/>
      <c r="Y92" s="1"/>
      <c r="Z92" s="1"/>
      <c r="AA92" s="1"/>
      <c r="AB92" s="10">
        <v>-200</v>
      </c>
      <c r="AD92" s="1"/>
      <c r="AE92" s="1"/>
      <c r="AF92" s="1"/>
      <c r="AG92" s="1"/>
      <c r="AH92" s="1"/>
      <c r="AI92" s="1"/>
      <c r="AJ92">
        <v>7</v>
      </c>
      <c r="AK92">
        <v>0</v>
      </c>
      <c r="AL92">
        <v>-200</v>
      </c>
      <c r="AM92">
        <v>1</v>
      </c>
      <c r="AN92">
        <v>1</v>
      </c>
      <c r="AO92">
        <v>1</v>
      </c>
      <c r="AU92">
        <v>3</v>
      </c>
      <c r="AV92">
        <v>3</v>
      </c>
      <c r="AW92" s="20">
        <v>9</v>
      </c>
      <c r="AY92">
        <v>3</v>
      </c>
      <c r="AZ92">
        <v>2</v>
      </c>
      <c r="BA92" s="20">
        <v>5</v>
      </c>
    </row>
    <row r="93" spans="22:58" x14ac:dyDescent="0.2">
      <c r="V93" s="6" t="s">
        <v>29</v>
      </c>
      <c r="W93" s="5"/>
      <c r="X93" s="1"/>
      <c r="Y93" s="1"/>
      <c r="Z93" s="1"/>
      <c r="AA93" s="1"/>
      <c r="AB93" s="10">
        <v>-200</v>
      </c>
      <c r="AD93" s="1"/>
      <c r="AE93" s="1"/>
      <c r="AF93" s="1"/>
      <c r="AG93" s="1"/>
      <c r="AH93" s="1"/>
      <c r="AI93" s="1"/>
      <c r="AJ93">
        <v>7</v>
      </c>
      <c r="AK93">
        <v>0</v>
      </c>
      <c r="AL93">
        <v>-200</v>
      </c>
      <c r="AM93">
        <v>1</v>
      </c>
      <c r="AN93">
        <v>1</v>
      </c>
      <c r="AO93">
        <v>1</v>
      </c>
      <c r="AY93">
        <v>3</v>
      </c>
      <c r="AZ93">
        <v>3</v>
      </c>
      <c r="BA93" s="20">
        <v>5</v>
      </c>
    </row>
    <row r="94" spans="22:58" x14ac:dyDescent="0.2">
      <c r="V94" s="6" t="s">
        <v>30</v>
      </c>
      <c r="W94" s="5"/>
      <c r="X94" s="1"/>
      <c r="Y94" s="1"/>
      <c r="Z94" s="1"/>
      <c r="AA94" s="1"/>
      <c r="AB94" s="10"/>
      <c r="AD94" s="1"/>
      <c r="AE94" s="1"/>
      <c r="AF94" s="10">
        <v>-300</v>
      </c>
      <c r="AG94" s="1"/>
      <c r="AH94" s="1"/>
      <c r="AI94" s="1"/>
      <c r="AJ94">
        <v>3</v>
      </c>
      <c r="AK94">
        <v>0</v>
      </c>
      <c r="AL94">
        <v>-300</v>
      </c>
      <c r="AM94">
        <v>2</v>
      </c>
      <c r="AN94">
        <v>1</v>
      </c>
      <c r="AO94">
        <v>1</v>
      </c>
    </row>
    <row r="95" spans="22:58" x14ac:dyDescent="0.2">
      <c r="V95" s="6" t="s">
        <v>31</v>
      </c>
      <c r="W95" s="5"/>
      <c r="X95" s="1"/>
      <c r="Y95" s="1"/>
      <c r="Z95" s="1"/>
      <c r="AA95" s="1"/>
      <c r="AB95" s="10"/>
      <c r="AD95" s="1"/>
      <c r="AE95" s="1"/>
      <c r="AF95" s="10">
        <v>-300</v>
      </c>
      <c r="AG95" s="1"/>
      <c r="AH95" s="1"/>
      <c r="AI95" s="1"/>
      <c r="AJ95">
        <v>3</v>
      </c>
      <c r="AK95">
        <v>0</v>
      </c>
      <c r="AL95">
        <v>-300</v>
      </c>
      <c r="AM95">
        <v>2</v>
      </c>
      <c r="AN95">
        <v>1</v>
      </c>
      <c r="AO95">
        <v>1</v>
      </c>
    </row>
    <row r="96" spans="22:58" x14ac:dyDescent="0.2">
      <c r="V96" s="6" t="s">
        <v>32</v>
      </c>
      <c r="W96" s="5"/>
      <c r="X96" s="1"/>
      <c r="Y96" s="1"/>
      <c r="Z96" s="1"/>
      <c r="AA96" s="1"/>
      <c r="AB96" s="10"/>
      <c r="AD96" s="1"/>
      <c r="AE96" s="1"/>
      <c r="AF96" s="10">
        <v>-300</v>
      </c>
      <c r="AG96" s="1"/>
      <c r="AH96" s="1"/>
      <c r="AI96" s="1"/>
      <c r="AJ96">
        <v>3</v>
      </c>
      <c r="AK96">
        <v>0</v>
      </c>
      <c r="AL96">
        <v>-300</v>
      </c>
      <c r="AM96">
        <v>2</v>
      </c>
      <c r="AN96">
        <v>1</v>
      </c>
      <c r="AO96">
        <v>1</v>
      </c>
    </row>
    <row r="97" spans="22:41" x14ac:dyDescent="0.2">
      <c r="V97" s="6" t="s">
        <v>33</v>
      </c>
      <c r="W97" s="5"/>
      <c r="X97" s="1"/>
      <c r="Y97" s="1"/>
      <c r="Z97" s="1"/>
      <c r="AA97" s="1"/>
      <c r="AB97" s="1"/>
      <c r="AC97" s="1"/>
      <c r="AD97" s="1"/>
      <c r="AE97" s="1"/>
      <c r="AF97" s="10">
        <v>-300</v>
      </c>
      <c r="AG97" s="10"/>
      <c r="AH97" s="1"/>
      <c r="AI97" s="1"/>
      <c r="AJ97">
        <v>3</v>
      </c>
      <c r="AK97">
        <v>0</v>
      </c>
      <c r="AL97">
        <v>-300</v>
      </c>
      <c r="AM97">
        <v>2</v>
      </c>
      <c r="AN97">
        <v>1</v>
      </c>
      <c r="AO97">
        <v>1</v>
      </c>
    </row>
    <row r="98" spans="22:41" x14ac:dyDescent="0.2">
      <c r="V98" s="6" t="s">
        <v>34</v>
      </c>
      <c r="W98" s="5"/>
      <c r="X98" s="1"/>
      <c r="Y98" s="1"/>
      <c r="Z98" s="1"/>
      <c r="AA98" s="1"/>
      <c r="AB98" s="1"/>
      <c r="AC98" s="1"/>
      <c r="AD98" s="1"/>
      <c r="AE98" s="1"/>
      <c r="AF98" s="10">
        <v>-300</v>
      </c>
      <c r="AG98" s="10"/>
      <c r="AH98" s="1"/>
      <c r="AI98" s="1"/>
      <c r="AJ98">
        <v>3</v>
      </c>
      <c r="AK98">
        <v>0</v>
      </c>
      <c r="AL98">
        <v>-300</v>
      </c>
      <c r="AM98">
        <v>2</v>
      </c>
      <c r="AN98">
        <v>1</v>
      </c>
      <c r="AO98">
        <v>1</v>
      </c>
    </row>
  </sheetData>
  <sortState xmlns:xlrd2="http://schemas.microsoft.com/office/spreadsheetml/2017/richdata2" ref="BD35:BD37">
    <sortCondition ref="BD35"/>
  </sortState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Variant 1</vt:lpstr>
      <vt:lpstr>Variant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2025-04-20T08:52:06Z</dcterms:modified>
</cp:coreProperties>
</file>