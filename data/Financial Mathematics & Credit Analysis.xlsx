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defaultThemeVersion="166925"/>
  <mc:AlternateContent xmlns:mc="http://schemas.openxmlformats.org/markup-compatibility/2006">
    <mc:Choice Requires="x15">
      <x15ac:absPath xmlns:x15ac="http://schemas.microsoft.com/office/spreadsheetml/2010/11/ac" url="C:\Users\User\Desktop\МКМЕІ\"/>
    </mc:Choice>
  </mc:AlternateContent>
  <xr:revisionPtr revIDLastSave="0" documentId="8_{94FDED75-F532-4A57-85EF-8B73D05C8674}" xr6:coauthVersionLast="47" xr6:coauthVersionMax="47" xr10:uidLastSave="{00000000-0000-0000-0000-000000000000}"/>
  <bookViews>
    <workbookView xWindow="-120" yWindow="-120" windowWidth="20730" windowHeight="11160" firstSheet="30" activeTab="36" xr2:uid="{2515F405-8576-45DF-A095-8A1EF5E41B7A}"/>
  </bookViews>
  <sheets>
    <sheet name="Задача 2" sheetId="1" r:id="rId1"/>
    <sheet name="Задача 4" sheetId="2" r:id="rId2"/>
    <sheet name="Задача 6" sheetId="3" r:id="rId3"/>
    <sheet name="Задача 8" sheetId="4" r:id="rId4"/>
    <sheet name="Задача 10" sheetId="5" r:id="rId5"/>
    <sheet name="Задача 12" sheetId="6" r:id="rId6"/>
    <sheet name="Задача 14" sheetId="7" r:id="rId7"/>
    <sheet name="Задача 16" sheetId="8" r:id="rId8"/>
    <sheet name="Задача 18" sheetId="9" r:id="rId9"/>
    <sheet name="Задача 20" sheetId="10" r:id="rId10"/>
    <sheet name="Завдання 22" sheetId="11" r:id="rId11"/>
    <sheet name="Завдання 24" sheetId="12" r:id="rId12"/>
    <sheet name="Задача 26" sheetId="13" r:id="rId13"/>
    <sheet name="Задача 28" sheetId="14" r:id="rId14"/>
    <sheet name="Задача 30" sheetId="15" r:id="rId15"/>
    <sheet name="Задача 32" sheetId="16" r:id="rId16"/>
    <sheet name="Задача 34" sheetId="17" r:id="rId17"/>
    <sheet name="Задача 36" sheetId="18" r:id="rId18"/>
    <sheet name="Задача 38" sheetId="19" r:id="rId19"/>
    <sheet name="Задача 40" sheetId="20" r:id="rId20"/>
    <sheet name="Задача 42" sheetId="21" r:id="rId21"/>
    <sheet name="Задача 44" sheetId="22" r:id="rId22"/>
    <sheet name="Задача 46" sheetId="23" r:id="rId23"/>
    <sheet name="Задача 48" sheetId="24" r:id="rId24"/>
    <sheet name="Задача 50" sheetId="25" r:id="rId25"/>
    <sheet name="Задача 52" sheetId="26" r:id="rId26"/>
    <sheet name="Задача 54" sheetId="27" r:id="rId27"/>
    <sheet name="Задача 56" sheetId="28" r:id="rId28"/>
    <sheet name="Задача 58" sheetId="29" r:id="rId29"/>
    <sheet name="Задача 60" sheetId="30" r:id="rId30"/>
    <sheet name="Задача 61" sheetId="31" r:id="rId31"/>
    <sheet name="Задача 62" sheetId="32" r:id="rId32"/>
    <sheet name="Задача 63" sheetId="33" r:id="rId33"/>
    <sheet name="Задача 64" sheetId="34" r:id="rId34"/>
    <sheet name="Задача 65" sheetId="35" r:id="rId35"/>
    <sheet name="Задача 66" sheetId="36" r:id="rId36"/>
    <sheet name="Задача 67" sheetId="37" r:id="rId37"/>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12" i="37" l="1"/>
  <c r="B7" i="36"/>
  <c r="E22" i="35"/>
  <c r="E19" i="35"/>
  <c r="E18" i="35"/>
  <c r="E17" i="35"/>
  <c r="E12" i="35"/>
  <c r="E13" i="35" s="1"/>
  <c r="E14" i="35" s="1"/>
  <c r="E15" i="35" s="1"/>
  <c r="E16" i="35" s="1"/>
  <c r="E10" i="35"/>
  <c r="E11" i="35" s="1"/>
  <c r="E9" i="35"/>
  <c r="E8" i="35"/>
  <c r="B12" i="34"/>
  <c r="B11" i="34"/>
  <c r="B10" i="34"/>
  <c r="B12" i="33"/>
  <c r="B11" i="33" s="1"/>
  <c r="B13" i="32"/>
  <c r="B15" i="32"/>
  <c r="B14" i="32"/>
  <c r="C21" i="31"/>
  <c r="C20" i="31"/>
  <c r="C12" i="31"/>
  <c r="C13" i="31" s="1"/>
  <c r="C9" i="31"/>
  <c r="C20" i="30"/>
  <c r="C9" i="30"/>
  <c r="C13" i="30" s="1"/>
  <c r="C16" i="30" s="1"/>
  <c r="B9" i="29"/>
  <c r="B13" i="28"/>
  <c r="B13" i="27"/>
  <c r="B11" i="27"/>
  <c r="B9" i="27"/>
  <c r="B13" i="26"/>
  <c r="B13" i="25"/>
  <c r="B12" i="25"/>
  <c r="B12" i="24"/>
  <c r="B16" i="23"/>
  <c r="C15" i="23"/>
  <c r="B15" i="23"/>
  <c r="A15" i="23"/>
  <c r="C12" i="22"/>
  <c r="C8" i="22"/>
  <c r="C9" i="22"/>
  <c r="C10" i="22"/>
  <c r="C7" i="22"/>
  <c r="B11" i="21"/>
  <c r="B14" i="20"/>
  <c r="B13" i="20"/>
  <c r="B12" i="20"/>
  <c r="B10" i="20"/>
  <c r="B12" i="19"/>
  <c r="B11" i="19"/>
  <c r="C26" i="18"/>
  <c r="B26" i="18"/>
  <c r="A26" i="18"/>
  <c r="C25" i="18"/>
  <c r="A25" i="18"/>
  <c r="C21" i="17"/>
  <c r="C15" i="17"/>
  <c r="B20" i="17"/>
  <c r="B14" i="17"/>
  <c r="B10" i="16"/>
  <c r="D13" i="15"/>
  <c r="D14" i="15"/>
  <c r="B12" i="14"/>
  <c r="B10" i="14"/>
  <c r="C16" i="13"/>
  <c r="B16" i="13"/>
  <c r="B15" i="13"/>
  <c r="B10" i="12"/>
  <c r="B10" i="11"/>
  <c r="B10" i="10"/>
  <c r="B12" i="10" s="1"/>
  <c r="B11" i="9"/>
  <c r="B15" i="8"/>
  <c r="B14" i="8"/>
  <c r="B12" i="8"/>
  <c r="B18" i="8" s="1"/>
  <c r="B11" i="8"/>
  <c r="B17" i="8" s="1"/>
  <c r="B12" i="7"/>
  <c r="B10" i="6"/>
  <c r="B8" i="5"/>
  <c r="B11" i="4"/>
  <c r="B9" i="4"/>
  <c r="B10" i="4"/>
  <c r="B9" i="3"/>
  <c r="B10" i="2"/>
  <c r="B10" i="1"/>
  <c r="E20" i="35" l="1"/>
  <c r="E21" i="35" s="1"/>
  <c r="E23" i="35" s="1"/>
  <c r="E24" i="35" s="1"/>
  <c r="E25" i="35" s="1"/>
  <c r="E26" i="35" s="1"/>
  <c r="B20" i="35" s="1"/>
  <c r="C19" i="30"/>
  <c r="B13" i="10"/>
  <c r="B14" i="10"/>
  <c r="B11" i="10"/>
</calcChain>
</file>

<file path=xl/sharedStrings.xml><?xml version="1.0" encoding="utf-8"?>
<sst xmlns="http://schemas.openxmlformats.org/spreadsheetml/2006/main" count="386" uniqueCount="310">
  <si>
    <t>Задача 2</t>
  </si>
  <si>
    <t>Розрахуйте, через скільки років відбудеться повне погашення позички 
величиною 500 тис. грн., якщо виплати по 100 тис. грн. здійснюються 
наприкінці кожного кварталу, а ставка відсотка - 15% річних.</t>
  </si>
  <si>
    <t>Позичка</t>
  </si>
  <si>
    <t>Виплати</t>
  </si>
  <si>
    <t>Ставка відсотка</t>
  </si>
  <si>
    <t>Термін погашення</t>
  </si>
  <si>
    <t>Використовуємо функцію КПЕР</t>
  </si>
  <si>
    <t>Задача 4</t>
  </si>
  <si>
    <t>Передбачається шляхом щоквартальних внесків в кінці періоду по 35 млн.
грн. протягом 3 років створити фонд розміром 500 млн. грн. Якою 
повинна бути річна процентна ставка?</t>
  </si>
  <si>
    <t xml:space="preserve">Розмір внесків </t>
  </si>
  <si>
    <t>Вартість фонду</t>
  </si>
  <si>
    <t>Термін, років</t>
  </si>
  <si>
    <t>Ставка</t>
  </si>
  <si>
    <t>Використовуємо функцію СТАВКА</t>
  </si>
  <si>
    <t>Якою повинна бути річна процентна ставка із внеску розміром 800 тис.
грн., аби його величина на кінець року склала 1200 тис. грн. (відсотки 
нараховуються щомісячно).</t>
  </si>
  <si>
    <t>Задача 6</t>
  </si>
  <si>
    <t>Величина на кінці року</t>
  </si>
  <si>
    <t>Задача 8</t>
  </si>
  <si>
    <t>Номінальна ставка складає 11%. Розрахувати ефективну процентну 
ставку при таких варіантах нарахування відсотків:
a) піврічному;
b) квартальному;
c) щомісячно.</t>
  </si>
  <si>
    <t>Номінальна ставка</t>
  </si>
  <si>
    <t>Ефективна процентна ставка</t>
  </si>
  <si>
    <t>а) піврічна</t>
  </si>
  <si>
    <t>b) квартальна</t>
  </si>
  <si>
    <t>c) щомісячно</t>
  </si>
  <si>
    <t>Використовуємо функцію ЭФФЕКТ</t>
  </si>
  <si>
    <t>Задача 10</t>
  </si>
  <si>
    <t>.Ефективна ставка складає 15%, відсотки нараховуються щоквартально. 
Розрахувати номінальну ставку.</t>
  </si>
  <si>
    <t>Ефекивна ставка</t>
  </si>
  <si>
    <t>Використовуємо функцію НОМИНАЛ</t>
  </si>
  <si>
    <t>Задача 12</t>
  </si>
  <si>
    <t>Підприємство хімчистки придбало за 26000 грн. пральну машину, що має 
термін експлуатації 15 років, після чого вона оцінюватиметься у 4 500 
грн. Визначити щорічну знижку вартості машини.</t>
  </si>
  <si>
    <t>Вартість пральної машини</t>
  </si>
  <si>
    <t>Вартість після експлуатації</t>
  </si>
  <si>
    <t>Термін експлуатації</t>
  </si>
  <si>
    <t>Щорічна знижка</t>
  </si>
  <si>
    <t>Використовуємо функцію АПЛ</t>
  </si>
  <si>
    <t>Автопарк придбав автобуси на суму 800000 грн. 1 квітня 2018 року. Їхня 
ліквідна вартість складатиме 190000 грн. при 11% амортизації. Перший 
період закінчився 1 вересня 2018 року. Визначити величину амортизації 
за період.</t>
  </si>
  <si>
    <t>Задача 14</t>
  </si>
  <si>
    <t>Вартість автобусів</t>
  </si>
  <si>
    <t>Ліквідна вартість</t>
  </si>
  <si>
    <t>Амортизація</t>
  </si>
  <si>
    <t>Дата придбання</t>
  </si>
  <si>
    <t>Дата закінчення періоду</t>
  </si>
  <si>
    <t>Величина амортизації за період</t>
  </si>
  <si>
    <t>Використовуємо функцію АМОРУМ</t>
  </si>
  <si>
    <t>.Завод по випуску мінеральних добрив придбав нову технологічну лінію, 
вартістю $450 тис. Термін експлуатації технологічної лінії складає 8 
років. В кінці даного терміну ліквідаційна вартість становитиме $60 тис. 
Розрахувати за методом подвійного зменшення залишку на скільки 
знизиться вартість технологічної лінії за перші три роки та за останні три 
роки використання. Порівняти обидві величини з розрахованими за 
методом сталого зменшення залишку (відповідно для перших і останніх 
трьох років експлуатації)</t>
  </si>
  <si>
    <t>Задача 16</t>
  </si>
  <si>
    <t>Вартість технологічної лінії</t>
  </si>
  <si>
    <t>Ліквідаційна вартість</t>
  </si>
  <si>
    <t>Метод подвійного зменшення залишку</t>
  </si>
  <si>
    <t>Перші три роки</t>
  </si>
  <si>
    <t>Останні три роки</t>
  </si>
  <si>
    <t>Метод сталого зменшення залишку</t>
  </si>
  <si>
    <t>Порівняння МПЗ і МСЗ</t>
  </si>
  <si>
    <t>Більше значення за перші 3 роки</t>
  </si>
  <si>
    <t>Більше значення за останні 3 роки</t>
  </si>
  <si>
    <t>Використовуємо функцію ДДОБ, ФУО, ЕСЛИ</t>
  </si>
  <si>
    <t>Задача 18</t>
  </si>
  <si>
    <t>Підприємство лінійно амортизує свої активи, які були придбані 2 роки 
тому за $1 млн. Строк експлуатації їх становить 7 років, при цьому 
ліквідаційна вартість по закінченню строку експлуатації становитиме 
$220 тис. Визначте, яка сума стоїть в балансі даного підприємства у рядку 
поточної вартості основних засобів.</t>
  </si>
  <si>
    <t xml:space="preserve">Вартість, активів </t>
  </si>
  <si>
    <t>Строк експлуатації</t>
  </si>
  <si>
    <t>Сума, яка стоїть в балансі підприємства</t>
  </si>
  <si>
    <t>Використовуємо функцію ФУО</t>
  </si>
  <si>
    <t>Задача 20</t>
  </si>
  <si>
    <t>Припустимо, що Ви тільки одружилися, у Вас ще немає дітей і Ви бажа_x0002_єте придбати двокімнатну квартиру за ціною еквівалентною 16000$. Вам 
надається довгостроковий кредит строком на 30 років під 5% річних; 
перший внесок повинен скласти 5% від загальної вартості квартири. 
Визначити, якою буде величина щомісячної виплати Вашого кредиту при 
наведених обмеженнях. Яким чином змінилась б ця величина, якби Ви 
вже мали одну (безпроцентний кредит), двох (передбачається виплата 
75% кредиту), трьох дітей (передбачається виплата 50% кредиту)?</t>
  </si>
  <si>
    <t>Ціна, квартири</t>
  </si>
  <si>
    <t>Строк кредиту</t>
  </si>
  <si>
    <t>Перший внесок</t>
  </si>
  <si>
    <t>Щомісячна виплата</t>
  </si>
  <si>
    <t>Щомісячна виплата з 1 дитиною</t>
  </si>
  <si>
    <t>Щомісячна виплата з 2 дитинами</t>
  </si>
  <si>
    <t>Щомісячна виплата з 3 дітьми</t>
  </si>
  <si>
    <t>Використовуємо функцію ПЛТ</t>
  </si>
  <si>
    <t>.На рахунок у банку у кінці кожного третього місяця вноситься сума 270 
грн. Термін 11 років, ставка 6% при щоквартальному нарахуванні. 
Визначте поточну вартість грошей.</t>
  </si>
  <si>
    <t>Сума, що вносилась</t>
  </si>
  <si>
    <t>Поточна вартість грошей</t>
  </si>
  <si>
    <t>Використовуємо функцію ПС</t>
  </si>
  <si>
    <t>Задача 22</t>
  </si>
  <si>
    <t>Задача 24</t>
  </si>
  <si>
    <t>На рахунок у банку в кінці кожного місяця вноситься певна сума протягом 3 років та 7 місяців при 11% з щомісячним нарахуванням. Визначити суму щомісячного внеску для отримання по завершенні терміну вкладу 19235,5 грн. на рахунку.</t>
  </si>
  <si>
    <t>Термін, місяців</t>
  </si>
  <si>
    <t>Кінцева сума</t>
  </si>
  <si>
    <t>Сума щомісячного внеску</t>
  </si>
  <si>
    <t>Роки</t>
  </si>
  <si>
    <t>Інвестиції</t>
  </si>
  <si>
    <t>Доходи</t>
  </si>
  <si>
    <t>Підприємство планує відкрити новий філіал. Інвестиції та доходи від Підрахуйте чисту приведену вартість проекту при ставці 12% з 
піврічним нарахуванням відсотків. Визначте доцільність інвестування в 
даний проект при ставці 8% з піврічним нарахуванням відсотків.
функціонування філіалу наведені в таблиці.</t>
  </si>
  <si>
    <t>Ставка 1</t>
  </si>
  <si>
    <t>Ставка 2</t>
  </si>
  <si>
    <t>Вартість проекту за ставкою 12%</t>
  </si>
  <si>
    <t>Доцільність проекту за ставкою 8%</t>
  </si>
  <si>
    <t>Використовуємо функцію ЧПС, ЕСЛИ</t>
  </si>
  <si>
    <t>Задача 26</t>
  </si>
  <si>
    <t>Задача 28</t>
  </si>
  <si>
    <t>Ваш друг взяв споживчий кредит на суму 5000 грн. терміном на 3 роки та
повинен протягом цього терміну щомісячно виплачувати банку 180 грн. 
Якою є процентна ставка на даний споживчий кредит? Чи порадите Ви 
своєму другові рефінансуватись в іншому банку, якщо середні кредитні 
ставки для фізичних осіб на ринку 23%?</t>
  </si>
  <si>
    <t>Сума кредиту</t>
  </si>
  <si>
    <t>Термін</t>
  </si>
  <si>
    <t>Щомісячний внесок</t>
  </si>
  <si>
    <t>Процентна ставка на кредит</t>
  </si>
  <si>
    <t>Середня кредитна ставка</t>
  </si>
  <si>
    <t>Чи потрібно рефінсовуватись в іншому банку?</t>
  </si>
  <si>
    <t>Використовуємо функцію СТАВКА, ЕСЛИ</t>
  </si>
  <si>
    <t>Задача 30</t>
  </si>
  <si>
    <t>.Кореспондент ділового щотижневика попросив Вас проаналізувати 
рентабельність діяльності будівельних компаній на ринку міста Києва. З 
ряду проведених інтерв’ю кореспондент виявив, що проект будівництва 
складає приблизно 5 років: перший – підготовка будівельного 
майданчику та початок будівництва – потребує інвестиції обсягом $25 
млн., другий – початок будівництва та частковий продаж квартир –
потребує додатково $15 млн. інвестицій, третій – активний продаж 
квартир і завершення будівництва – дає прибуток компанії у розмірі $10 
млн., подальший продаж квартир протягом 2 років приносить будівельній 
компанії відповідно $90 млн. і $25 млн. Визначити сьогоднішню вартість 
майбутніх доходів компанії та внутрішню ставку рентабельності 
будівельних проектів.</t>
  </si>
  <si>
    <t>Термін, роки</t>
  </si>
  <si>
    <t>Потік грошей</t>
  </si>
  <si>
    <t>Сьогоднішня вартість майбутніх доходів</t>
  </si>
  <si>
    <t xml:space="preserve">Внутрішня ставка рентабельності </t>
  </si>
  <si>
    <t>Використовуємо функції ЧПС, ВСД</t>
  </si>
  <si>
    <t>Задача 32</t>
  </si>
  <si>
    <t>.Ви розглядаєте можливість купівлі житла у кредит. Сума, яку Ви можете 
сплачувати щомісяця становить $400. Банк пропонує кредити на умовах 
12% річних терміном до 25 років. Яку максимальну суму Ви можете 
взяти для придбання житла?</t>
  </si>
  <si>
    <t>Щомісячна оплата</t>
  </si>
  <si>
    <t>Максимальна сума</t>
  </si>
  <si>
    <t>Задача 34</t>
  </si>
  <si>
    <t>Ви плануєте отримати дохідність на власні кошти 18% річних. Банки 
пропонують депозити під 14%. На ринку обертаються облігації двох
компаній, на яких Ви зупинили свій вибір. Умови облігаційної позики 
першої компанії: дата купівлі 02.12.10, дата погашення 01.06.11 за 
номіналом 1000 грн., купонна ставка – 9%, купонні виплати 
здійснюються щоквартально. Умови облігаційної позики другої компанії: 
дата купівлі 02.12.10, дата погашення 01.01.11 за номіналом 2000 грн., 
купонна ставка – 7%, купонні виплати здійснюються кожні півроку. 
Скільки повинні коштувати ці облігації на ринку, щоб забезпечити Вам дохідність на рівні 18%? Чи придбаєте ви облігації першої компанії за 899 
грн., а другої за 848 грн.?</t>
  </si>
  <si>
    <t>Бажаний дохід</t>
  </si>
  <si>
    <t>Депозити</t>
  </si>
  <si>
    <t>Дата купівлі</t>
  </si>
  <si>
    <t>Дата погашення</t>
  </si>
  <si>
    <t>Номінал</t>
  </si>
  <si>
    <t>Купонна ставка</t>
  </si>
  <si>
    <t>Ціна для бажаного прибутку</t>
  </si>
  <si>
    <t xml:space="preserve">Купівля при ціні векселю </t>
  </si>
  <si>
    <t>Використовуємо функцію ЕСЛИ, ДОХОД,ЦЕНА</t>
  </si>
  <si>
    <t>Дві українські компанії здійснили випуск облігацій: перша – 4 квітня 
2008 року, друга – 19 травня 2008 року, кожна номіналом 1000 грн. і 
терміном обігу 24 місяці. Купонна ставка за облігаціями першої компанії 
– 17% річних, купони виплачуються кожні півроку, другої – 15% річних і 
виплачуються щоквартально. Крім того, перша оферта (виплата) за 
облігаціями першої компанії буде здійснена 4 квітня 2009, а другої – 19 
листопада 2008. 3 червня 2008 року Ви розглядаєте можливість 
інвестування коштів. На 3 червня 2008 року вартість облігації першої 
компанії становить 865 грн., другої – 858 грн. Куди б Ви рекомендували 
інвестувати кошти, щоб отримати максимальну дохідність, знаючи, що 
депозитні вклади приносять 18,5% річних, а ризики інвестування 
однакові в усі фінансові інструменти?</t>
  </si>
  <si>
    <t>Депозити банку</t>
  </si>
  <si>
    <t>Дата купівлі (1 компанія)</t>
  </si>
  <si>
    <t>Номінал (1)</t>
  </si>
  <si>
    <t>Термін обігу(1)</t>
  </si>
  <si>
    <t>Перша виплата</t>
  </si>
  <si>
    <t>Дата розглядання</t>
  </si>
  <si>
    <t>Ціна</t>
  </si>
  <si>
    <t>Дата купівлі (2 компанія)</t>
  </si>
  <si>
    <t>Номінал(2)</t>
  </si>
  <si>
    <t>Термін обігу(2)</t>
  </si>
  <si>
    <t>Доцільність інвестування</t>
  </si>
  <si>
    <t>Облігації компанії №1</t>
  </si>
  <si>
    <t>Депозитний вклад</t>
  </si>
  <si>
    <t>Облігації компанії №2</t>
  </si>
  <si>
    <t>Використовуємо функцію ЕСЛИ, МАКС, ДОХОДПЕРВНЕРЕГ</t>
  </si>
  <si>
    <t>Задача 36</t>
  </si>
  <si>
    <t>Задача 38</t>
  </si>
  <si>
    <t>.Ви плануєте взяти кредит на суму $50 тис терміном на 20 років під 12% 
річних. Яку суму Вам необхідно буде сплачувати щомісяця? За скільки 
часу Ви зможете погасити даний кредит, якщо через 5 років внесете 
отриману у спадок суму розміром $8 тис</t>
  </si>
  <si>
    <t>Додатковий внесок</t>
  </si>
  <si>
    <t>Розмір щомісячних виплат</t>
  </si>
  <si>
    <t xml:space="preserve">Термін погашення </t>
  </si>
  <si>
    <t>Використовуємо функцію ПЛТ, КПЕР</t>
  </si>
  <si>
    <t>Задача 40</t>
  </si>
  <si>
    <t>30-річний платник податків вирішив щомісячно вносити 170 грн. в 
індивідуальний пенсійний фонд при нормі відсотку за рік 4.5%. Підраху_x0002_вати суму внеску на момент його виходу на пенсію. Як вплине на цю 
суму зміна відсотку до величини 4%, 5%, і 11%?</t>
  </si>
  <si>
    <t>Термін років</t>
  </si>
  <si>
    <t>Сума при виході на пенсію</t>
  </si>
  <si>
    <t>Зміна відсотку</t>
  </si>
  <si>
    <t>Використовуємо функцію БС</t>
  </si>
  <si>
    <t>Ваша дочка планує розпочати навчання у Оксфордському університеті 
через 7 років і плата за навчання складає 15000$ на початку кожного року 
протягом чотирьох років. Банки забезпечують 9% річних з щомісячним 
нарахуванням. Скільки ви повинні відкладати щомісячно, щоб до початку 
навчання накопичити необхідну суму?</t>
  </si>
  <si>
    <t>Задача 42</t>
  </si>
  <si>
    <t>Плата за навчання</t>
  </si>
  <si>
    <t xml:space="preserve">Термін до початку навчання </t>
  </si>
  <si>
    <t>Щомісячні внески</t>
  </si>
  <si>
    <t>Задача 44</t>
  </si>
  <si>
    <t>.Ви вирішили придбати новий автомобіль та зупинили свій вибір на 4 
фірмах: Volkswagen (19700$), Opel (18981$), Renault (20035$), Peugeot
(19450$). Кожний з дилерів пропонує виплатити відразу 35% вартості, а 
залишок погашати як щомісячні внески в кінці місяця під 4,2% річних (з 
щомісячним нарахуванням) протягом 5 років. Максимальний щомісячний 
внесок, який Ви можете собі дозволити 216$. Яка з машин підійде Вам за 
ціною? Якою повинна бути відсоткова ставка, щоб Ви змогли дозволити 
собі купити Renault?</t>
  </si>
  <si>
    <t>Volkswagen</t>
  </si>
  <si>
    <t>Opel</t>
  </si>
  <si>
    <t>Renault</t>
  </si>
  <si>
    <t>Peugeot</t>
  </si>
  <si>
    <t xml:space="preserve">Термін </t>
  </si>
  <si>
    <t>Доступний бюджет</t>
  </si>
  <si>
    <t>Доступність автомобіля</t>
  </si>
  <si>
    <t>Ставка для доступності купівлі Renault</t>
  </si>
  <si>
    <t>Використовуємо функцію ПЛТ, СТАВКА</t>
  </si>
  <si>
    <t>Задача 46</t>
  </si>
  <si>
    <t>.Ви розглядаєте можливість відкриття депозитного рахунку в одному з 
надійних українських банків. Ви маєте 1500 американських доларів., які бажаєте покласти до банку на 18 місяців. У своєму виборі ви зупинились 
на трьох банках, які пропонують наступні умови депозитних вкладів: 
перший – 10,34% річних із щоквартальною капіталізацією відсотків та 
виплатою в кінці терміну; другий – 11,0% річних без капіталізації 
відсотків та виплатою в кінці строку; третій – 10,8% річних з щомісячною 
виплатою відсотків, які Ви можете не знімати з платіжної картки 
(рефінансувати) і отримувати на ці кошти 5% річних. Визначити, в який 
банк краще вкласти гроші? Перший банк стверджує, що ефективна ставка 
за його депозитними вкладами 11,03%. Чи слід довіряти банку
?</t>
  </si>
  <si>
    <t>Внесок</t>
  </si>
  <si>
    <t>Ставки в банках</t>
  </si>
  <si>
    <t>Рефінсування банку №3</t>
  </si>
  <si>
    <t>Кінцева сума грошей</t>
  </si>
  <si>
    <t>Банк №1</t>
  </si>
  <si>
    <t>Банк №2</t>
  </si>
  <si>
    <t>Банк №3</t>
  </si>
  <si>
    <t>Довіра банку №1, щодо ставки 11,03%</t>
  </si>
  <si>
    <t>Використовуємо функцію ЕСЛИ, БС, ПРПЛТ,ЭФФЕКТ</t>
  </si>
  <si>
    <t>Задача 48</t>
  </si>
  <si>
    <t>На ринку очікують появу облігацій з датою угоди - 3.11.06 та з датою 
набуття чинності 3.11.08. Ставка по купонах дорівнюватиме 60%, а дохід 
у рік складатиме 70%. Їхня ціна при погашенні буде еквівалентною 1000$
при щорічних виплатах. Якою буде початкова ціна облігації?</t>
  </si>
  <si>
    <t>Дата угоди</t>
  </si>
  <si>
    <t>Дата набуття чинності</t>
  </si>
  <si>
    <t>Ставка по купонах</t>
  </si>
  <si>
    <t xml:space="preserve">Дохід </t>
  </si>
  <si>
    <t xml:space="preserve">Вартість </t>
  </si>
  <si>
    <t>Початкова ціна</t>
  </si>
  <si>
    <t>Використовуємо функцію ЦЕНА</t>
  </si>
  <si>
    <t>Задача 60</t>
  </si>
  <si>
    <t>Облігації випущені на наступних умовах: дата випуску 3.06.06 р., термін 
погашення - 3.10.06р., норма знижки - 5,7%, сума інвестицій в облігації -
1000000 грн., сума погашення 1 014 500грн. Визначити загальну суму, що 
буде накопичена в термін вступу облігацій у дію, та знайти відсоткову 
ставку для повністю інвестованих цінних паперів.</t>
  </si>
  <si>
    <t>Задача 50</t>
  </si>
  <si>
    <t>Дата випуску</t>
  </si>
  <si>
    <t>Норма знижки</t>
  </si>
  <si>
    <t>Сума інвестицій в облігації</t>
  </si>
  <si>
    <t>Сума погашення</t>
  </si>
  <si>
    <t>Загальна сума</t>
  </si>
  <si>
    <t>Відсоткова ставка</t>
  </si>
  <si>
    <t>Використовуємо функцію ПОЛУЧЕНО, ИНОРМА</t>
  </si>
  <si>
    <t>Задача 52</t>
  </si>
  <si>
    <t>Підприємство випустило облігації на таких умовах: дата угоди - 16 березня 2006 р., дата вступу в дію - 27 травня 2006 р., дата останньої 
піврічної виплати - 25 грудня 2005 р., купон склав 4.25%, ціна акції 100 
грн., вартість її при погашенні 102 грн. Обчислити дохід від облігації з 
нерегулярним останнім періодом.</t>
  </si>
  <si>
    <t>Дата вступу в дію</t>
  </si>
  <si>
    <t>Дата останньої піврічної виплати</t>
  </si>
  <si>
    <t>Купон</t>
  </si>
  <si>
    <t>Ціна акції</t>
  </si>
  <si>
    <t>Вартість при її погашенні</t>
  </si>
  <si>
    <t>Дохід від облігації</t>
  </si>
  <si>
    <t>Використовуємо функцію ДОХОДПОСЛНЕРЕГ</t>
  </si>
  <si>
    <t>Задача 54</t>
  </si>
  <si>
    <t>Підприємство вносить 100000 грн. до банку під 11% річних. Протягом 
року банк змінює відсоткову ставку спочатку до 9,5% (через 6 місяців 
після внесення вкладу), а потім до 6% (ще через 3 місяці). Скільки 
грошей буде на рахунку підприємства через рік?</t>
  </si>
  <si>
    <t>Сума грошей через півроку</t>
  </si>
  <si>
    <t>Нова ставка</t>
  </si>
  <si>
    <t>Сума після нової ставки</t>
  </si>
  <si>
    <t>Сума через рік</t>
  </si>
  <si>
    <t>Використовуємо функцію БЗРАСПИС</t>
  </si>
  <si>
    <t>Задача 56</t>
  </si>
  <si>
    <t>.Розглядається інвестиція, при якій фірма виплачує 10000 грн. через рік та 
отримує річні доходи у розмірі 3000 грн., 4400 грн. та 6500 грн. у 
наступні три роки. Припускаючи, що облікова ставка складає 12%, 
обчислити чистий поточний обсяг інвестиції.</t>
  </si>
  <si>
    <t>Виплата</t>
  </si>
  <si>
    <t>Дохід у 1 рік</t>
  </si>
  <si>
    <t>Дохід у 2 рік</t>
  </si>
  <si>
    <t>Дохід у 3 рік</t>
  </si>
  <si>
    <t>Облікова ставка</t>
  </si>
  <si>
    <t>Чистий поточний обсяг інвестиції</t>
  </si>
  <si>
    <t>Використовуємо функцію ЧПС</t>
  </si>
  <si>
    <t>Задача 58</t>
  </si>
  <si>
    <t>Якою має бути річна процентна ставка за вкладом розміром 800 тис. грн., 
якщо його величина до кінця року склала 1200 тис. грн., а відсотки 
нараховувалися щомісяця.</t>
  </si>
  <si>
    <t>Вклад</t>
  </si>
  <si>
    <t>Величина вкладу на кінці року</t>
  </si>
  <si>
    <t>Буратіно, продавши свій буквар, заробив 500 золотих. Половину з них він 
закопав у землю, посадивши грошове дерево, яке дає прибуток у 12% 
річних. За решту грошей він купив золотий ключик, який зможе продати 
через 3 роки за 450 золотих. Згодом всі гроші він може інвестувати у 
виробництво дерев'яних носів з гарантованим прибутком у 15% річних, 
або гроші, виручені за ключик, посадити поруч з іншими. Визначить, 
який варіант вкладення грошей буде вигіднішим для Буратіно через 5 
років.</t>
  </si>
  <si>
    <t>Грошове дерево</t>
  </si>
  <si>
    <t>Вкладена сума</t>
  </si>
  <si>
    <t>Дохід</t>
  </si>
  <si>
    <t>Золотий ключик</t>
  </si>
  <si>
    <t>Остаточні інвестиції</t>
  </si>
  <si>
    <t>Виробництво носів</t>
  </si>
  <si>
    <t>Прибуток</t>
  </si>
  <si>
    <t>Який варіант для вкладання вигідніший?</t>
  </si>
  <si>
    <t>Використовуємо функцію БС, ЕСЛИ</t>
  </si>
  <si>
    <t>Задача 61</t>
  </si>
  <si>
    <t>У трьох братів було по 11 000 грн. Один брат поклав гроші у банк, 
отримавши у кінці року прибуток в розмірі 1200 грн. Інший купив на 
початку року облігації з квартальною виплатою 8% річних, і продавши її 
в кінці року. Третій брат заснував свою фірму, заробивши 3, 4, 3.5, 4 тис. 
грн. у кожному з кварталів. В кінці року фірма була продана за 2,5 тис. 
грн. Визначити дохідність операцій всіх братів.</t>
  </si>
  <si>
    <t>Перший брат</t>
  </si>
  <si>
    <t>Початкова сума</t>
  </si>
  <si>
    <t>Дохідність</t>
  </si>
  <si>
    <t>Другий брат</t>
  </si>
  <si>
    <t>Третій брат</t>
  </si>
  <si>
    <t>Прибуток за 1 квартал</t>
  </si>
  <si>
    <t xml:space="preserve">Прибуток за 2 квартал </t>
  </si>
  <si>
    <t>Прибуток за 3 квартал</t>
  </si>
  <si>
    <t>Прибуток за 4 квартал</t>
  </si>
  <si>
    <t>Продаж фірми</t>
  </si>
  <si>
    <t>Загальний прибуток</t>
  </si>
  <si>
    <t>Використовуємо функцію БС, СТАВКА</t>
  </si>
  <si>
    <t>Задача 62</t>
  </si>
  <si>
    <t>Одна людина працює 3 місяці, заощаджуючи по 6040 грн. при ставці відсотку за депозитом 12%. Після цього, вона відпочиває 1 місяць, 
витративши половину суми, що була на початок відпочинку. По 
завершенню відпочинку людина закриває депозит та бере кредит, щоб 
оплатити купівлю квартири вартістю 350 000 грн. Скільки місяців буде 
погашати кредит людина по ставці 17% річних?</t>
  </si>
  <si>
    <t xml:space="preserve">Заощадження </t>
  </si>
  <si>
    <t>Робота</t>
  </si>
  <si>
    <t>Відпочинок</t>
  </si>
  <si>
    <t>Вартість квартири</t>
  </si>
  <si>
    <t>Витрати на відпочинок</t>
  </si>
  <si>
    <t>Залишок по депозиту</t>
  </si>
  <si>
    <t>Кількість місяців для погашення квартири</t>
  </si>
  <si>
    <t>Використовуємо функцію БС, ОКРВВЕРХ, КПЕР</t>
  </si>
  <si>
    <t>Задача 63</t>
  </si>
  <si>
    <t>Яку суму слід відкладати кожного місяця протягом 3 років, щоб потім 
витрачати щомісячно 720 грн. без додаткових доходів протягом 4 років, 
якщо ставка банка по депозитах 11% річних?</t>
  </si>
  <si>
    <t xml:space="preserve">Витрати </t>
  </si>
  <si>
    <t>Термін витрат</t>
  </si>
  <si>
    <t>Ставка банка</t>
  </si>
  <si>
    <t>Суму, яку необхідно вкладати</t>
  </si>
  <si>
    <t>Загальна сума витрат</t>
  </si>
  <si>
    <t>Використовуємо функцію ПЛТ, ПС</t>
  </si>
  <si>
    <t>Задача 64</t>
  </si>
  <si>
    <t>Бізнесмен взяв у банку кредит на суму 2000 грн. терміном на 12 місяців за 
умови щомісячного погашення позики і місячної ставки кредиту 6%. 
Визначити величину щомісячних виплат і її складові в кінці першого 
місяця.</t>
  </si>
  <si>
    <t>Щомісячні виплати</t>
  </si>
  <si>
    <t>Складові виплати за сумою</t>
  </si>
  <si>
    <t>Складові виплати за %</t>
  </si>
  <si>
    <t>Використовуємо функцію ПЛТ, ОСПЛТ, ПРПЛТ</t>
  </si>
  <si>
    <t>Задача 65</t>
  </si>
  <si>
    <t xml:space="preserve">На початку року особа відкрила рахунок на суму 3645 грн. Кожного 
місяця банк нараховує на залишок на рахунку 18% річних (якщо сума 
від’ємна, то знімає 36% річних). Кожного парного місяця особа додатково 
вносила на рахунок 186 грн., а кожного непарного – знімала 310 грн. 
Через дев’ять повних місяців банк змінив ставку по рахунку до 15% 
річних (30% за від’ємним сальдо). В кінці року особі виплатили 
додаткову премію на рахунок 1076 грн. У березні наступного року він 
сплатив за рахунку 816 грн. Визначити, яка сума буде на рахунку через 19 
місяців після відкриття рахунку. </t>
  </si>
  <si>
    <t>Сума рахунку</t>
  </si>
  <si>
    <t>Ставка при додатному залишку</t>
  </si>
  <si>
    <t>Ставка при від'ємному залишку</t>
  </si>
  <si>
    <t>Вклад парного місяця</t>
  </si>
  <si>
    <t>Вклад непарного місяця</t>
  </si>
  <si>
    <t>Термін зміни ставки, місяців</t>
  </si>
  <si>
    <t>Нова ставка при додатному залишку</t>
  </si>
  <si>
    <t>Нова ставка при від'ємному залишку</t>
  </si>
  <si>
    <t>Термін додаткової премії, місяців</t>
  </si>
  <si>
    <t>Додаткова премія</t>
  </si>
  <si>
    <t>Термін сплати, місяців</t>
  </si>
  <si>
    <t>Сплата за рахунок</t>
  </si>
  <si>
    <t>Сума на рахунку через 19 місяців</t>
  </si>
  <si>
    <t>Використовуємо функції БС, ЕСЛИ, ОСТАТ</t>
  </si>
  <si>
    <t>Номер місяця</t>
  </si>
  <si>
    <t>Сума на рахунку</t>
  </si>
  <si>
    <t>Оціночна вартість компанії "ECO-POCKET"</t>
  </si>
  <si>
    <t>Ціна всіх заводів з переробки листя</t>
  </si>
  <si>
    <t>Ціна залишку на складах</t>
  </si>
  <si>
    <t>Транспорт</t>
  </si>
  <si>
    <t>Магазини "ECO-POCKET"</t>
  </si>
  <si>
    <t>Оціночна вартість фірми</t>
  </si>
  <si>
    <t>Ціна обладнання з заводів, якому немає аналогів</t>
  </si>
  <si>
    <t>Вартість інших фірм на ринку</t>
  </si>
  <si>
    <t>ECO-POCKET,MONREAL</t>
  </si>
  <si>
    <t>ECO-POCKET, QUEBEC</t>
  </si>
  <si>
    <t>Задача 67</t>
  </si>
  <si>
    <t>Дата набуття</t>
  </si>
  <si>
    <t>Кінцева ціна</t>
  </si>
  <si>
    <t>Початкова вартість</t>
  </si>
  <si>
    <t>Використовуємо функції ЦЕНА</t>
  </si>
  <si>
    <t>Компанія "WalkMe" вирішила випускати облігації з датою випуску 08.07.2021 та з датою набуття чинності 05.11.2021, ставка по купонах дорівнюватиме 50%, а дохід складатиме 80%. Кінцева ціна буде 2000$ при щоквартальних виплатах. Якою буде початкова ціна облігації?</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</si>
</sst>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8" formatCode="#,##0.00\ &quot;₽&quot;;[Red]\-#,##0.00\ &quot;₽&quot;"/>
    <numFmt numFmtId="44" formatCode="_-* #,##0.00\ &quot;₽&quot;_-;\-* #,##0.00\ &quot;₽&quot;_-;_-* &quot;-&quot;??\ &quot;₽&quot;_-;_-@_-"/>
    <numFmt numFmtId="164" formatCode="#,##0.00\ &quot;₴&quot;"/>
    <numFmt numFmtId="165" formatCode="0.0"/>
    <numFmt numFmtId="166" formatCode="0.0%"/>
    <numFmt numFmtId="167" formatCode="#,##0.00\ [$₴-422]"/>
    <numFmt numFmtId="168" formatCode="#,##0.00\ [$₴-422];[Red]\-#,##0.00\ [$₴-422]"/>
    <numFmt numFmtId="169" formatCode="[$$-C09]#,##0.00"/>
    <numFmt numFmtId="170" formatCode="[$$-409]#,##0.00"/>
    <numFmt numFmtId="171" formatCode="[$$-C09]#,##0.00;[Red]\-[$$-C09]#,##0.00"/>
    <numFmt numFmtId="172" formatCode="#,##0.00&quot;₴&quot;"/>
  </numFmts>
  <fonts count="9" x14ac:knownFonts="1">
    <font>
      <sz val="11"/>
      <color theme="1"/>
      <name val="Calibri"/>
      <family val="2"/>
      <charset val="204"/>
      <scheme val="minor"/>
    </font>
    <font>
      <sz val="11"/>
      <color theme="1"/>
      <name val="Calibri"/>
      <family val="2"/>
      <charset val="204"/>
      <scheme val="minor"/>
    </font>
    <font>
      <sz val="11"/>
      <color rgb="FF006100"/>
      <name val="Calibri"/>
      <family val="2"/>
      <charset val="204"/>
      <scheme val="minor"/>
    </font>
    <font>
      <b/>
      <sz val="11"/>
      <color theme="1"/>
      <name val="Calibri"/>
      <family val="2"/>
      <charset val="204"/>
      <scheme val="minor"/>
    </font>
    <font>
      <sz val="11"/>
      <color theme="1"/>
      <name val="Times New Roman"/>
      <family val="1"/>
      <charset val="204"/>
    </font>
    <font>
      <sz val="12"/>
      <color theme="1"/>
      <name val="Times New Roman"/>
      <family val="1"/>
      <charset val="204"/>
    </font>
    <font>
      <b/>
      <sz val="12"/>
      <color theme="1"/>
      <name val="Times New Roman"/>
      <family val="1"/>
      <charset val="204"/>
    </font>
    <font>
      <b/>
      <sz val="11"/>
      <color theme="1"/>
      <name val="Times New Roman"/>
      <family val="1"/>
      <charset val="204"/>
    </font>
    <font>
      <sz val="12"/>
      <color rgb="FF006100"/>
      <name val="Times New Roman"/>
      <family val="1"/>
      <charset val="204"/>
    </font>
  </fonts>
  <fills count="11">
    <fill>
      <patternFill patternType="none"/>
    </fill>
    <fill>
      <patternFill patternType="gray125"/>
    </fill>
    <fill>
      <patternFill patternType="solid">
        <fgColor rgb="FFC6EFCE"/>
      </patternFill>
    </fill>
    <fill>
      <patternFill patternType="solid">
        <fgColor theme="5" tint="0.59999389629810485"/>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rgb="FFEF853D"/>
        <bgColor indexed="64"/>
      </patternFill>
    </fill>
    <fill>
      <patternFill patternType="solid">
        <fgColor rgb="FFFF0000"/>
        <bgColor indexed="64"/>
      </patternFill>
    </fill>
    <fill>
      <patternFill patternType="solid">
        <fgColor rgb="FF92D050"/>
        <bgColor indexed="64"/>
      </patternFill>
    </fill>
  </fills>
  <borders count="14">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9">
    <xf numFmtId="0" fontId="0" fillId="0" borderId="0"/>
    <xf numFmtId="44" fontId="1" fillId="0" borderId="0" applyFont="0" applyFill="0" applyBorder="0" applyAlignment="0" applyProtection="0"/>
    <xf numFmtId="9" fontId="1" fillId="0" borderId="0" applyFont="0" applyFill="0" applyBorder="0" applyAlignment="0" applyProtection="0"/>
    <xf numFmtId="0" fontId="2" fillId="2" borderId="0" applyNumberFormat="0" applyBorder="0" applyAlignment="0" applyProtection="0"/>
    <xf numFmtId="0" fontId="1" fillId="3" borderId="0" applyNumberFormat="0" applyBorder="0" applyAlignment="0" applyProtection="0"/>
    <xf numFmtId="0" fontId="1" fillId="4" borderId="0" applyNumberFormat="0" applyBorder="0" applyAlignment="0" applyProtection="0"/>
    <xf numFmtId="0" fontId="1" fillId="5" borderId="0" applyNumberFormat="0" applyBorder="0" applyAlignment="0" applyProtection="0"/>
    <xf numFmtId="0" fontId="1" fillId="6" borderId="0" applyNumberFormat="0" applyBorder="0" applyAlignment="0" applyProtection="0"/>
    <xf numFmtId="0" fontId="1" fillId="7" borderId="0" applyNumberFormat="0" applyBorder="0" applyAlignment="0" applyProtection="0"/>
  </cellStyleXfs>
  <cellXfs count="127">
    <xf numFmtId="0" fontId="0" fillId="0" borderId="0" xfId="0"/>
    <xf numFmtId="0" fontId="5" fillId="5" borderId="1" xfId="6" applyFont="1" applyBorder="1"/>
    <xf numFmtId="164" fontId="5" fillId="5" borderId="1" xfId="6" applyNumberFormat="1" applyFont="1" applyBorder="1"/>
    <xf numFmtId="9" fontId="5" fillId="5" borderId="1" xfId="6" applyNumberFormat="1" applyFont="1" applyBorder="1"/>
    <xf numFmtId="165" fontId="5" fillId="5" borderId="1" xfId="6" applyNumberFormat="1" applyFont="1" applyBorder="1"/>
    <xf numFmtId="0" fontId="5" fillId="4" borderId="1" xfId="5" applyFont="1" applyBorder="1"/>
    <xf numFmtId="164" fontId="5" fillId="4" borderId="1" xfId="5" applyNumberFormat="1" applyFont="1" applyBorder="1"/>
    <xf numFmtId="9" fontId="5" fillId="4" borderId="1" xfId="5" applyNumberFormat="1" applyFont="1" applyBorder="1"/>
    <xf numFmtId="1" fontId="5" fillId="4" borderId="1" xfId="5" applyNumberFormat="1" applyFont="1" applyBorder="1"/>
    <xf numFmtId="10" fontId="5" fillId="4" borderId="1" xfId="5" applyNumberFormat="1" applyFont="1" applyBorder="1"/>
    <xf numFmtId="0" fontId="5" fillId="4" borderId="1" xfId="5" applyFont="1" applyBorder="1" applyAlignment="1">
      <alignment wrapText="1"/>
    </xf>
    <xf numFmtId="9" fontId="5" fillId="4" borderId="1" xfId="2" applyFont="1" applyFill="1" applyBorder="1"/>
    <xf numFmtId="0" fontId="5" fillId="4" borderId="1" xfId="5" applyFont="1" applyBorder="1" applyAlignment="1">
      <alignment horizontal="left"/>
    </xf>
    <xf numFmtId="0" fontId="5" fillId="4" borderId="1" xfId="5" applyFont="1" applyBorder="1" applyAlignment="1"/>
    <xf numFmtId="10" fontId="5" fillId="4" borderId="1" xfId="2" applyNumberFormat="1" applyFont="1" applyFill="1" applyBorder="1" applyAlignment="1"/>
    <xf numFmtId="167" fontId="5" fillId="4" borderId="1" xfId="2" applyNumberFormat="1" applyFont="1" applyFill="1" applyBorder="1"/>
    <xf numFmtId="167" fontId="5" fillId="4" borderId="1" xfId="2" applyNumberFormat="1" applyFont="1" applyFill="1" applyBorder="1" applyAlignment="1"/>
    <xf numFmtId="1" fontId="5" fillId="4" borderId="1" xfId="2" applyNumberFormat="1" applyFont="1" applyFill="1" applyBorder="1"/>
    <xf numFmtId="168" fontId="5" fillId="4" borderId="1" xfId="5" applyNumberFormat="1" applyFont="1" applyBorder="1"/>
    <xf numFmtId="167" fontId="5" fillId="4" borderId="1" xfId="1" applyNumberFormat="1" applyFont="1" applyFill="1" applyBorder="1"/>
    <xf numFmtId="9" fontId="5" fillId="4" borderId="1" xfId="2" applyFont="1" applyFill="1" applyBorder="1" applyAlignment="1"/>
    <xf numFmtId="14" fontId="5" fillId="4" borderId="1" xfId="5" applyNumberFormat="1" applyFont="1" applyBorder="1"/>
    <xf numFmtId="14" fontId="5" fillId="4" borderId="1" xfId="2" applyNumberFormat="1" applyFont="1" applyFill="1" applyBorder="1" applyAlignment="1"/>
    <xf numFmtId="169" fontId="5" fillId="4" borderId="1" xfId="2" applyNumberFormat="1" applyFont="1" applyFill="1" applyBorder="1"/>
    <xf numFmtId="170" fontId="5" fillId="4" borderId="1" xfId="2" applyNumberFormat="1" applyFont="1" applyFill="1" applyBorder="1"/>
    <xf numFmtId="170" fontId="5" fillId="4" borderId="1" xfId="1" applyNumberFormat="1" applyFont="1" applyFill="1" applyBorder="1"/>
    <xf numFmtId="1" fontId="5" fillId="4" borderId="1" xfId="2" applyNumberFormat="1" applyFont="1" applyFill="1" applyBorder="1" applyAlignment="1"/>
    <xf numFmtId="171" fontId="5" fillId="4" borderId="1" xfId="5" applyNumberFormat="1" applyFont="1" applyBorder="1"/>
    <xf numFmtId="171" fontId="5" fillId="4" borderId="1" xfId="2" applyNumberFormat="1" applyFont="1" applyFill="1" applyBorder="1" applyAlignment="1"/>
    <xf numFmtId="0" fontId="5" fillId="4" borderId="1" xfId="2" applyNumberFormat="1" applyFont="1" applyFill="1" applyBorder="1"/>
    <xf numFmtId="170" fontId="5" fillId="4" borderId="1" xfId="2" applyNumberFormat="1" applyFont="1" applyFill="1" applyBorder="1" applyAlignment="1">
      <alignment horizontal="center" vertical="center"/>
    </xf>
    <xf numFmtId="0" fontId="6" fillId="4" borderId="1" xfId="5" applyFont="1" applyBorder="1" applyAlignment="1"/>
    <xf numFmtId="170" fontId="6" fillId="4" borderId="1" xfId="2" applyNumberFormat="1" applyFont="1" applyFill="1" applyBorder="1"/>
    <xf numFmtId="9" fontId="5" fillId="4" borderId="1" xfId="2" applyFont="1" applyFill="1" applyBorder="1" applyAlignment="1">
      <alignment wrapText="1"/>
    </xf>
    <xf numFmtId="0" fontId="5" fillId="7" borderId="1" xfId="8" applyFont="1" applyBorder="1" applyAlignment="1">
      <alignment horizontal="center" wrapText="1"/>
    </xf>
    <xf numFmtId="9" fontId="5" fillId="4" borderId="1" xfId="2" applyNumberFormat="1" applyFont="1" applyFill="1" applyBorder="1" applyAlignment="1">
      <alignment wrapText="1"/>
    </xf>
    <xf numFmtId="1" fontId="5" fillId="4" borderId="1" xfId="2" applyNumberFormat="1" applyFont="1" applyFill="1" applyBorder="1" applyAlignment="1">
      <alignment wrapText="1"/>
    </xf>
    <xf numFmtId="0" fontId="5" fillId="4" borderId="2" xfId="5" applyFont="1" applyBorder="1" applyAlignment="1">
      <alignment wrapText="1"/>
    </xf>
    <xf numFmtId="9" fontId="5" fillId="4" borderId="1" xfId="2" applyFont="1" applyFill="1" applyBorder="1" applyAlignment="1">
      <alignment horizontal="right"/>
    </xf>
    <xf numFmtId="167" fontId="5" fillId="6" borderId="1" xfId="7" applyNumberFormat="1" applyFont="1" applyBorder="1"/>
    <xf numFmtId="167" fontId="5" fillId="4" borderId="1" xfId="5" applyNumberFormat="1" applyFont="1" applyBorder="1"/>
    <xf numFmtId="167" fontId="5" fillId="6" borderId="1" xfId="7" applyNumberFormat="1" applyFont="1" applyBorder="1" applyAlignment="1">
      <alignment horizontal="center"/>
    </xf>
    <xf numFmtId="0" fontId="5" fillId="6" borderId="1" xfId="7" applyFont="1" applyBorder="1" applyAlignment="1">
      <alignment horizontal="center"/>
    </xf>
    <xf numFmtId="14" fontId="5" fillId="4" borderId="1" xfId="2" applyNumberFormat="1" applyFont="1" applyFill="1" applyBorder="1"/>
    <xf numFmtId="0" fontId="8" fillId="2" borderId="1" xfId="3" applyFont="1" applyBorder="1"/>
    <xf numFmtId="166" fontId="5" fillId="4" borderId="1" xfId="2" applyNumberFormat="1" applyFont="1" applyFill="1" applyBorder="1"/>
    <xf numFmtId="14" fontId="5" fillId="4" borderId="1" xfId="2" applyNumberFormat="1" applyFont="1" applyFill="1" applyBorder="1" applyAlignment="1">
      <alignment wrapText="1"/>
    </xf>
    <xf numFmtId="9" fontId="5" fillId="4" borderId="1" xfId="2" applyNumberFormat="1" applyFont="1" applyFill="1" applyBorder="1"/>
    <xf numFmtId="0" fontId="5" fillId="4" borderId="11" xfId="5" applyFont="1" applyBorder="1" applyAlignment="1">
      <alignment wrapText="1"/>
    </xf>
    <xf numFmtId="167" fontId="5" fillId="4" borderId="11" xfId="2" applyNumberFormat="1" applyFont="1" applyFill="1" applyBorder="1"/>
    <xf numFmtId="0" fontId="5" fillId="4" borderId="11" xfId="5" applyFont="1" applyBorder="1" applyAlignment="1">
      <alignment horizontal="center" wrapText="1"/>
    </xf>
    <xf numFmtId="0" fontId="5" fillId="6" borderId="1" xfId="7" applyFont="1" applyBorder="1" applyAlignment="1">
      <alignment horizontal="center" wrapText="1"/>
    </xf>
    <xf numFmtId="166" fontId="5" fillId="6" borderId="1" xfId="7" applyNumberFormat="1" applyFont="1" applyBorder="1" applyAlignment="1">
      <alignment horizontal="center" wrapText="1"/>
    </xf>
    <xf numFmtId="10" fontId="5" fillId="6" borderId="1" xfId="7" applyNumberFormat="1" applyFont="1" applyBorder="1" applyAlignment="1">
      <alignment horizontal="center" wrapText="1"/>
    </xf>
    <xf numFmtId="0" fontId="5" fillId="9" borderId="1" xfId="7" applyFont="1" applyFill="1" applyBorder="1" applyAlignment="1">
      <alignment horizontal="center" wrapText="1"/>
    </xf>
    <xf numFmtId="0" fontId="5" fillId="10" borderId="1" xfId="7" applyFont="1" applyFill="1" applyBorder="1" applyAlignment="1">
      <alignment horizontal="center" wrapText="1"/>
    </xf>
    <xf numFmtId="9" fontId="5" fillId="4" borderId="9" xfId="2" applyFont="1" applyFill="1" applyBorder="1"/>
    <xf numFmtId="169" fontId="5" fillId="4" borderId="9" xfId="2" applyNumberFormat="1" applyFont="1" applyFill="1" applyBorder="1"/>
    <xf numFmtId="1" fontId="5" fillId="4" borderId="9" xfId="2" applyNumberFormat="1" applyFont="1" applyFill="1" applyBorder="1"/>
    <xf numFmtId="1" fontId="5" fillId="4" borderId="1" xfId="2" applyNumberFormat="1" applyFont="1" applyFill="1" applyBorder="1" applyAlignment="1">
      <alignment horizontal="right" wrapText="1"/>
    </xf>
    <xf numFmtId="0" fontId="6" fillId="4" borderId="1" xfId="5" applyFont="1" applyBorder="1" applyAlignment="1">
      <alignment wrapText="1"/>
    </xf>
    <xf numFmtId="169" fontId="6" fillId="4" borderId="1" xfId="2" applyNumberFormat="1" applyFont="1" applyFill="1" applyBorder="1"/>
    <xf numFmtId="9" fontId="5" fillId="4" borderId="1" xfId="5" applyNumberFormat="1" applyFont="1" applyBorder="1" applyAlignment="1">
      <alignment wrapText="1"/>
    </xf>
    <xf numFmtId="9" fontId="5" fillId="4" borderId="8" xfId="5" applyNumberFormat="1" applyFont="1" applyBorder="1" applyAlignment="1">
      <alignment wrapText="1"/>
    </xf>
    <xf numFmtId="166" fontId="5" fillId="4" borderId="1" xfId="2" applyNumberFormat="1" applyFont="1" applyFill="1" applyBorder="1" applyAlignment="1">
      <alignment horizontal="right" wrapText="1"/>
    </xf>
    <xf numFmtId="170" fontId="5" fillId="4" borderId="11" xfId="2" applyNumberFormat="1" applyFont="1" applyFill="1" applyBorder="1"/>
    <xf numFmtId="10" fontId="5" fillId="4" borderId="1" xfId="2" applyNumberFormat="1" applyFont="1" applyFill="1" applyBorder="1"/>
    <xf numFmtId="9" fontId="6" fillId="4" borderId="1" xfId="5" applyNumberFormat="1" applyFont="1" applyBorder="1" applyAlignment="1">
      <alignment wrapText="1"/>
    </xf>
    <xf numFmtId="8" fontId="6" fillId="4" borderId="1" xfId="5" applyNumberFormat="1" applyFont="1" applyBorder="1" applyAlignment="1">
      <alignment wrapText="1"/>
    </xf>
    <xf numFmtId="0" fontId="3" fillId="0" borderId="0" xfId="0" applyFont="1"/>
    <xf numFmtId="170" fontId="6" fillId="9" borderId="1" xfId="2" applyNumberFormat="1" applyFont="1" applyFill="1" applyBorder="1"/>
    <xf numFmtId="170" fontId="6" fillId="10" borderId="1" xfId="2" applyNumberFormat="1" applyFont="1" applyFill="1" applyBorder="1"/>
    <xf numFmtId="170" fontId="6" fillId="10" borderId="1" xfId="2" applyNumberFormat="1" applyFont="1" applyFill="1" applyBorder="1" applyAlignment="1">
      <alignment horizontal="center" vertical="center"/>
    </xf>
    <xf numFmtId="0" fontId="5" fillId="4" borderId="1" xfId="5" applyFont="1" applyBorder="1" applyAlignment="1">
      <alignment vertical="center" wrapText="1"/>
    </xf>
    <xf numFmtId="166" fontId="6" fillId="4" borderId="1" xfId="2" applyNumberFormat="1" applyFont="1" applyFill="1" applyBorder="1"/>
    <xf numFmtId="167" fontId="6" fillId="4" borderId="1" xfId="2" applyNumberFormat="1" applyFont="1" applyFill="1" applyBorder="1"/>
    <xf numFmtId="10" fontId="6" fillId="4" borderId="1" xfId="2" applyNumberFormat="1" applyFont="1" applyFill="1" applyBorder="1"/>
    <xf numFmtId="10" fontId="5" fillId="4" borderId="9" xfId="2" applyNumberFormat="1" applyFont="1" applyFill="1" applyBorder="1"/>
    <xf numFmtId="9" fontId="5" fillId="4" borderId="9" xfId="2" applyNumberFormat="1" applyFont="1" applyFill="1" applyBorder="1"/>
    <xf numFmtId="0" fontId="5" fillId="4" borderId="3" xfId="5" applyFont="1" applyBorder="1" applyAlignment="1">
      <alignment vertical="center" wrapText="1"/>
    </xf>
    <xf numFmtId="0" fontId="5" fillId="4" borderId="9" xfId="5" applyFont="1" applyBorder="1" applyAlignment="1">
      <alignment horizontal="center" vertical="center" wrapText="1"/>
    </xf>
    <xf numFmtId="10" fontId="6" fillId="4" borderId="9" xfId="5" applyNumberFormat="1" applyFont="1" applyBorder="1" applyAlignment="1">
      <alignment horizontal="right" wrapText="1"/>
    </xf>
    <xf numFmtId="172" fontId="5" fillId="4" borderId="1" xfId="5" applyNumberFormat="1" applyFont="1" applyBorder="1" applyAlignment="1">
      <alignment vertical="center"/>
    </xf>
    <xf numFmtId="0" fontId="4" fillId="4" borderId="1" xfId="5" applyFont="1" applyBorder="1" applyAlignment="1">
      <alignment horizontal="right"/>
    </xf>
    <xf numFmtId="172" fontId="4" fillId="4" borderId="1" xfId="5" applyNumberFormat="1" applyFont="1" applyBorder="1" applyAlignment="1">
      <alignment horizontal="right" vertical="center"/>
    </xf>
    <xf numFmtId="0" fontId="6" fillId="4" borderId="1" xfId="5" applyFont="1" applyBorder="1"/>
    <xf numFmtId="167" fontId="6" fillId="4" borderId="1" xfId="5" applyNumberFormat="1" applyFont="1" applyBorder="1"/>
    <xf numFmtId="0" fontId="6" fillId="3" borderId="1" xfId="4" applyFont="1" applyBorder="1" applyAlignment="1">
      <alignment horizontal="center"/>
    </xf>
    <xf numFmtId="0" fontId="5" fillId="3" borderId="1" xfId="4" applyFont="1" applyBorder="1" applyAlignment="1">
      <alignment horizontal="center" wrapText="1"/>
    </xf>
    <xf numFmtId="0" fontId="5" fillId="3" borderId="1" xfId="4" applyFont="1" applyBorder="1" applyAlignment="1">
      <alignment horizontal="center"/>
    </xf>
    <xf numFmtId="0" fontId="6" fillId="8" borderId="1" xfId="0" applyFont="1" applyFill="1" applyBorder="1" applyAlignment="1">
      <alignment horizontal="center"/>
    </xf>
    <xf numFmtId="0" fontId="5" fillId="3" borderId="1" xfId="4" applyFont="1" applyBorder="1" applyAlignment="1">
      <alignment horizontal="center" vertical="center" wrapText="1"/>
    </xf>
    <xf numFmtId="0" fontId="5" fillId="3" borderId="1" xfId="4" applyFont="1" applyBorder="1" applyAlignment="1">
      <alignment horizontal="center" vertical="center"/>
    </xf>
    <xf numFmtId="0" fontId="6" fillId="8" borderId="2" xfId="0" applyFont="1" applyFill="1" applyBorder="1" applyAlignment="1">
      <alignment horizontal="center"/>
    </xf>
    <xf numFmtId="0" fontId="6" fillId="8" borderId="3" xfId="0" applyFont="1" applyFill="1" applyBorder="1" applyAlignment="1">
      <alignment horizontal="center"/>
    </xf>
    <xf numFmtId="0" fontId="5" fillId="4" borderId="2" xfId="5" applyFont="1" applyBorder="1" applyAlignment="1">
      <alignment horizontal="center"/>
    </xf>
    <xf numFmtId="0" fontId="5" fillId="4" borderId="3" xfId="5" applyFont="1" applyBorder="1" applyAlignment="1">
      <alignment horizontal="center"/>
    </xf>
    <xf numFmtId="0" fontId="7" fillId="5" borderId="2" xfId="6" applyFont="1" applyBorder="1" applyAlignment="1">
      <alignment horizontal="center"/>
    </xf>
    <xf numFmtId="0" fontId="7" fillId="5" borderId="3" xfId="6" applyFont="1" applyBorder="1" applyAlignment="1">
      <alignment horizontal="center"/>
    </xf>
    <xf numFmtId="0" fontId="6" fillId="5" borderId="2" xfId="6" applyFont="1" applyBorder="1" applyAlignment="1">
      <alignment horizontal="center"/>
    </xf>
    <xf numFmtId="0" fontId="6" fillId="5" borderId="3" xfId="6" applyFont="1" applyBorder="1" applyAlignment="1">
      <alignment horizontal="center"/>
    </xf>
    <xf numFmtId="0" fontId="6" fillId="3" borderId="1" xfId="4" applyFont="1" applyBorder="1" applyAlignment="1">
      <alignment horizontal="center" vertical="center" wrapText="1"/>
    </xf>
    <xf numFmtId="0" fontId="6" fillId="3" borderId="1" xfId="4" applyFont="1" applyBorder="1" applyAlignment="1">
      <alignment horizontal="center" vertical="center"/>
    </xf>
    <xf numFmtId="0" fontId="5" fillId="3" borderId="4" xfId="4" applyFont="1" applyBorder="1" applyAlignment="1">
      <alignment horizontal="center" vertical="center" wrapText="1"/>
    </xf>
    <xf numFmtId="0" fontId="5" fillId="3" borderId="5" xfId="4" applyFont="1" applyBorder="1" applyAlignment="1">
      <alignment horizontal="center" vertical="center" wrapText="1"/>
    </xf>
    <xf numFmtId="0" fontId="5" fillId="3" borderId="6" xfId="4" applyFont="1" applyBorder="1" applyAlignment="1">
      <alignment horizontal="center" vertical="center" wrapText="1"/>
    </xf>
    <xf numFmtId="0" fontId="5" fillId="3" borderId="7" xfId="4" applyFont="1" applyBorder="1" applyAlignment="1">
      <alignment horizontal="center" vertical="center" wrapText="1"/>
    </xf>
    <xf numFmtId="0" fontId="5" fillId="3" borderId="8" xfId="4" applyFont="1" applyBorder="1" applyAlignment="1">
      <alignment horizontal="center" vertical="center" wrapText="1"/>
    </xf>
    <xf numFmtId="0" fontId="5" fillId="3" borderId="9" xfId="4" applyFont="1" applyBorder="1" applyAlignment="1">
      <alignment horizontal="center" vertical="center" wrapText="1"/>
    </xf>
    <xf numFmtId="0" fontId="5" fillId="4" borderId="2" xfId="5" applyFont="1" applyBorder="1" applyAlignment="1">
      <alignment horizontal="left"/>
    </xf>
    <xf numFmtId="0" fontId="5" fillId="4" borderId="10" xfId="5" applyFont="1" applyBorder="1" applyAlignment="1">
      <alignment horizontal="left"/>
    </xf>
    <xf numFmtId="0" fontId="5" fillId="4" borderId="3" xfId="5" applyFont="1" applyBorder="1" applyAlignment="1">
      <alignment horizontal="left"/>
    </xf>
    <xf numFmtId="0" fontId="6" fillId="8" borderId="8" xfId="0" applyFont="1" applyFill="1" applyBorder="1" applyAlignment="1">
      <alignment horizontal="center"/>
    </xf>
    <xf numFmtId="0" fontId="6" fillId="8" borderId="9" xfId="0" applyFont="1" applyFill="1" applyBorder="1" applyAlignment="1">
      <alignment horizontal="center"/>
    </xf>
    <xf numFmtId="0" fontId="5" fillId="4" borderId="2" xfId="5" applyFont="1" applyBorder="1" applyAlignment="1">
      <alignment horizontal="center" wrapText="1"/>
    </xf>
    <xf numFmtId="0" fontId="5" fillId="4" borderId="3" xfId="5" applyFont="1" applyBorder="1" applyAlignment="1">
      <alignment horizontal="center" wrapText="1"/>
    </xf>
    <xf numFmtId="0" fontId="5" fillId="4" borderId="11" xfId="5" applyFont="1" applyBorder="1" applyAlignment="1">
      <alignment horizontal="left" vertical="center" wrapText="1"/>
    </xf>
    <xf numFmtId="0" fontId="5" fillId="4" borderId="12" xfId="5" applyFont="1" applyBorder="1" applyAlignment="1">
      <alignment horizontal="left" vertical="center" wrapText="1"/>
    </xf>
    <xf numFmtId="0" fontId="5" fillId="4" borderId="13" xfId="5" applyFont="1" applyBorder="1" applyAlignment="1">
      <alignment horizontal="left" vertical="center" wrapText="1"/>
    </xf>
    <xf numFmtId="9" fontId="5" fillId="4" borderId="1" xfId="5" applyNumberFormat="1" applyFont="1" applyBorder="1" applyAlignment="1">
      <alignment horizontal="center" wrapText="1"/>
    </xf>
    <xf numFmtId="0" fontId="5" fillId="4" borderId="11" xfId="5" applyFont="1" applyBorder="1" applyAlignment="1">
      <alignment horizontal="center" vertical="center" wrapText="1"/>
    </xf>
    <xf numFmtId="0" fontId="5" fillId="4" borderId="12" xfId="5" applyFont="1" applyBorder="1" applyAlignment="1">
      <alignment horizontal="center" vertical="center" wrapText="1"/>
    </xf>
    <xf numFmtId="0" fontId="5" fillId="4" borderId="13" xfId="5" applyFont="1" applyBorder="1" applyAlignment="1">
      <alignment horizontal="center" vertical="center" wrapText="1"/>
    </xf>
    <xf numFmtId="0" fontId="5" fillId="4" borderId="1" xfId="5" applyFont="1" applyBorder="1" applyAlignment="1">
      <alignment horizontal="center" vertical="center" wrapText="1"/>
    </xf>
    <xf numFmtId="0" fontId="5" fillId="4" borderId="2" xfId="5" applyFont="1" applyBorder="1" applyAlignment="1">
      <alignment horizontal="center" vertical="center" wrapText="1"/>
    </xf>
    <xf numFmtId="0" fontId="5" fillId="4" borderId="3" xfId="5" applyFont="1" applyBorder="1" applyAlignment="1">
      <alignment horizontal="center" vertical="center" wrapText="1"/>
    </xf>
    <xf numFmtId="0" fontId="6" fillId="5" borderId="1" xfId="6" applyFont="1" applyBorder="1" applyAlignment="1">
      <alignment horizontal="center"/>
    </xf>
  </cellXfs>
  <cellStyles count="9">
    <cellStyle name="40% — акцент2" xfId="4" builtinId="35"/>
    <cellStyle name="40% — акцент3" xfId="5" builtinId="39"/>
    <cellStyle name="40% — акцент4" xfId="7" builtinId="43"/>
    <cellStyle name="60% — акцент3" xfId="6" builtinId="40"/>
    <cellStyle name="60% — акцент4" xfId="8" builtinId="44"/>
    <cellStyle name="Денежный" xfId="1" builtinId="4"/>
    <cellStyle name="Обычный" xfId="0" builtinId="0"/>
    <cellStyle name="Процентный" xfId="2" builtinId="5"/>
    <cellStyle name="Хороший" xfId="3" builtinId="2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worksheet" Target="worksheets/sheet34.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37.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1714A3-774A-4BA2-928F-6070360589FA}">
  <dimension ref="A1:B11"/>
  <sheetViews>
    <sheetView workbookViewId="0">
      <selection sqref="A1:B11"/>
    </sheetView>
  </sheetViews>
  <sheetFormatPr defaultRowHeight="15" x14ac:dyDescent="0.25"/>
  <cols>
    <col min="1" max="1" width="18.85546875" customWidth="1"/>
    <col min="2" max="2" width="45.5703125" customWidth="1"/>
  </cols>
  <sheetData>
    <row r="1" spans="1:2" ht="15.75" x14ac:dyDescent="0.25">
      <c r="A1" s="87" t="s">
        <v>0</v>
      </c>
      <c r="B1" s="87"/>
    </row>
    <row r="2" spans="1:2" ht="15.75" customHeight="1" x14ac:dyDescent="0.25">
      <c r="A2" s="88" t="s">
        <v>1</v>
      </c>
      <c r="B2" s="89"/>
    </row>
    <row r="3" spans="1:2" x14ac:dyDescent="0.25">
      <c r="A3" s="89"/>
      <c r="B3" s="89"/>
    </row>
    <row r="4" spans="1:2" x14ac:dyDescent="0.25">
      <c r="A4" s="89"/>
      <c r="B4" s="89"/>
    </row>
    <row r="5" spans="1:2" x14ac:dyDescent="0.25">
      <c r="A5" s="89"/>
      <c r="B5" s="89"/>
    </row>
    <row r="6" spans="1:2" ht="18" customHeight="1" x14ac:dyDescent="0.25">
      <c r="A6" s="89"/>
      <c r="B6" s="89"/>
    </row>
    <row r="7" spans="1:2" ht="15.75" x14ac:dyDescent="0.25">
      <c r="A7" s="1" t="s">
        <v>2</v>
      </c>
      <c r="B7" s="2">
        <v>500000</v>
      </c>
    </row>
    <row r="8" spans="1:2" ht="15.75" x14ac:dyDescent="0.25">
      <c r="A8" s="1" t="s">
        <v>3</v>
      </c>
      <c r="B8" s="2">
        <v>-100000</v>
      </c>
    </row>
    <row r="9" spans="1:2" ht="15.75" x14ac:dyDescent="0.25">
      <c r="A9" s="1" t="s">
        <v>4</v>
      </c>
      <c r="B9" s="3">
        <v>0.15</v>
      </c>
    </row>
    <row r="10" spans="1:2" ht="15.75" x14ac:dyDescent="0.25">
      <c r="A10" s="1" t="s">
        <v>5</v>
      </c>
      <c r="B10" s="4">
        <f>NPER(B9/4,B8,B7,,0)/4</f>
        <v>1.4100581054243693</v>
      </c>
    </row>
    <row r="11" spans="1:2" ht="15.75" x14ac:dyDescent="0.25">
      <c r="A11" s="90" t="s">
        <v>6</v>
      </c>
      <c r="B11" s="90"/>
    </row>
  </sheetData>
  <mergeCells count="3">
    <mergeCell ref="A1:B1"/>
    <mergeCell ref="A2:B6"/>
    <mergeCell ref="A11:B11"/>
  </mergeCell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3E2446-3954-4D88-94D8-9965431AD926}">
  <dimension ref="A1:B11"/>
  <sheetViews>
    <sheetView workbookViewId="0">
      <selection sqref="A1:B11"/>
    </sheetView>
  </sheetViews>
  <sheetFormatPr defaultRowHeight="15" x14ac:dyDescent="0.25"/>
  <cols>
    <col min="1" max="1" width="27.42578125" customWidth="1"/>
    <col min="2" max="2" width="28.140625" customWidth="1"/>
  </cols>
  <sheetData>
    <row r="1" spans="1:2" ht="15.75" x14ac:dyDescent="0.25">
      <c r="A1" s="87" t="s">
        <v>7</v>
      </c>
      <c r="B1" s="87"/>
    </row>
    <row r="2" spans="1:2" x14ac:dyDescent="0.25">
      <c r="A2" s="88" t="s">
        <v>8</v>
      </c>
      <c r="B2" s="89"/>
    </row>
    <row r="3" spans="1:2" x14ac:dyDescent="0.25">
      <c r="A3" s="89"/>
      <c r="B3" s="89"/>
    </row>
    <row r="4" spans="1:2" x14ac:dyDescent="0.25">
      <c r="A4" s="89"/>
      <c r="B4" s="89"/>
    </row>
    <row r="5" spans="1:2" x14ac:dyDescent="0.25">
      <c r="A5" s="89"/>
      <c r="B5" s="89"/>
    </row>
    <row r="6" spans="1:2" x14ac:dyDescent="0.25">
      <c r="A6" s="89"/>
      <c r="B6" s="89"/>
    </row>
    <row r="7" spans="1:2" ht="15.75" x14ac:dyDescent="0.25">
      <c r="A7" s="5" t="s">
        <v>9</v>
      </c>
      <c r="B7" s="6">
        <v>-35000000</v>
      </c>
    </row>
    <row r="8" spans="1:2" ht="15.75" x14ac:dyDescent="0.25">
      <c r="A8" s="5" t="s">
        <v>10</v>
      </c>
      <c r="B8" s="6">
        <v>500000000</v>
      </c>
    </row>
    <row r="9" spans="1:2" ht="15.75" x14ac:dyDescent="0.25">
      <c r="A9" s="5" t="s">
        <v>11</v>
      </c>
      <c r="B9" s="8">
        <v>3</v>
      </c>
    </row>
    <row r="10" spans="1:2" ht="15.75" x14ac:dyDescent="0.25">
      <c r="A10" s="5" t="s">
        <v>12</v>
      </c>
      <c r="B10" s="9">
        <f>RATE(B9*4,B7,,B8,0)*4</f>
        <v>0.12462994070913452</v>
      </c>
    </row>
    <row r="11" spans="1:2" ht="15.75" x14ac:dyDescent="0.25">
      <c r="A11" s="90" t="s">
        <v>13</v>
      </c>
      <c r="B11" s="90"/>
    </row>
  </sheetData>
  <mergeCells count="3">
    <mergeCell ref="A1:B1"/>
    <mergeCell ref="A2:B6"/>
    <mergeCell ref="A11:B1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2D83AC-8082-4BBB-AFF0-02C4A88B7BDE}">
  <dimension ref="A1:B10"/>
  <sheetViews>
    <sheetView workbookViewId="0">
      <selection sqref="A1:B10"/>
    </sheetView>
  </sheetViews>
  <sheetFormatPr defaultRowHeight="15" x14ac:dyDescent="0.25"/>
  <cols>
    <col min="1" max="1" width="23.7109375" bestFit="1" customWidth="1"/>
    <col min="2" max="2" width="25.28515625" customWidth="1"/>
  </cols>
  <sheetData>
    <row r="1" spans="1:2" ht="15.75" x14ac:dyDescent="0.25">
      <c r="A1" s="87" t="s">
        <v>15</v>
      </c>
      <c r="B1" s="87"/>
    </row>
    <row r="2" spans="1:2" x14ac:dyDescent="0.25">
      <c r="A2" s="88" t="s">
        <v>14</v>
      </c>
      <c r="B2" s="89"/>
    </row>
    <row r="3" spans="1:2" x14ac:dyDescent="0.25">
      <c r="A3" s="89"/>
      <c r="B3" s="89"/>
    </row>
    <row r="4" spans="1:2" x14ac:dyDescent="0.25">
      <c r="A4" s="89"/>
      <c r="B4" s="89"/>
    </row>
    <row r="5" spans="1:2" x14ac:dyDescent="0.25">
      <c r="A5" s="89"/>
      <c r="B5" s="89"/>
    </row>
    <row r="6" spans="1:2" x14ac:dyDescent="0.25">
      <c r="A6" s="89"/>
      <c r="B6" s="89"/>
    </row>
    <row r="7" spans="1:2" ht="15.75" x14ac:dyDescent="0.25">
      <c r="A7" s="5" t="s">
        <v>9</v>
      </c>
      <c r="B7" s="6">
        <v>-800000</v>
      </c>
    </row>
    <row r="8" spans="1:2" ht="15.75" x14ac:dyDescent="0.25">
      <c r="A8" s="5" t="s">
        <v>16</v>
      </c>
      <c r="B8" s="6">
        <v>1200000</v>
      </c>
    </row>
    <row r="9" spans="1:2" ht="15.75" x14ac:dyDescent="0.25">
      <c r="A9" s="5" t="s">
        <v>12</v>
      </c>
      <c r="B9" s="9">
        <f>RATE(12,,B7,B8,1)*12</f>
        <v>0.41239299758299752</v>
      </c>
    </row>
    <row r="10" spans="1:2" ht="15.75" x14ac:dyDescent="0.25">
      <c r="A10" s="90" t="s">
        <v>13</v>
      </c>
      <c r="B10" s="90"/>
    </row>
  </sheetData>
  <mergeCells count="3">
    <mergeCell ref="A1:B1"/>
    <mergeCell ref="A2:B6"/>
    <mergeCell ref="A10:B10"/>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96FDE8-86A0-459E-9277-A70F39815823}">
  <dimension ref="A1:B12"/>
  <sheetViews>
    <sheetView workbookViewId="0">
      <selection sqref="A1:B12"/>
    </sheetView>
  </sheetViews>
  <sheetFormatPr defaultRowHeight="15" x14ac:dyDescent="0.25"/>
  <cols>
    <col min="1" max="1" width="27" customWidth="1"/>
    <col min="2" max="2" width="15" bestFit="1" customWidth="1"/>
  </cols>
  <sheetData>
    <row r="1" spans="1:2" ht="15.75" x14ac:dyDescent="0.25">
      <c r="A1" s="87" t="s">
        <v>17</v>
      </c>
      <c r="B1" s="87"/>
    </row>
    <row r="2" spans="1:2" x14ac:dyDescent="0.25">
      <c r="A2" s="91" t="s">
        <v>18</v>
      </c>
      <c r="B2" s="92"/>
    </row>
    <row r="3" spans="1:2" x14ac:dyDescent="0.25">
      <c r="A3" s="92"/>
      <c r="B3" s="92"/>
    </row>
    <row r="4" spans="1:2" ht="51" customHeight="1" x14ac:dyDescent="0.25">
      <c r="A4" s="92"/>
      <c r="B4" s="92"/>
    </row>
    <row r="5" spans="1:2" ht="41.25" customHeight="1" x14ac:dyDescent="0.25">
      <c r="A5" s="92"/>
      <c r="B5" s="92"/>
    </row>
    <row r="6" spans="1:2" x14ac:dyDescent="0.25">
      <c r="A6" s="92"/>
      <c r="B6" s="92"/>
    </row>
    <row r="7" spans="1:2" ht="15.75" x14ac:dyDescent="0.25">
      <c r="A7" s="10" t="s">
        <v>19</v>
      </c>
      <c r="B7" s="11">
        <v>0.11</v>
      </c>
    </row>
    <row r="8" spans="1:2" ht="15.75" x14ac:dyDescent="0.25">
      <c r="A8" s="95" t="s">
        <v>20</v>
      </c>
      <c r="B8" s="96"/>
    </row>
    <row r="9" spans="1:2" ht="15.75" x14ac:dyDescent="0.25">
      <c r="A9" s="5" t="s">
        <v>21</v>
      </c>
      <c r="B9" s="9">
        <f>EFFECT(B7,2)</f>
        <v>0.11302499999999993</v>
      </c>
    </row>
    <row r="10" spans="1:2" ht="15.75" x14ac:dyDescent="0.25">
      <c r="A10" s="12" t="s">
        <v>22</v>
      </c>
      <c r="B10" s="9">
        <f>EFFECT(B7,4)</f>
        <v>0.11462125941406276</v>
      </c>
    </row>
    <row r="11" spans="1:2" ht="15.75" x14ac:dyDescent="0.25">
      <c r="A11" s="5" t="s">
        <v>23</v>
      </c>
      <c r="B11" s="9">
        <f>EFFECT(B7,12)</f>
        <v>0.11571883619521484</v>
      </c>
    </row>
    <row r="12" spans="1:2" ht="15.75" x14ac:dyDescent="0.25">
      <c r="A12" s="93" t="s">
        <v>24</v>
      </c>
      <c r="B12" s="94"/>
    </row>
  </sheetData>
  <mergeCells count="4">
    <mergeCell ref="A1:B1"/>
    <mergeCell ref="A2:B6"/>
    <mergeCell ref="A12:B12"/>
    <mergeCell ref="A8:B8"/>
  </mergeCells>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5FF33A-0E74-4B77-BFE3-FD96414940E2}">
  <dimension ref="A1:B9"/>
  <sheetViews>
    <sheetView workbookViewId="0">
      <selection sqref="A1:B9"/>
    </sheetView>
  </sheetViews>
  <sheetFormatPr defaultRowHeight="15" x14ac:dyDescent="0.25"/>
  <cols>
    <col min="1" max="1" width="24" customWidth="1"/>
    <col min="2" max="2" width="17.5703125" customWidth="1"/>
  </cols>
  <sheetData>
    <row r="1" spans="1:2" ht="15.75" x14ac:dyDescent="0.25">
      <c r="A1" s="87" t="s">
        <v>25</v>
      </c>
      <c r="B1" s="87"/>
    </row>
    <row r="2" spans="1:2" x14ac:dyDescent="0.25">
      <c r="A2" s="91" t="s">
        <v>26</v>
      </c>
      <c r="B2" s="92"/>
    </row>
    <row r="3" spans="1:2" x14ac:dyDescent="0.25">
      <c r="A3" s="92"/>
      <c r="B3" s="92"/>
    </row>
    <row r="4" spans="1:2" x14ac:dyDescent="0.25">
      <c r="A4" s="92"/>
      <c r="B4" s="92"/>
    </row>
    <row r="5" spans="1:2" x14ac:dyDescent="0.25">
      <c r="A5" s="92"/>
      <c r="B5" s="92"/>
    </row>
    <row r="6" spans="1:2" x14ac:dyDescent="0.25">
      <c r="A6" s="92"/>
      <c r="B6" s="92"/>
    </row>
    <row r="7" spans="1:2" ht="15.75" x14ac:dyDescent="0.25">
      <c r="A7" s="10" t="s">
        <v>27</v>
      </c>
      <c r="B7" s="11">
        <v>0.15</v>
      </c>
    </row>
    <row r="8" spans="1:2" ht="15.75" x14ac:dyDescent="0.25">
      <c r="A8" s="13" t="s">
        <v>19</v>
      </c>
      <c r="B8" s="14">
        <f>NOMINAL(B7,4)</f>
        <v>0.14223230536648845</v>
      </c>
    </row>
    <row r="9" spans="1:2" ht="15.75" x14ac:dyDescent="0.25">
      <c r="A9" s="93" t="s">
        <v>28</v>
      </c>
      <c r="B9" s="94"/>
    </row>
  </sheetData>
  <mergeCells count="3">
    <mergeCell ref="A1:B1"/>
    <mergeCell ref="A2:B6"/>
    <mergeCell ref="A9:B9"/>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E43735-AE99-4807-B3AE-48A1F762BD29}">
  <dimension ref="A1:B11"/>
  <sheetViews>
    <sheetView workbookViewId="0">
      <selection sqref="A1:B11"/>
    </sheetView>
  </sheetViews>
  <sheetFormatPr defaultRowHeight="15" x14ac:dyDescent="0.25"/>
  <cols>
    <col min="1" max="1" width="27.140625" bestFit="1" customWidth="1"/>
    <col min="2" max="2" width="12.5703125" bestFit="1" customWidth="1"/>
  </cols>
  <sheetData>
    <row r="1" spans="1:2" ht="15.75" x14ac:dyDescent="0.25">
      <c r="A1" s="87" t="s">
        <v>29</v>
      </c>
      <c r="B1" s="87"/>
    </row>
    <row r="2" spans="1:2" x14ac:dyDescent="0.25">
      <c r="A2" s="91" t="s">
        <v>30</v>
      </c>
      <c r="B2" s="92"/>
    </row>
    <row r="3" spans="1:2" x14ac:dyDescent="0.25">
      <c r="A3" s="92"/>
      <c r="B3" s="92"/>
    </row>
    <row r="4" spans="1:2" x14ac:dyDescent="0.25">
      <c r="A4" s="92"/>
      <c r="B4" s="92"/>
    </row>
    <row r="5" spans="1:2" x14ac:dyDescent="0.25">
      <c r="A5" s="92"/>
      <c r="B5" s="92"/>
    </row>
    <row r="6" spans="1:2" ht="65.25" customHeight="1" x14ac:dyDescent="0.25">
      <c r="A6" s="92"/>
      <c r="B6" s="92"/>
    </row>
    <row r="7" spans="1:2" ht="33" customHeight="1" x14ac:dyDescent="0.25">
      <c r="A7" s="10" t="s">
        <v>31</v>
      </c>
      <c r="B7" s="15">
        <v>26000</v>
      </c>
    </row>
    <row r="8" spans="1:2" ht="33" customHeight="1" x14ac:dyDescent="0.25">
      <c r="A8" s="10" t="s">
        <v>33</v>
      </c>
      <c r="B8" s="17">
        <v>15</v>
      </c>
    </row>
    <row r="9" spans="1:2" ht="33" customHeight="1" x14ac:dyDescent="0.25">
      <c r="A9" s="13" t="s">
        <v>32</v>
      </c>
      <c r="B9" s="16">
        <v>4500</v>
      </c>
    </row>
    <row r="10" spans="1:2" ht="15.75" x14ac:dyDescent="0.25">
      <c r="A10" s="5" t="s">
        <v>34</v>
      </c>
      <c r="B10" s="18">
        <f>SLN(B7,B9,B8)</f>
        <v>1433.3333333333333</v>
      </c>
    </row>
    <row r="11" spans="1:2" ht="15.75" x14ac:dyDescent="0.25">
      <c r="A11" s="93" t="s">
        <v>35</v>
      </c>
      <c r="B11" s="94"/>
    </row>
  </sheetData>
  <mergeCells count="3">
    <mergeCell ref="A1:B1"/>
    <mergeCell ref="A2:B6"/>
    <mergeCell ref="A11:B11"/>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9AFB17-D436-452A-91D2-D7E9D52373F9}">
  <dimension ref="A1:B13"/>
  <sheetViews>
    <sheetView workbookViewId="0">
      <selection sqref="A1:B13"/>
    </sheetView>
  </sheetViews>
  <sheetFormatPr defaultRowHeight="15" x14ac:dyDescent="0.25"/>
  <cols>
    <col min="1" max="1" width="32" bestFit="1" customWidth="1"/>
    <col min="2" max="2" width="13.140625" customWidth="1"/>
  </cols>
  <sheetData>
    <row r="1" spans="1:2" ht="15.75" x14ac:dyDescent="0.25">
      <c r="A1" s="87" t="s">
        <v>37</v>
      </c>
      <c r="B1" s="87"/>
    </row>
    <row r="2" spans="1:2" x14ac:dyDescent="0.25">
      <c r="A2" s="91" t="s">
        <v>36</v>
      </c>
      <c r="B2" s="92"/>
    </row>
    <row r="3" spans="1:2" x14ac:dyDescent="0.25">
      <c r="A3" s="92"/>
      <c r="B3" s="92"/>
    </row>
    <row r="4" spans="1:2" ht="32.25" customHeight="1" x14ac:dyDescent="0.25">
      <c r="A4" s="92"/>
      <c r="B4" s="92"/>
    </row>
    <row r="5" spans="1:2" ht="66.75" customHeight="1" x14ac:dyDescent="0.25">
      <c r="A5" s="92"/>
      <c r="B5" s="92"/>
    </row>
    <row r="6" spans="1:2" x14ac:dyDescent="0.25">
      <c r="A6" s="92"/>
      <c r="B6" s="92"/>
    </row>
    <row r="7" spans="1:2" ht="30" customHeight="1" x14ac:dyDescent="0.25">
      <c r="A7" s="10" t="s">
        <v>38</v>
      </c>
      <c r="B7" s="15">
        <v>800000</v>
      </c>
    </row>
    <row r="8" spans="1:2" ht="19.5" customHeight="1" x14ac:dyDescent="0.25">
      <c r="A8" s="10" t="s">
        <v>39</v>
      </c>
      <c r="B8" s="19">
        <v>190000</v>
      </c>
    </row>
    <row r="9" spans="1:2" ht="15.75" x14ac:dyDescent="0.25">
      <c r="A9" s="13" t="s">
        <v>40</v>
      </c>
      <c r="B9" s="20">
        <v>0.11</v>
      </c>
    </row>
    <row r="10" spans="1:2" ht="15.75" x14ac:dyDescent="0.25">
      <c r="A10" s="5" t="s">
        <v>41</v>
      </c>
      <c r="B10" s="21">
        <v>43191</v>
      </c>
    </row>
    <row r="11" spans="1:2" ht="15.75" x14ac:dyDescent="0.25">
      <c r="A11" s="13" t="s">
        <v>42</v>
      </c>
      <c r="B11" s="22">
        <v>43344</v>
      </c>
    </row>
    <row r="12" spans="1:2" ht="15.75" x14ac:dyDescent="0.25">
      <c r="A12" s="13" t="s">
        <v>43</v>
      </c>
      <c r="B12" s="16">
        <f>AMORDEGRC(B7,B10,B11,B8,1,B9)</f>
        <v>194792</v>
      </c>
    </row>
    <row r="13" spans="1:2" ht="15.75" x14ac:dyDescent="0.25">
      <c r="A13" s="93" t="s">
        <v>44</v>
      </c>
      <c r="B13" s="94"/>
    </row>
  </sheetData>
  <mergeCells count="3">
    <mergeCell ref="A1:B1"/>
    <mergeCell ref="A2:B6"/>
    <mergeCell ref="A13:B13"/>
  </mergeCells>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721054-0D39-4F1C-B4AD-E0AA1625A745}">
  <dimension ref="A1:B19"/>
  <sheetViews>
    <sheetView topLeftCell="A6" workbookViewId="0">
      <selection sqref="A1:B19"/>
    </sheetView>
  </sheetViews>
  <sheetFormatPr defaultRowHeight="15" x14ac:dyDescent="0.25"/>
  <cols>
    <col min="1" max="1" width="35.140625" customWidth="1"/>
    <col min="2" max="2" width="22.7109375" customWidth="1"/>
  </cols>
  <sheetData>
    <row r="1" spans="1:2" ht="15.75" x14ac:dyDescent="0.25">
      <c r="A1" s="87" t="s">
        <v>46</v>
      </c>
      <c r="B1" s="87"/>
    </row>
    <row r="2" spans="1:2" ht="33.75" customHeight="1" x14ac:dyDescent="0.25">
      <c r="A2" s="91" t="s">
        <v>45</v>
      </c>
      <c r="B2" s="92"/>
    </row>
    <row r="3" spans="1:2" ht="39.75" customHeight="1" x14ac:dyDescent="0.25">
      <c r="A3" s="92"/>
      <c r="B3" s="92"/>
    </row>
    <row r="4" spans="1:2" ht="41.25" customHeight="1" x14ac:dyDescent="0.25">
      <c r="A4" s="92"/>
      <c r="B4" s="92"/>
    </row>
    <row r="5" spans="1:2" ht="51.75" customHeight="1" x14ac:dyDescent="0.25">
      <c r="A5" s="92"/>
      <c r="B5" s="92"/>
    </row>
    <row r="6" spans="1:2" ht="78" customHeight="1" x14ac:dyDescent="0.25">
      <c r="A6" s="92"/>
      <c r="B6" s="92"/>
    </row>
    <row r="7" spans="1:2" ht="15.75" x14ac:dyDescent="0.25">
      <c r="A7" s="10" t="s">
        <v>47</v>
      </c>
      <c r="B7" s="24">
        <v>450000</v>
      </c>
    </row>
    <row r="8" spans="1:2" ht="15.75" x14ac:dyDescent="0.25">
      <c r="A8" s="10" t="s">
        <v>48</v>
      </c>
      <c r="B8" s="25">
        <v>60000</v>
      </c>
    </row>
    <row r="9" spans="1:2" ht="15.75" x14ac:dyDescent="0.25">
      <c r="A9" s="13" t="s">
        <v>33</v>
      </c>
      <c r="B9" s="26">
        <v>8</v>
      </c>
    </row>
    <row r="10" spans="1:2" x14ac:dyDescent="0.25">
      <c r="A10" s="97" t="s">
        <v>49</v>
      </c>
      <c r="B10" s="98"/>
    </row>
    <row r="11" spans="1:2" ht="15.75" x14ac:dyDescent="0.25">
      <c r="A11" s="5" t="s">
        <v>50</v>
      </c>
      <c r="B11" s="27">
        <f>DDB(B7,B8,B9,1)+DDB(B7,B8,B9,2)+DDB(B7,B8,8,3)</f>
        <v>260156.25</v>
      </c>
    </row>
    <row r="12" spans="1:2" ht="15.75" x14ac:dyDescent="0.25">
      <c r="A12" s="13" t="s">
        <v>51</v>
      </c>
      <c r="B12" s="28">
        <f>DDB(B7,B8,B9,6)+DDB(B7,B8,B9,7)+DDB(B7,B8,8,8)</f>
        <v>46787.109375</v>
      </c>
    </row>
    <row r="13" spans="1:2" ht="15.75" x14ac:dyDescent="0.25">
      <c r="A13" s="99" t="s">
        <v>52</v>
      </c>
      <c r="B13" s="100"/>
    </row>
    <row r="14" spans="1:2" ht="15.75" x14ac:dyDescent="0.25">
      <c r="A14" s="5" t="s">
        <v>50</v>
      </c>
      <c r="B14" s="24">
        <f>DB(B7,B8,B9,1)+DB(B7,B8,B9,2)+DB(B7,B8,B9,3)</f>
        <v>238906.15515000001</v>
      </c>
    </row>
    <row r="15" spans="1:2" ht="15.75" x14ac:dyDescent="0.25">
      <c r="A15" s="13" t="s">
        <v>51</v>
      </c>
      <c r="B15" s="24">
        <f>DB(B7,B8,B9,6)+DB(B7,B8,B9,7)+DB(B7,B8,B9,8)</f>
        <v>67660.068480120419</v>
      </c>
    </row>
    <row r="16" spans="1:2" ht="15.75" x14ac:dyDescent="0.25">
      <c r="A16" s="99" t="s">
        <v>53</v>
      </c>
      <c r="B16" s="100"/>
    </row>
    <row r="17" spans="1:2" ht="15.75" x14ac:dyDescent="0.25">
      <c r="A17" s="13" t="s">
        <v>54</v>
      </c>
      <c r="B17" s="30" t="str">
        <f>IF(B11&gt;B14,"МПЗ","МСЗ")</f>
        <v>МПЗ</v>
      </c>
    </row>
    <row r="18" spans="1:2" ht="15.75" x14ac:dyDescent="0.25">
      <c r="A18" s="13" t="s">
        <v>55</v>
      </c>
      <c r="B18" s="30" t="str">
        <f>IF(B12&gt;B15,"МПЗ","МСЗ")</f>
        <v>МСЗ</v>
      </c>
    </row>
    <row r="19" spans="1:2" ht="15.75" x14ac:dyDescent="0.25">
      <c r="A19" s="93" t="s">
        <v>56</v>
      </c>
      <c r="B19" s="94"/>
    </row>
  </sheetData>
  <mergeCells count="6">
    <mergeCell ref="A1:B1"/>
    <mergeCell ref="A2:B6"/>
    <mergeCell ref="A19:B19"/>
    <mergeCell ref="A10:B10"/>
    <mergeCell ref="A13:B13"/>
    <mergeCell ref="A16:B16"/>
  </mergeCells>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4D1580-5681-4A97-A06C-D23CABDE13F3}">
  <dimension ref="A1:B12"/>
  <sheetViews>
    <sheetView workbookViewId="0">
      <selection sqref="A1:B12"/>
    </sheetView>
  </sheetViews>
  <sheetFormatPr defaultRowHeight="15" x14ac:dyDescent="0.25"/>
  <cols>
    <col min="1" max="1" width="40.28515625" bestFit="1" customWidth="1"/>
    <col min="2" max="2" width="17.28515625" customWidth="1"/>
  </cols>
  <sheetData>
    <row r="1" spans="1:2" ht="15.75" x14ac:dyDescent="0.25">
      <c r="A1" s="87" t="s">
        <v>57</v>
      </c>
      <c r="B1" s="87"/>
    </row>
    <row r="2" spans="1:2" ht="24.75" customHeight="1" x14ac:dyDescent="0.25">
      <c r="A2" s="91" t="s">
        <v>58</v>
      </c>
      <c r="B2" s="92"/>
    </row>
    <row r="3" spans="1:2" x14ac:dyDescent="0.25">
      <c r="A3" s="92"/>
      <c r="B3" s="92"/>
    </row>
    <row r="4" spans="1:2" ht="32.25" customHeight="1" x14ac:dyDescent="0.25">
      <c r="A4" s="92"/>
      <c r="B4" s="92"/>
    </row>
    <row r="5" spans="1:2" ht="30" customHeight="1" x14ac:dyDescent="0.25">
      <c r="A5" s="92"/>
      <c r="B5" s="92"/>
    </row>
    <row r="6" spans="1:2" ht="46.5" customHeight="1" x14ac:dyDescent="0.25">
      <c r="A6" s="92"/>
      <c r="B6" s="92"/>
    </row>
    <row r="7" spans="1:2" ht="15.75" x14ac:dyDescent="0.25">
      <c r="A7" s="10" t="s">
        <v>59</v>
      </c>
      <c r="B7" s="24">
        <v>1000000</v>
      </c>
    </row>
    <row r="8" spans="1:2" ht="15.75" x14ac:dyDescent="0.25">
      <c r="A8" s="10" t="s">
        <v>60</v>
      </c>
      <c r="B8" s="26">
        <v>7</v>
      </c>
    </row>
    <row r="9" spans="1:2" ht="15.75" x14ac:dyDescent="0.25">
      <c r="A9" s="13" t="s">
        <v>48</v>
      </c>
      <c r="B9" s="24">
        <v>220000</v>
      </c>
    </row>
    <row r="10" spans="1:2" ht="15.75" x14ac:dyDescent="0.25">
      <c r="A10" s="13" t="s">
        <v>33</v>
      </c>
      <c r="B10" s="17">
        <v>2</v>
      </c>
    </row>
    <row r="11" spans="1:2" ht="15.75" x14ac:dyDescent="0.25">
      <c r="A11" s="13" t="s">
        <v>61</v>
      </c>
      <c r="B11" s="24">
        <f>B7-(DB(B7,B9,B8,1)+DB(B7,B9,B8,2))</f>
        <v>648025</v>
      </c>
    </row>
    <row r="12" spans="1:2" ht="15.75" x14ac:dyDescent="0.25">
      <c r="A12" s="90" t="s">
        <v>62</v>
      </c>
      <c r="B12" s="90"/>
    </row>
  </sheetData>
  <mergeCells count="3">
    <mergeCell ref="A1:B1"/>
    <mergeCell ref="A2:B6"/>
    <mergeCell ref="A12:B12"/>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06294E-7456-4AFF-A215-7110EF07C532}">
  <dimension ref="A1:B15"/>
  <sheetViews>
    <sheetView topLeftCell="A3" workbookViewId="0">
      <selection sqref="A1:B15"/>
    </sheetView>
  </sheetViews>
  <sheetFormatPr defaultRowHeight="15" x14ac:dyDescent="0.25"/>
  <cols>
    <col min="1" max="1" width="40.28515625" bestFit="1" customWidth="1"/>
    <col min="2" max="2" width="18.42578125" customWidth="1"/>
  </cols>
  <sheetData>
    <row r="1" spans="1:2" ht="15.75" x14ac:dyDescent="0.25">
      <c r="A1" s="87" t="s">
        <v>63</v>
      </c>
      <c r="B1" s="87"/>
    </row>
    <row r="2" spans="1:2" ht="60" customHeight="1" x14ac:dyDescent="0.25">
      <c r="A2" s="91" t="s">
        <v>64</v>
      </c>
      <c r="B2" s="92"/>
    </row>
    <row r="3" spans="1:2" ht="66.75" customHeight="1" x14ac:dyDescent="0.25">
      <c r="A3" s="92"/>
      <c r="B3" s="92"/>
    </row>
    <row r="4" spans="1:2" x14ac:dyDescent="0.25">
      <c r="A4" s="92"/>
      <c r="B4" s="92"/>
    </row>
    <row r="5" spans="1:2" ht="24.75" customHeight="1" x14ac:dyDescent="0.25">
      <c r="A5" s="92"/>
      <c r="B5" s="92"/>
    </row>
    <row r="6" spans="1:2" ht="81" customHeight="1" x14ac:dyDescent="0.25">
      <c r="A6" s="92"/>
      <c r="B6" s="92"/>
    </row>
    <row r="7" spans="1:2" ht="15.75" x14ac:dyDescent="0.25">
      <c r="A7" s="10" t="s">
        <v>65</v>
      </c>
      <c r="B7" s="24">
        <v>16000</v>
      </c>
    </row>
    <row r="8" spans="1:2" ht="15.75" x14ac:dyDescent="0.25">
      <c r="A8" s="10" t="s">
        <v>66</v>
      </c>
      <c r="B8" s="26">
        <v>30</v>
      </c>
    </row>
    <row r="9" spans="1:2" ht="15.75" x14ac:dyDescent="0.25">
      <c r="A9" s="13" t="s">
        <v>4</v>
      </c>
      <c r="B9" s="11">
        <v>0.05</v>
      </c>
    </row>
    <row r="10" spans="1:2" ht="15.75" x14ac:dyDescent="0.25">
      <c r="A10" s="13" t="s">
        <v>67</v>
      </c>
      <c r="B10" s="24">
        <f>B7*0.05</f>
        <v>800</v>
      </c>
    </row>
    <row r="11" spans="1:2" ht="15.75" x14ac:dyDescent="0.25">
      <c r="A11" s="31" t="s">
        <v>68</v>
      </c>
      <c r="B11" s="32">
        <f>-PMT(B9/12,B8*12,B7-B10)</f>
        <v>81.596886697845136</v>
      </c>
    </row>
    <row r="12" spans="1:2" ht="15.75" x14ac:dyDescent="0.25">
      <c r="A12" s="31" t="s">
        <v>69</v>
      </c>
      <c r="B12" s="32">
        <f>-PMT(0,B8*12,B7-B10)</f>
        <v>42.222222222222221</v>
      </c>
    </row>
    <row r="13" spans="1:2" ht="15.75" x14ac:dyDescent="0.25">
      <c r="A13" s="31" t="s">
        <v>70</v>
      </c>
      <c r="B13" s="32">
        <f>-PMT(B9/12,B8*12,(B7*0.75)-B10)</f>
        <v>60.124021777359573</v>
      </c>
    </row>
    <row r="14" spans="1:2" ht="15.75" x14ac:dyDescent="0.25">
      <c r="A14" s="31" t="s">
        <v>71</v>
      </c>
      <c r="B14" s="32">
        <f>-PMT(B9/12,B8*12,(B7*0.5)-B10)</f>
        <v>38.65115685687401</v>
      </c>
    </row>
    <row r="15" spans="1:2" ht="15.75" x14ac:dyDescent="0.25">
      <c r="A15" s="90" t="s">
        <v>72</v>
      </c>
      <c r="B15" s="90"/>
    </row>
  </sheetData>
  <mergeCells count="3">
    <mergeCell ref="A1:B1"/>
    <mergeCell ref="A2:B6"/>
    <mergeCell ref="A15:B15"/>
  </mergeCells>
  <pageMargins left="0.7" right="0.7" top="0.75" bottom="0.75" header="0.3" footer="0.3"/>
  <pageSetup paperSize="9"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0E867B-613C-42A0-B4EC-CBEF2CF24F45}">
  <dimension ref="A1:B11"/>
  <sheetViews>
    <sheetView workbookViewId="0">
      <selection sqref="A1:B11"/>
    </sheetView>
  </sheetViews>
  <sheetFormatPr defaultRowHeight="15" x14ac:dyDescent="0.25"/>
  <cols>
    <col min="1" max="1" width="36.7109375" bestFit="1" customWidth="1"/>
    <col min="2" max="2" width="11.28515625" bestFit="1" customWidth="1"/>
  </cols>
  <sheetData>
    <row r="1" spans="1:2" ht="15.75" x14ac:dyDescent="0.25">
      <c r="A1" s="87" t="s">
        <v>77</v>
      </c>
      <c r="B1" s="87"/>
    </row>
    <row r="2" spans="1:2" x14ac:dyDescent="0.25">
      <c r="A2" s="91" t="s">
        <v>73</v>
      </c>
      <c r="B2" s="92"/>
    </row>
    <row r="3" spans="1:2" x14ac:dyDescent="0.25">
      <c r="A3" s="92"/>
      <c r="B3" s="92"/>
    </row>
    <row r="4" spans="1:2" x14ac:dyDescent="0.25">
      <c r="A4" s="92"/>
      <c r="B4" s="92"/>
    </row>
    <row r="5" spans="1:2" x14ac:dyDescent="0.25">
      <c r="A5" s="92"/>
      <c r="B5" s="92"/>
    </row>
    <row r="6" spans="1:2" x14ac:dyDescent="0.25">
      <c r="A6" s="92"/>
      <c r="B6" s="92"/>
    </row>
    <row r="7" spans="1:2" ht="15.75" x14ac:dyDescent="0.25">
      <c r="A7" s="10" t="s">
        <v>74</v>
      </c>
      <c r="B7" s="15">
        <v>-270</v>
      </c>
    </row>
    <row r="8" spans="1:2" ht="15.75" x14ac:dyDescent="0.25">
      <c r="A8" s="10" t="s">
        <v>11</v>
      </c>
      <c r="B8" s="26">
        <v>11</v>
      </c>
    </row>
    <row r="9" spans="1:2" ht="15.75" x14ac:dyDescent="0.25">
      <c r="A9" s="13" t="s">
        <v>4</v>
      </c>
      <c r="B9" s="11">
        <v>0.06</v>
      </c>
    </row>
    <row r="10" spans="1:2" ht="15.75" x14ac:dyDescent="0.25">
      <c r="A10" s="13" t="s">
        <v>75</v>
      </c>
      <c r="B10" s="15">
        <f>PV(B9/4,B8*4,B7)</f>
        <v>8650.968003348351</v>
      </c>
    </row>
    <row r="11" spans="1:2" ht="15.75" x14ac:dyDescent="0.25">
      <c r="A11" s="93" t="s">
        <v>76</v>
      </c>
      <c r="B11" s="94"/>
    </row>
  </sheetData>
  <mergeCells count="3">
    <mergeCell ref="A1:B1"/>
    <mergeCell ref="A2:B6"/>
    <mergeCell ref="A11:B11"/>
  </mergeCells>
  <pageMargins left="0.7" right="0.7" top="0.75" bottom="0.75" header="0.3" footer="0.3"/>
  <pageSetup paperSize="9"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F71BCA-7DEE-46E2-8909-6EBDDAAA1A46}">
  <dimension ref="A1:B11"/>
  <sheetViews>
    <sheetView workbookViewId="0">
      <selection sqref="A1:B11"/>
    </sheetView>
  </sheetViews>
  <sheetFormatPr defaultRowHeight="15" x14ac:dyDescent="0.25"/>
  <cols>
    <col min="1" max="1" width="24.7109375" bestFit="1" customWidth="1"/>
    <col min="2" max="2" width="13.28515625" customWidth="1"/>
  </cols>
  <sheetData>
    <row r="1" spans="1:2" ht="15.75" x14ac:dyDescent="0.25">
      <c r="A1" s="101" t="s">
        <v>78</v>
      </c>
      <c r="B1" s="102"/>
    </row>
    <row r="2" spans="1:2" ht="15" customHeight="1" x14ac:dyDescent="0.25">
      <c r="A2" s="103" t="s">
        <v>79</v>
      </c>
      <c r="B2" s="104"/>
    </row>
    <row r="3" spans="1:2" ht="40.5" customHeight="1" x14ac:dyDescent="0.25">
      <c r="A3" s="105"/>
      <c r="B3" s="106"/>
    </row>
    <row r="4" spans="1:2" ht="15" customHeight="1" x14ac:dyDescent="0.25">
      <c r="A4" s="105"/>
      <c r="B4" s="106"/>
    </row>
    <row r="5" spans="1:2" ht="48.75" customHeight="1" x14ac:dyDescent="0.25">
      <c r="A5" s="105"/>
      <c r="B5" s="106"/>
    </row>
    <row r="6" spans="1:2" ht="15" customHeight="1" x14ac:dyDescent="0.25">
      <c r="A6" s="107"/>
      <c r="B6" s="108"/>
    </row>
    <row r="7" spans="1:2" ht="15" customHeight="1" x14ac:dyDescent="0.25">
      <c r="A7" s="10" t="s">
        <v>80</v>
      </c>
      <c r="B7" s="10">
        <v>43</v>
      </c>
    </row>
    <row r="8" spans="1:2" ht="15" customHeight="1" x14ac:dyDescent="0.25">
      <c r="A8" s="10" t="s">
        <v>4</v>
      </c>
      <c r="B8" s="33">
        <v>0.11</v>
      </c>
    </row>
    <row r="9" spans="1:2" ht="15" customHeight="1" x14ac:dyDescent="0.25">
      <c r="A9" s="10" t="s">
        <v>81</v>
      </c>
      <c r="B9" s="15">
        <v>19235.5</v>
      </c>
    </row>
    <row r="10" spans="1:2" ht="15" customHeight="1" x14ac:dyDescent="0.25">
      <c r="A10" s="10" t="s">
        <v>82</v>
      </c>
      <c r="B10" s="15">
        <f>-PMT(B8/12,B7,,B9)</f>
        <v>366.97235434140907</v>
      </c>
    </row>
    <row r="11" spans="1:2" ht="15" customHeight="1" x14ac:dyDescent="0.25">
      <c r="A11" s="93" t="s">
        <v>72</v>
      </c>
      <c r="B11" s="94"/>
    </row>
  </sheetData>
  <mergeCells count="3">
    <mergeCell ref="A1:B1"/>
    <mergeCell ref="A2:B6"/>
    <mergeCell ref="A11:B11"/>
  </mergeCells>
  <pageMargins left="0.7" right="0.7" top="0.75" bottom="0.75" header="0.3" footer="0.3"/>
  <pageSetup paperSize="9"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A0C79E-6E60-4290-9653-754C5049B338}">
  <dimension ref="A1:C17"/>
  <sheetViews>
    <sheetView topLeftCell="A5" workbookViewId="0">
      <selection sqref="A1:C17"/>
    </sheetView>
  </sheetViews>
  <sheetFormatPr defaultRowHeight="15" x14ac:dyDescent="0.25"/>
  <cols>
    <col min="1" max="1" width="20.140625" customWidth="1"/>
    <col min="2" max="2" width="23.42578125" customWidth="1"/>
    <col min="3" max="3" width="15" bestFit="1" customWidth="1"/>
  </cols>
  <sheetData>
    <row r="1" spans="1:3" ht="15.75" x14ac:dyDescent="0.25">
      <c r="A1" s="101" t="s">
        <v>92</v>
      </c>
      <c r="B1" s="102"/>
    </row>
    <row r="2" spans="1:3" x14ac:dyDescent="0.25">
      <c r="A2" s="103" t="s">
        <v>86</v>
      </c>
      <c r="B2" s="104"/>
    </row>
    <row r="3" spans="1:3" x14ac:dyDescent="0.25">
      <c r="A3" s="105"/>
      <c r="B3" s="106"/>
    </row>
    <row r="4" spans="1:3" ht="36" customHeight="1" x14ac:dyDescent="0.25">
      <c r="A4" s="105"/>
      <c r="B4" s="106"/>
    </row>
    <row r="5" spans="1:3" ht="36.75" customHeight="1" x14ac:dyDescent="0.25">
      <c r="A5" s="105"/>
      <c r="B5" s="106"/>
    </row>
    <row r="6" spans="1:3" ht="54" customHeight="1" x14ac:dyDescent="0.25">
      <c r="A6" s="107"/>
      <c r="B6" s="108"/>
    </row>
    <row r="7" spans="1:3" ht="15.75" x14ac:dyDescent="0.25">
      <c r="A7" s="34" t="s">
        <v>83</v>
      </c>
      <c r="B7" s="34" t="s">
        <v>84</v>
      </c>
      <c r="C7" s="34" t="s">
        <v>85</v>
      </c>
    </row>
    <row r="8" spans="1:3" ht="15.75" x14ac:dyDescent="0.25">
      <c r="A8" s="34">
        <v>1</v>
      </c>
      <c r="B8" s="34">
        <v>-10000</v>
      </c>
      <c r="C8" s="34">
        <v>1000</v>
      </c>
    </row>
    <row r="9" spans="1:3" ht="15.75" x14ac:dyDescent="0.25">
      <c r="A9" s="34">
        <v>2</v>
      </c>
      <c r="B9" s="34">
        <v>-15000</v>
      </c>
      <c r="C9" s="34">
        <v>1000</v>
      </c>
    </row>
    <row r="10" spans="1:3" ht="15.75" x14ac:dyDescent="0.25">
      <c r="A10" s="34">
        <v>3</v>
      </c>
      <c r="B10" s="34">
        <v>-10000</v>
      </c>
      <c r="C10" s="34">
        <v>15000</v>
      </c>
    </row>
    <row r="11" spans="1:3" ht="15.75" x14ac:dyDescent="0.25">
      <c r="A11" s="34">
        <v>4</v>
      </c>
      <c r="B11" s="34">
        <v>-5000</v>
      </c>
      <c r="C11" s="34">
        <v>15000</v>
      </c>
    </row>
    <row r="12" spans="1:3" ht="15.75" x14ac:dyDescent="0.25">
      <c r="A12" s="34">
        <v>5</v>
      </c>
      <c r="B12" s="34">
        <v>-1000</v>
      </c>
      <c r="C12" s="34">
        <v>16000</v>
      </c>
    </row>
    <row r="13" spans="1:3" ht="15.75" x14ac:dyDescent="0.25">
      <c r="A13" s="10" t="s">
        <v>87</v>
      </c>
      <c r="B13" s="35">
        <v>0.12</v>
      </c>
    </row>
    <row r="14" spans="1:3" ht="15.75" x14ac:dyDescent="0.25">
      <c r="A14" s="10" t="s">
        <v>88</v>
      </c>
      <c r="B14" s="33">
        <v>0.08</v>
      </c>
    </row>
    <row r="15" spans="1:3" ht="31.5" x14ac:dyDescent="0.25">
      <c r="A15" s="10" t="s">
        <v>89</v>
      </c>
      <c r="B15" s="15">
        <f>NPV(B13/2,B8+C8,B9+C9,B10+C10,B11+C11,B12+C12)</f>
        <v>2377.3894425973626</v>
      </c>
    </row>
    <row r="16" spans="1:3" ht="47.25" x14ac:dyDescent="0.25">
      <c r="A16" s="10" t="s">
        <v>90</v>
      </c>
      <c r="B16" s="15">
        <f>NPV(B14/2,B8+C8,B9+C9,B10+C10,B11+C11,B12+C12)</f>
        <v>3724.2971689474293</v>
      </c>
      <c r="C16" s="15" t="str">
        <f>IF(B16&gt;0,"отже,доцільно","недоцільно")</f>
        <v>отже,доцільно</v>
      </c>
    </row>
    <row r="17" spans="1:2" ht="15.75" x14ac:dyDescent="0.25">
      <c r="A17" s="93" t="s">
        <v>91</v>
      </c>
      <c r="B17" s="94"/>
    </row>
  </sheetData>
  <mergeCells count="3">
    <mergeCell ref="A1:B1"/>
    <mergeCell ref="A2:B6"/>
    <mergeCell ref="A17:B17"/>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3882CC-2C90-457D-A17F-6FFF00185235}">
  <dimension ref="A1:B13"/>
  <sheetViews>
    <sheetView topLeftCell="A5" workbookViewId="0">
      <selection activeCell="K9" sqref="K9"/>
    </sheetView>
  </sheetViews>
  <sheetFormatPr defaultRowHeight="15" x14ac:dyDescent="0.25"/>
  <cols>
    <col min="1" max="1" width="16.140625" customWidth="1"/>
    <col min="2" max="2" width="35.7109375" customWidth="1"/>
  </cols>
  <sheetData>
    <row r="1" spans="1:2" ht="15.75" x14ac:dyDescent="0.25">
      <c r="A1" s="101" t="s">
        <v>93</v>
      </c>
      <c r="B1" s="102"/>
    </row>
    <row r="2" spans="1:2" ht="27.75" customHeight="1" x14ac:dyDescent="0.25">
      <c r="A2" s="103" t="s">
        <v>94</v>
      </c>
      <c r="B2" s="104"/>
    </row>
    <row r="3" spans="1:2" ht="52.5" customHeight="1" x14ac:dyDescent="0.25">
      <c r="A3" s="105"/>
      <c r="B3" s="106"/>
    </row>
    <row r="4" spans="1:2" ht="51" customHeight="1" x14ac:dyDescent="0.25">
      <c r="A4" s="105"/>
      <c r="B4" s="106"/>
    </row>
    <row r="5" spans="1:2" ht="27.75" customHeight="1" x14ac:dyDescent="0.25">
      <c r="A5" s="105"/>
      <c r="B5" s="106"/>
    </row>
    <row r="6" spans="1:2" ht="42" customHeight="1" x14ac:dyDescent="0.25">
      <c r="A6" s="107"/>
      <c r="B6" s="108"/>
    </row>
    <row r="7" spans="1:2" ht="15.75" x14ac:dyDescent="0.25">
      <c r="A7" s="10" t="s">
        <v>95</v>
      </c>
      <c r="B7" s="15">
        <v>5000</v>
      </c>
    </row>
    <row r="8" spans="1:2" ht="15.75" x14ac:dyDescent="0.25">
      <c r="A8" s="10" t="s">
        <v>96</v>
      </c>
      <c r="B8" s="36">
        <v>3</v>
      </c>
    </row>
    <row r="9" spans="1:2" ht="31.5" x14ac:dyDescent="0.25">
      <c r="A9" s="10" t="s">
        <v>97</v>
      </c>
      <c r="B9" s="15">
        <v>-180</v>
      </c>
    </row>
    <row r="10" spans="1:2" ht="47.25" x14ac:dyDescent="0.25">
      <c r="A10" s="10" t="s">
        <v>98</v>
      </c>
      <c r="B10" s="11">
        <f>RATE(B8*12,B9,B7,,0)*12</f>
        <v>0.17695845932850829</v>
      </c>
    </row>
    <row r="11" spans="1:2" ht="47.25" x14ac:dyDescent="0.25">
      <c r="A11" s="37" t="s">
        <v>99</v>
      </c>
      <c r="B11" s="11">
        <v>0.23</v>
      </c>
    </row>
    <row r="12" spans="1:2" ht="63" x14ac:dyDescent="0.25">
      <c r="A12" s="10" t="s">
        <v>100</v>
      </c>
      <c r="B12" s="38" t="str">
        <f>IF(B10&lt;B11,"Ні","Так")</f>
        <v>Ні</v>
      </c>
    </row>
    <row r="13" spans="1:2" ht="15.75" x14ac:dyDescent="0.25">
      <c r="A13" s="93" t="s">
        <v>101</v>
      </c>
      <c r="B13" s="94"/>
    </row>
  </sheetData>
  <mergeCells count="3">
    <mergeCell ref="A1:B1"/>
    <mergeCell ref="A2:B6"/>
    <mergeCell ref="A13:B13"/>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9BFC2D-16BE-4CCB-B021-480AC3A1C24E}">
  <dimension ref="A1:D15"/>
  <sheetViews>
    <sheetView topLeftCell="A4" workbookViewId="0">
      <selection activeCell="A13" sqref="A13:D15"/>
    </sheetView>
  </sheetViews>
  <sheetFormatPr defaultRowHeight="15" x14ac:dyDescent="0.25"/>
  <cols>
    <col min="1" max="1" width="37.42578125" customWidth="1"/>
    <col min="2" max="2" width="25.7109375" customWidth="1"/>
    <col min="4" max="4" width="16.140625" bestFit="1" customWidth="1"/>
  </cols>
  <sheetData>
    <row r="1" spans="1:4" ht="15.75" x14ac:dyDescent="0.25">
      <c r="A1" s="101" t="s">
        <v>102</v>
      </c>
      <c r="B1" s="102"/>
    </row>
    <row r="2" spans="1:4" ht="69.75" customHeight="1" x14ac:dyDescent="0.25">
      <c r="A2" s="103" t="s">
        <v>103</v>
      </c>
      <c r="B2" s="104"/>
    </row>
    <row r="3" spans="1:4" ht="84" customHeight="1" x14ac:dyDescent="0.25">
      <c r="A3" s="105"/>
      <c r="B3" s="106"/>
    </row>
    <row r="4" spans="1:4" ht="111.75" customHeight="1" x14ac:dyDescent="0.25">
      <c r="A4" s="105"/>
      <c r="B4" s="106"/>
    </row>
    <row r="5" spans="1:4" ht="36.75" customHeight="1" x14ac:dyDescent="0.25">
      <c r="A5" s="105"/>
      <c r="B5" s="106"/>
    </row>
    <row r="6" spans="1:4" ht="10.5" customHeight="1" x14ac:dyDescent="0.25">
      <c r="A6" s="107"/>
      <c r="B6" s="108"/>
    </row>
    <row r="7" spans="1:4" ht="15.75" x14ac:dyDescent="0.25">
      <c r="A7" s="41" t="s">
        <v>104</v>
      </c>
      <c r="B7" s="41" t="s">
        <v>105</v>
      </c>
    </row>
    <row r="8" spans="1:4" ht="15.75" x14ac:dyDescent="0.25">
      <c r="A8" s="42">
        <v>1</v>
      </c>
      <c r="B8" s="39">
        <v>-25000000</v>
      </c>
    </row>
    <row r="9" spans="1:4" ht="15.75" x14ac:dyDescent="0.25">
      <c r="A9" s="42">
        <v>2</v>
      </c>
      <c r="B9" s="39">
        <v>-15000000</v>
      </c>
    </row>
    <row r="10" spans="1:4" ht="15.75" x14ac:dyDescent="0.25">
      <c r="A10" s="42">
        <v>3</v>
      </c>
      <c r="B10" s="39">
        <v>10000000</v>
      </c>
    </row>
    <row r="11" spans="1:4" ht="15.75" x14ac:dyDescent="0.25">
      <c r="A11" s="42">
        <v>4</v>
      </c>
      <c r="B11" s="39">
        <v>90000000</v>
      </c>
    </row>
    <row r="12" spans="1:4" ht="19.5" customHeight="1" x14ac:dyDescent="0.25">
      <c r="A12" s="42">
        <v>5</v>
      </c>
      <c r="B12" s="39">
        <v>25000000</v>
      </c>
    </row>
    <row r="13" spans="1:4" ht="20.25" customHeight="1" x14ac:dyDescent="0.25">
      <c r="A13" s="109" t="s">
        <v>106</v>
      </c>
      <c r="B13" s="110"/>
      <c r="C13" s="111"/>
      <c r="D13" s="40">
        <f>NPV(,B8:B12)</f>
        <v>85000000</v>
      </c>
    </row>
    <row r="14" spans="1:4" ht="15.75" x14ac:dyDescent="0.25">
      <c r="A14" s="109" t="s">
        <v>107</v>
      </c>
      <c r="B14" s="110"/>
      <c r="C14" s="111"/>
      <c r="D14" s="9">
        <f>IRR(B8:B12)</f>
        <v>0.5163337915576196</v>
      </c>
    </row>
    <row r="15" spans="1:4" ht="15.75" x14ac:dyDescent="0.25">
      <c r="A15" s="90" t="s">
        <v>108</v>
      </c>
      <c r="B15" s="90"/>
      <c r="C15" s="90"/>
      <c r="D15" s="90"/>
    </row>
  </sheetData>
  <mergeCells count="5">
    <mergeCell ref="A1:B1"/>
    <mergeCell ref="A2:B6"/>
    <mergeCell ref="A13:C13"/>
    <mergeCell ref="A14:C14"/>
    <mergeCell ref="A15:D15"/>
  </mergeCells>
  <pageMargins left="0.7" right="0.7" top="0.75" bottom="0.75" header="0.3" footer="0.3"/>
  <pageSetup paperSize="9"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0467E-9146-4230-AA4A-EDA8A881A677}">
  <dimension ref="A1:B11"/>
  <sheetViews>
    <sheetView workbookViewId="0">
      <selection sqref="A1:B11"/>
    </sheetView>
  </sheetViews>
  <sheetFormatPr defaultRowHeight="15" x14ac:dyDescent="0.25"/>
  <cols>
    <col min="1" max="1" width="19.7109375" customWidth="1"/>
    <col min="2" max="2" width="28" customWidth="1"/>
  </cols>
  <sheetData>
    <row r="1" spans="1:2" ht="15.75" x14ac:dyDescent="0.25">
      <c r="A1" s="101" t="s">
        <v>109</v>
      </c>
      <c r="B1" s="102"/>
    </row>
    <row r="2" spans="1:2" ht="28.5" customHeight="1" x14ac:dyDescent="0.25">
      <c r="A2" s="103" t="s">
        <v>110</v>
      </c>
      <c r="B2" s="104"/>
    </row>
    <row r="3" spans="1:2" ht="30" customHeight="1" x14ac:dyDescent="0.25">
      <c r="A3" s="105"/>
      <c r="B3" s="106"/>
    </row>
    <row r="4" spans="1:2" ht="29.25" customHeight="1" x14ac:dyDescent="0.25">
      <c r="A4" s="105"/>
      <c r="B4" s="106"/>
    </row>
    <row r="5" spans="1:2" ht="27" customHeight="1" x14ac:dyDescent="0.25">
      <c r="A5" s="105"/>
      <c r="B5" s="106"/>
    </row>
    <row r="6" spans="1:2" ht="27.75" customHeight="1" x14ac:dyDescent="0.25">
      <c r="A6" s="107"/>
      <c r="B6" s="108"/>
    </row>
    <row r="7" spans="1:2" ht="15.75" x14ac:dyDescent="0.25">
      <c r="A7" s="10" t="s">
        <v>111</v>
      </c>
      <c r="B7" s="15">
        <v>-400</v>
      </c>
    </row>
    <row r="8" spans="1:2" ht="15.75" x14ac:dyDescent="0.25">
      <c r="A8" s="10" t="s">
        <v>96</v>
      </c>
      <c r="B8" s="36">
        <v>25</v>
      </c>
    </row>
    <row r="9" spans="1:2" ht="15.75" x14ac:dyDescent="0.25">
      <c r="A9" s="10" t="s">
        <v>12</v>
      </c>
      <c r="B9" s="11">
        <v>0.12</v>
      </c>
    </row>
    <row r="10" spans="1:2" ht="15.75" x14ac:dyDescent="0.25">
      <c r="A10" s="10" t="s">
        <v>112</v>
      </c>
      <c r="B10" s="15">
        <f>PV(B9/12,B8*12,B7)</f>
        <v>37978.620501935249</v>
      </c>
    </row>
    <row r="11" spans="1:2" ht="15.75" x14ac:dyDescent="0.25">
      <c r="A11" s="93" t="s">
        <v>76</v>
      </c>
      <c r="B11" s="94"/>
    </row>
  </sheetData>
  <mergeCells count="3">
    <mergeCell ref="A1:B1"/>
    <mergeCell ref="A2:B6"/>
    <mergeCell ref="A11:B11"/>
  </mergeCell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CECD28-85FC-412A-ADB8-1ABAE86B05E8}">
  <dimension ref="A1:C22"/>
  <sheetViews>
    <sheetView workbookViewId="0">
      <selection activeCell="C22" sqref="A1:C22"/>
    </sheetView>
  </sheetViews>
  <sheetFormatPr defaultRowHeight="15" x14ac:dyDescent="0.25"/>
  <cols>
    <col min="1" max="1" width="35.42578125" customWidth="1"/>
    <col min="2" max="2" width="38.5703125" customWidth="1"/>
  </cols>
  <sheetData>
    <row r="1" spans="1:3" ht="15.75" x14ac:dyDescent="0.25">
      <c r="A1" s="101" t="s">
        <v>113</v>
      </c>
      <c r="B1" s="102"/>
    </row>
    <row r="2" spans="1:3" ht="26.25" customHeight="1" x14ac:dyDescent="0.25">
      <c r="A2" s="103" t="s">
        <v>114</v>
      </c>
      <c r="B2" s="104"/>
    </row>
    <row r="3" spans="1:3" ht="28.5" customHeight="1" x14ac:dyDescent="0.25">
      <c r="A3" s="105"/>
      <c r="B3" s="106"/>
    </row>
    <row r="4" spans="1:3" ht="52.5" customHeight="1" x14ac:dyDescent="0.25">
      <c r="A4" s="105"/>
      <c r="B4" s="106"/>
    </row>
    <row r="5" spans="1:3" ht="65.25" customHeight="1" x14ac:dyDescent="0.25">
      <c r="A5" s="105"/>
      <c r="B5" s="106"/>
    </row>
    <row r="6" spans="1:3" ht="66.75" customHeight="1" x14ac:dyDescent="0.25">
      <c r="A6" s="107"/>
      <c r="B6" s="108"/>
    </row>
    <row r="7" spans="1:3" ht="15.75" x14ac:dyDescent="0.25">
      <c r="A7" s="10" t="s">
        <v>115</v>
      </c>
      <c r="B7" s="11">
        <v>0.18</v>
      </c>
    </row>
    <row r="8" spans="1:3" ht="15.75" x14ac:dyDescent="0.25">
      <c r="A8" s="10" t="s">
        <v>116</v>
      </c>
      <c r="B8" s="33">
        <v>0.14000000000000001</v>
      </c>
    </row>
    <row r="9" spans="1:3" ht="15.75" x14ac:dyDescent="0.25">
      <c r="A9" s="10" t="s">
        <v>12</v>
      </c>
      <c r="B9" s="11">
        <v>0.12</v>
      </c>
    </row>
    <row r="10" spans="1:3" ht="15.75" x14ac:dyDescent="0.25">
      <c r="A10" s="10" t="s">
        <v>117</v>
      </c>
      <c r="B10" s="43">
        <v>40514</v>
      </c>
    </row>
    <row r="11" spans="1:3" ht="15.75" x14ac:dyDescent="0.25">
      <c r="A11" s="10" t="s">
        <v>118</v>
      </c>
      <c r="B11" s="43">
        <v>40695</v>
      </c>
    </row>
    <row r="12" spans="1:3" ht="15.75" x14ac:dyDescent="0.25">
      <c r="A12" s="10" t="s">
        <v>119</v>
      </c>
      <c r="B12" s="15">
        <v>1000</v>
      </c>
    </row>
    <row r="13" spans="1:3" ht="15.75" x14ac:dyDescent="0.25">
      <c r="A13" s="10" t="s">
        <v>120</v>
      </c>
      <c r="B13" s="11">
        <v>0.09</v>
      </c>
    </row>
    <row r="14" spans="1:3" ht="15.75" x14ac:dyDescent="0.25">
      <c r="A14" s="10" t="s">
        <v>121</v>
      </c>
      <c r="B14" s="15">
        <f>PRICE(B10,B11,B9/4,B7,B12,4)</f>
        <v>917.57477733409348</v>
      </c>
    </row>
    <row r="15" spans="1:3" ht="15.75" x14ac:dyDescent="0.25">
      <c r="A15" s="10" t="s">
        <v>122</v>
      </c>
      <c r="B15" s="15">
        <v>899</v>
      </c>
      <c r="C15" s="44" t="str">
        <f>IF(YIELD(B10,B11,B13/4,B15,B12,4)&gt;B8,"Так","Ні")</f>
        <v>Так</v>
      </c>
    </row>
    <row r="16" spans="1:3" ht="15.75" x14ac:dyDescent="0.25">
      <c r="A16" s="10" t="s">
        <v>117</v>
      </c>
      <c r="B16" s="43">
        <v>40514</v>
      </c>
    </row>
    <row r="17" spans="1:3" ht="15.75" x14ac:dyDescent="0.25">
      <c r="A17" s="10" t="s">
        <v>118</v>
      </c>
      <c r="B17" s="43">
        <v>40544</v>
      </c>
    </row>
    <row r="18" spans="1:3" ht="15.75" x14ac:dyDescent="0.25">
      <c r="A18" s="10" t="s">
        <v>119</v>
      </c>
      <c r="B18" s="15">
        <v>2000</v>
      </c>
    </row>
    <row r="19" spans="1:3" ht="15.75" x14ac:dyDescent="0.25">
      <c r="A19" s="10" t="s">
        <v>120</v>
      </c>
      <c r="B19" s="11">
        <v>7.0000000000000007E-2</v>
      </c>
    </row>
    <row r="20" spans="1:3" ht="15.75" x14ac:dyDescent="0.25">
      <c r="A20" s="10" t="s">
        <v>121</v>
      </c>
      <c r="B20" s="15">
        <f>PRICE(B16,B17,B19/2,B7,B18,2)</f>
        <v>1971.6714220196047</v>
      </c>
    </row>
    <row r="21" spans="1:3" ht="15.75" x14ac:dyDescent="0.25">
      <c r="A21" s="10" t="s">
        <v>122</v>
      </c>
      <c r="B21" s="15">
        <v>848</v>
      </c>
      <c r="C21" s="44" t="str">
        <f>IF(YIELD(B16,B17,B19/2,B21,B18,2)&gt;B8,"Так","Ні")</f>
        <v>Так</v>
      </c>
    </row>
    <row r="22" spans="1:3" ht="15.75" x14ac:dyDescent="0.25">
      <c r="A22" s="93" t="s">
        <v>123</v>
      </c>
      <c r="B22" s="94"/>
    </row>
  </sheetData>
  <mergeCells count="3">
    <mergeCell ref="A1:B1"/>
    <mergeCell ref="A2:B6"/>
    <mergeCell ref="A22:B22"/>
  </mergeCells>
  <pageMargins left="0.7" right="0.7" top="0.75" bottom="0.75" header="0.3" footer="0.3"/>
  <pageSetup paperSize="9"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99D310-C2D5-4DB5-A0A4-2F621220503D}">
  <dimension ref="A1:C27"/>
  <sheetViews>
    <sheetView topLeftCell="A8" workbookViewId="0">
      <selection activeCell="N6" sqref="N6:X12"/>
    </sheetView>
  </sheetViews>
  <sheetFormatPr defaultRowHeight="15" x14ac:dyDescent="0.25"/>
  <cols>
    <col min="1" max="1" width="26" bestFit="1" customWidth="1"/>
    <col min="2" max="2" width="45.85546875" customWidth="1"/>
    <col min="3" max="3" width="22.42578125" customWidth="1"/>
  </cols>
  <sheetData>
    <row r="1" spans="1:2" ht="15.75" x14ac:dyDescent="0.25">
      <c r="A1" s="101" t="s">
        <v>140</v>
      </c>
      <c r="B1" s="102"/>
    </row>
    <row r="2" spans="1:2" x14ac:dyDescent="0.25">
      <c r="A2" s="103" t="s">
        <v>124</v>
      </c>
      <c r="B2" s="104"/>
    </row>
    <row r="3" spans="1:2" ht="71.25" customHeight="1" x14ac:dyDescent="0.25">
      <c r="A3" s="105"/>
      <c r="B3" s="106"/>
    </row>
    <row r="4" spans="1:2" ht="36.75" customHeight="1" x14ac:dyDescent="0.25">
      <c r="A4" s="105"/>
      <c r="B4" s="106"/>
    </row>
    <row r="5" spans="1:2" ht="65.25" customHeight="1" x14ac:dyDescent="0.25">
      <c r="A5" s="105"/>
      <c r="B5" s="106"/>
    </row>
    <row r="6" spans="1:2" x14ac:dyDescent="0.25">
      <c r="A6" s="107"/>
      <c r="B6" s="108"/>
    </row>
    <row r="7" spans="1:2" ht="15.75" x14ac:dyDescent="0.25">
      <c r="A7" s="10" t="s">
        <v>125</v>
      </c>
      <c r="B7" s="45">
        <v>0.185</v>
      </c>
    </row>
    <row r="8" spans="1:2" ht="15.75" x14ac:dyDescent="0.25">
      <c r="A8" s="10" t="s">
        <v>126</v>
      </c>
      <c r="B8" s="46">
        <v>39542</v>
      </c>
    </row>
    <row r="9" spans="1:2" ht="15.75" x14ac:dyDescent="0.25">
      <c r="A9" s="10" t="s">
        <v>127</v>
      </c>
      <c r="B9" s="15">
        <v>1000</v>
      </c>
    </row>
    <row r="10" spans="1:2" ht="15.75" x14ac:dyDescent="0.25">
      <c r="A10" s="10" t="s">
        <v>128</v>
      </c>
      <c r="B10" s="17">
        <v>24</v>
      </c>
    </row>
    <row r="11" spans="1:2" ht="15.75" x14ac:dyDescent="0.25">
      <c r="A11" s="10" t="s">
        <v>120</v>
      </c>
      <c r="B11" s="47">
        <v>0.17</v>
      </c>
    </row>
    <row r="12" spans="1:2" ht="15.75" x14ac:dyDescent="0.25">
      <c r="A12" s="10" t="s">
        <v>119</v>
      </c>
      <c r="B12" s="15">
        <v>1000</v>
      </c>
    </row>
    <row r="13" spans="1:2" ht="15.75" x14ac:dyDescent="0.25">
      <c r="A13" s="10" t="s">
        <v>129</v>
      </c>
      <c r="B13" s="43">
        <v>39907</v>
      </c>
    </row>
    <row r="14" spans="1:2" ht="15.75" x14ac:dyDescent="0.25">
      <c r="A14" s="10" t="s">
        <v>130</v>
      </c>
      <c r="B14" s="43">
        <v>39602</v>
      </c>
    </row>
    <row r="15" spans="1:2" ht="15.75" x14ac:dyDescent="0.25">
      <c r="A15" s="10" t="s">
        <v>131</v>
      </c>
      <c r="B15" s="15">
        <v>865</v>
      </c>
    </row>
    <row r="16" spans="1:2" ht="15.75" x14ac:dyDescent="0.25">
      <c r="A16" s="10" t="s">
        <v>132</v>
      </c>
      <c r="B16" s="43">
        <v>39587</v>
      </c>
    </row>
    <row r="17" spans="1:3" ht="15.75" x14ac:dyDescent="0.25">
      <c r="A17" s="10" t="s">
        <v>133</v>
      </c>
      <c r="B17" s="15">
        <v>1000</v>
      </c>
    </row>
    <row r="18" spans="1:3" ht="15.75" x14ac:dyDescent="0.25">
      <c r="A18" s="10" t="s">
        <v>134</v>
      </c>
      <c r="B18" s="17">
        <v>24</v>
      </c>
    </row>
    <row r="19" spans="1:3" ht="15.75" x14ac:dyDescent="0.25">
      <c r="A19" s="10" t="s">
        <v>120</v>
      </c>
      <c r="B19" s="11">
        <v>0.15</v>
      </c>
    </row>
    <row r="20" spans="1:3" ht="15.75" x14ac:dyDescent="0.25">
      <c r="A20" s="10" t="s">
        <v>129</v>
      </c>
      <c r="B20" s="43">
        <v>39771</v>
      </c>
    </row>
    <row r="21" spans="1:3" ht="15.75" x14ac:dyDescent="0.25">
      <c r="A21" s="10" t="s">
        <v>130</v>
      </c>
      <c r="B21" s="43">
        <v>39602</v>
      </c>
    </row>
    <row r="22" spans="1:3" ht="15.75" x14ac:dyDescent="0.25">
      <c r="A22" s="48" t="s">
        <v>131</v>
      </c>
      <c r="B22" s="49">
        <v>858</v>
      </c>
    </row>
    <row r="23" spans="1:3" ht="15.75" x14ac:dyDescent="0.25">
      <c r="A23" s="50" t="s">
        <v>135</v>
      </c>
      <c r="B23" s="50"/>
    </row>
    <row r="24" spans="1:3" ht="15.75" x14ac:dyDescent="0.25">
      <c r="A24" s="51" t="s">
        <v>136</v>
      </c>
      <c r="B24" s="51" t="s">
        <v>137</v>
      </c>
      <c r="C24" s="51" t="s">
        <v>138</v>
      </c>
    </row>
    <row r="25" spans="1:3" ht="34.5" customHeight="1" x14ac:dyDescent="0.25">
      <c r="A25" s="52">
        <f>ODDFYIELD(B14,DATE(2010,4,4),B8,B13,B11,B15,B9,2)</f>
        <v>9.8941132632154996E-2</v>
      </c>
      <c r="B25" s="53">
        <v>0.185</v>
      </c>
      <c r="C25" s="52">
        <f>ODDFYIELD(B21,DATE(2010,5,19),B16,B20,B19,B22,B17,4)</f>
        <v>9.5179914497553461E-2</v>
      </c>
    </row>
    <row r="26" spans="1:3" ht="15.75" x14ac:dyDescent="0.25">
      <c r="A26" s="54" t="str">
        <f>IF(MAX(A25,B25,C25)=A25,"Доцільно","Недоцільно")</f>
        <v>Недоцільно</v>
      </c>
      <c r="B26" s="55" t="str">
        <f>IF(MAX(A25,B25,C25)=B25,"Доцільно","Недоцільно")</f>
        <v>Доцільно</v>
      </c>
      <c r="C26" s="54" t="str">
        <f>IF(MAX(A25,B25,C25)=C25,"Доцільно","Недоцільно")</f>
        <v>Недоцільно</v>
      </c>
    </row>
    <row r="27" spans="1:3" ht="15.75" x14ac:dyDescent="0.25">
      <c r="A27" s="112" t="s">
        <v>139</v>
      </c>
      <c r="B27" s="113"/>
    </row>
  </sheetData>
  <mergeCells count="3">
    <mergeCell ref="A1:B1"/>
    <mergeCell ref="A2:B6"/>
    <mergeCell ref="A27:B27"/>
  </mergeCells>
  <pageMargins left="0.7" right="0.7" top="0.75" bottom="0.75" header="0.3" footer="0.3"/>
  <pageSetup paperSize="9"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C5C012-F791-43AB-91A2-E9128E839BD8}">
  <dimension ref="A1:B13"/>
  <sheetViews>
    <sheetView workbookViewId="0">
      <selection activeCell="A13" sqref="A1:B13"/>
    </sheetView>
  </sheetViews>
  <sheetFormatPr defaultRowHeight="15" x14ac:dyDescent="0.25"/>
  <cols>
    <col min="1" max="1" width="24.28515625" customWidth="1"/>
    <col min="2" max="2" width="25.5703125" customWidth="1"/>
  </cols>
  <sheetData>
    <row r="1" spans="1:2" ht="15.75" x14ac:dyDescent="0.25">
      <c r="A1" s="101" t="s">
        <v>141</v>
      </c>
      <c r="B1" s="102"/>
    </row>
    <row r="2" spans="1:2" x14ac:dyDescent="0.25">
      <c r="A2" s="103" t="s">
        <v>142</v>
      </c>
      <c r="B2" s="104"/>
    </row>
    <row r="3" spans="1:2" ht="38.25" customHeight="1" x14ac:dyDescent="0.25">
      <c r="A3" s="105"/>
      <c r="B3" s="106"/>
    </row>
    <row r="4" spans="1:2" x14ac:dyDescent="0.25">
      <c r="A4" s="105"/>
      <c r="B4" s="106"/>
    </row>
    <row r="5" spans="1:2" x14ac:dyDescent="0.25">
      <c r="A5" s="105"/>
      <c r="B5" s="106"/>
    </row>
    <row r="6" spans="1:2" ht="36" customHeight="1" x14ac:dyDescent="0.25">
      <c r="A6" s="107"/>
      <c r="B6" s="108"/>
    </row>
    <row r="7" spans="1:2" ht="15.75" x14ac:dyDescent="0.25">
      <c r="A7" s="10" t="s">
        <v>95</v>
      </c>
      <c r="B7" s="23">
        <v>50000</v>
      </c>
    </row>
    <row r="8" spans="1:2" ht="15.75" x14ac:dyDescent="0.25">
      <c r="A8" s="10" t="s">
        <v>96</v>
      </c>
      <c r="B8" s="36">
        <v>20</v>
      </c>
    </row>
    <row r="9" spans="1:2" ht="15.75" x14ac:dyDescent="0.25">
      <c r="A9" s="10" t="s">
        <v>4</v>
      </c>
      <c r="B9" s="11">
        <v>0.12</v>
      </c>
    </row>
    <row r="10" spans="1:2" ht="15.75" x14ac:dyDescent="0.25">
      <c r="A10" s="10" t="s">
        <v>143</v>
      </c>
      <c r="B10" s="23">
        <v>8000</v>
      </c>
    </row>
    <row r="11" spans="1:2" ht="31.5" x14ac:dyDescent="0.25">
      <c r="A11" s="10" t="s">
        <v>144</v>
      </c>
      <c r="B11" s="57">
        <f>-PMT(B9/12,B8*12,B7)</f>
        <v>550.54306678480498</v>
      </c>
    </row>
    <row r="12" spans="1:2" ht="15.75" x14ac:dyDescent="0.25">
      <c r="A12" s="10" t="s">
        <v>145</v>
      </c>
      <c r="B12" s="58">
        <f>NPER(B9/12,-B11,-FV(B9/12,60,-B11,B7)-B10,0)/12+5</f>
        <v>14.752184004852024</v>
      </c>
    </row>
    <row r="13" spans="1:2" ht="15.75" x14ac:dyDescent="0.25">
      <c r="A13" s="112" t="s">
        <v>146</v>
      </c>
      <c r="B13" s="113"/>
    </row>
  </sheetData>
  <mergeCells count="3">
    <mergeCell ref="A1:B1"/>
    <mergeCell ref="A2:B6"/>
    <mergeCell ref="A13:B13"/>
  </mergeCells>
  <pageMargins left="0.7" right="0.7" top="0.75" bottom="0.75" header="0.3" footer="0.3"/>
  <pageSetup paperSize="9"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13EA2A-FE47-4765-B54C-FF80D6D13831}">
  <dimension ref="A1:B15"/>
  <sheetViews>
    <sheetView workbookViewId="0">
      <selection activeCell="A15" sqref="A1:B15"/>
    </sheetView>
  </sheetViews>
  <sheetFormatPr defaultRowHeight="15" x14ac:dyDescent="0.25"/>
  <cols>
    <col min="1" max="1" width="21" customWidth="1"/>
    <col min="2" max="2" width="17.42578125" customWidth="1"/>
  </cols>
  <sheetData>
    <row r="1" spans="1:2" ht="15.75" x14ac:dyDescent="0.25">
      <c r="A1" s="101" t="s">
        <v>147</v>
      </c>
      <c r="B1" s="102"/>
    </row>
    <row r="2" spans="1:2" ht="37.5" customHeight="1" x14ac:dyDescent="0.25">
      <c r="A2" s="103" t="s">
        <v>148</v>
      </c>
      <c r="B2" s="104"/>
    </row>
    <row r="3" spans="1:2" x14ac:dyDescent="0.25">
      <c r="A3" s="105"/>
      <c r="B3" s="106"/>
    </row>
    <row r="4" spans="1:2" ht="30" customHeight="1" x14ac:dyDescent="0.25">
      <c r="A4" s="105"/>
      <c r="B4" s="106"/>
    </row>
    <row r="5" spans="1:2" ht="32.25" customHeight="1" x14ac:dyDescent="0.25">
      <c r="A5" s="105"/>
      <c r="B5" s="106"/>
    </row>
    <row r="6" spans="1:2" ht="27.75" customHeight="1" x14ac:dyDescent="0.25">
      <c r="A6" s="107"/>
      <c r="B6" s="108"/>
    </row>
    <row r="7" spans="1:2" ht="15.75" x14ac:dyDescent="0.25">
      <c r="A7" s="10" t="s">
        <v>97</v>
      </c>
      <c r="B7" s="49">
        <v>-170</v>
      </c>
    </row>
    <row r="8" spans="1:2" ht="15.75" x14ac:dyDescent="0.25">
      <c r="A8" s="10" t="s">
        <v>4</v>
      </c>
      <c r="B8" s="64">
        <v>4.4999999999999998E-2</v>
      </c>
    </row>
    <row r="9" spans="1:2" ht="15.75" x14ac:dyDescent="0.25">
      <c r="A9" s="10" t="s">
        <v>149</v>
      </c>
      <c r="B9" s="17">
        <v>35</v>
      </c>
    </row>
    <row r="10" spans="1:2" ht="31.5" x14ac:dyDescent="0.25">
      <c r="A10" s="60" t="s">
        <v>150</v>
      </c>
      <c r="B10" s="61">
        <f>FV(B8/12,B9*12,B7,1)</f>
        <v>173011.31610476621</v>
      </c>
    </row>
    <row r="11" spans="1:2" ht="31.5" customHeight="1" x14ac:dyDescent="0.25">
      <c r="A11" s="114" t="s">
        <v>151</v>
      </c>
      <c r="B11" s="115"/>
    </row>
    <row r="12" spans="1:2" ht="15.75" x14ac:dyDescent="0.25">
      <c r="A12" s="62">
        <v>0.04</v>
      </c>
      <c r="B12" s="61">
        <f>FV(A12/12,B9*12,B7,1)</f>
        <v>155330.21351353324</v>
      </c>
    </row>
    <row r="13" spans="1:2" ht="15.75" x14ac:dyDescent="0.25">
      <c r="A13" s="63">
        <v>0.05</v>
      </c>
      <c r="B13" s="61">
        <f>FV(A13/12,B9*12,B7,1)</f>
        <v>193129.97858111406</v>
      </c>
    </row>
    <row r="14" spans="1:2" ht="15.75" x14ac:dyDescent="0.25">
      <c r="A14" s="63">
        <v>0.11</v>
      </c>
      <c r="B14" s="61">
        <f>FV(A14/12,B9*12,B7,1)</f>
        <v>837764.20656953519</v>
      </c>
    </row>
    <row r="15" spans="1:2" ht="15.75" x14ac:dyDescent="0.25">
      <c r="A15" s="112" t="s">
        <v>152</v>
      </c>
      <c r="B15" s="113"/>
    </row>
  </sheetData>
  <mergeCells count="4">
    <mergeCell ref="A1:B1"/>
    <mergeCell ref="A2:B6"/>
    <mergeCell ref="A15:B15"/>
    <mergeCell ref="A11:B11"/>
  </mergeCells>
  <pageMargins left="0.7" right="0.7" top="0.75" bottom="0.75" header="0.3" footer="0.3"/>
  <pageSetup paperSize="9" orientation="portrait"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7438FD-9534-4F70-8D40-B77D8A6A5489}">
  <dimension ref="A1:B12"/>
  <sheetViews>
    <sheetView workbookViewId="0">
      <selection sqref="A1:B12"/>
    </sheetView>
  </sheetViews>
  <sheetFormatPr defaultRowHeight="15" x14ac:dyDescent="0.25"/>
  <cols>
    <col min="1" max="1" width="17.7109375" customWidth="1"/>
    <col min="2" max="2" width="24.140625" customWidth="1"/>
  </cols>
  <sheetData>
    <row r="1" spans="1:2" ht="15.75" x14ac:dyDescent="0.25">
      <c r="A1" s="101" t="s">
        <v>154</v>
      </c>
      <c r="B1" s="102"/>
    </row>
    <row r="2" spans="1:2" x14ac:dyDescent="0.25">
      <c r="A2" s="103" t="s">
        <v>153</v>
      </c>
      <c r="B2" s="104"/>
    </row>
    <row r="3" spans="1:2" x14ac:dyDescent="0.25">
      <c r="A3" s="105"/>
      <c r="B3" s="106"/>
    </row>
    <row r="4" spans="1:2" ht="96.75" customHeight="1" x14ac:dyDescent="0.25">
      <c r="A4" s="105"/>
      <c r="B4" s="106"/>
    </row>
    <row r="5" spans="1:2" x14ac:dyDescent="0.25">
      <c r="A5" s="105"/>
      <c r="B5" s="106"/>
    </row>
    <row r="6" spans="1:2" x14ac:dyDescent="0.25">
      <c r="A6" s="107"/>
      <c r="B6" s="108"/>
    </row>
    <row r="7" spans="1:2" ht="31.5" x14ac:dyDescent="0.25">
      <c r="A7" s="10" t="s">
        <v>155</v>
      </c>
      <c r="B7" s="65">
        <v>15000</v>
      </c>
    </row>
    <row r="8" spans="1:2" ht="15.75" x14ac:dyDescent="0.25">
      <c r="A8" s="10" t="s">
        <v>11</v>
      </c>
      <c r="B8" s="59">
        <v>4</v>
      </c>
    </row>
    <row r="9" spans="1:2" ht="15.75" x14ac:dyDescent="0.25">
      <c r="A9" s="10" t="s">
        <v>4</v>
      </c>
      <c r="B9" s="11">
        <v>0.09</v>
      </c>
    </row>
    <row r="10" spans="1:2" ht="47.25" x14ac:dyDescent="0.25">
      <c r="A10" s="10" t="s">
        <v>156</v>
      </c>
      <c r="B10" s="17">
        <v>7</v>
      </c>
    </row>
    <row r="11" spans="1:2" ht="31.5" x14ac:dyDescent="0.25">
      <c r="A11" s="63" t="s">
        <v>157</v>
      </c>
      <c r="B11" s="61">
        <f>-PMT(B9/12,B10*12,0,B7*B8)</f>
        <v>515.34469560231298</v>
      </c>
    </row>
    <row r="12" spans="1:2" ht="15.75" x14ac:dyDescent="0.25">
      <c r="A12" s="112" t="s">
        <v>72</v>
      </c>
      <c r="B12" s="113"/>
    </row>
  </sheetData>
  <mergeCells count="3">
    <mergeCell ref="A1:B1"/>
    <mergeCell ref="A2:B6"/>
    <mergeCell ref="A12:B12"/>
  </mergeCells>
  <pageMargins left="0.7" right="0.7" top="0.75" bottom="0.75" header="0.3" footer="0.3"/>
  <pageSetup paperSize="9" orientation="portrait"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2A69ED-1ADE-47A1-9381-C6AD7C10BD6C}">
  <dimension ref="A1:C15"/>
  <sheetViews>
    <sheetView topLeftCell="A5" workbookViewId="0">
      <selection sqref="A1:C15"/>
    </sheetView>
  </sheetViews>
  <sheetFormatPr defaultRowHeight="15" x14ac:dyDescent="0.25"/>
  <cols>
    <col min="1" max="1" width="22.7109375" customWidth="1"/>
    <col min="2" max="2" width="21" customWidth="1"/>
    <col min="3" max="3" width="19.7109375" bestFit="1" customWidth="1"/>
  </cols>
  <sheetData>
    <row r="1" spans="1:3" ht="15.75" x14ac:dyDescent="0.25">
      <c r="A1" s="101" t="s">
        <v>158</v>
      </c>
      <c r="B1" s="102"/>
    </row>
    <row r="2" spans="1:3" ht="28.5" customHeight="1" x14ac:dyDescent="0.25">
      <c r="A2" s="103" t="s">
        <v>159</v>
      </c>
      <c r="B2" s="104"/>
    </row>
    <row r="3" spans="1:3" ht="32.25" customHeight="1" x14ac:dyDescent="0.25">
      <c r="A3" s="105"/>
      <c r="B3" s="106"/>
    </row>
    <row r="4" spans="1:3" ht="81.75" customHeight="1" x14ac:dyDescent="0.25">
      <c r="A4" s="105"/>
      <c r="B4" s="106"/>
    </row>
    <row r="5" spans="1:3" ht="49.5" customHeight="1" x14ac:dyDescent="0.25">
      <c r="A5" s="105"/>
      <c r="B5" s="106"/>
    </row>
    <row r="6" spans="1:3" ht="52.5" customHeight="1" x14ac:dyDescent="0.25">
      <c r="A6" s="107"/>
      <c r="B6" s="108"/>
      <c r="C6" s="10" t="s">
        <v>166</v>
      </c>
    </row>
    <row r="7" spans="1:3" ht="15.75" x14ac:dyDescent="0.25">
      <c r="A7" s="10" t="s">
        <v>160</v>
      </c>
      <c r="B7" s="24">
        <v>19700</v>
      </c>
      <c r="C7" s="24">
        <f>-PMT($B$12/12,$B$13*12,B7-B7*$B$11)</f>
        <v>236.9810424075666</v>
      </c>
    </row>
    <row r="8" spans="1:3" ht="15.75" x14ac:dyDescent="0.25">
      <c r="A8" s="10" t="s">
        <v>161</v>
      </c>
      <c r="B8" s="24">
        <v>18981</v>
      </c>
      <c r="C8" s="24">
        <f t="shared" ref="C8:C10" si="0">-PMT($B$12/12,$B$13*12,B8-B8*$B$11)</f>
        <v>228.3318358344174</v>
      </c>
    </row>
    <row r="9" spans="1:3" ht="15.75" x14ac:dyDescent="0.25">
      <c r="A9" s="10" t="s">
        <v>162</v>
      </c>
      <c r="B9" s="24">
        <v>20035</v>
      </c>
      <c r="C9" s="24">
        <f t="shared" si="0"/>
        <v>241.01092307794909</v>
      </c>
    </row>
    <row r="10" spans="1:3" ht="15.75" x14ac:dyDescent="0.25">
      <c r="A10" s="10" t="s">
        <v>163</v>
      </c>
      <c r="B10" s="24">
        <v>19450</v>
      </c>
      <c r="C10" s="24">
        <f t="shared" si="0"/>
        <v>233.97366877295283</v>
      </c>
    </row>
    <row r="11" spans="1:3" ht="47.25" x14ac:dyDescent="0.25">
      <c r="A11" s="62" t="s">
        <v>67</v>
      </c>
      <c r="B11" s="11">
        <v>0.35</v>
      </c>
      <c r="C11" s="62" t="s">
        <v>167</v>
      </c>
    </row>
    <row r="12" spans="1:3" ht="15.75" x14ac:dyDescent="0.25">
      <c r="A12" s="62" t="s">
        <v>12</v>
      </c>
      <c r="B12" s="45">
        <v>4.2000000000000003E-2</v>
      </c>
      <c r="C12" s="66">
        <f>RATE(B13*12,-B14,B9-B9*B11,0)*12</f>
        <v>-1.8987541724043745E-3</v>
      </c>
    </row>
    <row r="13" spans="1:3" ht="15.75" x14ac:dyDescent="0.25">
      <c r="A13" s="62" t="s">
        <v>164</v>
      </c>
      <c r="B13" s="17">
        <v>5</v>
      </c>
    </row>
    <row r="14" spans="1:3" ht="15.75" x14ac:dyDescent="0.25">
      <c r="A14" s="62" t="s">
        <v>165</v>
      </c>
      <c r="B14" s="24">
        <v>216</v>
      </c>
    </row>
    <row r="15" spans="1:3" ht="15.75" x14ac:dyDescent="0.25">
      <c r="A15" s="112" t="s">
        <v>168</v>
      </c>
      <c r="B15" s="113"/>
    </row>
  </sheetData>
  <mergeCells count="3">
    <mergeCell ref="A1:B1"/>
    <mergeCell ref="A2:B6"/>
    <mergeCell ref="A15:B15"/>
  </mergeCells>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4A826D-178D-4358-8362-41D3269DDF91}">
  <dimension ref="A1:C17"/>
  <sheetViews>
    <sheetView workbookViewId="0">
      <selection activeCell="G13" sqref="G13"/>
    </sheetView>
  </sheetViews>
  <sheetFormatPr defaultRowHeight="15" x14ac:dyDescent="0.25"/>
  <cols>
    <col min="1" max="1" width="39.42578125" customWidth="1"/>
    <col min="2" max="2" width="32.7109375" customWidth="1"/>
    <col min="3" max="3" width="15.5703125" customWidth="1"/>
  </cols>
  <sheetData>
    <row r="1" spans="1:3" ht="15.75" x14ac:dyDescent="0.25">
      <c r="A1" s="101" t="s">
        <v>169</v>
      </c>
      <c r="B1" s="102"/>
    </row>
    <row r="2" spans="1:3" ht="15.75" customHeight="1" x14ac:dyDescent="0.25">
      <c r="A2" s="103" t="s">
        <v>170</v>
      </c>
      <c r="B2" s="104"/>
    </row>
    <row r="3" spans="1:3" ht="105.75" customHeight="1" x14ac:dyDescent="0.25">
      <c r="A3" s="105"/>
      <c r="B3" s="106"/>
    </row>
    <row r="4" spans="1:3" ht="39" customHeight="1" x14ac:dyDescent="0.25">
      <c r="A4" s="105"/>
      <c r="B4" s="106"/>
    </row>
    <row r="5" spans="1:3" ht="38.25" customHeight="1" x14ac:dyDescent="0.25">
      <c r="A5" s="105"/>
      <c r="B5" s="106"/>
    </row>
    <row r="6" spans="1:3" ht="21" hidden="1" customHeight="1" x14ac:dyDescent="0.25">
      <c r="A6" s="107"/>
      <c r="B6" s="108"/>
    </row>
    <row r="7" spans="1:3" ht="15.75" x14ac:dyDescent="0.25">
      <c r="A7" s="10" t="s">
        <v>171</v>
      </c>
      <c r="B7" s="24">
        <v>1500</v>
      </c>
    </row>
    <row r="8" spans="1:3" ht="15.75" x14ac:dyDescent="0.25">
      <c r="A8" s="10" t="s">
        <v>164</v>
      </c>
      <c r="B8" s="29">
        <v>18</v>
      </c>
    </row>
    <row r="9" spans="1:3" ht="15.75" x14ac:dyDescent="0.25">
      <c r="A9" s="116" t="s">
        <v>172</v>
      </c>
      <c r="B9" s="66">
        <v>0.10340000000000001</v>
      </c>
    </row>
    <row r="10" spans="1:3" ht="15.75" x14ac:dyDescent="0.25">
      <c r="A10" s="117"/>
      <c r="B10" s="11">
        <v>0.11</v>
      </c>
    </row>
    <row r="11" spans="1:3" ht="15.75" x14ac:dyDescent="0.25">
      <c r="A11" s="118"/>
      <c r="B11" s="45">
        <v>0.108</v>
      </c>
    </row>
    <row r="12" spans="1:3" ht="15.75" x14ac:dyDescent="0.25">
      <c r="A12" s="62" t="s">
        <v>173</v>
      </c>
      <c r="B12" s="45">
        <v>0.05</v>
      </c>
    </row>
    <row r="13" spans="1:3" ht="15.75" x14ac:dyDescent="0.25">
      <c r="A13" s="119" t="s">
        <v>174</v>
      </c>
      <c r="B13" s="119"/>
    </row>
    <row r="14" spans="1:3" ht="15.75" x14ac:dyDescent="0.25">
      <c r="A14" s="67" t="s">
        <v>175</v>
      </c>
      <c r="B14" s="32" t="s">
        <v>176</v>
      </c>
      <c r="C14" s="32" t="s">
        <v>177</v>
      </c>
    </row>
    <row r="15" spans="1:3" ht="15.75" x14ac:dyDescent="0.25">
      <c r="A15" s="70">
        <f>FV(B9/4,B8/3,,-B7)</f>
        <v>1748.2133638589594</v>
      </c>
      <c r="B15" s="70">
        <f>B7+B7*B10/12*B8</f>
        <v>1747.5</v>
      </c>
      <c r="C15" s="71">
        <f>FV(B11/12,B8,,-B7)+FV(B12/12,B8,,-IPMT(B11/12,B8,B8,-B7))</f>
        <v>1763.383992482316</v>
      </c>
    </row>
    <row r="16" spans="1:3" ht="31.5" x14ac:dyDescent="0.25">
      <c r="A16" s="68" t="s">
        <v>178</v>
      </c>
      <c r="B16" s="72" t="str">
        <f>IF(EFFECT(B9/12,B7)=0.1103,"Довіряти","Недовіряти")</f>
        <v>Недовіряти</v>
      </c>
      <c r="C16" s="69"/>
    </row>
    <row r="17" spans="1:2" ht="15.75" x14ac:dyDescent="0.25">
      <c r="A17" s="112" t="s">
        <v>179</v>
      </c>
      <c r="B17" s="113"/>
    </row>
  </sheetData>
  <mergeCells count="5">
    <mergeCell ref="A1:B1"/>
    <mergeCell ref="A2:B6"/>
    <mergeCell ref="A17:B17"/>
    <mergeCell ref="A9:A11"/>
    <mergeCell ref="A13:B13"/>
  </mergeCells>
  <pageMargins left="0.7" right="0.7" top="0.75" bottom="0.75" header="0.3" footer="0.3"/>
  <pageSetup paperSize="9" orientation="portrait"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F4790F-BF0C-45CF-8C78-D4D1C178D71D}">
  <dimension ref="A1:B13"/>
  <sheetViews>
    <sheetView workbookViewId="0">
      <selection sqref="A1:B13"/>
    </sheetView>
  </sheetViews>
  <sheetFormatPr defaultRowHeight="15" x14ac:dyDescent="0.25"/>
  <cols>
    <col min="1" max="1" width="43" customWidth="1"/>
    <col min="2" max="2" width="11.28515625" bestFit="1" customWidth="1"/>
  </cols>
  <sheetData>
    <row r="1" spans="1:2" ht="15.75" x14ac:dyDescent="0.25">
      <c r="A1" s="101" t="s">
        <v>180</v>
      </c>
      <c r="B1" s="102"/>
    </row>
    <row r="2" spans="1:2" x14ac:dyDescent="0.25">
      <c r="A2" s="103" t="s">
        <v>181</v>
      </c>
      <c r="B2" s="104"/>
    </row>
    <row r="3" spans="1:2" x14ac:dyDescent="0.25">
      <c r="A3" s="105"/>
      <c r="B3" s="106"/>
    </row>
    <row r="4" spans="1:2" ht="42" customHeight="1" x14ac:dyDescent="0.25">
      <c r="A4" s="105"/>
      <c r="B4" s="106"/>
    </row>
    <row r="5" spans="1:2" ht="36" customHeight="1" x14ac:dyDescent="0.25">
      <c r="A5" s="105"/>
      <c r="B5" s="106"/>
    </row>
    <row r="6" spans="1:2" ht="18.75" customHeight="1" x14ac:dyDescent="0.25">
      <c r="A6" s="107"/>
      <c r="B6" s="108"/>
    </row>
    <row r="7" spans="1:2" ht="15.75" x14ac:dyDescent="0.25">
      <c r="A7" s="10" t="s">
        <v>182</v>
      </c>
      <c r="B7" s="43">
        <v>39024</v>
      </c>
    </row>
    <row r="8" spans="1:2" ht="15.75" x14ac:dyDescent="0.25">
      <c r="A8" s="10" t="s">
        <v>183</v>
      </c>
      <c r="B8" s="43">
        <v>39755</v>
      </c>
    </row>
    <row r="9" spans="1:2" ht="15.75" x14ac:dyDescent="0.25">
      <c r="A9" s="73" t="s">
        <v>184</v>
      </c>
      <c r="B9" s="66">
        <v>0.6</v>
      </c>
    </row>
    <row r="10" spans="1:2" ht="15.75" x14ac:dyDescent="0.25">
      <c r="A10" s="73" t="s">
        <v>185</v>
      </c>
      <c r="B10" s="11">
        <v>0.7</v>
      </c>
    </row>
    <row r="11" spans="1:2" ht="15.75" x14ac:dyDescent="0.25">
      <c r="A11" s="73" t="s">
        <v>186</v>
      </c>
      <c r="B11" s="24">
        <v>1000</v>
      </c>
    </row>
    <row r="12" spans="1:2" ht="15.75" x14ac:dyDescent="0.25">
      <c r="A12" s="67" t="s">
        <v>187</v>
      </c>
      <c r="B12" s="32">
        <f>PRICE(B7,B8,B9,B10,B11,1)</f>
        <v>402.0761245674741</v>
      </c>
    </row>
    <row r="13" spans="1:2" ht="15.75" x14ac:dyDescent="0.25">
      <c r="A13" s="112" t="s">
        <v>188</v>
      </c>
      <c r="B13" s="113"/>
    </row>
  </sheetData>
  <mergeCells count="3">
    <mergeCell ref="A1:B1"/>
    <mergeCell ref="A2:B6"/>
    <mergeCell ref="A13:B13"/>
  </mergeCells>
  <pageMargins left="0.7" right="0.7" top="0.75" bottom="0.75" header="0.3" footer="0.3"/>
  <pageSetup paperSize="9" orientation="portrait"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42B331-31B5-4B81-B656-449B6E65E8DC}">
  <dimension ref="A1:B14"/>
  <sheetViews>
    <sheetView workbookViewId="0">
      <selection sqref="A1:B14"/>
    </sheetView>
  </sheetViews>
  <sheetFormatPr defaultRowHeight="15" x14ac:dyDescent="0.25"/>
  <cols>
    <col min="1" max="1" width="39" customWidth="1"/>
    <col min="2" max="2" width="17.42578125" customWidth="1"/>
  </cols>
  <sheetData>
    <row r="1" spans="1:2" ht="15.75" x14ac:dyDescent="0.25">
      <c r="A1" s="101" t="s">
        <v>191</v>
      </c>
      <c r="B1" s="102"/>
    </row>
    <row r="2" spans="1:2" x14ac:dyDescent="0.25">
      <c r="A2" s="103" t="s">
        <v>190</v>
      </c>
      <c r="B2" s="104"/>
    </row>
    <row r="3" spans="1:2" ht="63.75" customHeight="1" x14ac:dyDescent="0.25">
      <c r="A3" s="105"/>
      <c r="B3" s="106"/>
    </row>
    <row r="4" spans="1:2" ht="62.25" customHeight="1" x14ac:dyDescent="0.25">
      <c r="A4" s="105"/>
      <c r="B4" s="106"/>
    </row>
    <row r="5" spans="1:2" ht="12.75" customHeight="1" x14ac:dyDescent="0.25">
      <c r="A5" s="105"/>
      <c r="B5" s="106"/>
    </row>
    <row r="6" spans="1:2" ht="35.25" hidden="1" customHeight="1" x14ac:dyDescent="0.25">
      <c r="A6" s="107"/>
      <c r="B6" s="108"/>
    </row>
    <row r="7" spans="1:2" ht="15.75" x14ac:dyDescent="0.25">
      <c r="A7" s="10" t="s">
        <v>192</v>
      </c>
      <c r="B7" s="43">
        <v>38871</v>
      </c>
    </row>
    <row r="8" spans="1:2" ht="15.75" x14ac:dyDescent="0.25">
      <c r="A8" s="10" t="s">
        <v>145</v>
      </c>
      <c r="B8" s="43">
        <v>38993</v>
      </c>
    </row>
    <row r="9" spans="1:2" ht="15.75" x14ac:dyDescent="0.25">
      <c r="A9" s="73" t="s">
        <v>193</v>
      </c>
      <c r="B9" s="66">
        <v>5.7000000000000002E-2</v>
      </c>
    </row>
    <row r="10" spans="1:2" ht="15.75" x14ac:dyDescent="0.25">
      <c r="A10" s="73" t="s">
        <v>194</v>
      </c>
      <c r="B10" s="15">
        <v>1000000</v>
      </c>
    </row>
    <row r="11" spans="1:2" ht="15.75" x14ac:dyDescent="0.25">
      <c r="A11" s="73" t="s">
        <v>195</v>
      </c>
      <c r="B11" s="15">
        <v>1014500</v>
      </c>
    </row>
    <row r="12" spans="1:2" ht="15.75" x14ac:dyDescent="0.25">
      <c r="A12" s="67" t="s">
        <v>196</v>
      </c>
      <c r="B12" s="75">
        <f>RECEIVED(B7,B8,B10,B9)</f>
        <v>1019367.9918450561</v>
      </c>
    </row>
    <row r="13" spans="1:2" ht="15.75" x14ac:dyDescent="0.25">
      <c r="A13" s="67" t="s">
        <v>197</v>
      </c>
      <c r="B13" s="74">
        <f>INTRATE(B7,B8,B10,B11)</f>
        <v>4.3500000000000004E-2</v>
      </c>
    </row>
    <row r="14" spans="1:2" ht="15.75" x14ac:dyDescent="0.25">
      <c r="A14" s="112" t="s">
        <v>198</v>
      </c>
      <c r="B14" s="113"/>
    </row>
  </sheetData>
  <mergeCells count="3">
    <mergeCell ref="A1:B1"/>
    <mergeCell ref="A2:B6"/>
    <mergeCell ref="A14:B14"/>
  </mergeCells>
  <pageMargins left="0.7" right="0.7" top="0.75" bottom="0.75" header="0.3" footer="0.3"/>
  <pageSetup paperSize="9" orientation="portrait"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D37301-F50C-4C8B-8E41-A8E24F43C7F6}">
  <dimension ref="A1:B14"/>
  <sheetViews>
    <sheetView workbookViewId="0">
      <selection sqref="A1:B14"/>
    </sheetView>
  </sheetViews>
  <sheetFormatPr defaultRowHeight="15" x14ac:dyDescent="0.25"/>
  <cols>
    <col min="1" max="1" width="30.42578125" customWidth="1"/>
    <col min="2" max="2" width="21" customWidth="1"/>
  </cols>
  <sheetData>
    <row r="1" spans="1:2" ht="15.75" x14ac:dyDescent="0.25">
      <c r="A1" s="101" t="s">
        <v>199</v>
      </c>
      <c r="B1" s="102"/>
    </row>
    <row r="2" spans="1:2" ht="39" customHeight="1" x14ac:dyDescent="0.25">
      <c r="A2" s="103" t="s">
        <v>200</v>
      </c>
      <c r="B2" s="104"/>
    </row>
    <row r="3" spans="1:2" ht="97.5" customHeight="1" x14ac:dyDescent="0.25">
      <c r="A3" s="105"/>
      <c r="B3" s="106"/>
    </row>
    <row r="4" spans="1:2" ht="1.5" customHeight="1" x14ac:dyDescent="0.25">
      <c r="A4" s="105"/>
      <c r="B4" s="106"/>
    </row>
    <row r="5" spans="1:2" x14ac:dyDescent="0.25">
      <c r="A5" s="105"/>
      <c r="B5" s="106"/>
    </row>
    <row r="6" spans="1:2" ht="8.25" customHeight="1" x14ac:dyDescent="0.25">
      <c r="A6" s="107"/>
      <c r="B6" s="108"/>
    </row>
    <row r="7" spans="1:2" ht="15.75" x14ac:dyDescent="0.25">
      <c r="A7" s="10" t="s">
        <v>182</v>
      </c>
      <c r="B7" s="43">
        <v>38792</v>
      </c>
    </row>
    <row r="8" spans="1:2" ht="15.75" x14ac:dyDescent="0.25">
      <c r="A8" s="10" t="s">
        <v>201</v>
      </c>
      <c r="B8" s="43">
        <v>38864</v>
      </c>
    </row>
    <row r="9" spans="1:2" ht="31.5" x14ac:dyDescent="0.25">
      <c r="A9" s="73" t="s">
        <v>202</v>
      </c>
      <c r="B9" s="43">
        <v>38711</v>
      </c>
    </row>
    <row r="10" spans="1:2" ht="15.75" x14ac:dyDescent="0.25">
      <c r="A10" s="73" t="s">
        <v>203</v>
      </c>
      <c r="B10" s="66">
        <v>4.2500000000000003E-2</v>
      </c>
    </row>
    <row r="11" spans="1:2" ht="15.75" x14ac:dyDescent="0.25">
      <c r="A11" s="73" t="s">
        <v>204</v>
      </c>
      <c r="B11" s="15">
        <v>100</v>
      </c>
    </row>
    <row r="12" spans="1:2" ht="15.75" x14ac:dyDescent="0.25">
      <c r="A12" s="62" t="s">
        <v>205</v>
      </c>
      <c r="B12" s="15">
        <v>102</v>
      </c>
    </row>
    <row r="13" spans="1:2" ht="15.75" x14ac:dyDescent="0.25">
      <c r="A13" s="67" t="s">
        <v>206</v>
      </c>
      <c r="B13" s="74">
        <f>ODDLYIELD(B7,B8,B9,B10,B11,B12,2)</f>
        <v>0.14254536069260285</v>
      </c>
    </row>
    <row r="14" spans="1:2" ht="15.75" x14ac:dyDescent="0.25">
      <c r="A14" s="112" t="s">
        <v>207</v>
      </c>
      <c r="B14" s="113"/>
    </row>
  </sheetData>
  <mergeCells count="3">
    <mergeCell ref="A1:B1"/>
    <mergeCell ref="A2:B6"/>
    <mergeCell ref="A14:B14"/>
  </mergeCells>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5CD1BF-B473-411B-9888-D5954F8DE609}">
  <dimension ref="A1:B14"/>
  <sheetViews>
    <sheetView workbookViewId="0">
      <selection sqref="A1:B14"/>
    </sheetView>
  </sheetViews>
  <sheetFormatPr defaultRowHeight="15" x14ac:dyDescent="0.25"/>
  <cols>
    <col min="1" max="1" width="25" customWidth="1"/>
    <col min="2" max="2" width="21.28515625" customWidth="1"/>
  </cols>
  <sheetData>
    <row r="1" spans="1:2" ht="15.75" x14ac:dyDescent="0.25">
      <c r="A1" s="101" t="s">
        <v>208</v>
      </c>
      <c r="B1" s="102"/>
    </row>
    <row r="2" spans="1:2" x14ac:dyDescent="0.25">
      <c r="A2" s="103" t="s">
        <v>209</v>
      </c>
      <c r="B2" s="104"/>
    </row>
    <row r="3" spans="1:2" ht="45.75" customHeight="1" x14ac:dyDescent="0.25">
      <c r="A3" s="105"/>
      <c r="B3" s="106"/>
    </row>
    <row r="4" spans="1:2" ht="55.5" customHeight="1" x14ac:dyDescent="0.25">
      <c r="A4" s="105"/>
      <c r="B4" s="106"/>
    </row>
    <row r="5" spans="1:2" x14ac:dyDescent="0.25">
      <c r="A5" s="105"/>
      <c r="B5" s="106"/>
    </row>
    <row r="6" spans="1:2" x14ac:dyDescent="0.25">
      <c r="A6" s="107"/>
      <c r="B6" s="108"/>
    </row>
    <row r="7" spans="1:2" ht="15.75" x14ac:dyDescent="0.25">
      <c r="A7" s="10" t="s">
        <v>171</v>
      </c>
      <c r="B7" s="15">
        <v>100000</v>
      </c>
    </row>
    <row r="8" spans="1:2" ht="15.75" x14ac:dyDescent="0.25">
      <c r="A8" s="10" t="s">
        <v>12</v>
      </c>
      <c r="B8" s="47">
        <v>0.11</v>
      </c>
    </row>
    <row r="9" spans="1:2" ht="31.5" x14ac:dyDescent="0.25">
      <c r="A9" s="73" t="s">
        <v>210</v>
      </c>
      <c r="B9" s="15">
        <f>FVSCHEDULE(B7,B8/2)</f>
        <v>105500</v>
      </c>
    </row>
    <row r="10" spans="1:2" ht="15.75" x14ac:dyDescent="0.25">
      <c r="A10" s="73" t="s">
        <v>211</v>
      </c>
      <c r="B10" s="66">
        <v>9.5000000000000001E-2</v>
      </c>
    </row>
    <row r="11" spans="1:2" ht="15.75" x14ac:dyDescent="0.25">
      <c r="A11" s="73" t="s">
        <v>212</v>
      </c>
      <c r="B11" s="15">
        <f>FVSCHEDULE(B9,B10/4)</f>
        <v>108005.625</v>
      </c>
    </row>
    <row r="12" spans="1:2" ht="15.75" x14ac:dyDescent="0.25">
      <c r="A12" s="62" t="s">
        <v>211</v>
      </c>
      <c r="B12" s="11">
        <v>0.06</v>
      </c>
    </row>
    <row r="13" spans="1:2" ht="15.75" x14ac:dyDescent="0.25">
      <c r="A13" s="67" t="s">
        <v>213</v>
      </c>
      <c r="B13" s="75">
        <f>FVSCHEDULE(B11,B12/4)</f>
        <v>109625.70937499999</v>
      </c>
    </row>
    <row r="14" spans="1:2" ht="15.75" x14ac:dyDescent="0.25">
      <c r="A14" s="112" t="s">
        <v>214</v>
      </c>
      <c r="B14" s="113"/>
    </row>
  </sheetData>
  <mergeCells count="3">
    <mergeCell ref="A1:B1"/>
    <mergeCell ref="A2:B6"/>
    <mergeCell ref="A14:B14"/>
  </mergeCells>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9F1CBE-DFBF-4611-B8B2-0DD98CD88C9A}">
  <dimension ref="A1:B14"/>
  <sheetViews>
    <sheetView workbookViewId="0">
      <selection sqref="A1:B14"/>
    </sheetView>
  </sheetViews>
  <sheetFormatPr defaultRowHeight="15" x14ac:dyDescent="0.25"/>
  <cols>
    <col min="1" max="1" width="19.85546875" customWidth="1"/>
    <col min="2" max="2" width="24" customWidth="1"/>
  </cols>
  <sheetData>
    <row r="1" spans="1:2" ht="15.75" x14ac:dyDescent="0.25">
      <c r="A1" s="101" t="s">
        <v>215</v>
      </c>
      <c r="B1" s="102"/>
    </row>
    <row r="2" spans="1:2" x14ac:dyDescent="0.25">
      <c r="A2" s="103" t="s">
        <v>216</v>
      </c>
      <c r="B2" s="104"/>
    </row>
    <row r="3" spans="1:2" ht="57" customHeight="1" x14ac:dyDescent="0.25">
      <c r="A3" s="105"/>
      <c r="B3" s="106"/>
    </row>
    <row r="4" spans="1:2" x14ac:dyDescent="0.25">
      <c r="A4" s="105"/>
      <c r="B4" s="106"/>
    </row>
    <row r="5" spans="1:2" ht="45.75" customHeight="1" x14ac:dyDescent="0.25">
      <c r="A5" s="105"/>
      <c r="B5" s="106"/>
    </row>
    <row r="6" spans="1:2" x14ac:dyDescent="0.25">
      <c r="A6" s="107"/>
      <c r="B6" s="108"/>
    </row>
    <row r="7" spans="1:2" ht="15.75" x14ac:dyDescent="0.25">
      <c r="A7" s="10" t="s">
        <v>217</v>
      </c>
      <c r="B7" s="15">
        <v>10000</v>
      </c>
    </row>
    <row r="8" spans="1:2" ht="15.75" x14ac:dyDescent="0.25">
      <c r="A8" s="10" t="s">
        <v>218</v>
      </c>
      <c r="B8" s="15">
        <v>3000</v>
      </c>
    </row>
    <row r="9" spans="1:2" ht="15.75" x14ac:dyDescent="0.25">
      <c r="A9" s="73" t="s">
        <v>219</v>
      </c>
      <c r="B9" s="15">
        <v>4400</v>
      </c>
    </row>
    <row r="10" spans="1:2" ht="15.75" x14ac:dyDescent="0.25">
      <c r="A10" s="73" t="s">
        <v>220</v>
      </c>
      <c r="B10" s="15">
        <v>6500</v>
      </c>
    </row>
    <row r="11" spans="1:2" ht="15.75" x14ac:dyDescent="0.25">
      <c r="A11" s="73" t="s">
        <v>221</v>
      </c>
      <c r="B11" s="11">
        <v>0.12</v>
      </c>
    </row>
    <row r="12" spans="1:2" ht="15.75" x14ac:dyDescent="0.25">
      <c r="A12" s="62" t="s">
        <v>96</v>
      </c>
      <c r="B12" s="17">
        <v>3</v>
      </c>
    </row>
    <row r="13" spans="1:2" ht="31.5" x14ac:dyDescent="0.25">
      <c r="A13" s="67" t="s">
        <v>222</v>
      </c>
      <c r="B13" s="75">
        <f>NPV(B11,-B7,B8,B9,B10)</f>
        <v>725.71080409204274</v>
      </c>
    </row>
    <row r="14" spans="1:2" ht="15.75" x14ac:dyDescent="0.25">
      <c r="A14" s="112" t="s">
        <v>223</v>
      </c>
      <c r="B14" s="113"/>
    </row>
  </sheetData>
  <mergeCells count="3">
    <mergeCell ref="A1:B1"/>
    <mergeCell ref="A2:B6"/>
    <mergeCell ref="A14:B14"/>
  </mergeCells>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E33266-E2B5-47C0-9E0A-F11BE7637A71}">
  <dimension ref="A1:B10"/>
  <sheetViews>
    <sheetView workbookViewId="0">
      <selection sqref="A1:B10"/>
    </sheetView>
  </sheetViews>
  <sheetFormatPr defaultRowHeight="15" x14ac:dyDescent="0.25"/>
  <cols>
    <col min="1" max="1" width="18.85546875" customWidth="1"/>
    <col min="2" max="2" width="23.85546875" customWidth="1"/>
  </cols>
  <sheetData>
    <row r="1" spans="1:2" ht="15.75" x14ac:dyDescent="0.25">
      <c r="A1" s="101" t="s">
        <v>224</v>
      </c>
      <c r="B1" s="102"/>
    </row>
    <row r="2" spans="1:2" x14ac:dyDescent="0.25">
      <c r="A2" s="103" t="s">
        <v>225</v>
      </c>
      <c r="B2" s="104"/>
    </row>
    <row r="3" spans="1:2" ht="66" customHeight="1" x14ac:dyDescent="0.25">
      <c r="A3" s="105"/>
      <c r="B3" s="106"/>
    </row>
    <row r="4" spans="1:2" x14ac:dyDescent="0.25">
      <c r="A4" s="105"/>
      <c r="B4" s="106"/>
    </row>
    <row r="5" spans="1:2" x14ac:dyDescent="0.25">
      <c r="A5" s="105"/>
      <c r="B5" s="106"/>
    </row>
    <row r="6" spans="1:2" x14ac:dyDescent="0.25">
      <c r="A6" s="107"/>
      <c r="B6" s="108"/>
    </row>
    <row r="7" spans="1:2" ht="15.75" x14ac:dyDescent="0.25">
      <c r="A7" s="10" t="s">
        <v>226</v>
      </c>
      <c r="B7" s="15">
        <v>800000</v>
      </c>
    </row>
    <row r="8" spans="1:2" ht="31.5" x14ac:dyDescent="0.25">
      <c r="A8" s="10" t="s">
        <v>227</v>
      </c>
      <c r="B8" s="15">
        <v>1200000</v>
      </c>
    </row>
    <row r="9" spans="1:2" ht="15.75" x14ac:dyDescent="0.25">
      <c r="A9" s="73" t="s">
        <v>12</v>
      </c>
      <c r="B9" s="76">
        <f>RATE(12,,-B7,B8)*12</f>
        <v>0.41239299758299752</v>
      </c>
    </row>
    <row r="10" spans="1:2" ht="15.75" x14ac:dyDescent="0.25">
      <c r="A10" s="112" t="s">
        <v>13</v>
      </c>
      <c r="B10" s="113"/>
    </row>
  </sheetData>
  <mergeCells count="3">
    <mergeCell ref="A1:B1"/>
    <mergeCell ref="A2:B6"/>
    <mergeCell ref="A10:B10"/>
  </mergeCells>
  <pageMargins left="0.7" right="0.7" top="0.75" bottom="0.75" header="0.3" footer="0.3"/>
  <pageSetup paperSize="9" orientation="portrait"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B19632-F07E-460F-A815-2104DA29CF8B}">
  <dimension ref="A1:C21"/>
  <sheetViews>
    <sheetView topLeftCell="A6" workbookViewId="0">
      <selection sqref="A1:C21"/>
    </sheetView>
  </sheetViews>
  <sheetFormatPr defaultRowHeight="15" x14ac:dyDescent="0.25"/>
  <cols>
    <col min="1" max="1" width="31.42578125" customWidth="1"/>
    <col min="2" max="2" width="15.140625" bestFit="1" customWidth="1"/>
    <col min="3" max="3" width="20.85546875" bestFit="1" customWidth="1"/>
  </cols>
  <sheetData>
    <row r="1" spans="1:3" ht="15.75" x14ac:dyDescent="0.25">
      <c r="A1" s="101" t="s">
        <v>189</v>
      </c>
      <c r="B1" s="102"/>
    </row>
    <row r="2" spans="1:3" x14ac:dyDescent="0.25">
      <c r="A2" s="103" t="s">
        <v>228</v>
      </c>
      <c r="B2" s="104"/>
    </row>
    <row r="3" spans="1:3" x14ac:dyDescent="0.25">
      <c r="A3" s="105"/>
      <c r="B3" s="106"/>
    </row>
    <row r="4" spans="1:3" ht="56.25" customHeight="1" x14ac:dyDescent="0.25">
      <c r="A4" s="105"/>
      <c r="B4" s="106"/>
    </row>
    <row r="5" spans="1:3" ht="127.5" customHeight="1" x14ac:dyDescent="0.25">
      <c r="A5" s="105"/>
      <c r="B5" s="106"/>
    </row>
    <row r="6" spans="1:3" ht="75" customHeight="1" x14ac:dyDescent="0.25">
      <c r="A6" s="107"/>
      <c r="B6" s="108"/>
    </row>
    <row r="7" spans="1:3" ht="15.75" x14ac:dyDescent="0.25">
      <c r="A7" s="120" t="s">
        <v>229</v>
      </c>
      <c r="B7" s="15" t="s">
        <v>230</v>
      </c>
      <c r="C7" s="15">
        <v>250</v>
      </c>
    </row>
    <row r="8" spans="1:3" ht="15.75" x14ac:dyDescent="0.25">
      <c r="A8" s="121"/>
      <c r="B8" s="15" t="s">
        <v>12</v>
      </c>
      <c r="C8" s="11">
        <v>0.12</v>
      </c>
    </row>
    <row r="9" spans="1:3" ht="15.75" x14ac:dyDescent="0.25">
      <c r="A9" s="122"/>
      <c r="B9" s="66" t="s">
        <v>231</v>
      </c>
      <c r="C9" s="75">
        <f>FV(C8,C11,,-C7)</f>
        <v>351.23200000000008</v>
      </c>
    </row>
    <row r="10" spans="1:3" ht="15.75" x14ac:dyDescent="0.25">
      <c r="A10" s="123" t="s">
        <v>232</v>
      </c>
      <c r="B10" s="77" t="s">
        <v>230</v>
      </c>
      <c r="C10" s="15">
        <v>250</v>
      </c>
    </row>
    <row r="11" spans="1:3" ht="15.75" x14ac:dyDescent="0.25">
      <c r="A11" s="123"/>
      <c r="B11" s="77" t="s">
        <v>96</v>
      </c>
      <c r="C11" s="58">
        <v>3</v>
      </c>
    </row>
    <row r="12" spans="1:3" ht="15.75" x14ac:dyDescent="0.25">
      <c r="A12" s="123"/>
      <c r="B12" s="77" t="s">
        <v>231</v>
      </c>
      <c r="C12" s="75">
        <v>450</v>
      </c>
    </row>
    <row r="13" spans="1:3" ht="15.75" x14ac:dyDescent="0.25">
      <c r="A13" s="124" t="s">
        <v>233</v>
      </c>
      <c r="B13" s="125"/>
      <c r="C13" s="75">
        <f>SUM(C9,C12)</f>
        <v>801.23200000000008</v>
      </c>
    </row>
    <row r="14" spans="1:3" ht="15.75" x14ac:dyDescent="0.25">
      <c r="A14" s="123" t="s">
        <v>234</v>
      </c>
      <c r="B14" s="77" t="s">
        <v>12</v>
      </c>
      <c r="C14" s="78">
        <v>0.15</v>
      </c>
    </row>
    <row r="15" spans="1:3" ht="15.75" x14ac:dyDescent="0.25">
      <c r="A15" s="123"/>
      <c r="B15" s="77" t="s">
        <v>96</v>
      </c>
      <c r="C15" s="58">
        <v>5</v>
      </c>
    </row>
    <row r="16" spans="1:3" ht="15.75" x14ac:dyDescent="0.25">
      <c r="A16" s="123"/>
      <c r="B16" s="77" t="s">
        <v>235</v>
      </c>
      <c r="C16" s="75">
        <f>FV(C14,C15,,-C13)</f>
        <v>1611.5637420549997</v>
      </c>
    </row>
    <row r="17" spans="1:3" ht="15.75" x14ac:dyDescent="0.25">
      <c r="A17" s="123" t="s">
        <v>229</v>
      </c>
      <c r="B17" s="77" t="s">
        <v>12</v>
      </c>
      <c r="C17" s="78">
        <v>0.12</v>
      </c>
    </row>
    <row r="18" spans="1:3" ht="15.75" x14ac:dyDescent="0.25">
      <c r="A18" s="123"/>
      <c r="B18" s="77" t="s">
        <v>96</v>
      </c>
      <c r="C18" s="58">
        <v>5</v>
      </c>
    </row>
    <row r="19" spans="1:3" ht="15.75" x14ac:dyDescent="0.25">
      <c r="A19" s="123"/>
      <c r="B19" s="77" t="s">
        <v>235</v>
      </c>
      <c r="C19" s="75">
        <f>FV(C17,C18,,-C13)</f>
        <v>1412.044551513703</v>
      </c>
    </row>
    <row r="20" spans="1:3" ht="15.75" x14ac:dyDescent="0.25">
      <c r="A20" s="124" t="s">
        <v>236</v>
      </c>
      <c r="B20" s="125"/>
      <c r="C20" s="75" t="str">
        <f>IF(C16&gt;C19,"Виробництво носів","Грошове дерево")</f>
        <v>Виробництво носів</v>
      </c>
    </row>
    <row r="21" spans="1:3" ht="15.75" x14ac:dyDescent="0.25">
      <c r="A21" s="112" t="s">
        <v>237</v>
      </c>
      <c r="B21" s="113"/>
    </row>
  </sheetData>
  <mergeCells count="9">
    <mergeCell ref="A1:B1"/>
    <mergeCell ref="A2:B6"/>
    <mergeCell ref="A21:B21"/>
    <mergeCell ref="A7:A9"/>
    <mergeCell ref="A10:A12"/>
    <mergeCell ref="A13:B13"/>
    <mergeCell ref="A14:A16"/>
    <mergeCell ref="A17:A19"/>
    <mergeCell ref="A20:B20"/>
  </mergeCells>
  <pageMargins left="0.7" right="0.7" top="0.75" bottom="0.75" header="0.3" footer="0.3"/>
  <pageSetup paperSize="9" orientation="portrait"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41A0FD-0F1E-479E-8C72-402BB8DB6059}">
  <dimension ref="A1:C22"/>
  <sheetViews>
    <sheetView topLeftCell="A5" workbookViewId="0">
      <selection sqref="A1:C22"/>
    </sheetView>
  </sheetViews>
  <sheetFormatPr defaultRowHeight="15" x14ac:dyDescent="0.25"/>
  <cols>
    <col min="1" max="1" width="24.7109375" customWidth="1"/>
    <col min="2" max="2" width="22.7109375" customWidth="1"/>
    <col min="3" max="3" width="16.85546875" customWidth="1"/>
  </cols>
  <sheetData>
    <row r="1" spans="1:3" ht="15.75" x14ac:dyDescent="0.25">
      <c r="A1" s="101" t="s">
        <v>238</v>
      </c>
      <c r="B1" s="102"/>
    </row>
    <row r="2" spans="1:3" x14ac:dyDescent="0.25">
      <c r="A2" s="103" t="s">
        <v>239</v>
      </c>
      <c r="B2" s="104"/>
    </row>
    <row r="3" spans="1:3" ht="58.5" customHeight="1" x14ac:dyDescent="0.25">
      <c r="A3" s="105"/>
      <c r="B3" s="106"/>
    </row>
    <row r="4" spans="1:3" ht="53.25" customHeight="1" x14ac:dyDescent="0.25">
      <c r="A4" s="105"/>
      <c r="B4" s="106"/>
    </row>
    <row r="5" spans="1:3" ht="45.75" customHeight="1" x14ac:dyDescent="0.25">
      <c r="A5" s="105"/>
      <c r="B5" s="106"/>
    </row>
    <row r="6" spans="1:3" x14ac:dyDescent="0.25">
      <c r="A6" s="107"/>
      <c r="B6" s="108"/>
    </row>
    <row r="7" spans="1:3" ht="15.75" x14ac:dyDescent="0.25">
      <c r="A7" s="120" t="s">
        <v>240</v>
      </c>
      <c r="B7" s="15" t="s">
        <v>241</v>
      </c>
      <c r="C7" s="15">
        <v>11000</v>
      </c>
    </row>
    <row r="8" spans="1:3" ht="15.75" x14ac:dyDescent="0.25">
      <c r="A8" s="121"/>
      <c r="B8" s="15" t="s">
        <v>235</v>
      </c>
      <c r="C8" s="17">
        <v>1200</v>
      </c>
    </row>
    <row r="9" spans="1:3" ht="15.75" x14ac:dyDescent="0.25">
      <c r="A9" s="122"/>
      <c r="B9" s="66" t="s">
        <v>242</v>
      </c>
      <c r="C9" s="76">
        <f>RATE(1,,-C7,C7+C8)</f>
        <v>0.10909090909090925</v>
      </c>
    </row>
    <row r="10" spans="1:3" ht="15.75" x14ac:dyDescent="0.25">
      <c r="A10" s="123" t="s">
        <v>243</v>
      </c>
      <c r="B10" s="77" t="s">
        <v>241</v>
      </c>
      <c r="C10" s="15">
        <v>11000</v>
      </c>
    </row>
    <row r="11" spans="1:3" ht="15.75" x14ac:dyDescent="0.25">
      <c r="A11" s="123"/>
      <c r="B11" s="77" t="s">
        <v>12</v>
      </c>
      <c r="C11" s="56">
        <v>0.08</v>
      </c>
    </row>
    <row r="12" spans="1:3" ht="15.75" x14ac:dyDescent="0.25">
      <c r="A12" s="123"/>
      <c r="B12" s="77" t="s">
        <v>235</v>
      </c>
      <c r="C12" s="75">
        <f>-FV(C11/4,4,,C10)-C10</f>
        <v>906.7537599999996</v>
      </c>
    </row>
    <row r="13" spans="1:3" ht="15.75" x14ac:dyDescent="0.25">
      <c r="A13" s="123"/>
      <c r="B13" s="79" t="s">
        <v>242</v>
      </c>
      <c r="C13" s="76">
        <f>RATE(1,,-C10,C10+C12)</f>
        <v>8.2432160000000018E-2</v>
      </c>
    </row>
    <row r="14" spans="1:3" ht="15.75" x14ac:dyDescent="0.25">
      <c r="A14" s="123" t="s">
        <v>244</v>
      </c>
      <c r="B14" s="77" t="s">
        <v>241</v>
      </c>
      <c r="C14" s="15">
        <v>11000</v>
      </c>
    </row>
    <row r="15" spans="1:3" ht="15.75" x14ac:dyDescent="0.25">
      <c r="A15" s="123"/>
      <c r="B15" s="77" t="s">
        <v>245</v>
      </c>
      <c r="C15" s="75">
        <v>3000</v>
      </c>
    </row>
    <row r="16" spans="1:3" ht="15.75" x14ac:dyDescent="0.25">
      <c r="A16" s="123"/>
      <c r="B16" s="77" t="s">
        <v>246</v>
      </c>
      <c r="C16" s="75">
        <v>4000</v>
      </c>
    </row>
    <row r="17" spans="1:3" ht="15.75" x14ac:dyDescent="0.25">
      <c r="A17" s="123"/>
      <c r="B17" s="77" t="s">
        <v>247</v>
      </c>
      <c r="C17" s="75">
        <v>3500</v>
      </c>
    </row>
    <row r="18" spans="1:3" ht="15.75" x14ac:dyDescent="0.25">
      <c r="A18" s="123"/>
      <c r="B18" s="77" t="s">
        <v>248</v>
      </c>
      <c r="C18" s="75">
        <v>4000</v>
      </c>
    </row>
    <row r="19" spans="1:3" ht="15.75" x14ac:dyDescent="0.25">
      <c r="A19" s="123"/>
      <c r="B19" s="77" t="s">
        <v>249</v>
      </c>
      <c r="C19" s="75">
        <v>2500</v>
      </c>
    </row>
    <row r="20" spans="1:3" ht="15.75" customHeight="1" x14ac:dyDescent="0.25">
      <c r="A20" s="123"/>
      <c r="B20" s="79" t="s">
        <v>250</v>
      </c>
      <c r="C20" s="75">
        <f>SUM(C15:C18)+C19-C14</f>
        <v>6000</v>
      </c>
    </row>
    <row r="21" spans="1:3" ht="15.75" x14ac:dyDescent="0.25">
      <c r="A21" s="123"/>
      <c r="B21" s="80" t="s">
        <v>242</v>
      </c>
      <c r="C21" s="81">
        <f>RATE(1,,-C14,C20+C14)</f>
        <v>0.54545454545454541</v>
      </c>
    </row>
    <row r="22" spans="1:3" ht="15.75" x14ac:dyDescent="0.25">
      <c r="A22" s="112" t="s">
        <v>251</v>
      </c>
      <c r="B22" s="113"/>
    </row>
  </sheetData>
  <mergeCells count="6">
    <mergeCell ref="A22:B22"/>
    <mergeCell ref="A10:A13"/>
    <mergeCell ref="A14:A21"/>
    <mergeCell ref="A1:B1"/>
    <mergeCell ref="A2:B6"/>
    <mergeCell ref="A7:A9"/>
  </mergeCells>
  <pageMargins left="0.7" right="0.7" top="0.75" bottom="0.75" header="0.3" footer="0.3"/>
  <pageSetup paperSize="9" orientation="portrait"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327067-5327-4990-8CEB-D210200F6C16}">
  <dimension ref="A1:B16"/>
  <sheetViews>
    <sheetView topLeftCell="A3" workbookViewId="0">
      <selection sqref="A1:B16"/>
    </sheetView>
  </sheetViews>
  <sheetFormatPr defaultRowHeight="15" x14ac:dyDescent="0.25"/>
  <cols>
    <col min="1" max="1" width="21.42578125" customWidth="1"/>
    <col min="2" max="2" width="31.85546875" customWidth="1"/>
    <col min="3" max="3" width="10.5703125" customWidth="1"/>
  </cols>
  <sheetData>
    <row r="1" spans="1:2" ht="15.75" x14ac:dyDescent="0.25">
      <c r="A1" s="101" t="s">
        <v>252</v>
      </c>
      <c r="B1" s="102"/>
    </row>
    <row r="2" spans="1:2" ht="81.75" customHeight="1" x14ac:dyDescent="0.25">
      <c r="A2" s="103" t="s">
        <v>253</v>
      </c>
      <c r="B2" s="104"/>
    </row>
    <row r="3" spans="1:2" x14ac:dyDescent="0.25">
      <c r="A3" s="105"/>
      <c r="B3" s="106"/>
    </row>
    <row r="4" spans="1:2" ht="42.75" customHeight="1" x14ac:dyDescent="0.25">
      <c r="A4" s="105"/>
      <c r="B4" s="106"/>
    </row>
    <row r="5" spans="1:2" x14ac:dyDescent="0.25">
      <c r="A5" s="105"/>
      <c r="B5" s="106"/>
    </row>
    <row r="6" spans="1:2" ht="6.75" customHeight="1" x14ac:dyDescent="0.25">
      <c r="A6" s="107"/>
      <c r="B6" s="108"/>
    </row>
    <row r="7" spans="1:2" ht="15.75" x14ac:dyDescent="0.25">
      <c r="A7" s="73" t="s">
        <v>254</v>
      </c>
      <c r="B7" s="15">
        <v>6040</v>
      </c>
    </row>
    <row r="8" spans="1:2" ht="15.75" x14ac:dyDescent="0.25">
      <c r="A8" s="73" t="s">
        <v>12</v>
      </c>
      <c r="B8" s="11">
        <v>0.12</v>
      </c>
    </row>
    <row r="9" spans="1:2" ht="15.75" x14ac:dyDescent="0.25">
      <c r="A9" s="73" t="s">
        <v>255</v>
      </c>
      <c r="B9" s="17">
        <v>3</v>
      </c>
    </row>
    <row r="10" spans="1:2" ht="15.75" x14ac:dyDescent="0.25">
      <c r="A10" s="73" t="s">
        <v>256</v>
      </c>
      <c r="B10" s="58">
        <v>1</v>
      </c>
    </row>
    <row r="11" spans="1:2" ht="15.75" x14ac:dyDescent="0.25">
      <c r="A11" s="73" t="s">
        <v>257</v>
      </c>
      <c r="B11" s="15">
        <v>350000</v>
      </c>
    </row>
    <row r="12" spans="1:2" ht="15.75" x14ac:dyDescent="0.25">
      <c r="A12" s="73" t="s">
        <v>12</v>
      </c>
      <c r="B12" s="78">
        <v>0.17</v>
      </c>
    </row>
    <row r="13" spans="1:2" ht="31.5" x14ac:dyDescent="0.25">
      <c r="A13" s="73" t="s">
        <v>260</v>
      </c>
      <c r="B13" s="79">
        <f>CEILING(NPER(B12/12,,-B15,B11),1)</f>
        <v>259</v>
      </c>
    </row>
    <row r="14" spans="1:2" ht="31.5" x14ac:dyDescent="0.25">
      <c r="A14" s="73" t="s">
        <v>258</v>
      </c>
      <c r="B14" s="15">
        <f>FV(B8/12,B9,-B7)/2</f>
        <v>9150.9019999999728</v>
      </c>
    </row>
    <row r="15" spans="1:2" ht="31.5" x14ac:dyDescent="0.25">
      <c r="A15" s="73" t="s">
        <v>259</v>
      </c>
      <c r="B15" s="15">
        <f>FV(B8/12,B10,,-B14)</f>
        <v>9242.4110199999723</v>
      </c>
    </row>
    <row r="16" spans="1:2" ht="15.75" x14ac:dyDescent="0.25">
      <c r="A16" s="112" t="s">
        <v>261</v>
      </c>
      <c r="B16" s="113"/>
    </row>
  </sheetData>
  <mergeCells count="3">
    <mergeCell ref="A1:B1"/>
    <mergeCell ref="A2:B6"/>
    <mergeCell ref="A16:B16"/>
  </mergeCells>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A87268-887F-41B4-ADCE-4F68A3747940}">
  <dimension ref="A1:B13"/>
  <sheetViews>
    <sheetView workbookViewId="0">
      <selection sqref="A1:B13"/>
    </sheetView>
  </sheetViews>
  <sheetFormatPr defaultRowHeight="15" x14ac:dyDescent="0.25"/>
  <cols>
    <col min="1" max="1" width="20.140625" customWidth="1"/>
    <col min="2" max="2" width="22.85546875" customWidth="1"/>
  </cols>
  <sheetData>
    <row r="1" spans="1:2" ht="15.75" x14ac:dyDescent="0.25">
      <c r="A1" s="101" t="s">
        <v>262</v>
      </c>
      <c r="B1" s="102"/>
    </row>
    <row r="2" spans="1:2" x14ac:dyDescent="0.25">
      <c r="A2" s="103" t="s">
        <v>263</v>
      </c>
      <c r="B2" s="104"/>
    </row>
    <row r="3" spans="1:2" x14ac:dyDescent="0.25">
      <c r="A3" s="105"/>
      <c r="B3" s="106"/>
    </row>
    <row r="4" spans="1:2" ht="34.5" customHeight="1" x14ac:dyDescent="0.25">
      <c r="A4" s="105"/>
      <c r="B4" s="106"/>
    </row>
    <row r="5" spans="1:2" x14ac:dyDescent="0.25">
      <c r="A5" s="105"/>
      <c r="B5" s="106"/>
    </row>
    <row r="6" spans="1:2" x14ac:dyDescent="0.25">
      <c r="A6" s="107"/>
      <c r="B6" s="108"/>
    </row>
    <row r="7" spans="1:2" ht="15.75" x14ac:dyDescent="0.25">
      <c r="A7" s="73" t="s">
        <v>96</v>
      </c>
      <c r="B7" s="17">
        <v>36</v>
      </c>
    </row>
    <row r="8" spans="1:2" ht="15.75" x14ac:dyDescent="0.25">
      <c r="A8" s="73" t="s">
        <v>264</v>
      </c>
      <c r="B8" s="15">
        <v>720</v>
      </c>
    </row>
    <row r="9" spans="1:2" ht="15.75" x14ac:dyDescent="0.25">
      <c r="A9" s="73" t="s">
        <v>265</v>
      </c>
      <c r="B9" s="17">
        <v>48</v>
      </c>
    </row>
    <row r="10" spans="1:2" ht="15.75" x14ac:dyDescent="0.25">
      <c r="A10" s="73" t="s">
        <v>266</v>
      </c>
      <c r="B10" s="56">
        <v>0.11</v>
      </c>
    </row>
    <row r="11" spans="1:2" ht="31.5" x14ac:dyDescent="0.25">
      <c r="A11" s="73" t="s">
        <v>267</v>
      </c>
      <c r="B11" s="15">
        <f>-PMT(B10/12,B7,,B12)</f>
        <v>814.65006356359061</v>
      </c>
    </row>
    <row r="12" spans="1:2" ht="31.5" x14ac:dyDescent="0.25">
      <c r="A12" s="73" t="s">
        <v>268</v>
      </c>
      <c r="B12" s="15">
        <f>PV(,B9/12,-B8*12)</f>
        <v>34560</v>
      </c>
    </row>
    <row r="13" spans="1:2" ht="15.75" x14ac:dyDescent="0.25">
      <c r="A13" s="112" t="s">
        <v>269</v>
      </c>
      <c r="B13" s="113"/>
    </row>
  </sheetData>
  <mergeCells count="3">
    <mergeCell ref="A1:B1"/>
    <mergeCell ref="A2:B6"/>
    <mergeCell ref="A13:B13"/>
  </mergeCells>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BE1453-C1C8-4EAC-8892-9E63F10CA7A5}">
  <dimension ref="A1:B13"/>
  <sheetViews>
    <sheetView workbookViewId="0">
      <selection sqref="A1:B13"/>
    </sheetView>
  </sheetViews>
  <sheetFormatPr defaultRowHeight="15" x14ac:dyDescent="0.25"/>
  <cols>
    <col min="1" max="1" width="27.5703125" customWidth="1"/>
    <col min="2" max="2" width="27" customWidth="1"/>
  </cols>
  <sheetData>
    <row r="1" spans="1:2" ht="15.75" x14ac:dyDescent="0.25">
      <c r="A1" s="101" t="s">
        <v>270</v>
      </c>
      <c r="B1" s="102"/>
    </row>
    <row r="2" spans="1:2" x14ac:dyDescent="0.25">
      <c r="A2" s="103" t="s">
        <v>271</v>
      </c>
      <c r="B2" s="104"/>
    </row>
    <row r="3" spans="1:2" x14ac:dyDescent="0.25">
      <c r="A3" s="105"/>
      <c r="B3" s="106"/>
    </row>
    <row r="4" spans="1:2" x14ac:dyDescent="0.25">
      <c r="A4" s="105"/>
      <c r="B4" s="106"/>
    </row>
    <row r="5" spans="1:2" ht="63" customHeight="1" x14ac:dyDescent="0.25">
      <c r="A5" s="105"/>
      <c r="B5" s="106"/>
    </row>
    <row r="6" spans="1:2" x14ac:dyDescent="0.25">
      <c r="A6" s="107"/>
      <c r="B6" s="108"/>
    </row>
    <row r="7" spans="1:2" ht="15.75" x14ac:dyDescent="0.25">
      <c r="A7" s="73" t="s">
        <v>95</v>
      </c>
      <c r="B7" s="15">
        <v>2000</v>
      </c>
    </row>
    <row r="8" spans="1:2" ht="15.75" x14ac:dyDescent="0.25">
      <c r="A8" s="73" t="s">
        <v>164</v>
      </c>
      <c r="B8" s="17">
        <v>12</v>
      </c>
    </row>
    <row r="9" spans="1:2" ht="15.75" x14ac:dyDescent="0.25">
      <c r="A9" s="73" t="s">
        <v>197</v>
      </c>
      <c r="B9" s="11">
        <v>0.06</v>
      </c>
    </row>
    <row r="10" spans="1:2" ht="15.75" x14ac:dyDescent="0.25">
      <c r="A10" s="73" t="s">
        <v>272</v>
      </c>
      <c r="B10" s="15">
        <f>-PMT(B9,B8,B7)</f>
        <v>238.55405876132733</v>
      </c>
    </row>
    <row r="11" spans="1:2" ht="31.5" x14ac:dyDescent="0.25">
      <c r="A11" s="73" t="s">
        <v>273</v>
      </c>
      <c r="B11" s="15">
        <f>-PPMT(B9,1,B8,B7)</f>
        <v>118.55405876132733</v>
      </c>
    </row>
    <row r="12" spans="1:2" ht="15.75" x14ac:dyDescent="0.25">
      <c r="A12" s="73" t="s">
        <v>274</v>
      </c>
      <c r="B12" s="15">
        <f>-IPMT(B9,1,B8,B7)</f>
        <v>120</v>
      </c>
    </row>
    <row r="13" spans="1:2" ht="15.75" x14ac:dyDescent="0.25">
      <c r="A13" s="112" t="s">
        <v>275</v>
      </c>
      <c r="B13" s="113"/>
    </row>
  </sheetData>
  <mergeCells count="3">
    <mergeCell ref="A1:B1"/>
    <mergeCell ref="A2:B6"/>
    <mergeCell ref="A13:B13"/>
  </mergeCells>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7D2679-0F8E-4AAD-9BB9-4DB5A7D13896}">
  <dimension ref="A1:E26"/>
  <sheetViews>
    <sheetView topLeftCell="A6" workbookViewId="0">
      <selection sqref="A1:B21"/>
    </sheetView>
  </sheetViews>
  <sheetFormatPr defaultRowHeight="15" x14ac:dyDescent="0.25"/>
  <cols>
    <col min="1" max="1" width="37.140625" bestFit="1" customWidth="1"/>
    <col min="2" max="2" width="25.28515625" customWidth="1"/>
    <col min="4" max="4" width="13.7109375" bestFit="1" customWidth="1"/>
    <col min="5" max="5" width="16" bestFit="1" customWidth="1"/>
  </cols>
  <sheetData>
    <row r="1" spans="1:5" ht="15.75" x14ac:dyDescent="0.25">
      <c r="A1" s="101" t="s">
        <v>276</v>
      </c>
      <c r="B1" s="102"/>
    </row>
    <row r="2" spans="1:5" ht="105" customHeight="1" x14ac:dyDescent="0.25">
      <c r="A2" s="103" t="s">
        <v>277</v>
      </c>
      <c r="B2" s="104"/>
    </row>
    <row r="3" spans="1:5" ht="56.25" customHeight="1" x14ac:dyDescent="0.25">
      <c r="A3" s="105"/>
      <c r="B3" s="106"/>
    </row>
    <row r="4" spans="1:5" x14ac:dyDescent="0.25">
      <c r="A4" s="105"/>
      <c r="B4" s="106"/>
    </row>
    <row r="5" spans="1:5" ht="48.75" customHeight="1" x14ac:dyDescent="0.25">
      <c r="A5" s="105"/>
      <c r="B5" s="106"/>
    </row>
    <row r="6" spans="1:5" ht="28.5" customHeight="1" x14ac:dyDescent="0.25">
      <c r="A6" s="107"/>
      <c r="B6" s="108"/>
    </row>
    <row r="7" spans="1:5" ht="15.75" x14ac:dyDescent="0.25">
      <c r="A7" s="73" t="s">
        <v>278</v>
      </c>
      <c r="B7" s="40">
        <v>3645</v>
      </c>
      <c r="D7" s="83" t="s">
        <v>292</v>
      </c>
      <c r="E7" s="83" t="s">
        <v>293</v>
      </c>
    </row>
    <row r="8" spans="1:5" ht="15.75" x14ac:dyDescent="0.25">
      <c r="A8" s="73" t="s">
        <v>279</v>
      </c>
      <c r="B8" s="7">
        <v>0.18</v>
      </c>
      <c r="D8" s="83">
        <v>1</v>
      </c>
      <c r="E8" s="84">
        <f>FV(IF(B7&gt;0,$B$8,$B$9)/12,1,IF(MOD(D8,2)=0,$B$10,$B$11),-B7)</f>
        <v>3389.6750000000015</v>
      </c>
    </row>
    <row r="9" spans="1:5" ht="15.75" x14ac:dyDescent="0.25">
      <c r="A9" s="73" t="s">
        <v>280</v>
      </c>
      <c r="B9" s="7">
        <v>-0.36</v>
      </c>
      <c r="D9" s="83">
        <v>2</v>
      </c>
      <c r="E9" s="84">
        <f>FV(IF($E8&gt;0,$B$8,$B$9)/12,1,IF(MOD(D9,2)=0,$B$10,$B$11),-$E8)</f>
        <v>3626.520125</v>
      </c>
    </row>
    <row r="10" spans="1:5" ht="15.75" x14ac:dyDescent="0.25">
      <c r="A10" s="73" t="s">
        <v>281</v>
      </c>
      <c r="B10" s="40">
        <v>-186</v>
      </c>
      <c r="D10" s="83">
        <v>3</v>
      </c>
      <c r="E10" s="84">
        <f t="shared" ref="E10:E16" si="0">FV(IF($E9&gt;0,$B$8,$B$9)/12,1,IF(MOD(D10,2)=0,$B$10,$B$11),-$E9)</f>
        <v>3370.9179268750013</v>
      </c>
    </row>
    <row r="11" spans="1:5" ht="15.75" x14ac:dyDescent="0.25">
      <c r="A11" s="73" t="s">
        <v>282</v>
      </c>
      <c r="B11" s="40">
        <v>310</v>
      </c>
      <c r="D11" s="83">
        <v>4</v>
      </c>
      <c r="E11" s="84">
        <f t="shared" si="0"/>
        <v>3607.4816957781245</v>
      </c>
    </row>
    <row r="12" spans="1:5" ht="15.75" x14ac:dyDescent="0.25">
      <c r="A12" s="73" t="s">
        <v>283</v>
      </c>
      <c r="B12" s="5">
        <v>9</v>
      </c>
      <c r="D12" s="83">
        <v>5</v>
      </c>
      <c r="E12" s="84">
        <f t="shared" si="0"/>
        <v>3351.5939212147978</v>
      </c>
    </row>
    <row r="13" spans="1:5" ht="15.75" x14ac:dyDescent="0.25">
      <c r="A13" s="5" t="s">
        <v>284</v>
      </c>
      <c r="B13" s="9">
        <v>0.15</v>
      </c>
      <c r="D13" s="83">
        <v>6</v>
      </c>
      <c r="E13" s="84">
        <f t="shared" si="0"/>
        <v>3587.867830033018</v>
      </c>
    </row>
    <row r="14" spans="1:5" ht="15.75" x14ac:dyDescent="0.25">
      <c r="A14" s="5" t="s">
        <v>285</v>
      </c>
      <c r="B14" s="9">
        <v>-0.3</v>
      </c>
      <c r="D14" s="83">
        <v>7</v>
      </c>
      <c r="E14" s="84">
        <f t="shared" si="0"/>
        <v>3331.6858474835149</v>
      </c>
    </row>
    <row r="15" spans="1:5" ht="15.75" x14ac:dyDescent="0.25">
      <c r="A15" s="5" t="s">
        <v>286</v>
      </c>
      <c r="B15" s="5">
        <v>12</v>
      </c>
      <c r="D15" s="83">
        <v>8</v>
      </c>
      <c r="E15" s="84">
        <f t="shared" si="0"/>
        <v>3567.6611351957658</v>
      </c>
    </row>
    <row r="16" spans="1:5" ht="15.75" x14ac:dyDescent="0.25">
      <c r="A16" s="5" t="s">
        <v>287</v>
      </c>
      <c r="B16" s="82">
        <v>1076</v>
      </c>
      <c r="D16" s="83">
        <v>9</v>
      </c>
      <c r="E16" s="84">
        <f t="shared" si="0"/>
        <v>3311.1760522237037</v>
      </c>
    </row>
    <row r="17" spans="1:5" ht="15.75" x14ac:dyDescent="0.25">
      <c r="A17" s="5" t="s">
        <v>288</v>
      </c>
      <c r="B17" s="5">
        <v>15</v>
      </c>
      <c r="D17" s="83">
        <v>10</v>
      </c>
      <c r="E17" s="84">
        <f>FV(IF($E16&gt;0,$B$13,$B$14)/12,1,IF(MOD(D17,2)=0,$B$10,$B$11),-$E16)</f>
        <v>3538.5657528764996</v>
      </c>
    </row>
    <row r="18" spans="1:5" ht="15.75" x14ac:dyDescent="0.25">
      <c r="A18" s="5" t="s">
        <v>289</v>
      </c>
      <c r="B18" s="82">
        <v>-816</v>
      </c>
      <c r="D18" s="83">
        <v>11</v>
      </c>
      <c r="E18" s="84">
        <f t="shared" ref="E18:E26" si="1">FV(IF($E17&gt;0,$B$13,$B$14)/12,1,IF(MOD(D18,2)=0,$B$10,$B$11),-$E17)</f>
        <v>3272.7978247874566</v>
      </c>
    </row>
    <row r="19" spans="1:5" ht="15.75" x14ac:dyDescent="0.25">
      <c r="A19" s="5" t="s">
        <v>80</v>
      </c>
      <c r="B19" s="5">
        <v>19</v>
      </c>
      <c r="D19" s="83">
        <v>12</v>
      </c>
      <c r="E19" s="84">
        <f>FV(IF($E18&gt;0,$B$13,$B$14)/12,1,IF(MOD(D19,2)=0,$B$10,$B$11),-$E18)+B16</f>
        <v>4575.7077975972988</v>
      </c>
    </row>
    <row r="20" spans="1:5" ht="15.75" x14ac:dyDescent="0.25">
      <c r="A20" s="5" t="s">
        <v>290</v>
      </c>
      <c r="B20" s="82">
        <f>E26</f>
        <v>3425.5681614975792</v>
      </c>
      <c r="D20" s="83">
        <v>1</v>
      </c>
      <c r="E20" s="84">
        <f t="shared" si="1"/>
        <v>4322.9041450672657</v>
      </c>
    </row>
    <row r="21" spans="1:5" ht="15.75" x14ac:dyDescent="0.25">
      <c r="A21" s="93" t="s">
        <v>291</v>
      </c>
      <c r="B21" s="94"/>
      <c r="D21" s="83">
        <v>2</v>
      </c>
      <c r="E21" s="84">
        <f t="shared" si="1"/>
        <v>4562.9404468806051</v>
      </c>
    </row>
    <row r="22" spans="1:5" x14ac:dyDescent="0.25">
      <c r="D22" s="83">
        <v>3</v>
      </c>
      <c r="E22" s="84">
        <f>FV(IF($E21&gt;0,$B$13,$B$14)/12,1,IF(MOD(D22,2)=0,$B$10,$B$11),-$E21)+B18</f>
        <v>3493.9772024666136</v>
      </c>
    </row>
    <row r="23" spans="1:5" x14ac:dyDescent="0.25">
      <c r="D23" s="83">
        <v>4</v>
      </c>
      <c r="E23" s="84">
        <f t="shared" si="1"/>
        <v>3723.6519174974455</v>
      </c>
    </row>
    <row r="24" spans="1:5" x14ac:dyDescent="0.25">
      <c r="D24" s="83">
        <v>5</v>
      </c>
      <c r="E24" s="84">
        <f t="shared" si="1"/>
        <v>3460.1975664661645</v>
      </c>
    </row>
    <row r="25" spans="1:5" x14ac:dyDescent="0.25">
      <c r="D25" s="83">
        <v>6</v>
      </c>
      <c r="E25" s="84">
        <f t="shared" si="1"/>
        <v>3689.450036046991</v>
      </c>
    </row>
    <row r="26" spans="1:5" x14ac:dyDescent="0.25">
      <c r="D26" s="83">
        <v>7</v>
      </c>
      <c r="E26" s="84">
        <f t="shared" si="1"/>
        <v>3425.5681614975792</v>
      </c>
    </row>
  </sheetData>
  <mergeCells count="3">
    <mergeCell ref="A1:B1"/>
    <mergeCell ref="A2:B6"/>
    <mergeCell ref="A21:B21"/>
  </mergeCells>
  <pageMargins left="0.7" right="0.7" top="0.75" bottom="0.75" header="0.3" footer="0.3"/>
  <pageSetup paperSize="9" orientation="portrait"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F260C7-B383-47B2-BFE8-E026B0D63F82}">
  <dimension ref="A1:F7"/>
  <sheetViews>
    <sheetView workbookViewId="0">
      <selection activeCell="E1" sqref="E1:F3"/>
    </sheetView>
  </sheetViews>
  <sheetFormatPr defaultRowHeight="15" x14ac:dyDescent="0.25"/>
  <cols>
    <col min="1" max="1" width="49" bestFit="1" customWidth="1"/>
    <col min="2" max="2" width="25.140625" customWidth="1"/>
    <col min="5" max="5" width="27.42578125" bestFit="1" customWidth="1"/>
    <col min="6" max="6" width="13.28515625" bestFit="1" customWidth="1"/>
  </cols>
  <sheetData>
    <row r="1" spans="1:6" ht="15.75" x14ac:dyDescent="0.25">
      <c r="A1" s="126" t="s">
        <v>294</v>
      </c>
      <c r="B1" s="126"/>
      <c r="E1" s="126" t="s">
        <v>301</v>
      </c>
      <c r="F1" s="126"/>
    </row>
    <row r="2" spans="1:6" ht="15.75" x14ac:dyDescent="0.25">
      <c r="A2" s="5" t="s">
        <v>295</v>
      </c>
      <c r="B2" s="40">
        <v>180000</v>
      </c>
      <c r="E2" s="5" t="s">
        <v>302</v>
      </c>
      <c r="F2" s="40">
        <v>150000</v>
      </c>
    </row>
    <row r="3" spans="1:6" ht="15.75" x14ac:dyDescent="0.25">
      <c r="A3" s="5" t="s">
        <v>300</v>
      </c>
      <c r="B3" s="40">
        <v>360000</v>
      </c>
      <c r="E3" s="5" t="s">
        <v>303</v>
      </c>
      <c r="F3" s="40">
        <v>300000</v>
      </c>
    </row>
    <row r="4" spans="1:6" ht="15.75" x14ac:dyDescent="0.25">
      <c r="A4" s="5" t="s">
        <v>296</v>
      </c>
      <c r="B4" s="40">
        <v>20000</v>
      </c>
    </row>
    <row r="5" spans="1:6" ht="15.75" x14ac:dyDescent="0.25">
      <c r="A5" s="5" t="s">
        <v>297</v>
      </c>
      <c r="B5" s="40">
        <v>100000</v>
      </c>
    </row>
    <row r="6" spans="1:6" ht="15.75" x14ac:dyDescent="0.25">
      <c r="A6" s="5" t="s">
        <v>298</v>
      </c>
      <c r="B6" s="40">
        <v>70000</v>
      </c>
    </row>
    <row r="7" spans="1:6" ht="15.75" x14ac:dyDescent="0.25">
      <c r="A7" s="85" t="s">
        <v>299</v>
      </c>
      <c r="B7" s="86">
        <f>SUM(B2:B6)</f>
        <v>730000</v>
      </c>
    </row>
  </sheetData>
  <mergeCells count="2">
    <mergeCell ref="A1:B1"/>
    <mergeCell ref="E1:F1"/>
  </mergeCells>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BCD342-707C-4E03-BBD9-E41E6BE3ACE5}">
  <dimension ref="A1:B13"/>
  <sheetViews>
    <sheetView tabSelected="1" workbookViewId="0">
      <selection activeCell="B12" sqref="B12"/>
    </sheetView>
  </sheetViews>
  <sheetFormatPr defaultRowHeight="15" x14ac:dyDescent="0.25"/>
  <cols>
    <col min="1" max="1" width="21" customWidth="1"/>
    <col min="2" max="2" width="17.5703125" customWidth="1"/>
  </cols>
  <sheetData>
    <row r="1" spans="1:2" ht="15.75" x14ac:dyDescent="0.25">
      <c r="A1" s="101" t="s">
        <v>304</v>
      </c>
      <c r="B1" s="102"/>
    </row>
    <row r="2" spans="1:2" x14ac:dyDescent="0.25">
      <c r="A2" s="103" t="s">
        <v>309</v>
      </c>
      <c r="B2" s="104"/>
    </row>
    <row r="3" spans="1:2" x14ac:dyDescent="0.25">
      <c r="A3" s="105"/>
      <c r="B3" s="106"/>
    </row>
    <row r="4" spans="1:2" ht="104.25" customHeight="1" x14ac:dyDescent="0.25">
      <c r="A4" s="105"/>
      <c r="B4" s="106"/>
    </row>
    <row r="5" spans="1:2" x14ac:dyDescent="0.25">
      <c r="A5" s="105"/>
      <c r="B5" s="106"/>
    </row>
    <row r="6" spans="1:2" x14ac:dyDescent="0.25">
      <c r="A6" s="107"/>
      <c r="B6" s="108"/>
    </row>
    <row r="7" spans="1:2" ht="15.75" x14ac:dyDescent="0.25">
      <c r="A7" s="73" t="s">
        <v>192</v>
      </c>
      <c r="B7" s="21">
        <v>44385</v>
      </c>
    </row>
    <row r="8" spans="1:2" ht="15.75" x14ac:dyDescent="0.25">
      <c r="A8" s="73" t="s">
        <v>305</v>
      </c>
      <c r="B8" s="21">
        <v>44505</v>
      </c>
    </row>
    <row r="9" spans="1:2" ht="15.75" x14ac:dyDescent="0.25">
      <c r="A9" s="73" t="s">
        <v>12</v>
      </c>
      <c r="B9" s="7">
        <v>0.5</v>
      </c>
    </row>
    <row r="10" spans="1:2" ht="15.75" x14ac:dyDescent="0.25">
      <c r="A10" s="73" t="s">
        <v>185</v>
      </c>
      <c r="B10" s="11">
        <v>0.8</v>
      </c>
    </row>
    <row r="11" spans="1:2" ht="15.75" x14ac:dyDescent="0.25">
      <c r="A11" s="73" t="s">
        <v>306</v>
      </c>
      <c r="B11" s="40">
        <v>2000</v>
      </c>
    </row>
    <row r="12" spans="1:2" ht="15.75" x14ac:dyDescent="0.25">
      <c r="A12" s="73" t="s">
        <v>307</v>
      </c>
      <c r="B12" s="40">
        <f>PRICE(B7,B8,B9,B10,B11,4)</f>
        <v>1590.9010043546853</v>
      </c>
    </row>
    <row r="13" spans="1:2" ht="15.75" x14ac:dyDescent="0.25">
      <c r="A13" s="93" t="s">
        <v>308</v>
      </c>
      <c r="B13" s="94"/>
    </row>
  </sheetData>
  <mergeCells count="3">
    <mergeCell ref="A1:B1"/>
    <mergeCell ref="A2:B6"/>
    <mergeCell ref="A13:B13"/>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37</vt:i4>
      </vt:variant>
    </vt:vector>
  </HeadingPairs>
  <TitlesOfParts>
    <vt:vector size="37" baseType="lpstr">
      <vt:lpstr>Задача 2</vt:lpstr>
      <vt:lpstr>Задача 4</vt:lpstr>
      <vt:lpstr>Задача 6</vt:lpstr>
      <vt:lpstr>Задача 8</vt:lpstr>
      <vt:lpstr>Задача 10</vt:lpstr>
      <vt:lpstr>Задача 12</vt:lpstr>
      <vt:lpstr>Задача 14</vt:lpstr>
      <vt:lpstr>Задача 16</vt:lpstr>
      <vt:lpstr>Задача 18</vt:lpstr>
      <vt:lpstr>Задача 20</vt:lpstr>
      <vt:lpstr>Завдання 22</vt:lpstr>
      <vt:lpstr>Завдання 24</vt:lpstr>
      <vt:lpstr>Задача 26</vt:lpstr>
      <vt:lpstr>Задача 28</vt:lpstr>
      <vt:lpstr>Задача 30</vt:lpstr>
      <vt:lpstr>Задача 32</vt:lpstr>
      <vt:lpstr>Задача 34</vt:lpstr>
      <vt:lpstr>Задача 36</vt:lpstr>
      <vt:lpstr>Задача 38</vt:lpstr>
      <vt:lpstr>Задача 40</vt:lpstr>
      <vt:lpstr>Задача 42</vt:lpstr>
      <vt:lpstr>Задача 44</vt:lpstr>
      <vt:lpstr>Задача 46</vt:lpstr>
      <vt:lpstr>Задача 48</vt:lpstr>
      <vt:lpstr>Задача 50</vt:lpstr>
      <vt:lpstr>Задача 52</vt:lpstr>
      <vt:lpstr>Задача 54</vt:lpstr>
      <vt:lpstr>Задача 56</vt:lpstr>
      <vt:lpstr>Задача 58</vt:lpstr>
      <vt:lpstr>Задача 60</vt:lpstr>
      <vt:lpstr>Задача 61</vt:lpstr>
      <vt:lpstr>Задача 62</vt:lpstr>
      <vt:lpstr>Задача 63</vt:lpstr>
      <vt:lpstr>Задача 64</vt:lpstr>
      <vt:lpstr>Задача 65</vt:lpstr>
      <vt:lpstr>Задача 66</vt:lpstr>
      <vt:lpstr>Задача 67</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Пользователь</dc:creator>
  <cp:lastModifiedBy>Пользователь</cp:lastModifiedBy>
  <dcterms:created xsi:type="dcterms:W3CDTF">2022-10-11T13:59:30Z</dcterms:created>
  <dcterms:modified xsi:type="dcterms:W3CDTF">2022-10-13T00:43:18Z</dcterms:modified>
</cp:coreProperties>
</file>