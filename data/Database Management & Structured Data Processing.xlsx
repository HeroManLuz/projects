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4.xml" ContentType="application/vnd.openxmlformats-officedocument.spreadsheetml.pivot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МКМЕІ\"/>
    </mc:Choice>
  </mc:AlternateContent>
  <xr:revisionPtr revIDLastSave="0" documentId="13_ncr:1_{D6076D2B-98D3-4A90-A7F8-3973318B3144}" xr6:coauthVersionLast="47" xr6:coauthVersionMax="47" xr10:uidLastSave="{00000000-0000-0000-0000-000000000000}"/>
  <bookViews>
    <workbookView xWindow="-120" yWindow="-120" windowWidth="20730" windowHeight="11160" tabRatio="240" activeTab="4" xr2:uid="{9ACE16C5-E3C4-4BAE-B470-3BD7E535BB4A}"/>
  </bookViews>
  <sheets>
    <sheet name="Завдання 1" sheetId="1" r:id="rId1"/>
    <sheet name="Завдання 2" sheetId="2" r:id="rId2"/>
    <sheet name="Завдання 3" sheetId="3" r:id="rId3"/>
    <sheet name="Завдання 4" sheetId="4" r:id="rId4"/>
    <sheet name="Завдання 5" sheetId="7" r:id="rId5"/>
    <sheet name="Завдання 6" sheetId="8" r:id="rId6"/>
    <sheet name="Завдання 7" sheetId="9" r:id="rId7"/>
    <sheet name="Завдання 8" sheetId="10" r:id="rId8"/>
  </sheets>
  <definedNames>
    <definedName name="_xlcn.WorksheetConnection_SEM_7.xlsxТаблица101" hidden="1">Таблица10[]</definedName>
    <definedName name="AD">'Завдання 2'!#REF!</definedName>
    <definedName name="ExternalData_1" localSheetId="5" hidden="1">'Завдання 6'!$A$9:$E$43</definedName>
  </definedNames>
  <calcPr calcId="191029"/>
  <pivotCaches>
    <pivotCache cacheId="470" r:id="rId9"/>
    <pivotCache cacheId="473" r:id="rId10"/>
    <pivotCache cacheId="476" r:id="rId11"/>
    <pivotCache cacheId="479" r:id="rId12"/>
    <pivotCache cacheId="482" r:id="rId13"/>
    <pivotCache cacheId="485" r:id="rId14"/>
    <pivotCache cacheId="488" r:id="rId15"/>
    <pivotCache cacheId="491" r:id="rId16"/>
    <pivotCache cacheId="495" r:id="rId17"/>
    <pivotCache cacheId="502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Таблица10" name="Таблица10" connection="WorksheetConnection_SEM_7.xlsx!Таблица10"/>
        </x15:modelTables>
        <x15:extLst>
          <ext xmlns:x16="http://schemas.microsoft.com/office/spreadsheetml/2014/11/main" uri="{9835A34E-60A6-4A7C-AAB8-D5F71C897F49}">
            <x16:modelTimeGroupings>
              <x16:modelTimeGrouping tableName="Таблица10" columnName="Дата Народження" columnId="Дата Народження">
                <x16:calculatedTimeColumn columnName="Дата Народження (Год)" columnId="Дата Народження (Год)" contentType="years" isSelected="1"/>
                <x16:calculatedTimeColumn columnName="Дата Народження (Квартал)" columnId="Дата Народження (Квартал)" contentType="quarters" isSelected="1"/>
                <x16:calculatedTimeColumn columnName="Дата Народження (Индекс месяца)" columnId="Дата Народження (Индекс месяца)" contentType="monthsindex" isSelected="1"/>
                <x16:calculatedTimeColumn columnName="Дата Народження (Месяц)" columnId="Дата Народження (Месяц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14" i="2"/>
  <c r="E15" i="2"/>
  <c r="E16" i="2"/>
  <c r="E17" i="2"/>
  <c r="E18" i="2"/>
  <c r="E19" i="2"/>
  <c r="E20" i="2"/>
  <c r="E21" i="2"/>
  <c r="E22" i="2"/>
  <c r="L22" i="10"/>
  <c r="G34" i="10"/>
  <c r="L4" i="10"/>
  <c r="K3" i="10"/>
  <c r="E8" i="10"/>
  <c r="E7" i="10" s="1"/>
  <c r="B9" i="10"/>
  <c r="B6" i="10"/>
  <c r="G21" i="10"/>
  <c r="L20" i="10"/>
  <c r="G40" i="10"/>
  <c r="E39" i="10"/>
  <c r="G39" i="10" s="1"/>
  <c r="G38" i="10"/>
  <c r="G36" i="10"/>
  <c r="G35" i="10"/>
  <c r="G33" i="10"/>
  <c r="G32" i="10"/>
  <c r="G24" i="10"/>
  <c r="G27" i="10"/>
  <c r="G25" i="10"/>
  <c r="G23" i="10"/>
  <c r="G22" i="10"/>
  <c r="G20" i="10"/>
  <c r="G19" i="10"/>
  <c r="L3" i="10"/>
  <c r="H14" i="10"/>
  <c r="G13" i="10"/>
  <c r="G12" i="10"/>
  <c r="G11" i="10"/>
  <c r="E26" i="10" s="1"/>
  <c r="G26" i="10" s="1"/>
  <c r="F13" i="10"/>
  <c r="H13" i="10" s="1"/>
  <c r="F14" i="10"/>
  <c r="F11" i="10"/>
  <c r="H11" i="10" s="1"/>
  <c r="H6" i="10"/>
  <c r="H5" i="10"/>
  <c r="H4" i="10"/>
  <c r="H3" i="10"/>
  <c r="H2" i="10"/>
  <c r="F12" i="10"/>
  <c r="G37" i="10" l="1"/>
  <c r="E41" i="10" s="1"/>
  <c r="L23" i="10" s="1"/>
  <c r="L21" i="10"/>
  <c r="L5" i="10"/>
  <c r="H12" i="10"/>
  <c r="H15" i="10" s="1"/>
  <c r="E28" i="10" s="1"/>
  <c r="E65" i="8"/>
  <c r="E60" i="8"/>
  <c r="D61" i="8"/>
  <c r="E61" i="8" s="1"/>
  <c r="D62" i="8"/>
  <c r="E62" i="8" s="1"/>
  <c r="D63" i="8"/>
  <c r="E63" i="8" s="1"/>
  <c r="D64" i="8"/>
  <c r="E64" i="8" s="1"/>
  <c r="D60" i="8"/>
  <c r="A61" i="8"/>
  <c r="A62" i="8"/>
  <c r="A63" i="8"/>
  <c r="A64" i="8"/>
  <c r="A60" i="8"/>
  <c r="H48" i="8"/>
  <c r="H6" i="8"/>
  <c r="H3" i="8"/>
  <c r="H4" i="8"/>
  <c r="H5" i="8"/>
  <c r="H2" i="8"/>
  <c r="G3" i="8"/>
  <c r="G4" i="8"/>
  <c r="G5" i="8"/>
  <c r="G6" i="8"/>
  <c r="G2" i="8"/>
  <c r="A3" i="8"/>
  <c r="A4" i="8"/>
  <c r="A5" i="8"/>
  <c r="A6" i="8"/>
  <c r="A2" i="8"/>
  <c r="D53" i="7"/>
  <c r="C53" i="7"/>
  <c r="D40" i="7"/>
  <c r="C40" i="7"/>
  <c r="D27" i="7"/>
  <c r="C27" i="7"/>
  <c r="D14" i="7"/>
  <c r="C14" i="7"/>
  <c r="E52" i="7"/>
  <c r="E51" i="7"/>
  <c r="F50" i="7"/>
  <c r="E50" i="7"/>
  <c r="E49" i="7"/>
  <c r="E48" i="7"/>
  <c r="F47" i="7"/>
  <c r="E47" i="7"/>
  <c r="E46" i="7"/>
  <c r="E45" i="7"/>
  <c r="F44" i="7"/>
  <c r="E44" i="7"/>
  <c r="E43" i="7"/>
  <c r="E42" i="7"/>
  <c r="G41" i="7"/>
  <c r="G53" i="7" s="1"/>
  <c r="F41" i="7"/>
  <c r="E41" i="7"/>
  <c r="E39" i="7"/>
  <c r="E38" i="7"/>
  <c r="F37" i="7"/>
  <c r="E37" i="7"/>
  <c r="E36" i="7"/>
  <c r="E35" i="7"/>
  <c r="F34" i="7"/>
  <c r="E34" i="7"/>
  <c r="E33" i="7"/>
  <c r="E32" i="7"/>
  <c r="F31" i="7"/>
  <c r="E31" i="7"/>
  <c r="E30" i="7"/>
  <c r="E29" i="7"/>
  <c r="G28" i="7"/>
  <c r="G40" i="7" s="1"/>
  <c r="F28" i="7"/>
  <c r="E28" i="7"/>
  <c r="E26" i="7"/>
  <c r="E25" i="7"/>
  <c r="F24" i="7"/>
  <c r="E24" i="7"/>
  <c r="E23" i="7"/>
  <c r="E22" i="7"/>
  <c r="F21" i="7"/>
  <c r="E21" i="7"/>
  <c r="E20" i="7"/>
  <c r="E19" i="7"/>
  <c r="F18" i="7"/>
  <c r="E18" i="7"/>
  <c r="E17" i="7"/>
  <c r="E16" i="7"/>
  <c r="G15" i="7"/>
  <c r="G27" i="7" s="1"/>
  <c r="F15" i="7"/>
  <c r="E15" i="7"/>
  <c r="G2" i="7"/>
  <c r="G55" i="7" s="1"/>
  <c r="F11" i="7"/>
  <c r="F8" i="7"/>
  <c r="F5" i="7"/>
  <c r="F2" i="7"/>
  <c r="E3" i="7"/>
  <c r="E4" i="7"/>
  <c r="E5" i="7"/>
  <c r="E6" i="7"/>
  <c r="E7" i="7"/>
  <c r="E8" i="7"/>
  <c r="E9" i="7"/>
  <c r="E10" i="7"/>
  <c r="E11" i="7"/>
  <c r="E12" i="7"/>
  <c r="E13" i="7"/>
  <c r="E2" i="7"/>
  <c r="O3" i="4"/>
  <c r="O4" i="4"/>
  <c r="O5" i="4"/>
  <c r="O6" i="4"/>
  <c r="S6" i="4" s="1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" i="4"/>
  <c r="S19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S2" i="4"/>
  <c r="S3" i="4"/>
  <c r="S4" i="4"/>
  <c r="S5" i="4"/>
  <c r="S7" i="4"/>
  <c r="S8" i="4"/>
  <c r="S9" i="4"/>
  <c r="S10" i="4"/>
  <c r="S11" i="4"/>
  <c r="S12" i="4"/>
  <c r="S13" i="4"/>
  <c r="S14" i="4"/>
  <c r="S15" i="4"/>
  <c r="S16" i="4"/>
  <c r="S17" i="4"/>
  <c r="S18" i="4"/>
  <c r="S20" i="4"/>
  <c r="S21" i="4"/>
  <c r="S22" i="4"/>
  <c r="S23" i="4"/>
  <c r="B2" i="3"/>
  <c r="E69" i="2"/>
  <c r="E68" i="2"/>
  <c r="E67" i="2"/>
  <c r="E66" i="2"/>
  <c r="E65" i="2"/>
  <c r="E64" i="2"/>
  <c r="E63" i="2"/>
  <c r="E62" i="2"/>
  <c r="E61" i="2"/>
  <c r="E57" i="2"/>
  <c r="E56" i="2"/>
  <c r="E55" i="2"/>
  <c r="E54" i="2"/>
  <c r="E53" i="2"/>
  <c r="E52" i="2"/>
  <c r="E51" i="2"/>
  <c r="E50" i="2"/>
  <c r="E49" i="2"/>
  <c r="E45" i="2"/>
  <c r="E44" i="2"/>
  <c r="E43" i="2"/>
  <c r="E42" i="2"/>
  <c r="E41" i="2"/>
  <c r="E40" i="2"/>
  <c r="E39" i="2"/>
  <c r="E38" i="2"/>
  <c r="E37" i="2"/>
  <c r="E31" i="2"/>
  <c r="E25" i="2"/>
  <c r="E28" i="2"/>
  <c r="E30" i="2"/>
  <c r="E33" i="2"/>
  <c r="E26" i="2"/>
  <c r="E27" i="2"/>
  <c r="E29" i="2"/>
  <c r="E32" i="2"/>
  <c r="E3" i="2"/>
  <c r="E4" i="2"/>
  <c r="E5" i="2"/>
  <c r="E6" i="2"/>
  <c r="E7" i="2"/>
  <c r="E8" i="2"/>
  <c r="E9" i="2"/>
  <c r="E2" i="2"/>
  <c r="I14" i="1"/>
  <c r="I13" i="1"/>
  <c r="I12" i="1"/>
  <c r="I11" i="1"/>
  <c r="I10" i="1"/>
  <c r="I9" i="1"/>
  <c r="I8" i="1"/>
  <c r="I7" i="1"/>
  <c r="I6" i="1"/>
  <c r="I5" i="1"/>
  <c r="I3" i="1"/>
  <c r="I4" i="1"/>
  <c r="D54" i="7" l="1"/>
  <c r="C54" i="7"/>
  <c r="G14" i="7"/>
  <c r="E70" i="2"/>
  <c r="E58" i="2"/>
  <c r="E10" i="2"/>
  <c r="E46" i="2"/>
  <c r="E34" i="2"/>
  <c r="G5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I3" authorId="0" shapeId="0" xr:uid="{AF97A30D-79F2-44AB-AA0D-8E762B17A9C1}">
      <text>
        <r>
          <rPr>
            <sz val="9"/>
            <color indexed="81"/>
            <rFont val="Times New Roman"/>
            <family val="1"/>
            <charset val="204"/>
          </rPr>
          <t xml:space="preserve">Оцінюємо дисперсію вибірки фактичної ціни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4" authorId="0" shapeId="0" xr:uid="{B2BC1D11-4E3D-4B12-8D27-64256A857B6E}">
      <text>
        <r>
          <rPr>
            <sz val="9"/>
            <color indexed="81"/>
            <rFont val="Times New Roman"/>
            <family val="1"/>
            <charset val="204"/>
          </rPr>
          <t xml:space="preserve">Обчислюємо дисперсію на основі генеральної вибірки фактичної ціни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5" authorId="0" shapeId="0" xr:uid="{7AC2FBAD-D40E-4A2F-937F-F25C371B4C5D}">
      <text>
        <r>
          <rPr>
            <sz val="9"/>
            <color indexed="81"/>
            <rFont val="Times New Roman"/>
            <family val="1"/>
            <charset val="204"/>
          </rPr>
          <t>Додає числа у стовпці поля записів бази даних, які відповідають указаним умовам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6" authorId="0" shapeId="0" xr:uid="{A4959B6D-DA34-453B-9E6D-EC04BB350C7F}">
      <text>
        <r>
          <rPr>
            <sz val="9"/>
            <color indexed="81"/>
            <rFont val="Times New Roman"/>
            <family val="1"/>
            <charset val="204"/>
          </rPr>
          <t>Перемножує значення певного поля записів бази даних, які відповідають указаним умовам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7" authorId="0" shapeId="0" xr:uid="{59BC3A36-1FCD-4CC1-9C99-390EB43ABC65}">
      <text>
        <r>
          <rPr>
            <sz val="9"/>
            <color indexed="81"/>
            <rFont val="Times New Roman"/>
            <family val="1"/>
            <charset val="204"/>
          </rPr>
          <t>Вибирає окремий запис бази даних, який відповідає вказаним умовам.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8" authorId="0" shapeId="0" xr:uid="{5D8E130E-164D-417E-BEC0-7DB8A5A8CF44}">
      <text>
        <r>
          <rPr>
            <sz val="9"/>
            <color indexed="81"/>
            <rFont val="Times New Roman"/>
            <family val="1"/>
            <charset val="204"/>
          </rPr>
          <t>Підраховує кількість клітинок бази даних, які містять числа.</t>
        </r>
      </text>
    </comment>
    <comment ref="I9" authorId="0" shapeId="0" xr:uid="{5926D515-01F1-4BDE-BD5E-6CC9319907B2}">
      <text>
        <r>
          <rPr>
            <sz val="9"/>
            <color indexed="81"/>
            <rFont val="Times New Roman"/>
            <family val="1"/>
            <charset val="204"/>
          </rPr>
          <t xml:space="preserve">Підраховує кількість непустих клітинок у базі даних.
</t>
        </r>
      </text>
    </comment>
    <comment ref="I10" authorId="0" shapeId="0" xr:uid="{0BF09E80-69F5-4033-9D75-CA8BB318A705}">
      <text>
        <r>
          <rPr>
            <sz val="9"/>
            <color indexed="81"/>
            <rFont val="Times New Roman"/>
            <family val="1"/>
            <charset val="204"/>
          </rPr>
          <t xml:space="preserve">Повертає максимальне значення з кількості одиниць продукції.
</t>
        </r>
      </text>
    </comment>
    <comment ref="I11" authorId="0" shapeId="0" xr:uid="{EB6E0F54-C0AB-4437-8F3F-6A69322ADB4C}">
      <text>
        <r>
          <rPr>
            <sz val="9"/>
            <color indexed="81"/>
            <rFont val="Times New Roman"/>
            <family val="1"/>
            <charset val="204"/>
          </rPr>
          <t>Повертає мінімальне значення кількості одиниць продукції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2" authorId="0" shapeId="0" xr:uid="{4E466886-D675-4C40-BCCC-177EECCB37D5}">
      <text>
        <r>
          <rPr>
            <sz val="9"/>
            <color indexed="81"/>
            <rFont val="Times New Roman"/>
            <family val="1"/>
            <charset val="204"/>
          </rPr>
          <t>Повертає середнє значення вибраних записів бази даних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3" authorId="0" shapeId="0" xr:uid="{FF96D1FA-5D96-4BB8-B184-CEE838854185}">
      <text>
        <r>
          <rPr>
            <sz val="9"/>
            <color indexed="81"/>
            <rFont val="Times New Roman"/>
            <family val="1"/>
            <charset val="204"/>
          </rPr>
          <t>Оцінює стандартне відхилення на основі вибірки фактичної ціни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4" authorId="0" shapeId="0" xr:uid="{2A5BC9F8-7669-4B44-BAB4-28B18D1F92AA}">
      <text>
        <r>
          <rPr>
            <sz val="9"/>
            <color indexed="81"/>
            <rFont val="Times New Roman"/>
            <family val="1"/>
            <charset val="204"/>
          </rPr>
          <t>Обчислює стандартне відхилення на основі генеральної сукупності</t>
        </r>
        <r>
          <rPr>
            <sz val="9"/>
            <color indexed="81"/>
            <rFont val="Tahoma"/>
            <family val="2"/>
            <charset val="204"/>
          </rPr>
          <t xml:space="preserve"> 
</t>
        </r>
        <r>
          <rPr>
            <sz val="9"/>
            <color indexed="81"/>
            <rFont val="Times New Roman"/>
            <family val="1"/>
            <charset val="204"/>
          </rPr>
          <t>прогнозованої ціни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5BF83E-8528-4693-B62F-0BE44A09DC63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ADFF993-88AF-42A3-9972-E940CEF37FDF}" name="WorksheetConnection_SEM_7.xlsx!Таблица10" type="102" refreshedVersion="7" minRefreshableVersion="5">
    <extLst>
      <ext xmlns:x15="http://schemas.microsoft.com/office/spreadsheetml/2010/11/main" uri="{DE250136-89BD-433C-8126-D09CA5730AF9}">
        <x15:connection id="Таблица10" autoDelete="1">
          <x15:rangePr sourceName="_xlcn.WorksheetConnection_SEM_7.xlsxТаблица101"/>
        </x15:connection>
      </ext>
    </extLst>
  </connection>
  <connection id="3" xr16:uid="{157E40A1-E898-4928-A1E6-B2528448AB6B}" keepAlive="1" interval="120" name="Запрос — Table 0" description="Соединение с запросом &quot;Table 0&quot; в книге." type="5" refreshedVersion="7" refreshOnLoa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<sst xmlns="http://schemas.openxmlformats.org/spreadsheetml/2006/main" count="795" uniqueCount="372">
  <si>
    <t>Кількість</t>
  </si>
  <si>
    <t>Ціна прогнозована, грн.</t>
  </si>
  <si>
    <t>Ціна фактична, грн.</t>
  </si>
  <si>
    <t>Критерії</t>
  </si>
  <si>
    <t>Шифр продукції</t>
  </si>
  <si>
    <t>№</t>
  </si>
  <si>
    <t>Функція</t>
  </si>
  <si>
    <t>Розрахунки</t>
  </si>
  <si>
    <t>БДДИСП</t>
  </si>
  <si>
    <t>БДДИСПП</t>
  </si>
  <si>
    <t>БДСУММ</t>
  </si>
  <si>
    <t>&gt;3500</t>
  </si>
  <si>
    <t>&lt;26</t>
  </si>
  <si>
    <t>&gt;22</t>
  </si>
  <si>
    <t>&gt;200</t>
  </si>
  <si>
    <t>БДПРОИЗВЕД</t>
  </si>
  <si>
    <t>БИЗВЛЕЧЬ</t>
  </si>
  <si>
    <t>БСЧЁТ</t>
  </si>
  <si>
    <t>БСЧЁТА</t>
  </si>
  <si>
    <t>ДМАКС</t>
  </si>
  <si>
    <t>ДМИН</t>
  </si>
  <si>
    <t>ДСРЗНАЧ</t>
  </si>
  <si>
    <t>ДСТАНДОТКЛ</t>
  </si>
  <si>
    <t>ДСТАНДОТКЛП</t>
  </si>
  <si>
    <t xml:space="preserve"> </t>
  </si>
  <si>
    <t>Найменування товару</t>
  </si>
  <si>
    <t>Одиниці виміру</t>
  </si>
  <si>
    <t>Ціна, грн.</t>
  </si>
  <si>
    <t>Сума, грн.</t>
  </si>
  <si>
    <t>1. Цегла силікатна</t>
  </si>
  <si>
    <t>тис. шт</t>
  </si>
  <si>
    <t>2. Труба з/б. 600/</t>
  </si>
  <si>
    <t>куб. м</t>
  </si>
  <si>
    <t>3. Лист 12ХНІОТ б-8</t>
  </si>
  <si>
    <t xml:space="preserve">т </t>
  </si>
  <si>
    <t>4. Лист 12 СНІОТ б-16</t>
  </si>
  <si>
    <t>т</t>
  </si>
  <si>
    <t>5. Швелер</t>
  </si>
  <si>
    <t>6. Уголок 90х90</t>
  </si>
  <si>
    <t>7. Труба діаметр 102</t>
  </si>
  <si>
    <t>8. Задвижка Ду-180</t>
  </si>
  <si>
    <t>шт</t>
  </si>
  <si>
    <t>Всього</t>
  </si>
  <si>
    <t>тис.шт</t>
  </si>
  <si>
    <t xml:space="preserve">9. Цегла керамічна </t>
  </si>
  <si>
    <t>Цегла силікатна</t>
  </si>
  <si>
    <t>Труба з/б. 600/</t>
  </si>
  <si>
    <t>Лист 12ХНІОТ б-8</t>
  </si>
  <si>
    <t>Лист 12 СНІОТ б-16</t>
  </si>
  <si>
    <t>Швелер</t>
  </si>
  <si>
    <t>Уголок 90х90</t>
  </si>
  <si>
    <t>Труба діаметр 102</t>
  </si>
  <si>
    <t>Задвижка Ду-180</t>
  </si>
  <si>
    <t xml:space="preserve">Цегла керамічна </t>
  </si>
  <si>
    <t xml:space="preserve"> Швелер</t>
  </si>
  <si>
    <t xml:space="preserve"> Труба діаметр 102</t>
  </si>
  <si>
    <t>Марка</t>
  </si>
  <si>
    <t>Вартість, $</t>
  </si>
  <si>
    <t>LADA</t>
  </si>
  <si>
    <t>ЗАЗ</t>
  </si>
  <si>
    <t>Ford</t>
  </si>
  <si>
    <t>Opel</t>
  </si>
  <si>
    <t>Volvo</t>
  </si>
  <si>
    <t>Mazda</t>
  </si>
  <si>
    <t>Renault</t>
  </si>
  <si>
    <t>Допустимі щомісячні виплати, $</t>
  </si>
  <si>
    <t>Термін виплати</t>
  </si>
  <si>
    <t xml:space="preserve">Термін погашення </t>
  </si>
  <si>
    <t>Введіть відсоткову ставку</t>
  </si>
  <si>
    <t>Вартість</t>
  </si>
  <si>
    <t>Чи можлива покупка?</t>
  </si>
  <si>
    <t>ні</t>
  </si>
  <si>
    <t>так</t>
  </si>
  <si>
    <t>ПІБ</t>
  </si>
  <si>
    <t>Дата Народження</t>
  </si>
  <si>
    <t>Стать</t>
  </si>
  <si>
    <t>Місто народження</t>
  </si>
  <si>
    <t>Моб. телефон</t>
  </si>
  <si>
    <t>Основи трудового права</t>
  </si>
  <si>
    <t>Науковий образ світу</t>
  </si>
  <si>
    <t>Іноземна мова професійного спрямування</t>
  </si>
  <si>
    <t>Основи зеленої економіки</t>
  </si>
  <si>
    <t>Теорія ймовірностей для економістів</t>
  </si>
  <si>
    <t>Вища математика для економістів</t>
  </si>
  <si>
    <t>Програмування</t>
  </si>
  <si>
    <t>Сумарний бал</t>
  </si>
  <si>
    <t>Середній бал</t>
  </si>
  <si>
    <t>Чи є дом. телефон</t>
  </si>
  <si>
    <t>Місяць народження</t>
  </si>
  <si>
    <t>Чи постійно проживає в Києві</t>
  </si>
  <si>
    <t>Бакун Марія Вадимівна</t>
  </si>
  <si>
    <t>жіноча</t>
  </si>
  <si>
    <t>Київ</t>
  </si>
  <si>
    <t>Немає</t>
  </si>
  <si>
    <t>Березень</t>
  </si>
  <si>
    <t>Так</t>
  </si>
  <si>
    <t>Бригінець Даніель Федорович</t>
  </si>
  <si>
    <t>чоловіча</t>
  </si>
  <si>
    <t>Липень</t>
  </si>
  <si>
    <t>Гавриленко Роман Олександрович</t>
  </si>
  <si>
    <t>Ромни</t>
  </si>
  <si>
    <t>Серпень</t>
  </si>
  <si>
    <t>Ні</t>
  </si>
  <si>
    <t>Гоголь Денис Володимирович</t>
  </si>
  <si>
    <t>Джаман Ольга Олексіївна</t>
  </si>
  <si>
    <t>Рівне</t>
  </si>
  <si>
    <t>Січень</t>
  </si>
  <si>
    <t>Зварич Дмитро Богданович</t>
  </si>
  <si>
    <t>Листопад</t>
  </si>
  <si>
    <t>Ковбаса Анастасія Олександрівна</t>
  </si>
  <si>
    <t>Кролевець</t>
  </si>
  <si>
    <t>Кузнецов Нікіта Сергійович</t>
  </si>
  <si>
    <t>Олександрія</t>
  </si>
  <si>
    <t>Миронець Вікторія Олегівна</t>
  </si>
  <si>
    <t>Мнухіна Марина Олександрівна</t>
  </si>
  <si>
    <t>Лютий</t>
  </si>
  <si>
    <t>Овдій Данило Дмитрович</t>
  </si>
  <si>
    <t>Петренко Вероніка Сергіївна</t>
  </si>
  <si>
    <t>Кременчук</t>
  </si>
  <si>
    <t>Петрик Мар'яна Максимівна</t>
  </si>
  <si>
    <t>Петрин Олександр Сергійович</t>
  </si>
  <si>
    <t>Жовтень</t>
  </si>
  <si>
    <t>Пустовіт Майя Григорівна</t>
  </si>
  <si>
    <t>Краматорськ</t>
  </si>
  <si>
    <t>Червень</t>
  </si>
  <si>
    <t>Савельєва Анастасія Андріївна</t>
  </si>
  <si>
    <t>Сілюк Дарина Миколаївна</t>
  </si>
  <si>
    <t>Луцьк</t>
  </si>
  <si>
    <t>Тітаренко Вікторія Дмитрівна</t>
  </si>
  <si>
    <t>Квітень</t>
  </si>
  <si>
    <t>Фастова Валерія Євгенівна</t>
  </si>
  <si>
    <t>Харків</t>
  </si>
  <si>
    <t>Франчук Анна Олександрівна</t>
  </si>
  <si>
    <t>Хижняк Анастасія Олександрівна</t>
  </si>
  <si>
    <t>Травень</t>
  </si>
  <si>
    <t>Ястреба Оксана Олексіївна</t>
  </si>
  <si>
    <t>Миколаїв</t>
  </si>
  <si>
    <t>Місто</t>
  </si>
  <si>
    <t>Наявність домашнього телефону</t>
  </si>
  <si>
    <t>Чи заслуговує на стипендію?</t>
  </si>
  <si>
    <t>Старше 19 років чи ні</t>
  </si>
  <si>
    <t>Заслуговує</t>
  </si>
  <si>
    <t>Не заслуговує</t>
  </si>
  <si>
    <t>Чи заслуговує на стипендію</t>
  </si>
  <si>
    <t>Молодше</t>
  </si>
  <si>
    <t>Старше</t>
  </si>
  <si>
    <t>Старше 19 років</t>
  </si>
  <si>
    <t>Чи постійно проживає в Києві?</t>
  </si>
  <si>
    <t>Середній бал з ТЙ</t>
  </si>
  <si>
    <t>Середній бал з ВМ</t>
  </si>
  <si>
    <t xml:space="preserve"> Середній бал</t>
  </si>
  <si>
    <t>Місяць</t>
  </si>
  <si>
    <t>Чи проживаєте в Києві?</t>
  </si>
  <si>
    <t>Середнє ТЙ</t>
  </si>
  <si>
    <t>Період</t>
  </si>
  <si>
    <t>Кількість клієнтів, яких обслуговували</t>
  </si>
  <si>
    <t>Обсяг роботи з продажу товарів</t>
  </si>
  <si>
    <t>Місячна ефективність роботи</t>
  </si>
  <si>
    <t>Квартальна ефективність роботи</t>
  </si>
  <si>
    <t>Річна ефективність роботи</t>
  </si>
  <si>
    <t>січень</t>
  </si>
  <si>
    <t>лютий</t>
  </si>
  <si>
    <t>березень</t>
  </si>
  <si>
    <t>травень</t>
  </si>
  <si>
    <t>квітень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</si>
  <si>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</si>
  <si>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</si>
  <si>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</si>
  <si>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</si>
  <si>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</si>
  <si>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</si>
  <si>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</si>
  <si>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Савінцев Ілля Сергійович</t>
  </si>
  <si>
    <t>Шорін Кирило Дмитрович</t>
  </si>
  <si>
    <t xml:space="preserve">Савінцев Ілля Сергійович </t>
  </si>
  <si>
    <t>Джуфалаян Тимур Станіславович</t>
  </si>
  <si>
    <t>Сікора Володимир Михайлович</t>
  </si>
  <si>
    <t xml:space="preserve">Сікора Володимир Михайлович </t>
  </si>
  <si>
    <t xml:space="preserve">Джуфалаян Тимур Станіславович </t>
  </si>
  <si>
    <t xml:space="preserve">Шорін Кирило Дмитрович </t>
  </si>
  <si>
    <t>Річна ефективність роботи усіх менеджерів</t>
  </si>
  <si>
    <t>Найфективніший менеджер</t>
  </si>
  <si>
    <t>Код товару</t>
  </si>
  <si>
    <t>Е1201</t>
  </si>
  <si>
    <t>Е1202</t>
  </si>
  <si>
    <t>Е4345</t>
  </si>
  <si>
    <t>Е6843</t>
  </si>
  <si>
    <t>Е2123</t>
  </si>
  <si>
    <t>Категорія</t>
  </si>
  <si>
    <t>Пакет</t>
  </si>
  <si>
    <t>Канцтовари</t>
  </si>
  <si>
    <t>Одяг</t>
  </si>
  <si>
    <t>Пакет маленький</t>
  </si>
  <si>
    <t>Пакет великий</t>
  </si>
  <si>
    <t>ЕКО-Ложка</t>
  </si>
  <si>
    <t>Брендова футболка</t>
  </si>
  <si>
    <t>Роздрібна вартість товару, грн/кг.</t>
  </si>
  <si>
    <t>Оптова вартість товару, грн/кг.</t>
  </si>
  <si>
    <t>Роздрібна вартість товару, дол/кг.</t>
  </si>
  <si>
    <t>Оптова вартість товару, дол/кг.</t>
  </si>
  <si>
    <t>Код цифровий</t>
  </si>
  <si>
    <t>Код літерний</t>
  </si>
  <si>
    <t>Кількість одиниць валюти</t>
  </si>
  <si>
    <t>Назва валюти</t>
  </si>
  <si>
    <t>Офіційний курс для відображення в бухгалтерському обліку, для операцій НБУ з ДКСУ та в інших випадках, визначених законодавством України, без зобов’язань Національного банку України купувати та продавати зазначені валюти за цими курсами</t>
  </si>
  <si>
    <t>AUD</t>
  </si>
  <si>
    <t>Австралійський долар</t>
  </si>
  <si>
    <t>AZN</t>
  </si>
  <si>
    <t>Азербайджанський манат</t>
  </si>
  <si>
    <t>BYN</t>
  </si>
  <si>
    <t>Білоруський рубль</t>
  </si>
  <si>
    <t>BGN</t>
  </si>
  <si>
    <t>Болгарський лев</t>
  </si>
  <si>
    <t>KRW</t>
  </si>
  <si>
    <t>Вона</t>
  </si>
  <si>
    <t>HKD</t>
  </si>
  <si>
    <t>Гонконгівський долар</t>
  </si>
  <si>
    <t>DKK</t>
  </si>
  <si>
    <t>Данська крона</t>
  </si>
  <si>
    <t>USD</t>
  </si>
  <si>
    <t>Долар США</t>
  </si>
  <si>
    <t>EUR</t>
  </si>
  <si>
    <t>Євро</t>
  </si>
  <si>
    <t>EGP</t>
  </si>
  <si>
    <t>Єгипетський фунт</t>
  </si>
  <si>
    <t>JPY</t>
  </si>
  <si>
    <t>Єна</t>
  </si>
  <si>
    <t>PLN</t>
  </si>
  <si>
    <t>Злотий</t>
  </si>
  <si>
    <t>INR</t>
  </si>
  <si>
    <t>Індійська рупія</t>
  </si>
  <si>
    <t>CAD</t>
  </si>
  <si>
    <t>Канадський долар</t>
  </si>
  <si>
    <t>HRK</t>
  </si>
  <si>
    <t>Куна</t>
  </si>
  <si>
    <t>MXN</t>
  </si>
  <si>
    <t>Мексиканське песо</t>
  </si>
  <si>
    <t>MDL</t>
  </si>
  <si>
    <t>Молдовський лей</t>
  </si>
  <si>
    <t>ILS</t>
  </si>
  <si>
    <t>Новий ізраїльський шекель</t>
  </si>
  <si>
    <t>NZD</t>
  </si>
  <si>
    <t>Новозеландський долар</t>
  </si>
  <si>
    <t>NOK</t>
  </si>
  <si>
    <t>Норвезька крона</t>
  </si>
  <si>
    <t>ZAR</t>
  </si>
  <si>
    <t>Ренд</t>
  </si>
  <si>
    <t>RUB</t>
  </si>
  <si>
    <t>Російський рубль</t>
  </si>
  <si>
    <t>RON</t>
  </si>
  <si>
    <t>Румунський лей</t>
  </si>
  <si>
    <t>IDR</t>
  </si>
  <si>
    <t>Рупія</t>
  </si>
  <si>
    <t>SGD</t>
  </si>
  <si>
    <t>Сінгапурський долар</t>
  </si>
  <si>
    <t>XDR</t>
  </si>
  <si>
    <t>СПЗ (спеціальні права запозичення)</t>
  </si>
  <si>
    <t>KZT</t>
  </si>
  <si>
    <t>Теньге</t>
  </si>
  <si>
    <t>TRY</t>
  </si>
  <si>
    <t>Турецька ліра</t>
  </si>
  <si>
    <t>HUF</t>
  </si>
  <si>
    <t>Форинт</t>
  </si>
  <si>
    <t>GBP</t>
  </si>
  <si>
    <t>Фунт стерлінгів</t>
  </si>
  <si>
    <t>CZK</t>
  </si>
  <si>
    <t>Чеська крона</t>
  </si>
  <si>
    <t>SEK</t>
  </si>
  <si>
    <t>Шведська крона</t>
  </si>
  <si>
    <t>CHF</t>
  </si>
  <si>
    <t>Швейцарський франк</t>
  </si>
  <si>
    <t>CNY</t>
  </si>
  <si>
    <t>Юань Женьміньбі</t>
  </si>
  <si>
    <t>Середня роздрібна вартість товару, грн/кг.</t>
  </si>
  <si>
    <t>Середня оптова вартість товару, грн/кг.</t>
  </si>
  <si>
    <t>Середня роздрібна вартість товару, дол/кг.</t>
  </si>
  <si>
    <t>Середня оптова вартість товару, дол/кг.</t>
  </si>
  <si>
    <t>Пошук за кодом товару</t>
  </si>
  <si>
    <t xml:space="preserve">Код товару </t>
  </si>
  <si>
    <t>ЕКО-Виделка</t>
  </si>
  <si>
    <t>Замовлення послуги</t>
  </si>
  <si>
    <t>Кількість замовлених товарів, шт.</t>
  </si>
  <si>
    <t>Ціна, грн/шт</t>
  </si>
  <si>
    <t>Загальна вартість</t>
  </si>
  <si>
    <t>Всього до сплати</t>
  </si>
  <si>
    <t>Вид продукту</t>
  </si>
  <si>
    <t xml:space="preserve">Ціни на ринку суші </t>
  </si>
  <si>
    <t>Рол Філадельфія з лососем</t>
  </si>
  <si>
    <t>Рол Філадельфія з креветками</t>
  </si>
  <si>
    <t>Рол Філадельфія з вугрем</t>
  </si>
  <si>
    <t>Рол Каліфорнія з лососем</t>
  </si>
  <si>
    <t>Рол Каліфорнія з вугрем</t>
  </si>
  <si>
    <t>Дари Моря</t>
  </si>
  <si>
    <t>Ціна за 300 г.</t>
  </si>
  <si>
    <t>Flagman</t>
  </si>
  <si>
    <t>ООО "Трейд Агро Групп" ЛТД</t>
  </si>
  <si>
    <t>Egersund Seafood</t>
  </si>
  <si>
    <t>NORVEN</t>
  </si>
  <si>
    <t>"Ocean Food"</t>
  </si>
  <si>
    <t>FISHMARKET</t>
  </si>
  <si>
    <t>Компанія</t>
  </si>
  <si>
    <t>Частка прибутку від</t>
  </si>
  <si>
    <t>Відвідувачів</t>
  </si>
  <si>
    <t>Інтернет замовлення</t>
  </si>
  <si>
    <t>Цільова аудиторія</t>
  </si>
  <si>
    <t>Відвідувачі</t>
  </si>
  <si>
    <t>Довжина</t>
  </si>
  <si>
    <t>Розмір погребу, м</t>
  </si>
  <si>
    <t>Ширина</t>
  </si>
  <si>
    <t xml:space="preserve">Висота </t>
  </si>
  <si>
    <t>Товщина підлоги</t>
  </si>
  <si>
    <t>Площа підлоги, м2</t>
  </si>
  <si>
    <t>Об'єми бетону, м3</t>
  </si>
  <si>
    <t>Підлога</t>
  </si>
  <si>
    <t>Витрати</t>
  </si>
  <si>
    <t>Обсяг</t>
  </si>
  <si>
    <t>Од.вимірювання</t>
  </si>
  <si>
    <t>Вартість, грн.</t>
  </si>
  <si>
    <t>-</t>
  </si>
  <si>
    <t>Вода</t>
  </si>
  <si>
    <t>куб.м</t>
  </si>
  <si>
    <t>Електроенергія</t>
  </si>
  <si>
    <t>кВт</t>
  </si>
  <si>
    <t>Заробітна плата</t>
  </si>
  <si>
    <t>осіб</t>
  </si>
  <si>
    <t>Набір інструментів</t>
  </si>
  <si>
    <t>шт.</t>
  </si>
  <si>
    <t>Банки, кришки, тощо</t>
  </si>
  <si>
    <t>Всього за місяць</t>
  </si>
  <si>
    <t>Всього за рік</t>
  </si>
  <si>
    <t>Витрати матеріалів на 1 м. куб. бетону, кг</t>
  </si>
  <si>
    <t>Загальні витрати, кг</t>
  </si>
  <si>
    <t>Ціна, грн/кг</t>
  </si>
  <si>
    <t>Загальні витрати, грн</t>
  </si>
  <si>
    <t>Цемент</t>
  </si>
  <si>
    <t>Пісок</t>
  </si>
  <si>
    <t>Щебінь</t>
  </si>
  <si>
    <t>Усього, грн</t>
  </si>
  <si>
    <t>Витрати на гідроізоляційний шар</t>
  </si>
  <si>
    <t>Матеріал</t>
  </si>
  <si>
    <t>Обсяг, кг</t>
  </si>
  <si>
    <t>Ціна, грн</t>
  </si>
  <si>
    <t>Гарячий бітум</t>
  </si>
  <si>
    <t>1 варіант погреба</t>
  </si>
  <si>
    <t>Доски</t>
  </si>
  <si>
    <t>100 шт.</t>
  </si>
  <si>
    <t>Стальні двері</t>
  </si>
  <si>
    <t>Труби ПВХ</t>
  </si>
  <si>
    <t xml:space="preserve">Терморегулятор для льоху </t>
  </si>
  <si>
    <t>Регулятор вологості</t>
  </si>
  <si>
    <t>Плоский шифер</t>
  </si>
  <si>
    <t>Цегла</t>
  </si>
  <si>
    <t>2500 шт.</t>
  </si>
  <si>
    <t>Цемент для кладки цегли</t>
  </si>
  <si>
    <t>мм</t>
  </si>
  <si>
    <t>750 кг.</t>
  </si>
  <si>
    <t>Додаткові витрати</t>
  </si>
  <si>
    <t>2 варіант погреба</t>
  </si>
  <si>
    <t>Бетонні блоки</t>
  </si>
  <si>
    <t>Клей для кладки блоків</t>
  </si>
  <si>
    <t>100 кг.</t>
  </si>
  <si>
    <t>см</t>
  </si>
  <si>
    <t>Назва</t>
  </si>
  <si>
    <t>Значення</t>
  </si>
  <si>
    <t>грн.</t>
  </si>
  <si>
    <t xml:space="preserve">Прибуток від овочевих магазинів </t>
  </si>
  <si>
    <t xml:space="preserve">Прибуток від мережевих супермаркетів </t>
  </si>
  <si>
    <t>Щомісячний прибуток</t>
  </si>
  <si>
    <t>Річний прибуток</t>
  </si>
  <si>
    <t>Окупність 1 погребу</t>
  </si>
  <si>
    <t>міс.</t>
  </si>
  <si>
    <t>Окупність 2 погребу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</si>
</sst>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₽&quot;;[Red]\-#,##0.00\ &quot;₽&quot;"/>
    <numFmt numFmtId="168" formatCode="0.0"/>
    <numFmt numFmtId="173" formatCode="0.0000"/>
    <numFmt numFmtId="174" formatCode="0.000"/>
    <numFmt numFmtId="179" formatCode="#,##0.00\ [$₴-422]"/>
    <numFmt numFmtId="180" formatCode="[$$-409]#,##0.00"/>
    <numFmt numFmtId="182" formatCode="#,##0.00\ _₽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9"/>
      <color indexed="81"/>
      <name val="Tahoma"/>
      <charset val="1"/>
    </font>
    <font>
      <sz val="9"/>
      <color indexed="8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2"/>
      <name val="Times New Roman"/>
      <family val="1"/>
      <charset val="204"/>
    </font>
    <font>
      <sz val="11"/>
      <color rgb="FFFFCCFF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9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1" fillId="0" borderId="0"/>
  </cellStyleXfs>
  <cellXfs count="127">
    <xf numFmtId="0" fontId="0" fillId="0" borderId="0" xfId="0"/>
    <xf numFmtId="0" fontId="2" fillId="3" borderId="1" xfId="2" applyFont="1" applyBorder="1" applyAlignment="1">
      <alignment horizontal="center" vertical="center"/>
    </xf>
    <xf numFmtId="0" fontId="2" fillId="3" borderId="1" xfId="2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/>
    </xf>
    <xf numFmtId="0" fontId="2" fillId="2" borderId="1" xfId="1" applyFont="1" applyBorder="1" applyAlignment="1">
      <alignment horizontal="center" vertical="center" wrapText="1"/>
    </xf>
    <xf numFmtId="2" fontId="2" fillId="2" borderId="1" xfId="1" applyNumberFormat="1" applyFont="1" applyBorder="1" applyAlignment="1">
      <alignment horizontal="center"/>
    </xf>
    <xf numFmtId="0" fontId="2" fillId="3" borderId="2" xfId="2" applyFont="1" applyBorder="1" applyAlignment="1">
      <alignment horizontal="center" vertical="center"/>
    </xf>
    <xf numFmtId="0" fontId="2" fillId="3" borderId="3" xfId="2" applyFont="1" applyBorder="1" applyAlignment="1">
      <alignment horizontal="center" vertical="center"/>
    </xf>
    <xf numFmtId="0" fontId="2" fillId="3" borderId="4" xfId="2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1" fillId="4" borderId="1" xfId="4" applyBorder="1" applyAlignment="1">
      <alignment horizontal="center" vertical="center"/>
    </xf>
    <xf numFmtId="8" fontId="9" fillId="4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vertical="center"/>
    </xf>
    <xf numFmtId="9" fontId="2" fillId="2" borderId="1" xfId="3" applyFon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8" fillId="3" borderId="5" xfId="2" applyFont="1" applyFill="1" applyBorder="1" applyAlignment="1">
      <alignment horizontal="center" vertical="center" wrapText="1"/>
    </xf>
    <xf numFmtId="0" fontId="10" fillId="4" borderId="4" xfId="4" applyFont="1" applyBorder="1" applyAlignment="1">
      <alignment horizontal="center" wrapText="1"/>
    </xf>
    <xf numFmtId="0" fontId="10" fillId="4" borderId="1" xfId="4" applyFont="1" applyBorder="1" applyAlignment="1">
      <alignment horizontal="center" wrapText="1"/>
    </xf>
    <xf numFmtId="14" fontId="10" fillId="4" borderId="1" xfId="4" applyNumberFormat="1" applyFont="1" applyBorder="1" applyAlignment="1">
      <alignment horizontal="center" wrapText="1"/>
    </xf>
    <xf numFmtId="1" fontId="10" fillId="4" borderId="1" xfId="4" applyNumberFormat="1" applyFont="1" applyBorder="1" applyAlignment="1">
      <alignment horizontal="center" wrapText="1"/>
    </xf>
    <xf numFmtId="0" fontId="10" fillId="4" borderId="2" xfId="4" applyFont="1" applyBorder="1" applyAlignment="1">
      <alignment horizontal="center" wrapText="1"/>
    </xf>
    <xf numFmtId="0" fontId="10" fillId="4" borderId="8" xfId="4" applyFont="1" applyBorder="1" applyAlignment="1">
      <alignment horizontal="center" wrapText="1"/>
    </xf>
    <xf numFmtId="0" fontId="10" fillId="4" borderId="9" xfId="4" applyFont="1" applyBorder="1" applyAlignment="1">
      <alignment horizontal="center" wrapText="1"/>
    </xf>
    <xf numFmtId="14" fontId="10" fillId="4" borderId="9" xfId="4" applyNumberFormat="1" applyFont="1" applyBorder="1" applyAlignment="1">
      <alignment horizontal="center" wrapText="1"/>
    </xf>
    <xf numFmtId="1" fontId="10" fillId="4" borderId="9" xfId="4" applyNumberFormat="1" applyFont="1" applyBorder="1" applyAlignment="1">
      <alignment horizontal="center" wrapText="1"/>
    </xf>
    <xf numFmtId="0" fontId="10" fillId="4" borderId="10" xfId="4" applyFont="1" applyBorder="1" applyAlignment="1">
      <alignment horizontal="center" wrapText="1"/>
    </xf>
    <xf numFmtId="0" fontId="0" fillId="0" borderId="0" xfId="0" applyNumberFormat="1"/>
    <xf numFmtId="0" fontId="10" fillId="4" borderId="6" xfId="4" applyFont="1" applyBorder="1" applyAlignment="1">
      <alignment horizontal="center" wrapText="1"/>
    </xf>
    <xf numFmtId="0" fontId="8" fillId="8" borderId="6" xfId="2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2" fillId="0" borderId="1" xfId="0" pivotButton="1" applyFont="1" applyBorder="1"/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2" fillId="0" borderId="1" xfId="0" applyNumberFormat="1" applyFont="1" applyBorder="1"/>
    <xf numFmtId="0" fontId="12" fillId="0" borderId="1" xfId="0" pivotButton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NumberFormat="1" applyFont="1" applyBorder="1" applyAlignment="1">
      <alignment horizontal="center"/>
    </xf>
    <xf numFmtId="0" fontId="10" fillId="4" borderId="1" xfId="4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/>
    </xf>
    <xf numFmtId="0" fontId="10" fillId="4" borderId="1" xfId="4" applyNumberFormat="1" applyFont="1" applyBorder="1" applyAlignment="1">
      <alignment horizontal="center" vertical="center" wrapText="1"/>
    </xf>
    <xf numFmtId="174" fontId="12" fillId="0" borderId="1" xfId="0" applyNumberFormat="1" applyFont="1" applyBorder="1" applyAlignment="1">
      <alignment horizontal="center"/>
    </xf>
    <xf numFmtId="168" fontId="12" fillId="0" borderId="1" xfId="0" applyNumberFormat="1" applyFont="1" applyBorder="1" applyAlignment="1">
      <alignment horizontal="center"/>
    </xf>
    <xf numFmtId="0" fontId="11" fillId="3" borderId="1" xfId="2" applyFont="1" applyBorder="1" applyAlignment="1">
      <alignment horizontal="center" vertical="center" wrapText="1"/>
    </xf>
    <xf numFmtId="0" fontId="10" fillId="4" borderId="1" xfId="4" applyFont="1" applyBorder="1" applyAlignment="1">
      <alignment horizontal="center" vertical="center" wrapText="1"/>
    </xf>
    <xf numFmtId="173" fontId="10" fillId="4" borderId="1" xfId="4" applyNumberFormat="1" applyFont="1" applyBorder="1" applyAlignment="1">
      <alignment horizontal="center" vertical="center"/>
    </xf>
    <xf numFmtId="174" fontId="10" fillId="4" borderId="1" xfId="4" applyNumberFormat="1" applyFont="1" applyBorder="1" applyAlignment="1">
      <alignment horizontal="center" vertical="center"/>
    </xf>
    <xf numFmtId="173" fontId="10" fillId="4" borderId="1" xfId="4" applyNumberFormat="1" applyFont="1" applyBorder="1" applyAlignment="1">
      <alignment horizontal="center" vertical="center"/>
    </xf>
    <xf numFmtId="0" fontId="11" fillId="4" borderId="1" xfId="4" applyFont="1" applyBorder="1" applyAlignment="1">
      <alignment horizontal="center" vertical="center" wrapText="1"/>
    </xf>
    <xf numFmtId="0" fontId="10" fillId="4" borderId="1" xfId="4" applyFont="1" applyBorder="1" applyAlignment="1">
      <alignment horizontal="center" vertical="center"/>
    </xf>
    <xf numFmtId="174" fontId="10" fillId="4" borderId="1" xfId="4" applyNumberFormat="1" applyFont="1" applyBorder="1" applyAlignment="1">
      <alignment horizontal="center" vertical="center"/>
    </xf>
    <xf numFmtId="2" fontId="10" fillId="4" borderId="1" xfId="4" applyNumberFormat="1" applyFont="1" applyBorder="1" applyAlignment="1">
      <alignment horizontal="center" vertical="center"/>
    </xf>
    <xf numFmtId="2" fontId="10" fillId="4" borderId="1" xfId="4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3" borderId="1" xfId="2" applyFont="1" applyBorder="1" applyAlignment="1">
      <alignment horizontal="center" vertical="center" wrapText="1"/>
    </xf>
    <xf numFmtId="0" fontId="10" fillId="2" borderId="1" xfId="1" applyFont="1" applyBorder="1" applyAlignment="1">
      <alignment horizontal="center" vertical="center" wrapText="1"/>
    </xf>
    <xf numFmtId="179" fontId="10" fillId="2" borderId="1" xfId="1" applyNumberFormat="1" applyFont="1" applyBorder="1" applyAlignment="1">
      <alignment horizontal="center" vertical="center" wrapText="1"/>
    </xf>
    <xf numFmtId="180" fontId="10" fillId="2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1" fontId="12" fillId="0" borderId="1" xfId="0" applyNumberFormat="1" applyFont="1" applyBorder="1" applyAlignment="1">
      <alignment horizontal="center"/>
    </xf>
    <xf numFmtId="179" fontId="12" fillId="0" borderId="1" xfId="0" applyNumberFormat="1" applyFont="1" applyBorder="1" applyAlignment="1">
      <alignment horizontal="center"/>
    </xf>
    <xf numFmtId="180" fontId="12" fillId="0" borderId="1" xfId="0" applyNumberFormat="1" applyFont="1" applyBorder="1" applyAlignment="1">
      <alignment horizontal="center"/>
    </xf>
    <xf numFmtId="0" fontId="11" fillId="3" borderId="2" xfId="2" applyFont="1" applyBorder="1" applyAlignment="1">
      <alignment horizontal="center" vertical="center" wrapText="1"/>
    </xf>
    <xf numFmtId="0" fontId="11" fillId="3" borderId="4" xfId="2" applyFont="1" applyBorder="1" applyAlignment="1">
      <alignment horizontal="center" vertical="center" wrapText="1"/>
    </xf>
    <xf numFmtId="0" fontId="11" fillId="3" borderId="3" xfId="2" applyFont="1" applyBorder="1" applyAlignment="1">
      <alignment horizontal="center" vertical="center" wrapText="1"/>
    </xf>
    <xf numFmtId="179" fontId="10" fillId="2" borderId="2" xfId="1" applyNumberFormat="1" applyFont="1" applyBorder="1" applyAlignment="1">
      <alignment vertical="center" wrapText="1"/>
    </xf>
    <xf numFmtId="0" fontId="10" fillId="2" borderId="3" xfId="1" applyFont="1" applyBorder="1" applyAlignment="1">
      <alignment vertical="center" wrapText="1"/>
    </xf>
    <xf numFmtId="0" fontId="10" fillId="3" borderId="1" xfId="2" applyFont="1" applyBorder="1" applyAlignment="1">
      <alignment horizontal="center"/>
    </xf>
    <xf numFmtId="0" fontId="10" fillId="2" borderId="1" xfId="1" applyFont="1" applyBorder="1"/>
    <xf numFmtId="0" fontId="11" fillId="3" borderId="1" xfId="2" applyFont="1" applyBorder="1" applyAlignment="1">
      <alignment horizontal="center"/>
    </xf>
    <xf numFmtId="0" fontId="11" fillId="3" borderId="1" xfId="2" applyFont="1" applyBorder="1" applyAlignment="1">
      <alignment horizontal="center" vertical="center"/>
    </xf>
    <xf numFmtId="0" fontId="10" fillId="2" borderId="1" xfId="1" applyFont="1" applyBorder="1" applyAlignment="1">
      <alignment horizontal="center" vertical="center"/>
    </xf>
    <xf numFmtId="0" fontId="10" fillId="2" borderId="1" xfId="1" applyFont="1" applyBorder="1" applyAlignment="1">
      <alignment vertical="center"/>
    </xf>
    <xf numFmtId="0" fontId="10" fillId="2" borderId="1" xfId="1" applyFont="1" applyBorder="1" applyAlignment="1">
      <alignment horizontal="center" vertical="center"/>
    </xf>
    <xf numFmtId="179" fontId="10" fillId="2" borderId="1" xfId="1" applyNumberFormat="1" applyFont="1" applyBorder="1" applyAlignment="1">
      <alignment horizontal="center" vertical="center"/>
    </xf>
    <xf numFmtId="0" fontId="11" fillId="3" borderId="9" xfId="2" applyFont="1" applyBorder="1" applyAlignment="1">
      <alignment horizontal="center" vertical="center"/>
    </xf>
    <xf numFmtId="0" fontId="11" fillId="3" borderId="6" xfId="2" applyFont="1" applyBorder="1" applyAlignment="1">
      <alignment horizontal="center" vertical="center"/>
    </xf>
    <xf numFmtId="9" fontId="10" fillId="2" borderId="1" xfId="1" applyNumberFormat="1" applyFont="1" applyBorder="1"/>
    <xf numFmtId="0" fontId="2" fillId="9" borderId="1" xfId="0" applyFont="1" applyFill="1" applyBorder="1" applyAlignment="1">
      <alignment vertical="center"/>
    </xf>
    <xf numFmtId="2" fontId="2" fillId="9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/>
    <xf numFmtId="2" fontId="2" fillId="9" borderId="2" xfId="0" applyNumberFormat="1" applyFont="1" applyFill="1" applyBorder="1" applyAlignment="1">
      <alignment horizontal="right"/>
    </xf>
    <xf numFmtId="2" fontId="2" fillId="9" borderId="3" xfId="0" applyNumberFormat="1" applyFont="1" applyFill="1" applyBorder="1" applyAlignment="1">
      <alignment horizontal="right"/>
    </xf>
    <xf numFmtId="2" fontId="2" fillId="9" borderId="4" xfId="0" applyNumberFormat="1" applyFont="1" applyFill="1" applyBorder="1" applyAlignment="1">
      <alignment horizontal="right"/>
    </xf>
    <xf numFmtId="0" fontId="10" fillId="3" borderId="1" xfId="2" applyFont="1" applyBorder="1" applyAlignment="1">
      <alignment horizontal="center" vertical="center"/>
    </xf>
    <xf numFmtId="2" fontId="10" fillId="2" borderId="1" xfId="1" applyNumberFormat="1" applyFont="1" applyBorder="1" applyAlignment="1">
      <alignment horizontal="center" vertical="center"/>
    </xf>
    <xf numFmtId="0" fontId="10" fillId="2" borderId="1" xfId="1" applyFont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182" fontId="2" fillId="9" borderId="1" xfId="0" applyNumberFormat="1" applyFont="1" applyFill="1" applyBorder="1" applyAlignment="1">
      <alignment horizontal="right" wrapText="1"/>
    </xf>
    <xf numFmtId="0" fontId="10" fillId="3" borderId="2" xfId="2" applyFont="1" applyBorder="1" applyAlignment="1">
      <alignment horizontal="center" vertical="center" wrapText="1"/>
    </xf>
    <xf numFmtId="0" fontId="10" fillId="3" borderId="4" xfId="2" applyFont="1" applyBorder="1" applyAlignment="1">
      <alignment horizontal="center" vertical="center" wrapText="1"/>
    </xf>
    <xf numFmtId="0" fontId="10" fillId="4" borderId="1" xfId="4" applyFont="1" applyBorder="1" applyAlignment="1">
      <alignment vertical="center"/>
    </xf>
    <xf numFmtId="0" fontId="10" fillId="3" borderId="1" xfId="2" applyFont="1" applyBorder="1" applyAlignment="1">
      <alignment horizontal="center" vertical="center" wrapText="1"/>
    </xf>
    <xf numFmtId="0" fontId="10" fillId="2" borderId="6" xfId="1" applyFont="1" applyBorder="1" applyAlignment="1">
      <alignment horizontal="center" vertical="center" wrapText="1"/>
    </xf>
    <xf numFmtId="0" fontId="10" fillId="2" borderId="6" xfId="1" applyFont="1" applyBorder="1" applyAlignment="1">
      <alignment horizontal="center" wrapText="1"/>
    </xf>
    <xf numFmtId="0" fontId="10" fillId="2" borderId="2" xfId="1" applyFont="1" applyBorder="1" applyAlignment="1">
      <alignment horizontal="center" wrapText="1"/>
    </xf>
    <xf numFmtId="0" fontId="10" fillId="2" borderId="4" xfId="1" applyFont="1" applyBorder="1" applyAlignment="1">
      <alignment horizontal="center" wrapText="1"/>
    </xf>
    <xf numFmtId="0" fontId="10" fillId="2" borderId="1" xfId="1" applyFont="1" applyBorder="1" applyAlignment="1">
      <alignment horizontal="center" wrapText="1"/>
    </xf>
    <xf numFmtId="2" fontId="10" fillId="2" borderId="1" xfId="1" applyNumberFormat="1" applyFont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/>
    </xf>
    <xf numFmtId="0" fontId="10" fillId="3" borderId="1" xfId="2" applyFont="1" applyBorder="1" applyAlignment="1">
      <alignment horizontal="center" vertical="center"/>
    </xf>
    <xf numFmtId="2" fontId="10" fillId="2" borderId="4" xfId="1" applyNumberFormat="1" applyFont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0" fontId="12" fillId="0" borderId="1" xfId="0" pivotButton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</cellXfs>
  <cellStyles count="6">
    <cellStyle name="20% — акцент2" xfId="4" builtinId="34"/>
    <cellStyle name="20% — акцент4" xfId="1" builtinId="42"/>
    <cellStyle name="60% — акцент4" xfId="2" builtinId="44"/>
    <cellStyle name="Обычный" xfId="0" builtinId="0"/>
    <cellStyle name="Обычный 2" xfId="5" xr:uid="{5AED94C1-DC26-41C1-9830-AD247A14BE07}"/>
    <cellStyle name="Процентный" xfId="3" builtinId="5"/>
  </cellStyles>
  <dxfs count="322">
    <dxf>
      <numFmt numFmtId="0" formatCode="General"/>
    </dxf>
    <dxf>
      <numFmt numFmtId="0" formatCode="General"/>
    </dxf>
    <dxf>
      <alignment wrapText="1"/>
    </dxf>
    <dxf>
      <alignment wrapText="1"/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80" formatCode="[$$-409]#,##0.0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numFmt numFmtId="179" formatCode="#,##0.00\ [$₴-422]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168" formatCode="0.0"/>
    </dxf>
    <dxf>
      <numFmt numFmtId="2" formatCode="0.00"/>
    </dxf>
    <dxf>
      <numFmt numFmtId="2" formatCode="0.00"/>
    </dxf>
    <dxf>
      <numFmt numFmtId="2" formatCode="0.00"/>
    </dxf>
    <dxf>
      <numFmt numFmtId="174" formatCode="0.0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[SEM_7.xlsx]Завдання 4!Сводная таблица4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Стать</a:t>
            </a:r>
          </a:p>
          <a:p>
            <a:pPr>
              <a:defRPr/>
            </a:pP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'Завдання 4'!$C$25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'Завдання 4'!$B$26:$B$28</c:f>
              <c:strCache>
                <c:ptCount val="2"/>
                <c:pt idx="0">
                  <c:v>жіноча</c:v>
                </c:pt>
                <c:pt idx="1">
                  <c:v>чоловіча</c:v>
                </c:pt>
              </c:strCache>
            </c:strRef>
          </c:cat>
          <c:val>
            <c:numRef>
              <c:f>'Завдання 4'!$C$26:$C$28</c:f>
              <c:numCache>
                <c:formatCode>General</c:formatCode>
                <c:ptCount val="2"/>
                <c:pt idx="0">
                  <c:v>15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7-4343-AFF1-5DC5F8782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[SEM_7.xlsx]Завдання 4!Сводная таблица5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Місце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народження</a:t>
            </a: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'Завдання 4'!$G$25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'Завдання 4'!$F$26:$F$36</c:f>
              <c:strCache>
                <c:ptCount val="10"/>
                <c:pt idx="0">
                  <c:v>Київ</c:v>
                </c:pt>
                <c:pt idx="1">
                  <c:v>Краматорськ</c:v>
                </c:pt>
                <c:pt idx="2">
                  <c:v>Кременчук</c:v>
                </c:pt>
                <c:pt idx="3">
                  <c:v>Кролевець</c:v>
                </c:pt>
                <c:pt idx="4">
                  <c:v>Луцьк</c:v>
                </c:pt>
                <c:pt idx="5">
                  <c:v>Миколаїв</c:v>
                </c:pt>
                <c:pt idx="6">
                  <c:v>Олександрія</c:v>
                </c:pt>
                <c:pt idx="7">
                  <c:v>Рівне</c:v>
                </c:pt>
                <c:pt idx="8">
                  <c:v>Ромни</c:v>
                </c:pt>
                <c:pt idx="9">
                  <c:v>Харків</c:v>
                </c:pt>
              </c:strCache>
            </c:strRef>
          </c:cat>
          <c:val>
            <c:numRef>
              <c:f>'Завдання 4'!$G$26:$G$36</c:f>
              <c:numCache>
                <c:formatCode>General</c:formatCode>
                <c:ptCount val="10"/>
                <c:pt idx="0">
                  <c:v>11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B-4938-A578-52E61AF4D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[SEM_7.xlsx]Завдання 4!Сводная таблица6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Наявність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дом. телефону</a:t>
            </a: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'Завдання 4'!$J$25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'Завдання 4'!$I$26:$I$27</c:f>
              <c:strCache>
                <c:ptCount val="1"/>
                <c:pt idx="0">
                  <c:v>Немає</c:v>
                </c:pt>
              </c:strCache>
            </c:strRef>
          </c:cat>
          <c:val>
            <c:numRef>
              <c:f>'Завдання 4'!$J$26:$J$27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E-461D-BE50-3FCF6DDFD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[SEM_7.xlsx]Завдання 4!Сводная таблица16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Чи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заслуговує на стипендію?</a:t>
            </a:r>
          </a:p>
          <a:p>
            <a:pPr>
              <a:defRPr/>
            </a:pP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'Завдання 4'!$M$25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'Завдання 4'!$L$26:$L$28</c:f>
              <c:strCache>
                <c:ptCount val="2"/>
                <c:pt idx="0">
                  <c:v>Заслуговує</c:v>
                </c:pt>
                <c:pt idx="1">
                  <c:v>Не заслуговує</c:v>
                </c:pt>
              </c:strCache>
            </c:strRef>
          </c:cat>
          <c:val>
            <c:numRef>
              <c:f>'Завдання 4'!$M$26:$M$28</c:f>
              <c:numCache>
                <c:formatCode>General</c:formatCode>
                <c:ptCount val="2"/>
                <c:pt idx="0">
                  <c:v>9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7-4BCB-82CB-B4BF653E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[SEM_7.xlsx]Завдання 4!Сводная таблица17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Старше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19 років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'Завдання 4'!$J$44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'Завдання 4'!$I$45:$I$47</c:f>
              <c:strCache>
                <c:ptCount val="2"/>
                <c:pt idx="0">
                  <c:v>Молодше</c:v>
                </c:pt>
                <c:pt idx="1">
                  <c:v>Старше</c:v>
                </c:pt>
              </c:strCache>
            </c:strRef>
          </c:cat>
          <c:val>
            <c:numRef>
              <c:f>'Завдання 4'!$J$45:$J$47</c:f>
              <c:numCache>
                <c:formatCode>General</c:formatCode>
                <c:ptCount val="2"/>
                <c:pt idx="0">
                  <c:v>18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6-438F-BCA4-BC7D53697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[SEM_7.xlsx]Завдання 4!Сводная таблица18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Чи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постійно проживає в Києві?</a:t>
            </a: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'Завдання 4'!$B$45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'Завдання 4'!$A$46:$A$48</c:f>
              <c:strCache>
                <c:ptCount val="2"/>
                <c:pt idx="0">
                  <c:v>Ні</c:v>
                </c:pt>
                <c:pt idx="1">
                  <c:v>Так</c:v>
                </c:pt>
              </c:strCache>
            </c:strRef>
          </c:cat>
          <c:val>
            <c:numRef>
              <c:f>'Завдання 4'!$B$46:$B$48</c:f>
              <c:numCache>
                <c:formatCode>General</c:formatCode>
                <c:ptCount val="2"/>
                <c:pt idx="0">
                  <c:v>13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7-4452-AA0F-C0B643276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[SEM_7.xlsx]Завдання 4!Сводная таблица45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Середні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й бал</a:t>
            </a: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'Завдання 4'!$V$30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'Завдання 4'!$U$31:$U$53</c:f>
              <c:strCache>
                <c:ptCount val="22"/>
                <c:pt idx="0">
                  <c:v>Бакун Марія Вадимівна</c:v>
                </c:pt>
                <c:pt idx="1">
                  <c:v>Бригінець Даніель Федорович</c:v>
                </c:pt>
                <c:pt idx="2">
                  <c:v>Гавриленко Роман Олександрович</c:v>
                </c:pt>
                <c:pt idx="3">
                  <c:v>Гоголь Денис Володимирович</c:v>
                </c:pt>
                <c:pt idx="4">
                  <c:v>Джаман Ольга Олексіївна</c:v>
                </c:pt>
                <c:pt idx="5">
                  <c:v>Зварич Дмитро Богданович</c:v>
                </c:pt>
                <c:pt idx="6">
                  <c:v>Ковбаса Анастасія Олександрівна</c:v>
                </c:pt>
                <c:pt idx="7">
                  <c:v>Кузнецов Нікіта Сергійович</c:v>
                </c:pt>
                <c:pt idx="8">
                  <c:v>Миронець Вікторія Олегівна</c:v>
                </c:pt>
                <c:pt idx="9">
                  <c:v>Мнухіна Марина Олександрівна</c:v>
                </c:pt>
                <c:pt idx="10">
                  <c:v>Овдій Данило Дмитрович</c:v>
                </c:pt>
                <c:pt idx="11">
                  <c:v>Петренко Вероніка Сергіївна</c:v>
                </c:pt>
                <c:pt idx="12">
                  <c:v>Петрик Мар'яна Максимівна</c:v>
                </c:pt>
                <c:pt idx="13">
                  <c:v>Петрин Олександр Сергійович</c:v>
                </c:pt>
                <c:pt idx="14">
                  <c:v>Пустовіт Майя Григорівна</c:v>
                </c:pt>
                <c:pt idx="15">
                  <c:v>Савельєва Анастасія Андріївна</c:v>
                </c:pt>
                <c:pt idx="16">
                  <c:v>Сілюк Дарина Миколаївна</c:v>
                </c:pt>
                <c:pt idx="17">
                  <c:v>Тітаренко Вікторія Дмитрівна</c:v>
                </c:pt>
                <c:pt idx="18">
                  <c:v>Фастова Валерія Євгенівна</c:v>
                </c:pt>
                <c:pt idx="19">
                  <c:v>Франчук Анна Олександрівна</c:v>
                </c:pt>
                <c:pt idx="20">
                  <c:v>Хижняк Анастасія Олександрівна</c:v>
                </c:pt>
                <c:pt idx="21">
                  <c:v>Ястреба Оксана Олексіївна</c:v>
                </c:pt>
              </c:strCache>
            </c:strRef>
          </c:cat>
          <c:val>
            <c:numRef>
              <c:f>'Завдання 4'!$V$31:$V$53</c:f>
              <c:numCache>
                <c:formatCode>0</c:formatCode>
                <c:ptCount val="22"/>
                <c:pt idx="0">
                  <c:v>94.142857142857139</c:v>
                </c:pt>
                <c:pt idx="1">
                  <c:v>70</c:v>
                </c:pt>
                <c:pt idx="2">
                  <c:v>81.428571428571431</c:v>
                </c:pt>
                <c:pt idx="3">
                  <c:v>85</c:v>
                </c:pt>
                <c:pt idx="4">
                  <c:v>88</c:v>
                </c:pt>
                <c:pt idx="5">
                  <c:v>93.571428571428569</c:v>
                </c:pt>
                <c:pt idx="6">
                  <c:v>92.714285714285708</c:v>
                </c:pt>
                <c:pt idx="7">
                  <c:v>86.428571428571431</c:v>
                </c:pt>
                <c:pt idx="8">
                  <c:v>88.571428571428569</c:v>
                </c:pt>
                <c:pt idx="9">
                  <c:v>90</c:v>
                </c:pt>
                <c:pt idx="10">
                  <c:v>86.285714285714292</c:v>
                </c:pt>
                <c:pt idx="11">
                  <c:v>89.142857142857139</c:v>
                </c:pt>
                <c:pt idx="12">
                  <c:v>91.714285714285708</c:v>
                </c:pt>
                <c:pt idx="13">
                  <c:v>82.428571428571431</c:v>
                </c:pt>
                <c:pt idx="14">
                  <c:v>93.428571428571431</c:v>
                </c:pt>
                <c:pt idx="15">
                  <c:v>94.142857142857139</c:v>
                </c:pt>
                <c:pt idx="16">
                  <c:v>89.571428571428569</c:v>
                </c:pt>
                <c:pt idx="17">
                  <c:v>84.857142857142861</c:v>
                </c:pt>
                <c:pt idx="18">
                  <c:v>88.285714285714292</c:v>
                </c:pt>
                <c:pt idx="19">
                  <c:v>84.714285714285708</c:v>
                </c:pt>
                <c:pt idx="20">
                  <c:v>87.428571428571431</c:v>
                </c:pt>
                <c:pt idx="21">
                  <c:v>82.857142857142861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D-4E31-AF7F-9CF586C61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2981864"/>
        <c:axId val="722982520"/>
        <c:axId val="0"/>
      </c:bar3DChart>
      <c:catAx>
        <c:axId val="722981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22982520"/>
        <c:crosses val="autoZero"/>
        <c:auto val="1"/>
        <c:lblAlgn val="ctr"/>
        <c:lblOffset val="100"/>
        <c:noMultiLvlLbl val="0"/>
      </c:catAx>
      <c:valAx>
        <c:axId val="72298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2981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Місячна ефективність роботи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'Завдання 5'!$E$1</c:f>
              <c:strCache>
                <c:ptCount val="1"/>
                <c:pt idx="0">
                  <c:v>Місячна ефективність роботи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'Завдання 5'!$A$2:$B$13</c:f>
              <c:multiLvlStrCache>
                <c:ptCount val="12"/>
                <c:lvl>
                  <c:pt idx="0">
                    <c:v>січень</c:v>
                  </c:pt>
                  <c:pt idx="1">
                    <c:v>лютий</c:v>
                  </c:pt>
                  <c:pt idx="2">
                    <c:v>березень</c:v>
                  </c:pt>
                  <c:pt idx="3">
                    <c:v>квітень</c:v>
                  </c:pt>
                  <c:pt idx="4">
                    <c:v>травень</c:v>
                  </c:pt>
                  <c:pt idx="5">
                    <c:v>червень</c:v>
                  </c:pt>
                  <c:pt idx="6">
                    <c:v>липень</c:v>
                  </c:pt>
                  <c:pt idx="7">
                    <c:v>серпень</c:v>
                  </c:pt>
                  <c:pt idx="8">
                    <c:v>вересень</c:v>
                  </c:pt>
                  <c:pt idx="9">
                    <c:v>жовтень</c:v>
                  </c:pt>
                  <c:pt idx="10">
                    <c:v>листопад</c:v>
                  </c:pt>
                  <c:pt idx="11">
                    <c:v>грудень</c:v>
                  </c:pt>
                </c:lvl>
                <c:lvl>
                  <c:pt idx="0">
                    <c:v>Савінцев Ілля Сергійович</c:v>
                  </c:pt>
                </c:lvl>
              </c:multiLvlStrCache>
            </c:multiLvlStrRef>
          </c:cat>
          <c:val>
            <c:numRef>
              <c:f>'Завдання 5'!$E$2:$E$13</c:f>
              <c:numCache>
                <c:formatCode>0.000</c:formatCode>
                <c:ptCount val="12"/>
                <c:pt idx="0">
                  <c:v>13.096774193548388</c:v>
                </c:pt>
                <c:pt idx="1">
                  <c:v>9.9787234042553195</c:v>
                </c:pt>
                <c:pt idx="2">
                  <c:v>9.0555555555555554</c:v>
                </c:pt>
                <c:pt idx="3">
                  <c:v>28.625</c:v>
                </c:pt>
                <c:pt idx="4">
                  <c:v>5.6610169491525424</c:v>
                </c:pt>
                <c:pt idx="5">
                  <c:v>11.045454545454545</c:v>
                </c:pt>
                <c:pt idx="6">
                  <c:v>19.138888888888889</c:v>
                </c:pt>
                <c:pt idx="7">
                  <c:v>39.119999999999997</c:v>
                </c:pt>
                <c:pt idx="8">
                  <c:v>8.579710144927537</c:v>
                </c:pt>
                <c:pt idx="9">
                  <c:v>10.622222222222222</c:v>
                </c:pt>
                <c:pt idx="10">
                  <c:v>12.090909090909092</c:v>
                </c:pt>
                <c:pt idx="11">
                  <c:v>10.04054054054054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D-4335-A128-0926A377D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508464"/>
        <c:axId val="1183513384"/>
      </c:lineChart>
      <c:catAx>
        <c:axId val="11835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183513384"/>
        <c:crosses val="autoZero"/>
        <c:auto val="1"/>
        <c:lblAlgn val="ctr"/>
        <c:lblOffset val="100"/>
        <c:noMultiLvlLbl val="0"/>
      </c:catAx>
      <c:valAx>
        <c:axId val="118351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35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Місячна ефективність роботи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'Завдання 5'!$E$1</c:f>
              <c:strCache>
                <c:ptCount val="1"/>
                <c:pt idx="0">
                  <c:v>Місячна ефективність роботи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'Завдання 5'!$A$15:$B$26</c:f>
              <c:multiLvlStrCache>
                <c:ptCount val="12"/>
                <c:lvl>
                  <c:pt idx="0">
                    <c:v>січень</c:v>
                  </c:pt>
                  <c:pt idx="1">
                    <c:v>лютий</c:v>
                  </c:pt>
                  <c:pt idx="2">
                    <c:v>березень</c:v>
                  </c:pt>
                  <c:pt idx="3">
                    <c:v>квітень</c:v>
                  </c:pt>
                  <c:pt idx="4">
                    <c:v>травень</c:v>
                  </c:pt>
                  <c:pt idx="5">
                    <c:v>червень</c:v>
                  </c:pt>
                  <c:pt idx="6">
                    <c:v>липень</c:v>
                  </c:pt>
                  <c:pt idx="7">
                    <c:v>серпень</c:v>
                  </c:pt>
                  <c:pt idx="8">
                    <c:v>вересень</c:v>
                  </c:pt>
                  <c:pt idx="9">
                    <c:v>жовтень</c:v>
                  </c:pt>
                  <c:pt idx="10">
                    <c:v>листопад</c:v>
                  </c:pt>
                  <c:pt idx="11">
                    <c:v>грудень</c:v>
                  </c:pt>
                </c:lvl>
                <c:lvl>
                  <c:pt idx="0">
                    <c:v>Шорін Кирило Дмитрович</c:v>
                  </c:pt>
                </c:lvl>
              </c:multiLvlStrCache>
            </c:multiLvlStrRef>
          </c:cat>
          <c:val>
            <c:numRef>
              <c:f>'Завдання 5'!$E$15:$E$26</c:f>
              <c:numCache>
                <c:formatCode>0.000</c:formatCode>
                <c:ptCount val="12"/>
                <c:pt idx="0">
                  <c:v>12.671875</c:v>
                </c:pt>
                <c:pt idx="1">
                  <c:v>9.8666666666666671</c:v>
                </c:pt>
                <c:pt idx="2">
                  <c:v>32.416666666666664</c:v>
                </c:pt>
                <c:pt idx="3">
                  <c:v>15.681818181818182</c:v>
                </c:pt>
                <c:pt idx="4">
                  <c:v>3.9367088607594938</c:v>
                </c:pt>
                <c:pt idx="5">
                  <c:v>11.041666666666666</c:v>
                </c:pt>
                <c:pt idx="6">
                  <c:v>18.297297297297298</c:v>
                </c:pt>
                <c:pt idx="7">
                  <c:v>46.523809523809526</c:v>
                </c:pt>
                <c:pt idx="8">
                  <c:v>8.5217391304347831</c:v>
                </c:pt>
                <c:pt idx="9">
                  <c:v>8.64</c:v>
                </c:pt>
                <c:pt idx="10">
                  <c:v>11.323529411764707</c:v>
                </c:pt>
                <c:pt idx="11">
                  <c:v>9.2874999999999996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D-417A-8144-15D1CA3B1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048136"/>
        <c:axId val="497061584"/>
      </c:lineChart>
      <c:catAx>
        <c:axId val="49704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497061584"/>
        <c:crosses val="autoZero"/>
        <c:auto val="1"/>
        <c:lblAlgn val="ctr"/>
        <c:lblOffset val="100"/>
        <c:noMultiLvlLbl val="0"/>
      </c:catAx>
      <c:valAx>
        <c:axId val="4970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04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Місячна ефективність роботи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'Завдання 5'!$E$1</c:f>
              <c:strCache>
                <c:ptCount val="1"/>
                <c:pt idx="0">
                  <c:v>Місячна ефективність роботи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'Завдання 5'!$A$28:$B$39</c:f>
              <c:multiLvlStrCache>
                <c:ptCount val="12"/>
                <c:lvl>
                  <c:pt idx="0">
                    <c:v>січень</c:v>
                  </c:pt>
                  <c:pt idx="1">
                    <c:v>лютий</c:v>
                  </c:pt>
                  <c:pt idx="2">
                    <c:v>березень</c:v>
                  </c:pt>
                  <c:pt idx="3">
                    <c:v>квітень</c:v>
                  </c:pt>
                  <c:pt idx="4">
                    <c:v>травень</c:v>
                  </c:pt>
                  <c:pt idx="5">
                    <c:v>червень</c:v>
                  </c:pt>
                  <c:pt idx="6">
                    <c:v>липень</c:v>
                  </c:pt>
                  <c:pt idx="7">
                    <c:v>серпень</c:v>
                  </c:pt>
                  <c:pt idx="8">
                    <c:v>вересень</c:v>
                  </c:pt>
                  <c:pt idx="9">
                    <c:v>жовтень</c:v>
                  </c:pt>
                  <c:pt idx="10">
                    <c:v>листопад</c:v>
                  </c:pt>
                  <c:pt idx="11">
                    <c:v>грудень</c:v>
                  </c:pt>
                </c:lvl>
                <c:lvl>
                  <c:pt idx="0">
                    <c:v>Джуфалаян Тимур Станіславович</c:v>
                  </c:pt>
                </c:lvl>
              </c:multiLvlStrCache>
            </c:multiLvlStrRef>
          </c:cat>
          <c:val>
            <c:numRef>
              <c:f>'Завдання 5'!$E$28:$E$39</c:f>
              <c:numCache>
                <c:formatCode>0.000</c:formatCode>
                <c:ptCount val="12"/>
                <c:pt idx="0">
                  <c:v>10.173913043478262</c:v>
                </c:pt>
                <c:pt idx="1">
                  <c:v>15.209302325581396</c:v>
                </c:pt>
                <c:pt idx="2">
                  <c:v>12.84</c:v>
                </c:pt>
                <c:pt idx="3">
                  <c:v>19.695652173913043</c:v>
                </c:pt>
                <c:pt idx="4">
                  <c:v>11.909090909090908</c:v>
                </c:pt>
                <c:pt idx="5">
                  <c:v>3.5538461538461537</c:v>
                </c:pt>
                <c:pt idx="6">
                  <c:v>11</c:v>
                </c:pt>
                <c:pt idx="7">
                  <c:v>11.804347826086957</c:v>
                </c:pt>
                <c:pt idx="8">
                  <c:v>3.5846153846153848</c:v>
                </c:pt>
                <c:pt idx="9">
                  <c:v>20.46875</c:v>
                </c:pt>
                <c:pt idx="10">
                  <c:v>19.314285714285713</c:v>
                </c:pt>
                <c:pt idx="11">
                  <c:v>6.7121212121212119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0-4A79-854F-4E4EE2266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368816"/>
        <c:axId val="977597888"/>
      </c:lineChart>
      <c:catAx>
        <c:axId val="114536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977597888"/>
        <c:crosses val="autoZero"/>
        <c:auto val="1"/>
        <c:lblAlgn val="ctr"/>
        <c:lblOffset val="100"/>
        <c:noMultiLvlLbl val="0"/>
      </c:catAx>
      <c:valAx>
        <c:axId val="97759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14536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Місячна ефективність роботи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'Завдання 5'!$E$1</c:f>
              <c:strCache>
                <c:ptCount val="1"/>
                <c:pt idx="0">
                  <c:v>Місячна ефективність роботи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'Завдання 5'!$A$41:$B$52</c:f>
              <c:multiLvlStrCache>
                <c:ptCount val="12"/>
                <c:lvl>
                  <c:pt idx="0">
                    <c:v>січень</c:v>
                  </c:pt>
                  <c:pt idx="1">
                    <c:v>лютий</c:v>
                  </c:pt>
                  <c:pt idx="2">
                    <c:v>березень</c:v>
                  </c:pt>
                  <c:pt idx="3">
                    <c:v>квітень</c:v>
                  </c:pt>
                  <c:pt idx="4">
                    <c:v>травень</c:v>
                  </c:pt>
                  <c:pt idx="5">
                    <c:v>червень</c:v>
                  </c:pt>
                  <c:pt idx="6">
                    <c:v>липень</c:v>
                  </c:pt>
                  <c:pt idx="7">
                    <c:v>серпень</c:v>
                  </c:pt>
                  <c:pt idx="8">
                    <c:v>вересень</c:v>
                  </c:pt>
                  <c:pt idx="9">
                    <c:v>жовтень</c:v>
                  </c:pt>
                  <c:pt idx="10">
                    <c:v>листопад</c:v>
                  </c:pt>
                  <c:pt idx="11">
                    <c:v>грудень</c:v>
                  </c:pt>
                </c:lvl>
                <c:lvl>
                  <c:pt idx="0">
                    <c:v>Сікора Володимир Михайлович</c:v>
                  </c:pt>
                </c:lvl>
              </c:multiLvlStrCache>
            </c:multiLvlStrRef>
          </c:cat>
          <c:val>
            <c:numRef>
              <c:f>'Завдання 5'!$E$41:$E$52</c:f>
              <c:numCache>
                <c:formatCode>0.000</c:formatCode>
                <c:ptCount val="12"/>
                <c:pt idx="0">
                  <c:v>12.371428571428572</c:v>
                </c:pt>
                <c:pt idx="1">
                  <c:v>14.869565217391305</c:v>
                </c:pt>
                <c:pt idx="2">
                  <c:v>5.6865671641791042</c:v>
                </c:pt>
                <c:pt idx="3">
                  <c:v>6.9294117647058826</c:v>
                </c:pt>
                <c:pt idx="4">
                  <c:v>13.5</c:v>
                </c:pt>
                <c:pt idx="5">
                  <c:v>73</c:v>
                </c:pt>
                <c:pt idx="6">
                  <c:v>7.3924050632911396</c:v>
                </c:pt>
                <c:pt idx="7">
                  <c:v>5.9629629629629628</c:v>
                </c:pt>
                <c:pt idx="8">
                  <c:v>7.5512820512820511</c:v>
                </c:pt>
                <c:pt idx="9">
                  <c:v>10.056179775280899</c:v>
                </c:pt>
                <c:pt idx="10">
                  <c:v>7.5111111111111111</c:v>
                </c:pt>
                <c:pt idx="11">
                  <c:v>4.8152173913043477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C-4FC6-97C9-90D891825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646672"/>
        <c:axId val="1850647000"/>
      </c:lineChart>
      <c:catAx>
        <c:axId val="185064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850647000"/>
        <c:crosses val="autoZero"/>
        <c:auto val="1"/>
        <c:lblAlgn val="ctr"/>
        <c:lblOffset val="100"/>
        <c:noMultiLvlLbl val="0"/>
      </c:catAx>
      <c:valAx>
        <c:axId val="185064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85064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'Завдання 5'!$A$2:$A$13</c:f>
              <c:strCache>
                <c:ptCount val="12"/>
                <c:pt idx="0">
                  <c:v>Савінцев Ілля Сергійович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'Завдання 5'!$G$1</c15:sqref>
                  </c15:fullRef>
                </c:ext>
              </c:extLst>
              <c:f>'Завдання 5'!$G$1</c:f>
              <c:strCache>
                <c:ptCount val="1"/>
                <c:pt idx="0">
                  <c:v>Річна ефективність роботи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'Завдання 5'!$G$2:$G$13</c15:sqref>
                  </c15:fullRef>
                </c:ext>
              </c:extLst>
              <c:f>'Завдання 5'!$G$2</c:f>
              <c:numCache>
                <c:formatCode>0.0000</c:formatCode>
                <c:ptCount val="1"/>
                <c:pt idx="0">
                  <c:v>12.569090909090908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E9-44F8-B125-5D8898723379}"/>
            </c:ext>
          </c:extLst>
        </c:ser>
        <c:ser>
          <c:idx val="1"/>
          <c:order val="1"/>
          <c:tx>
            <c:strRef>
              <c:f>'Завдання 5'!$A$15:$A$26</c:f>
              <c:strCache>
                <c:ptCount val="12"/>
                <c:pt idx="0">
                  <c:v>Шорін Кирило Дмитрович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'Завдання 5'!$G$1</c15:sqref>
                  </c15:fullRef>
                </c:ext>
              </c:extLst>
              <c:f>'Завдання 5'!$G$1</c:f>
              <c:strCache>
                <c:ptCount val="1"/>
                <c:pt idx="0">
                  <c:v>Річна ефективність роботи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'Завдання 5'!$G$15:$G$26</c15:sqref>
                  </c15:fullRef>
                </c:ext>
              </c:extLst>
              <c:f>'Завдання 5'!$G$15</c:f>
              <c:numCache>
                <c:formatCode>0.0000</c:formatCode>
                <c:ptCount val="1"/>
                <c:pt idx="0">
                  <c:v>12.007155635062611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E9-44F8-B125-5D8898723379}"/>
            </c:ext>
          </c:extLst>
        </c:ser>
        <c:ser>
          <c:idx val="2"/>
          <c:order val="2"/>
          <c:tx>
            <c:strRef>
              <c:f>'Завдання 5'!$A$28:$A$39</c:f>
              <c:strCache>
                <c:ptCount val="12"/>
                <c:pt idx="0">
                  <c:v>Джуфалаян Тимур Станіславович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'Завдання 5'!$G$1</c15:sqref>
                  </c15:fullRef>
                </c:ext>
              </c:extLst>
              <c:f>'Завдання 5'!$G$1</c:f>
              <c:strCache>
                <c:ptCount val="1"/>
                <c:pt idx="0">
                  <c:v>Річна ефективність роботи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'Завдання 5'!$G$28:$G$39</c15:sqref>
                  </c15:fullRef>
                </c:ext>
              </c:extLst>
              <c:f>'Завдання 5'!$G$28</c:f>
              <c:numCache>
                <c:formatCode>0.0000</c:formatCode>
                <c:ptCount val="1"/>
                <c:pt idx="0">
                  <c:v>10.686274509803921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E9-44F8-B125-5D8898723379}"/>
            </c:ext>
          </c:extLst>
        </c:ser>
        <c:ser>
          <c:idx val="3"/>
          <c:order val="3"/>
          <c:tx>
            <c:strRef>
              <c:f>'Завдання 5'!$A$41:$A$52</c:f>
              <c:strCache>
                <c:ptCount val="12"/>
                <c:pt idx="0">
                  <c:v>Сікора Володимир Михайлович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'Завдання 5'!$G$1</c15:sqref>
                  </c15:fullRef>
                </c:ext>
              </c:extLst>
              <c:f>'Завдання 5'!$G$1</c:f>
              <c:strCache>
                <c:ptCount val="1"/>
                <c:pt idx="0">
                  <c:v>Річна ефективність роботи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'Завдання 5'!$G$41:$G$52</c15:sqref>
                  </c15:fullRef>
                </c:ext>
              </c:extLst>
              <c:f>'Завдання 5'!$G$41</c:f>
              <c:numCache>
                <c:formatCode>0.0000</c:formatCode>
                <c:ptCount val="1"/>
                <c:pt idx="0">
                  <c:v>9.0961791831357051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E9-44F8-B125-5D8898723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556680"/>
        <c:axId val="2092564224"/>
      </c:barChart>
      <c:catAx>
        <c:axId val="209255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092564224"/>
        <c:crosses val="autoZero"/>
        <c:auto val="1"/>
        <c:lblAlgn val="ctr"/>
        <c:lblOffset val="100"/>
        <c:noMultiLvlLbl val="0"/>
      </c:catAx>
      <c:valAx>
        <c:axId val="20925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255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Прибуток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по сферах</a:t>
            </a: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'Завдання 7'!$L$2:$L$3</c:f>
              <c:strCache>
                <c:ptCount val="2"/>
                <c:pt idx="0">
                  <c:v>Частка прибутку від</c:v>
                </c:pt>
                <c:pt idx="1">
                  <c:v>Відвідувачів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'Завдання 7'!$K$4:$K$10</c:f>
              <c:strCache>
                <c:ptCount val="7"/>
                <c:pt idx="0">
                  <c:v>Дари Моря</c:v>
                </c:pt>
                <c:pt idx="1">
                  <c:v>Flagman</c:v>
                </c:pt>
                <c:pt idx="2">
                  <c:v>ООО "Трейд Агро Групп" ЛТД</c:v>
                </c:pt>
                <c:pt idx="3">
                  <c:v>Egersund Seafood</c:v>
                </c:pt>
                <c:pt idx="4">
                  <c:v>NORVEN</c:v>
                </c:pt>
                <c:pt idx="5">
                  <c:v>"Ocean Food"</c:v>
                </c:pt>
                <c:pt idx="6">
                  <c:v>FISHMARKET</c:v>
                </c:pt>
              </c:strCache>
            </c:strRef>
          </c:cat>
          <c:val>
            <c:numRef>
              <c:f>'Завдання 7'!$L$4:$L$10</c:f>
              <c:numCache>
                <c:formatCode>0%</c:formatCode>
                <c:ptCount val="7"/>
                <c:pt idx="0">
                  <c:v>0.72</c:v>
                </c:pt>
                <c:pt idx="1">
                  <c:v>0.6</c:v>
                </c:pt>
                <c:pt idx="2">
                  <c:v>0.2</c:v>
                </c:pt>
                <c:pt idx="3">
                  <c:v>0.47</c:v>
                </c:pt>
                <c:pt idx="4">
                  <c:v>0.57999999999999996</c:v>
                </c:pt>
                <c:pt idx="5">
                  <c:v>0.62</c:v>
                </c:pt>
                <c:pt idx="6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9-49E2-9599-6AA32F2E50AE}"/>
            </c:ext>
          </c:extLst>
        </c:ser>
        <c:ser>
          <c:idx val="1"/>
          <c:order val="1"/>
          <c:tx>
            <c:strRef>
              <c:f>'Завдання 7'!$M$2:$M$3</c:f>
              <c:strCache>
                <c:ptCount val="2"/>
                <c:pt idx="0">
                  <c:v>Частка прибутку від</c:v>
                </c:pt>
                <c:pt idx="1">
                  <c:v>Інтернет замовлення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'Завдання 7'!$K$4:$K$10</c:f>
              <c:strCache>
                <c:ptCount val="7"/>
                <c:pt idx="0">
                  <c:v>Дари Моря</c:v>
                </c:pt>
                <c:pt idx="1">
                  <c:v>Flagman</c:v>
                </c:pt>
                <c:pt idx="2">
                  <c:v>ООО "Трейд Агро Групп" ЛТД</c:v>
                </c:pt>
                <c:pt idx="3">
                  <c:v>Egersund Seafood</c:v>
                </c:pt>
                <c:pt idx="4">
                  <c:v>NORVEN</c:v>
                </c:pt>
                <c:pt idx="5">
                  <c:v>"Ocean Food"</c:v>
                </c:pt>
                <c:pt idx="6">
                  <c:v>FISHMARKET</c:v>
                </c:pt>
              </c:strCache>
            </c:strRef>
          </c:cat>
          <c:val>
            <c:numRef>
              <c:f>'Завдання 7'!$M$4:$M$10</c:f>
              <c:numCache>
                <c:formatCode>0%</c:formatCode>
                <c:ptCount val="7"/>
                <c:pt idx="0">
                  <c:v>0.28000000000000003</c:v>
                </c:pt>
                <c:pt idx="1">
                  <c:v>0.4</c:v>
                </c:pt>
                <c:pt idx="2">
                  <c:v>0.8</c:v>
                </c:pt>
                <c:pt idx="3">
                  <c:v>0.53</c:v>
                </c:pt>
                <c:pt idx="4">
                  <c:v>0.42</c:v>
                </c:pt>
                <c:pt idx="5">
                  <c:v>0.38</c:v>
                </c:pt>
                <c:pt idx="6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9-49E2-9599-6AA32F2E5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4719040"/>
        <c:axId val="2104719368"/>
        <c:axId val="1843477464"/>
      </c:bar3DChart>
      <c:catAx>
        <c:axId val="210471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719368"/>
        <c:crosses val="autoZero"/>
        <c:auto val="1"/>
        <c:lblAlgn val="ctr"/>
        <c:lblOffset val="100"/>
        <c:noMultiLvlLbl val="0"/>
      </c:catAx>
      <c:valAx>
        <c:axId val="210471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719040"/>
        <c:crosses val="autoZero"/>
        <c:crossBetween val="between"/>
      </c:valAx>
      <c:serAx>
        <c:axId val="1843477464"/>
        <c:scaling>
          <c:orientation val="minMax"/>
        </c:scaling>
        <c:delete val="1"/>
        <c:axPos val="b"/>
        <c:majorTickMark val="none"/>
        <c:minorTickMark val="none"/>
        <c:tickLblPos val="nextTo"/>
        <c:crossAx val="210471936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Цільова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аудиторія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'Завдання 7'!$P$2:$P$3</c:f>
              <c:strCache>
                <c:ptCount val="2"/>
                <c:pt idx="0">
                  <c:v>Цільова аудиторія</c:v>
                </c:pt>
                <c:pt idx="1">
                  <c:v>Відвідувачі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'Завдання 7'!$O$4:$O$10</c:f>
              <c:strCache>
                <c:ptCount val="7"/>
                <c:pt idx="0">
                  <c:v>Дари Моря</c:v>
                </c:pt>
                <c:pt idx="1">
                  <c:v>Flagman</c:v>
                </c:pt>
                <c:pt idx="2">
                  <c:v>ООО "Трейд Агро Групп" ЛТД</c:v>
                </c:pt>
                <c:pt idx="3">
                  <c:v>Egersund Seafood</c:v>
                </c:pt>
                <c:pt idx="4">
                  <c:v>NORVEN</c:v>
                </c:pt>
                <c:pt idx="5">
                  <c:v>"Ocean Food"</c:v>
                </c:pt>
                <c:pt idx="6">
                  <c:v>FISHMARKET</c:v>
                </c:pt>
              </c:strCache>
            </c:strRef>
          </c:cat>
          <c:val>
            <c:numRef>
              <c:f>'Завдання 7'!$P$4:$P$10</c:f>
              <c:numCache>
                <c:formatCode>0%</c:formatCode>
                <c:ptCount val="7"/>
                <c:pt idx="0">
                  <c:v>0.8</c:v>
                </c:pt>
                <c:pt idx="1">
                  <c:v>0.72</c:v>
                </c:pt>
                <c:pt idx="2">
                  <c:v>0.18</c:v>
                </c:pt>
                <c:pt idx="3">
                  <c:v>0.56000000000000005</c:v>
                </c:pt>
                <c:pt idx="4">
                  <c:v>0.47</c:v>
                </c:pt>
                <c:pt idx="5">
                  <c:v>0.77</c:v>
                </c:pt>
                <c:pt idx="6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E-415B-8126-C61820EEFD0D}"/>
            </c:ext>
          </c:extLst>
        </c:ser>
        <c:ser>
          <c:idx val="1"/>
          <c:order val="1"/>
          <c:tx>
            <c:strRef>
              <c:f>'Завдання 7'!$Q$2:$Q$3</c:f>
              <c:strCache>
                <c:ptCount val="2"/>
                <c:pt idx="0">
                  <c:v>Цільова аудиторія</c:v>
                </c:pt>
                <c:pt idx="1">
                  <c:v>Інтернет замовлення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'Завдання 7'!$O$4:$O$10</c:f>
              <c:strCache>
                <c:ptCount val="7"/>
                <c:pt idx="0">
                  <c:v>Дари Моря</c:v>
                </c:pt>
                <c:pt idx="1">
                  <c:v>Flagman</c:v>
                </c:pt>
                <c:pt idx="2">
                  <c:v>ООО "Трейд Агро Групп" ЛТД</c:v>
                </c:pt>
                <c:pt idx="3">
                  <c:v>Egersund Seafood</c:v>
                </c:pt>
                <c:pt idx="4">
                  <c:v>NORVEN</c:v>
                </c:pt>
                <c:pt idx="5">
                  <c:v>"Ocean Food"</c:v>
                </c:pt>
                <c:pt idx="6">
                  <c:v>FISHMARKET</c:v>
                </c:pt>
              </c:strCache>
            </c:strRef>
          </c:cat>
          <c:val>
            <c:numRef>
              <c:f>'Завдання 7'!$Q$4:$Q$10</c:f>
              <c:numCache>
                <c:formatCode>0%</c:formatCode>
                <c:ptCount val="7"/>
                <c:pt idx="0">
                  <c:v>0.2</c:v>
                </c:pt>
                <c:pt idx="1">
                  <c:v>0.28000000000000003</c:v>
                </c:pt>
                <c:pt idx="2">
                  <c:v>0.82</c:v>
                </c:pt>
                <c:pt idx="3">
                  <c:v>0.44</c:v>
                </c:pt>
                <c:pt idx="4">
                  <c:v>0.53</c:v>
                </c:pt>
                <c:pt idx="5">
                  <c:v>0.23</c:v>
                </c:pt>
                <c:pt idx="6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E-415B-8126-C61820EEF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4713136"/>
        <c:axId val="2104715104"/>
        <c:axId val="2048236528"/>
      </c:bar3DChart>
      <c:catAx>
        <c:axId val="210471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715104"/>
        <c:crosses val="autoZero"/>
        <c:auto val="1"/>
        <c:lblAlgn val="ctr"/>
        <c:lblOffset val="100"/>
        <c:noMultiLvlLbl val="0"/>
      </c:catAx>
      <c:valAx>
        <c:axId val="2104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713136"/>
        <c:crosses val="autoZero"/>
        <c:crossBetween val="between"/>
      </c:valAx>
      <c:serAx>
        <c:axId val="2048236528"/>
        <c:scaling>
          <c:orientation val="minMax"/>
        </c:scaling>
        <c:delete val="1"/>
        <c:axPos val="b"/>
        <c:majorTickMark val="none"/>
        <c:minorTickMark val="none"/>
        <c:tickLblPos val="nextTo"/>
        <c:crossAx val="21047151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108858</xdr:rowOff>
    </xdr:from>
    <xdr:to>
      <xdr:col>2</xdr:col>
      <xdr:colOff>1687286</xdr:colOff>
      <xdr:row>42</xdr:row>
      <xdr:rowOff>149524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A5A362C-A1F4-42A4-AC6B-F0A85FD01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421822</xdr:colOff>
      <xdr:row>36</xdr:row>
      <xdr:rowOff>50346</xdr:rowOff>
    </xdr:from>
    <xdr:to>
      <xdr:col>7</xdr:col>
      <xdr:colOff>367393</xdr:colOff>
      <xdr:row>50</xdr:row>
      <xdr:rowOff>126546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BBEC937-B95A-41F4-9248-3B57CA8E2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1646465</xdr:colOff>
      <xdr:row>27</xdr:row>
      <xdr:rowOff>176892</xdr:rowOff>
    </xdr:from>
    <xdr:to>
      <xdr:col>9</xdr:col>
      <xdr:colOff>3075214</xdr:colOff>
      <xdr:row>40</xdr:row>
      <xdr:rowOff>126545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539200E-856A-484C-B4AA-A075E89C7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421822</xdr:colOff>
      <xdr:row>29</xdr:row>
      <xdr:rowOff>23132</xdr:rowOff>
    </xdr:from>
    <xdr:to>
      <xdr:col>12</xdr:col>
      <xdr:colOff>3020786</xdr:colOff>
      <xdr:row>43</xdr:row>
      <xdr:rowOff>99332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FBC8E82-6AB9-4BDC-9626-A16061F6C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476250</xdr:colOff>
      <xdr:row>47</xdr:row>
      <xdr:rowOff>118382</xdr:rowOff>
    </xdr:from>
    <xdr:to>
      <xdr:col>9</xdr:col>
      <xdr:colOff>2735036</xdr:colOff>
      <xdr:row>62</xdr:row>
      <xdr:rowOff>4082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B0AEDB8-4B33-4690-91C9-C1BBEE61C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489858</xdr:colOff>
      <xdr:row>48</xdr:row>
      <xdr:rowOff>91167</xdr:rowOff>
    </xdr:from>
    <xdr:to>
      <xdr:col>1</xdr:col>
      <xdr:colOff>2911929</xdr:colOff>
      <xdr:row>62</xdr:row>
      <xdr:rowOff>167367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23F9D0F-24F5-447F-B508-15CDA7A33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1238249</xdr:colOff>
      <xdr:row>54</xdr:row>
      <xdr:rowOff>80961</xdr:rowOff>
    </xdr:from>
    <xdr:to>
      <xdr:col>27</xdr:col>
      <xdr:colOff>95250</xdr:colOff>
      <xdr:row>93</xdr:row>
      <xdr:rowOff>63500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6EBE98E-AD17-4649-B2DB-22124DBF7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303695</xdr:colOff>
      <xdr:row>0</xdr:row>
      <xdr:rowOff>207065</xdr:rowOff>
    </xdr:from>
    <xdr:to>
      <xdr:col>13</xdr:col>
      <xdr:colOff>601870</xdr:colOff>
      <xdr:row>14</xdr:row>
      <xdr:rowOff>191330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127BB75-6D01-4208-9663-A65B4D6CA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405848</xdr:colOff>
      <xdr:row>15</xdr:row>
      <xdr:rowOff>179457</xdr:rowOff>
    </xdr:from>
    <xdr:to>
      <xdr:col>14</xdr:col>
      <xdr:colOff>13804</xdr:colOff>
      <xdr:row>30</xdr:row>
      <xdr:rowOff>25676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F768BD3-1C34-4A5F-9CEE-E06CB2595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315057</xdr:colOff>
      <xdr:row>31</xdr:row>
      <xdr:rowOff>93784</xdr:rowOff>
    </xdr:from>
    <xdr:to>
      <xdr:col>13</xdr:col>
      <xdr:colOff>417634</xdr:colOff>
      <xdr:row>45</xdr:row>
      <xdr:rowOff>101600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33177BA-9A21-4657-A0A0-C76A194F4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327269</xdr:colOff>
      <xdr:row>46</xdr:row>
      <xdr:rowOff>32727</xdr:rowOff>
    </xdr:from>
    <xdr:to>
      <xdr:col>13</xdr:col>
      <xdr:colOff>429846</xdr:colOff>
      <xdr:row>59</xdr:row>
      <xdr:rowOff>64966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3C98728-10C3-45CB-8349-B731256FF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1817075</xdr:colOff>
      <xdr:row>55</xdr:row>
      <xdr:rowOff>154841</xdr:rowOff>
    </xdr:from>
    <xdr:to>
      <xdr:col>4</xdr:col>
      <xdr:colOff>170961</xdr:colOff>
      <xdr:row>73</xdr:row>
      <xdr:rowOff>12211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A662DAAE-55A6-4880-94C0-CD081A267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10</xdr:row>
      <xdr:rowOff>114300</xdr:rowOff>
    </xdr:from>
    <xdr:to>
      <xdr:col>13</xdr:col>
      <xdr:colOff>371475</xdr:colOff>
      <xdr:row>25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D4AA01-1AD1-48C2-A2E3-587C693EE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542925</xdr:colOff>
      <xdr:row>10</xdr:row>
      <xdr:rowOff>90487</xdr:rowOff>
    </xdr:from>
    <xdr:to>
      <xdr:col>17</xdr:col>
      <xdr:colOff>419100</xdr:colOff>
      <xdr:row>24</xdr:row>
      <xdr:rowOff>166687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93748F4-F29C-4B9B-8D51-4B7D38FD2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4853.660687268515" backgroundQuery="1" createdVersion="7" refreshedVersion="7" minRefreshableVersion="3" recordCount="0" supportSubquery="1" supportAdvancedDrill="1" xr:uid="{4170A270-856B-431F-9580-DF59A9FAB61A}">
  <cacheSource type="external" connectionId="1"/>
  <cacheFields count="2">
    <cacheField name="[Measures].[Среднее по столбцу Середній бал]" caption="Среднее по столбцу Середній бал" numFmtId="0" hierarchy="35" level="32767"/>
    <cacheField name="[Таблица10].[ПІБ].[ПІБ]" caption="ПІБ" numFmtId="0" hierarchy="1" level="1">
      <sharedItems count="22">
        <s v="Бакун Марія Вадимівна"/>
        <s v="Бригінець Даніель Федорович"/>
        <s v="Гавриленко Роман Олександрович"/>
        <s v="Гоголь Денис Володимирович"/>
        <s v="Джаман Ольга Олексіївна"/>
        <s v="Зварич Дмитро Богданович"/>
        <s v="Ковбаса Анастасія Олександрівна"/>
        <s v="Кузнецов Нікіта Сергійович"/>
        <s v="Миронець Вікторія Олегівна"/>
        <s v="Мнухіна Марина Олександрівна"/>
        <s v="Овдій Данило Дмитрович"/>
        <s v="Петренко Вероніка Сергіївна"/>
        <s v="Петрик Мар'яна Максимівна"/>
        <s v="Петрин Олександр Сергійович"/>
        <s v="Пустовіт Майя Григорівна"/>
        <s v="Савельєва Анастасія Андріївна"/>
        <s v="Сілюк Дарина Миколаївна"/>
        <s v="Тітаренко Вікторія Дмитрівна"/>
        <s v="Фастова Валерія Євгенівна"/>
        <s v="Франчук Анна Олександрівна"/>
        <s v="Хижняк Анастасія Олександрівна"/>
        <s v="Ястреба Оксана Олексіївна"/>
      </sharedItems>
    </cacheField>
  </cacheFields>
  <cacheHierarchies count="38">
    <cacheHierarchy uniqueName="[Таблица10].[№]" caption="№" attribute="1" defaultMemberUniqueName="[Таблица10].[№].[All]" allUniqueName="[Таблица10].[№].[All]" dimensionUniqueName="[Таблица10]" displayFolder="" count="0" memberValueDatatype="20" unbalanced="0"/>
    <cacheHierarchy uniqueName="[Таблица10].[ПІБ]" caption="ПІБ" attribute="1" defaultMemberUniqueName="[Таблица10].[ПІБ].[All]" allUniqueName="[Таблица10].[ПІБ].[All]" dimensionUniqueName="[Таблица10]" displayFolder="" count="2" memberValueDatatype="130" unbalanced="0">
      <fieldsUsage count="2">
        <fieldUsage x="-1"/>
        <fieldUsage x="1"/>
      </fieldsUsage>
    </cacheHierarchy>
    <cacheHierarchy uniqueName="[Таблица10].[Дата Народження]" caption="Дата Народження" attribute="1" time="1" defaultMemberUniqueName="[Таблица10].[Дата Народження].[All]" allUniqueName="[Таблица10].[Дата Народження].[All]" dimensionUniqueName="[Таблица10]" displayFolder="" count="0" memberValueDatatype="7" unbalanced="0"/>
    <cacheHierarchy uniqueName="[Таблица10].[Стать]" caption="Стать" attribute="1" defaultMemberUniqueName="[Таблица10].[Стать].[All]" allUniqueName="[Таблица10].[Стать].[All]" dimensionUniqueName="[Таблица10]" displayFolder="" count="0" memberValueDatatype="130" unbalanced="0"/>
    <cacheHierarchy uniqueName="[Таблица10].[Місто народження]" caption="Місто народження" attribute="1" defaultMemberUniqueName="[Таблица10].[Місто народження].[All]" allUniqueName="[Таблица10].[Місто народження].[All]" dimensionUniqueName="[Таблица10]" displayFolder="" count="0" memberValueDatatype="130" unbalanced="0"/>
    <cacheHierarchy uniqueName="[Таблица10].[Моб. телефон]" caption="Моб. телефон" attribute="1" defaultMemberUniqueName="[Таблица10].[Моб. телефон].[All]" allUniqueName="[Таблица10].[Моб. телефон].[All]" dimensionUniqueName="[Таблица10]" displayFolder="" count="0" memberValueDatatype="5" unbalanced="0"/>
    <cacheHierarchy uniqueName="[Таблица10].[Основи трудового права]" caption="Основи трудового права" attribute="1" defaultMemberUniqueName="[Таблица10].[Основи трудового права].[All]" allUniqueName="[Таблица10].[Основи трудового права].[All]" dimensionUniqueName="[Таблица10]" displayFolder="" count="0" memberValueDatatype="20" unbalanced="0"/>
    <cacheHierarchy uniqueName="[Таблица10].[Науковий образ світу]" caption="Науковий образ світу" attribute="1" defaultMemberUniqueName="[Таблица10].[Науковий образ світу].[All]" allUniqueName="[Таблица10].[Науковий образ світу].[All]" dimensionUniqueName="[Таблица10]" displayFolder="" count="0" memberValueDatatype="20" unbalanced="0"/>
    <cacheHierarchy uniqueName="[Таблица10].[Іноземна мова професійного спрямування]" caption="Іноземна мова професійного спрямування" attribute="1" defaultMemberUniqueName="[Таблица10].[Іноземна мова професійного спрямування].[All]" allUniqueName="[Таблица10].[Іноземна мова професійного спрямування].[All]" dimensionUniqueName="[Таблица10]" displayFolder="" count="0" memberValueDatatype="20" unbalanced="0"/>
    <cacheHierarchy uniqueName="[Таблица10].[Основи зеленої економіки]" caption="Основи зеленої економіки" attribute="1" defaultMemberUniqueName="[Таблица10].[Основи зеленої економіки].[All]" allUniqueName="[Таблица10].[Основи зеленої економіки].[All]" dimensionUniqueName="[Таблица10]" displayFolder="" count="0" memberValueDatatype="20" unbalanced="0"/>
    <cacheHierarchy uniqueName="[Таблица10].[Теорія ймовірностей для економістів]" caption="Теорія ймовірностей для економістів" attribute="1" defaultMemberUniqueName="[Таблица10].[Теорія ймовірностей для економістів].[All]" allUniqueName="[Таблица10].[Теорія ймовірностей для економістів].[All]" dimensionUniqueName="[Таблица10]" displayFolder="" count="0" memberValueDatatype="20" unbalanced="0"/>
    <cacheHierarchy uniqueName="[Таблица10].[Вища математика для економістів]" caption="Вища математика для економістів" attribute="1" defaultMemberUniqueName="[Таблица10].[Вища математика для економістів].[All]" allUniqueName="[Таблица10].[Вища математика для економістів].[All]" dimensionUniqueName="[Таблица10]" displayFolder="" count="0" memberValueDatatype="20" unbalanced="0"/>
    <cacheHierarchy uniqueName="[Таблица10].[Програмування]" caption="Програмування" attribute="1" defaultMemberUniqueName="[Таблица10].[Програмування].[All]" allUniqueName="[Таблица10].[Програмування].[All]" dimensionUniqueName="[Таблица10]" displayFolder="" count="0" memberValueDatatype="20" unbalanced="0"/>
    <cacheHierarchy uniqueName="[Таблица10].[Сумарний бал]" caption="Сумарний бал" attribute="1" defaultMemberUniqueName="[Таблица10].[Сумарний бал].[All]" allUniqueName="[Таблица10].[Сумарний бал].[All]" dimensionUniqueName="[Таблица10]" displayFolder="" count="0" memberValueDatatype="20" unbalanced="0"/>
    <cacheHierarchy uniqueName="[Таблица10].[Середній бал]" caption="Середній бал" attribute="1" defaultMemberUniqueName="[Таблица10].[Середній бал].[All]" allUniqueName="[Таблица10].[Середній бал].[All]" dimensionUniqueName="[Таблица10]" displayFolder="" count="0" memberValueDatatype="5" unbalanced="0"/>
    <cacheHierarchy uniqueName="[Таблица10].[Чи є дом. телефон]" caption="Чи є дом. телефон" attribute="1" defaultMemberUniqueName="[Таблица10].[Чи є дом. телефон].[All]" allUniqueName="[Таблица10].[Чи є дом. телефон].[All]" dimensionUniqueName="[Таблица10]" displayFolder="" count="0" memberValueDatatype="130" unbalanced="0"/>
    <cacheHierarchy uniqueName="[Таблица10].[Місяць народження]" caption="Місяць народження" attribute="1" defaultMemberUniqueName="[Таблица10].[Місяць народження].[All]" allUniqueName="[Таблица10].[Місяць народження].[All]" dimensionUniqueName="[Таблица10]" displayFolder="" count="0" memberValueDatatype="130" unbalanced="0"/>
    <cacheHierarchy uniqueName="[Таблица10].[Чи постійно проживає в Києві]" caption="Чи постійно проживає в Києві" attribute="1" defaultMemberUniqueName="[Таблица10].[Чи постійно проживає в Києві].[All]" allUniqueName="[Таблица10].[Чи постійно проживає в Києві].[All]" dimensionUniqueName="[Таблица10]" displayFolder="" count="0" memberValueDatatype="130" unbalanced="0"/>
    <cacheHierarchy uniqueName="[Таблица10].[Чи заслуговує на стипендію?]" caption="Чи заслуговує на стипендію?" attribute="1" defaultMemberUniqueName="[Таблица10].[Чи заслуговує на стипендію?].[All]" allUniqueName="[Таблица10].[Чи заслуговує на стипендію?].[All]" dimensionUniqueName="[Таблица10]" displayFolder="" count="0" memberValueDatatype="130" unbalanced="0"/>
    <cacheHierarchy uniqueName="[Таблица10].[Старше 19 років чи ні]" caption="Старше 19 років чи ні" attribute="1" defaultMemberUniqueName="[Таблица10].[Старше 19 років чи ні].[All]" allUniqueName="[Таблица10].[Старше 19 років чи ні].[All]" dimensionUniqueName="[Таблица10]" displayFolder="" count="0" memberValueDatatype="130" unbalanced="0"/>
    <cacheHierarchy uniqueName="[Таблица10].[Дата Народження (Год)]" caption="Дата Народження (Год)" attribute="1" defaultMemberUniqueName="[Таблица10].[Дата Народження (Год)].[All]" allUniqueName="[Таблица10].[Дата Народження (Год)].[All]" dimensionUniqueName="[Таблица10]" displayFolder="" count="0" memberValueDatatype="130" unbalanced="0"/>
    <cacheHierarchy uniqueName="[Таблица10].[Дата Народження (Квартал)]" caption="Дата Народження (Квартал)" attribute="1" defaultMemberUniqueName="[Таблица10].[Дата Народження (Квартал)].[All]" allUniqueName="[Таблица10].[Дата Народження (Квартал)].[All]" dimensionUniqueName="[Таблица10]" displayFolder="" count="0" memberValueDatatype="130" unbalanced="0"/>
    <cacheHierarchy uniqueName="[Таблица10].[Дата Народження (Месяц)]" caption="Дата Народження (Месяц)" attribute="1" defaultMemberUniqueName="[Таблица10].[Дата Народження (Месяц)].[All]" allUniqueName="[Таблица10].[Дата Народження (Месяц)].[All]" dimensionUniqueName="[Таблица10]" displayFolder="" count="0" memberValueDatatype="130" unbalanced="0"/>
    <cacheHierarchy uniqueName="[Таблица10].[Дата Народження (Индекс месяца)]" caption="Дата Народження (Индекс месяца)" attribute="1" defaultMemberUniqueName="[Таблица10].[Дата Народження (Индекс месяца)].[All]" allUniqueName="[Таблица10].[Дата Народження (Индекс месяца)].[All]" dimensionUniqueName="[Таблица10]" displayFolder="" count="0" memberValueDatatype="20" unbalanced="0" hidden="1"/>
    <cacheHierarchy uniqueName="[Measures].[__XL_Count Таблица10]" caption="__XL_Count Таблица10" measure="1" displayFolder="" measureGroup="Таблица10" count="0" hidden="1"/>
    <cacheHierarchy uniqueName="[Measures].[__No measures defined]" caption="__No measures defined" measure="1" displayFolder="" count="0" hidden="1"/>
    <cacheHierarchy uniqueName="[Measures].[Число элементов в столбце Чи заслуговує на стипендію?]" caption="Число элементов в столбце Чи заслуговує на стипендію?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Число элементов в столбце Старше 19 років чи ні]" caption="Число элементов в столбце Старше 19 років чи н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Чи постійно проживає в Києві]" caption="Число элементов в столбце Чи постійно проживає в Києв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Теорія ймовірностей для економістів]" caption="Сумма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Теорія ймовірностей для економістів]" caption="Среднее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Вища математика для економістів]" caption="Сумма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реднее по столбцу Вища математика для економістів]" caption="Среднее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Середній бал]" caption="Число элементов в столбце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ередній бал]" caption="Сумма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Середній бал]" caption="Среднее по столбцу Середній бал" measure="1" displayFolder="" measureGroup="Таблица1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умарний бал]" caption="Сумма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реднее по столбцу Сумарний бал]" caption="Среднее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Таблица10" uniqueName="[Таблица10]" caption="Таблица10"/>
  </dimensions>
  <measureGroups count="1">
    <measureGroup name="Таблица10" caption="Таблица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4853.660723958332" backgroundQuery="1" createdVersion="7" refreshedVersion="7" minRefreshableVersion="3" recordCount="0" supportSubquery="1" supportAdvancedDrill="1" xr:uid="{02F688E3-2D88-45A5-B65B-70F56A51766B}">
  <cacheSource type="external" connectionId="1"/>
  <cacheFields count="2">
    <cacheField name="[Measures].[Среднее по столбцу Вища математика для економістів]" caption="Среднее по столбцу Вища математика для економістів" numFmtId="0" hierarchy="32" level="32767"/>
    <cacheField name="[Таблица10].[Місто народження].[Місто народження]" caption="Місто народження" numFmtId="0" hierarchy="4" level="1">
      <sharedItems count="10">
        <s v="Київ"/>
        <s v="Краматорськ"/>
        <s v="Кременчук"/>
        <s v="Кролевець"/>
        <s v="Луцьк"/>
        <s v="Миколаїв"/>
        <s v="Олександрія"/>
        <s v="Рівне"/>
        <s v="Ромни"/>
        <s v="Харків"/>
      </sharedItems>
    </cacheField>
  </cacheFields>
  <cacheHierarchies count="38">
    <cacheHierarchy uniqueName="[Таблица10].[№]" caption="№" attribute="1" defaultMemberUniqueName="[Таблица10].[№].[All]" allUniqueName="[Таблица10].[№].[All]" dimensionUniqueName="[Таблица10]" displayFolder="" count="0" memberValueDatatype="20" unbalanced="0"/>
    <cacheHierarchy uniqueName="[Таблица10].[ПІБ]" caption="ПІБ" attribute="1" defaultMemberUniqueName="[Таблица10].[ПІБ].[All]" allUniqueName="[Таблица10].[ПІБ].[All]" dimensionUniqueName="[Таблица10]" displayFolder="" count="0" memberValueDatatype="130" unbalanced="0"/>
    <cacheHierarchy uniqueName="[Таблица10].[Дата Народження]" caption="Дата Народження" attribute="1" time="1" defaultMemberUniqueName="[Таблица10].[Дата Народження].[All]" allUniqueName="[Таблица10].[Дата Народження].[All]" dimensionUniqueName="[Таблица10]" displayFolder="" count="0" memberValueDatatype="7" unbalanced="0"/>
    <cacheHierarchy uniqueName="[Таблица10].[Стать]" caption="Стать" attribute="1" defaultMemberUniqueName="[Таблица10].[Стать].[All]" allUniqueName="[Таблица10].[Стать].[All]" dimensionUniqueName="[Таблица10]" displayFolder="" count="0" memberValueDatatype="130" unbalanced="0"/>
    <cacheHierarchy uniqueName="[Таблица10].[Місто народження]" caption="Місто народження" attribute="1" defaultMemberUniqueName="[Таблица10].[Місто народження].[All]" allUniqueName="[Таблица10].[Місто народження].[All]" dimensionUniqueName="[Таблица10]" displayFolder="" count="2" memberValueDatatype="130" unbalanced="0">
      <fieldsUsage count="2">
        <fieldUsage x="-1"/>
        <fieldUsage x="1"/>
      </fieldsUsage>
    </cacheHierarchy>
    <cacheHierarchy uniqueName="[Таблица10].[Моб. телефон]" caption="Моб. телефон" attribute="1" defaultMemberUniqueName="[Таблица10].[Моб. телефон].[All]" allUniqueName="[Таблица10].[Моб. телефон].[All]" dimensionUniqueName="[Таблица10]" displayFolder="" count="0" memberValueDatatype="5" unbalanced="0"/>
    <cacheHierarchy uniqueName="[Таблица10].[Основи трудового права]" caption="Основи трудового права" attribute="1" defaultMemberUniqueName="[Таблица10].[Основи трудового права].[All]" allUniqueName="[Таблица10].[Основи трудового права].[All]" dimensionUniqueName="[Таблица10]" displayFolder="" count="0" memberValueDatatype="20" unbalanced="0"/>
    <cacheHierarchy uniqueName="[Таблица10].[Науковий образ світу]" caption="Науковий образ світу" attribute="1" defaultMemberUniqueName="[Таблица10].[Науковий образ світу].[All]" allUniqueName="[Таблица10].[Науковий образ світу].[All]" dimensionUniqueName="[Таблица10]" displayFolder="" count="0" memberValueDatatype="20" unbalanced="0"/>
    <cacheHierarchy uniqueName="[Таблица10].[Іноземна мова професійного спрямування]" caption="Іноземна мова професійного спрямування" attribute="1" defaultMemberUniqueName="[Таблица10].[Іноземна мова професійного спрямування].[All]" allUniqueName="[Таблица10].[Іноземна мова професійного спрямування].[All]" dimensionUniqueName="[Таблица10]" displayFolder="" count="0" memberValueDatatype="20" unbalanced="0"/>
    <cacheHierarchy uniqueName="[Таблица10].[Основи зеленої економіки]" caption="Основи зеленої економіки" attribute="1" defaultMemberUniqueName="[Таблица10].[Основи зеленої економіки].[All]" allUniqueName="[Таблица10].[Основи зеленої економіки].[All]" dimensionUniqueName="[Таблица10]" displayFolder="" count="0" memberValueDatatype="20" unbalanced="0"/>
    <cacheHierarchy uniqueName="[Таблица10].[Теорія ймовірностей для економістів]" caption="Теорія ймовірностей для економістів" attribute="1" defaultMemberUniqueName="[Таблица10].[Теорія ймовірностей для економістів].[All]" allUniqueName="[Таблица10].[Теорія ймовірностей для економістів].[All]" dimensionUniqueName="[Таблица10]" displayFolder="" count="0" memberValueDatatype="20" unbalanced="0"/>
    <cacheHierarchy uniqueName="[Таблица10].[Вища математика для економістів]" caption="Вища математика для економістів" attribute="1" defaultMemberUniqueName="[Таблица10].[Вища математика для економістів].[All]" allUniqueName="[Таблица10].[Вища математика для економістів].[All]" dimensionUniqueName="[Таблица10]" displayFolder="" count="0" memberValueDatatype="20" unbalanced="0"/>
    <cacheHierarchy uniqueName="[Таблица10].[Програмування]" caption="Програмування" attribute="1" defaultMemberUniqueName="[Таблица10].[Програмування].[All]" allUniqueName="[Таблица10].[Програмування].[All]" dimensionUniqueName="[Таблица10]" displayFolder="" count="0" memberValueDatatype="20" unbalanced="0"/>
    <cacheHierarchy uniqueName="[Таблица10].[Сумарний бал]" caption="Сумарний бал" attribute="1" defaultMemberUniqueName="[Таблица10].[Сумарний бал].[All]" allUniqueName="[Таблица10].[Сумарний бал].[All]" dimensionUniqueName="[Таблица10]" displayFolder="" count="0" memberValueDatatype="20" unbalanced="0"/>
    <cacheHierarchy uniqueName="[Таблица10].[Середній бал]" caption="Середній бал" attribute="1" defaultMemberUniqueName="[Таблица10].[Середній бал].[All]" allUniqueName="[Таблица10].[Середній бал].[All]" dimensionUniqueName="[Таблица10]" displayFolder="" count="0" memberValueDatatype="5" unbalanced="0"/>
    <cacheHierarchy uniqueName="[Таблица10].[Чи є дом. телефон]" caption="Чи є дом. телефон" attribute="1" defaultMemberUniqueName="[Таблица10].[Чи є дом. телефон].[All]" allUniqueName="[Таблица10].[Чи є дом. телефон].[All]" dimensionUniqueName="[Таблица10]" displayFolder="" count="0" memberValueDatatype="130" unbalanced="0"/>
    <cacheHierarchy uniqueName="[Таблица10].[Місяць народження]" caption="Місяць народження" attribute="1" defaultMemberUniqueName="[Таблица10].[Місяць народження].[All]" allUniqueName="[Таблица10].[Місяць народження].[All]" dimensionUniqueName="[Таблица10]" displayFolder="" count="0" memberValueDatatype="130" unbalanced="0"/>
    <cacheHierarchy uniqueName="[Таблица10].[Чи постійно проживає в Києві]" caption="Чи постійно проживає в Києві" attribute="1" defaultMemberUniqueName="[Таблица10].[Чи постійно проживає в Києві].[All]" allUniqueName="[Таблица10].[Чи постійно проживає в Києві].[All]" dimensionUniqueName="[Таблица10]" displayFolder="" count="0" memberValueDatatype="130" unbalanced="0"/>
    <cacheHierarchy uniqueName="[Таблица10].[Чи заслуговує на стипендію?]" caption="Чи заслуговує на стипендію?" attribute="1" defaultMemberUniqueName="[Таблица10].[Чи заслуговує на стипендію?].[All]" allUniqueName="[Таблица10].[Чи заслуговує на стипендію?].[All]" dimensionUniqueName="[Таблица10]" displayFolder="" count="0" memberValueDatatype="130" unbalanced="0"/>
    <cacheHierarchy uniqueName="[Таблица10].[Старше 19 років чи ні]" caption="Старше 19 років чи ні" attribute="1" defaultMemberUniqueName="[Таблица10].[Старше 19 років чи ні].[All]" allUniqueName="[Таблица10].[Старше 19 років чи ні].[All]" dimensionUniqueName="[Таблица10]" displayFolder="" count="0" memberValueDatatype="130" unbalanced="0"/>
    <cacheHierarchy uniqueName="[Таблица10].[Дата Народження (Год)]" caption="Дата Народження (Год)" attribute="1" defaultMemberUniqueName="[Таблица10].[Дата Народження (Год)].[All]" allUniqueName="[Таблица10].[Дата Народження (Год)].[All]" dimensionUniqueName="[Таблица10]" displayFolder="" count="0" memberValueDatatype="130" unbalanced="0"/>
    <cacheHierarchy uniqueName="[Таблица10].[Дата Народження (Квартал)]" caption="Дата Народження (Квартал)" attribute="1" defaultMemberUniqueName="[Таблица10].[Дата Народження (Квартал)].[All]" allUniqueName="[Таблица10].[Дата Народження (Квартал)].[All]" dimensionUniqueName="[Таблица10]" displayFolder="" count="0" memberValueDatatype="130" unbalanced="0"/>
    <cacheHierarchy uniqueName="[Таблица10].[Дата Народження (Месяц)]" caption="Дата Народження (Месяц)" attribute="1" defaultMemberUniqueName="[Таблица10].[Дата Народження (Месяц)].[All]" allUniqueName="[Таблица10].[Дата Народження (Месяц)].[All]" dimensionUniqueName="[Таблица10]" displayFolder="" count="0" memberValueDatatype="130" unbalanced="0"/>
    <cacheHierarchy uniqueName="[Таблица10].[Дата Народження (Индекс месяца)]" caption="Дата Народження (Индекс месяца)" attribute="1" defaultMemberUniqueName="[Таблица10].[Дата Народження (Индекс месяца)].[All]" allUniqueName="[Таблица10].[Дата Народження (Индекс месяца)].[All]" dimensionUniqueName="[Таблица10]" displayFolder="" count="0" memberValueDatatype="20" unbalanced="0" hidden="1"/>
    <cacheHierarchy uniqueName="[Measures].[__XL_Count Таблица10]" caption="__XL_Count Таблица10" measure="1" displayFolder="" measureGroup="Таблица10" count="0" hidden="1"/>
    <cacheHierarchy uniqueName="[Measures].[__No measures defined]" caption="__No measures defined" measure="1" displayFolder="" count="0" hidden="1"/>
    <cacheHierarchy uniqueName="[Measures].[Число элементов в столбце Чи заслуговує на стипендію?]" caption="Число элементов в столбце Чи заслуговує на стипендію?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Число элементов в столбце Старше 19 років чи ні]" caption="Число элементов в столбце Старше 19 років чи н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Чи постійно проживає в Києві]" caption="Число элементов в столбце Чи постійно проживає в Києв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Теорія ймовірностей для економістів]" caption="Сумма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Теорія ймовірностей для економістів]" caption="Среднее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Вища математика для економістів]" caption="Сумма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реднее по столбцу Вища математика для економістів]" caption="Среднее по столбцу Вища математика для економістів" measure="1" displayFolder="" measureGroup="Таблица1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Середній бал]" caption="Число элементов в столбце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ередній бал]" caption="Сумма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Середній бал]" caption="Среднее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умарний бал]" caption="Сумма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реднее по столбцу Сумарний бал]" caption="Среднее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Таблица10" uniqueName="[Таблица10]" caption="Таблица10"/>
  </dimensions>
  <measureGroups count="1">
    <measureGroup name="Таблица10" caption="Таблица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4853.660729398151" backgroundQuery="1" createdVersion="7" refreshedVersion="7" minRefreshableVersion="3" recordCount="0" supportSubquery="1" supportAdvancedDrill="1" xr:uid="{22E60F5D-C5C1-4694-BBDE-C3D55722E900}">
  <cacheSource type="external" connectionId="1"/>
  <cacheFields count="2">
    <cacheField name="[Measures].[Среднее по столбцу Теорія ймовірностей для економістів]" caption="Среднее по столбцу Теорія ймовірностей для економістів" numFmtId="0" hierarchy="30" level="32767"/>
    <cacheField name="[Таблица10].[Місто народження].[Місто народження]" caption="Місто народження" numFmtId="0" hierarchy="4" level="1">
      <sharedItems count="10">
        <s v="Київ"/>
        <s v="Краматорськ"/>
        <s v="Кременчук"/>
        <s v="Кролевець"/>
        <s v="Луцьк"/>
        <s v="Миколаїв"/>
        <s v="Олександрія"/>
        <s v="Рівне"/>
        <s v="Ромни"/>
        <s v="Харків"/>
      </sharedItems>
    </cacheField>
  </cacheFields>
  <cacheHierarchies count="38">
    <cacheHierarchy uniqueName="[Таблица10].[№]" caption="№" attribute="1" defaultMemberUniqueName="[Таблица10].[№].[All]" allUniqueName="[Таблица10].[№].[All]" dimensionUniqueName="[Таблица10]" displayFolder="" count="0" memberValueDatatype="20" unbalanced="0"/>
    <cacheHierarchy uniqueName="[Таблица10].[ПІБ]" caption="ПІБ" attribute="1" defaultMemberUniqueName="[Таблица10].[ПІБ].[All]" allUniqueName="[Таблица10].[ПІБ].[All]" dimensionUniqueName="[Таблица10]" displayFolder="" count="0" memberValueDatatype="130" unbalanced="0"/>
    <cacheHierarchy uniqueName="[Таблица10].[Дата Народження]" caption="Дата Народження" attribute="1" time="1" defaultMemberUniqueName="[Таблица10].[Дата Народження].[All]" allUniqueName="[Таблица10].[Дата Народження].[All]" dimensionUniqueName="[Таблица10]" displayFolder="" count="0" memberValueDatatype="7" unbalanced="0"/>
    <cacheHierarchy uniqueName="[Таблица10].[Стать]" caption="Стать" attribute="1" defaultMemberUniqueName="[Таблица10].[Стать].[All]" allUniqueName="[Таблица10].[Стать].[All]" dimensionUniqueName="[Таблица10]" displayFolder="" count="0" memberValueDatatype="130" unbalanced="0"/>
    <cacheHierarchy uniqueName="[Таблица10].[Місто народження]" caption="Місто народження" attribute="1" defaultMemberUniqueName="[Таблица10].[Місто народження].[All]" allUniqueName="[Таблица10].[Місто народження].[All]" dimensionUniqueName="[Таблица10]" displayFolder="" count="2" memberValueDatatype="130" unbalanced="0">
      <fieldsUsage count="2">
        <fieldUsage x="-1"/>
        <fieldUsage x="1"/>
      </fieldsUsage>
    </cacheHierarchy>
    <cacheHierarchy uniqueName="[Таблица10].[Моб. телефон]" caption="Моб. телефон" attribute="1" defaultMemberUniqueName="[Таблица10].[Моб. телефон].[All]" allUniqueName="[Таблица10].[Моб. телефон].[All]" dimensionUniqueName="[Таблица10]" displayFolder="" count="0" memberValueDatatype="5" unbalanced="0"/>
    <cacheHierarchy uniqueName="[Таблица10].[Основи трудового права]" caption="Основи трудового права" attribute="1" defaultMemberUniqueName="[Таблица10].[Основи трудового права].[All]" allUniqueName="[Таблица10].[Основи трудового права].[All]" dimensionUniqueName="[Таблица10]" displayFolder="" count="0" memberValueDatatype="20" unbalanced="0"/>
    <cacheHierarchy uniqueName="[Таблица10].[Науковий образ світу]" caption="Науковий образ світу" attribute="1" defaultMemberUniqueName="[Таблица10].[Науковий образ світу].[All]" allUniqueName="[Таблица10].[Науковий образ світу].[All]" dimensionUniqueName="[Таблица10]" displayFolder="" count="0" memberValueDatatype="20" unbalanced="0"/>
    <cacheHierarchy uniqueName="[Таблица10].[Іноземна мова професійного спрямування]" caption="Іноземна мова професійного спрямування" attribute="1" defaultMemberUniqueName="[Таблица10].[Іноземна мова професійного спрямування].[All]" allUniqueName="[Таблица10].[Іноземна мова професійного спрямування].[All]" dimensionUniqueName="[Таблица10]" displayFolder="" count="0" memberValueDatatype="20" unbalanced="0"/>
    <cacheHierarchy uniqueName="[Таблица10].[Основи зеленої економіки]" caption="Основи зеленої економіки" attribute="1" defaultMemberUniqueName="[Таблица10].[Основи зеленої економіки].[All]" allUniqueName="[Таблица10].[Основи зеленої економіки].[All]" dimensionUniqueName="[Таблица10]" displayFolder="" count="0" memberValueDatatype="20" unbalanced="0"/>
    <cacheHierarchy uniqueName="[Таблица10].[Теорія ймовірностей для економістів]" caption="Теорія ймовірностей для економістів" attribute="1" defaultMemberUniqueName="[Таблица10].[Теорія ймовірностей для економістів].[All]" allUniqueName="[Таблица10].[Теорія ймовірностей для економістів].[All]" dimensionUniqueName="[Таблица10]" displayFolder="" count="0" memberValueDatatype="20" unbalanced="0"/>
    <cacheHierarchy uniqueName="[Таблица10].[Вища математика для економістів]" caption="Вища математика для економістів" attribute="1" defaultMemberUniqueName="[Таблица10].[Вища математика для економістів].[All]" allUniqueName="[Таблица10].[Вища математика для економістів].[All]" dimensionUniqueName="[Таблица10]" displayFolder="" count="0" memberValueDatatype="20" unbalanced="0"/>
    <cacheHierarchy uniqueName="[Таблица10].[Програмування]" caption="Програмування" attribute="1" defaultMemberUniqueName="[Таблица10].[Програмування].[All]" allUniqueName="[Таблица10].[Програмування].[All]" dimensionUniqueName="[Таблица10]" displayFolder="" count="0" memberValueDatatype="20" unbalanced="0"/>
    <cacheHierarchy uniqueName="[Таблица10].[Сумарний бал]" caption="Сумарний бал" attribute="1" defaultMemberUniqueName="[Таблица10].[Сумарний бал].[All]" allUniqueName="[Таблица10].[Сумарний бал].[All]" dimensionUniqueName="[Таблица10]" displayFolder="" count="0" memberValueDatatype="20" unbalanced="0"/>
    <cacheHierarchy uniqueName="[Таблица10].[Середній бал]" caption="Середній бал" attribute="1" defaultMemberUniqueName="[Таблица10].[Середній бал].[All]" allUniqueName="[Таблица10].[Середній бал].[All]" dimensionUniqueName="[Таблица10]" displayFolder="" count="0" memberValueDatatype="5" unbalanced="0"/>
    <cacheHierarchy uniqueName="[Таблица10].[Чи є дом. телефон]" caption="Чи є дом. телефон" attribute="1" defaultMemberUniqueName="[Таблица10].[Чи є дом. телефон].[All]" allUniqueName="[Таблица10].[Чи є дом. телефон].[All]" dimensionUniqueName="[Таблица10]" displayFolder="" count="0" memberValueDatatype="130" unbalanced="0"/>
    <cacheHierarchy uniqueName="[Таблица10].[Місяць народження]" caption="Місяць народження" attribute="1" defaultMemberUniqueName="[Таблица10].[Місяць народження].[All]" allUniqueName="[Таблица10].[Місяць народження].[All]" dimensionUniqueName="[Таблица10]" displayFolder="" count="0" memberValueDatatype="130" unbalanced="0"/>
    <cacheHierarchy uniqueName="[Таблица10].[Чи постійно проживає в Києві]" caption="Чи постійно проживає в Києві" attribute="1" defaultMemberUniqueName="[Таблица10].[Чи постійно проживає в Києві].[All]" allUniqueName="[Таблица10].[Чи постійно проживає в Києві].[All]" dimensionUniqueName="[Таблица10]" displayFolder="" count="0" memberValueDatatype="130" unbalanced="0"/>
    <cacheHierarchy uniqueName="[Таблица10].[Чи заслуговує на стипендію?]" caption="Чи заслуговує на стипендію?" attribute="1" defaultMemberUniqueName="[Таблица10].[Чи заслуговує на стипендію?].[All]" allUniqueName="[Таблица10].[Чи заслуговує на стипендію?].[All]" dimensionUniqueName="[Таблица10]" displayFolder="" count="0" memberValueDatatype="130" unbalanced="0"/>
    <cacheHierarchy uniqueName="[Таблица10].[Старше 19 років чи ні]" caption="Старше 19 років чи ні" attribute="1" defaultMemberUniqueName="[Таблица10].[Старше 19 років чи ні].[All]" allUniqueName="[Таблица10].[Старше 19 років чи ні].[All]" dimensionUniqueName="[Таблица10]" displayFolder="" count="0" memberValueDatatype="130" unbalanced="0"/>
    <cacheHierarchy uniqueName="[Таблица10].[Дата Народження (Год)]" caption="Дата Народження (Год)" attribute="1" defaultMemberUniqueName="[Таблица10].[Дата Народження (Год)].[All]" allUniqueName="[Таблица10].[Дата Народження (Год)].[All]" dimensionUniqueName="[Таблица10]" displayFolder="" count="0" memberValueDatatype="130" unbalanced="0"/>
    <cacheHierarchy uniqueName="[Таблица10].[Дата Народження (Квартал)]" caption="Дата Народження (Квартал)" attribute="1" defaultMemberUniqueName="[Таблица10].[Дата Народження (Квартал)].[All]" allUniqueName="[Таблица10].[Дата Народження (Квартал)].[All]" dimensionUniqueName="[Таблица10]" displayFolder="" count="0" memberValueDatatype="130" unbalanced="0"/>
    <cacheHierarchy uniqueName="[Таблица10].[Дата Народження (Месяц)]" caption="Дата Народження (Месяц)" attribute="1" defaultMemberUniqueName="[Таблица10].[Дата Народження (Месяц)].[All]" allUniqueName="[Таблица10].[Дата Народження (Месяц)].[All]" dimensionUniqueName="[Таблица10]" displayFolder="" count="0" memberValueDatatype="130" unbalanced="0"/>
    <cacheHierarchy uniqueName="[Таблица10].[Дата Народження (Индекс месяца)]" caption="Дата Народження (Индекс месяца)" attribute="1" defaultMemberUniqueName="[Таблица10].[Дата Народження (Индекс месяца)].[All]" allUniqueName="[Таблица10].[Дата Народження (Индекс месяца)].[All]" dimensionUniqueName="[Таблица10]" displayFolder="" count="0" memberValueDatatype="20" unbalanced="0" hidden="1"/>
    <cacheHierarchy uniqueName="[Measures].[__XL_Count Таблица10]" caption="__XL_Count Таблица10" measure="1" displayFolder="" measureGroup="Таблица10" count="0" hidden="1"/>
    <cacheHierarchy uniqueName="[Measures].[__No measures defined]" caption="__No measures defined" measure="1" displayFolder="" count="0" hidden="1"/>
    <cacheHierarchy uniqueName="[Measures].[Число элементов в столбце Чи заслуговує на стипендію?]" caption="Число элементов в столбце Чи заслуговує на стипендію?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Число элементов в столбце Старше 19 років чи ні]" caption="Число элементов в столбце Старше 19 років чи н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Чи постійно проживає в Києві]" caption="Число элементов в столбце Чи постійно проживає в Києв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Теорія ймовірностей для економістів]" caption="Сумма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Теорія ймовірностей для економістів]" caption="Среднее по столбцу Теорія ймовірностей для економістів" measure="1" displayFolder="" measureGroup="Таблица1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Вища математика для економістів]" caption="Сумма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реднее по столбцу Вища математика для економістів]" caption="Среднее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Середній бал]" caption="Число элементов в столбце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ередній бал]" caption="Сумма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Середній бал]" caption="Среднее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умарний бал]" caption="Сумма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реднее по столбцу Сумарний бал]" caption="Среднее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Таблица10" uniqueName="[Таблица10]" caption="Таблица10"/>
  </dimensions>
  <measureGroups count="1">
    <measureGroup name="Таблица10" caption="Таблица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4853.660732523145" backgroundQuery="1" createdVersion="7" refreshedVersion="7" minRefreshableVersion="3" recordCount="0" supportSubquery="1" supportAdvancedDrill="1" xr:uid="{70A29C1C-9CB0-48F0-BEC8-EB06DD0190C1}">
  <cacheSource type="external" connectionId="1"/>
  <cacheFields count="2">
    <cacheField name="[Таблица10].[Чи постійно проживає в Києві].[Чи постійно проживає в Києві]" caption="Чи постійно проживає в Києві" numFmtId="0" hierarchy="17" level="1">
      <sharedItems count="2">
        <s v="Ні"/>
        <s v="Так"/>
      </sharedItems>
    </cacheField>
    <cacheField name="[Measures].[Число элементов в столбце Чи постійно проживає в Києві]" caption="Число элементов в столбце Чи постійно проживає в Києві" numFmtId="0" hierarchy="28" level="32767"/>
  </cacheFields>
  <cacheHierarchies count="38">
    <cacheHierarchy uniqueName="[Таблица10].[№]" caption="№" attribute="1" defaultMemberUniqueName="[Таблица10].[№].[All]" allUniqueName="[Таблица10].[№].[All]" dimensionUniqueName="[Таблица10]" displayFolder="" count="0" memberValueDatatype="20" unbalanced="0"/>
    <cacheHierarchy uniqueName="[Таблица10].[ПІБ]" caption="ПІБ" attribute="1" defaultMemberUniqueName="[Таблица10].[ПІБ].[All]" allUniqueName="[Таблица10].[ПІБ].[All]" dimensionUniqueName="[Таблица10]" displayFolder="" count="0" memberValueDatatype="130" unbalanced="0"/>
    <cacheHierarchy uniqueName="[Таблица10].[Дата Народження]" caption="Дата Народження" attribute="1" time="1" defaultMemberUniqueName="[Таблица10].[Дата Народження].[All]" allUniqueName="[Таблица10].[Дата Народження].[All]" dimensionUniqueName="[Таблица10]" displayFolder="" count="0" memberValueDatatype="7" unbalanced="0"/>
    <cacheHierarchy uniqueName="[Таблица10].[Стать]" caption="Стать" attribute="1" defaultMemberUniqueName="[Таблица10].[Стать].[All]" allUniqueName="[Таблица10].[Стать].[All]" dimensionUniqueName="[Таблица10]" displayFolder="" count="0" memberValueDatatype="130" unbalanced="0"/>
    <cacheHierarchy uniqueName="[Таблица10].[Місто народження]" caption="Місто народження" attribute="1" defaultMemberUniqueName="[Таблица10].[Місто народження].[All]" allUniqueName="[Таблица10].[Місто народження].[All]" dimensionUniqueName="[Таблица10]" displayFolder="" count="0" memberValueDatatype="130" unbalanced="0"/>
    <cacheHierarchy uniqueName="[Таблица10].[Моб. телефон]" caption="Моб. телефон" attribute="1" defaultMemberUniqueName="[Таблица10].[Моб. телефон].[All]" allUniqueName="[Таблица10].[Моб. телефон].[All]" dimensionUniqueName="[Таблица10]" displayFolder="" count="0" memberValueDatatype="5" unbalanced="0"/>
    <cacheHierarchy uniqueName="[Таблица10].[Основи трудового права]" caption="Основи трудового права" attribute="1" defaultMemberUniqueName="[Таблица10].[Основи трудового права].[All]" allUniqueName="[Таблица10].[Основи трудового права].[All]" dimensionUniqueName="[Таблица10]" displayFolder="" count="0" memberValueDatatype="20" unbalanced="0"/>
    <cacheHierarchy uniqueName="[Таблица10].[Науковий образ світу]" caption="Науковий образ світу" attribute="1" defaultMemberUniqueName="[Таблица10].[Науковий образ світу].[All]" allUniqueName="[Таблица10].[Науковий образ світу].[All]" dimensionUniqueName="[Таблица10]" displayFolder="" count="0" memberValueDatatype="20" unbalanced="0"/>
    <cacheHierarchy uniqueName="[Таблица10].[Іноземна мова професійного спрямування]" caption="Іноземна мова професійного спрямування" attribute="1" defaultMemberUniqueName="[Таблица10].[Іноземна мова професійного спрямування].[All]" allUniqueName="[Таблица10].[Іноземна мова професійного спрямування].[All]" dimensionUniqueName="[Таблица10]" displayFolder="" count="0" memberValueDatatype="20" unbalanced="0"/>
    <cacheHierarchy uniqueName="[Таблица10].[Основи зеленої економіки]" caption="Основи зеленої економіки" attribute="1" defaultMemberUniqueName="[Таблица10].[Основи зеленої економіки].[All]" allUniqueName="[Таблица10].[Основи зеленої економіки].[All]" dimensionUniqueName="[Таблица10]" displayFolder="" count="0" memberValueDatatype="20" unbalanced="0"/>
    <cacheHierarchy uniqueName="[Таблица10].[Теорія ймовірностей для економістів]" caption="Теорія ймовірностей для економістів" attribute="1" defaultMemberUniqueName="[Таблица10].[Теорія ймовірностей для економістів].[All]" allUniqueName="[Таблица10].[Теорія ймовірностей для економістів].[All]" dimensionUniqueName="[Таблица10]" displayFolder="" count="0" memberValueDatatype="20" unbalanced="0"/>
    <cacheHierarchy uniqueName="[Таблица10].[Вища математика для економістів]" caption="Вища математика для економістів" attribute="1" defaultMemberUniqueName="[Таблица10].[Вища математика для економістів].[All]" allUniqueName="[Таблица10].[Вища математика для економістів].[All]" dimensionUniqueName="[Таблица10]" displayFolder="" count="0" memberValueDatatype="20" unbalanced="0"/>
    <cacheHierarchy uniqueName="[Таблица10].[Програмування]" caption="Програмування" attribute="1" defaultMemberUniqueName="[Таблица10].[Програмування].[All]" allUniqueName="[Таблица10].[Програмування].[All]" dimensionUniqueName="[Таблица10]" displayFolder="" count="0" memberValueDatatype="20" unbalanced="0"/>
    <cacheHierarchy uniqueName="[Таблица10].[Сумарний бал]" caption="Сумарний бал" attribute="1" defaultMemberUniqueName="[Таблица10].[Сумарний бал].[All]" allUniqueName="[Таблица10].[Сумарний бал].[All]" dimensionUniqueName="[Таблица10]" displayFolder="" count="0" memberValueDatatype="20" unbalanced="0"/>
    <cacheHierarchy uniqueName="[Таблица10].[Середній бал]" caption="Середній бал" attribute="1" defaultMemberUniqueName="[Таблица10].[Середній бал].[All]" allUniqueName="[Таблица10].[Середній бал].[All]" dimensionUniqueName="[Таблица10]" displayFolder="" count="0" memberValueDatatype="5" unbalanced="0"/>
    <cacheHierarchy uniqueName="[Таблица10].[Чи є дом. телефон]" caption="Чи є дом. телефон" attribute="1" defaultMemberUniqueName="[Таблица10].[Чи є дом. телефон].[All]" allUniqueName="[Таблица10].[Чи є дом. телефон].[All]" dimensionUniqueName="[Таблица10]" displayFolder="" count="0" memberValueDatatype="130" unbalanced="0"/>
    <cacheHierarchy uniqueName="[Таблица10].[Місяць народження]" caption="Місяць народження" attribute="1" defaultMemberUniqueName="[Таблица10].[Місяць народження].[All]" allUniqueName="[Таблица10].[Місяць народження].[All]" dimensionUniqueName="[Таблица10]" displayFolder="" count="0" memberValueDatatype="130" unbalanced="0"/>
    <cacheHierarchy uniqueName="[Таблица10].[Чи постійно проживає в Києві]" caption="Чи постійно проживає в Києві" attribute="1" defaultMemberUniqueName="[Таблица10].[Чи постійно проживає в Києві].[All]" allUniqueName="[Таблица10].[Чи постійно проживає в Києві].[All]" dimensionUniqueName="[Таблица10]" displayFolder="" count="2" memberValueDatatype="130" unbalanced="0">
      <fieldsUsage count="2">
        <fieldUsage x="-1"/>
        <fieldUsage x="0"/>
      </fieldsUsage>
    </cacheHierarchy>
    <cacheHierarchy uniqueName="[Таблица10].[Чи заслуговує на стипендію?]" caption="Чи заслуговує на стипендію?" attribute="1" defaultMemberUniqueName="[Таблица10].[Чи заслуговує на стипендію?].[All]" allUniqueName="[Таблица10].[Чи заслуговує на стипендію?].[All]" dimensionUniqueName="[Таблица10]" displayFolder="" count="0" memberValueDatatype="130" unbalanced="0"/>
    <cacheHierarchy uniqueName="[Таблица10].[Старше 19 років чи ні]" caption="Старше 19 років чи ні" attribute="1" defaultMemberUniqueName="[Таблица10].[Старше 19 років чи ні].[All]" allUniqueName="[Таблица10].[Старше 19 років чи ні].[All]" dimensionUniqueName="[Таблица10]" displayFolder="" count="0" memberValueDatatype="130" unbalanced="0"/>
    <cacheHierarchy uniqueName="[Таблица10].[Дата Народження (Год)]" caption="Дата Народження (Год)" attribute="1" defaultMemberUniqueName="[Таблица10].[Дата Народження (Год)].[All]" allUniqueName="[Таблица10].[Дата Народження (Год)].[All]" dimensionUniqueName="[Таблица10]" displayFolder="" count="0" memberValueDatatype="130" unbalanced="0"/>
    <cacheHierarchy uniqueName="[Таблица10].[Дата Народження (Квартал)]" caption="Дата Народження (Квартал)" attribute="1" defaultMemberUniqueName="[Таблица10].[Дата Народження (Квартал)].[All]" allUniqueName="[Таблица10].[Дата Народження (Квартал)].[All]" dimensionUniqueName="[Таблица10]" displayFolder="" count="0" memberValueDatatype="130" unbalanced="0"/>
    <cacheHierarchy uniqueName="[Таблица10].[Дата Народження (Месяц)]" caption="Дата Народження (Месяц)" attribute="1" defaultMemberUniqueName="[Таблица10].[Дата Народження (Месяц)].[All]" allUniqueName="[Таблица10].[Дата Народження (Месяц)].[All]" dimensionUniqueName="[Таблица10]" displayFolder="" count="0" memberValueDatatype="130" unbalanced="0"/>
    <cacheHierarchy uniqueName="[Таблица10].[Дата Народження (Индекс месяца)]" caption="Дата Народження (Индекс месяца)" attribute="1" defaultMemberUniqueName="[Таблица10].[Дата Народження (Индекс месяца)].[All]" allUniqueName="[Таблица10].[Дата Народження (Индекс месяца)].[All]" dimensionUniqueName="[Таблица10]" displayFolder="" count="0" memberValueDatatype="20" unbalanced="0" hidden="1"/>
    <cacheHierarchy uniqueName="[Measures].[__XL_Count Таблица10]" caption="__XL_Count Таблица10" measure="1" displayFolder="" measureGroup="Таблица10" count="0" hidden="1"/>
    <cacheHierarchy uniqueName="[Measures].[__No measures defined]" caption="__No measures defined" measure="1" displayFolder="" count="0" hidden="1"/>
    <cacheHierarchy uniqueName="[Measures].[Число элементов в столбце Чи заслуговує на стипендію?]" caption="Число элементов в столбце Чи заслуговує на стипендію?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Число элементов в столбце Старше 19 років чи ні]" caption="Число элементов в столбце Старше 19 років чи н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Чи постійно проживає в Києві]" caption="Число элементов в столбце Чи постійно проживає в Києві" measure="1" displayFolder="" measureGroup="Таблица1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Теорія ймовірностей для економістів]" caption="Сумма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Теорія ймовірностей для економістів]" caption="Среднее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Вища математика для економістів]" caption="Сумма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реднее по столбцу Вища математика для економістів]" caption="Среднее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Середній бал]" caption="Число элементов в столбце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ередній бал]" caption="Сумма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Середній бал]" caption="Среднее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умарний бал]" caption="Сумма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реднее по столбцу Сумарний бал]" caption="Среднее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Таблица10" uniqueName="[Таблица10]" caption="Таблица10"/>
  </dimensions>
  <measureGroups count="1">
    <measureGroup name="Таблица10" caption="Таблица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4853.660735185185" backgroundQuery="1" createdVersion="7" refreshedVersion="7" minRefreshableVersion="3" recordCount="0" supportSubquery="1" supportAdvancedDrill="1" xr:uid="{E3EBEAE6-C784-42D0-ABD4-BD46EE5302DA}">
  <cacheSource type="external" connectionId="1"/>
  <cacheFields count="2">
    <cacheField name="[Таблица10].[Старше 19 років чи ні].[Старше 19 років чи ні]" caption="Старше 19 років чи ні" numFmtId="0" hierarchy="19" level="1">
      <sharedItems count="2">
        <s v="Молодше"/>
        <s v="Старше"/>
      </sharedItems>
    </cacheField>
    <cacheField name="[Measures].[Число элементов в столбце Старше 19 років чи ні]" caption="Число элементов в столбце Старше 19 років чи ні" numFmtId="0" hierarchy="27" level="32767"/>
  </cacheFields>
  <cacheHierarchies count="38">
    <cacheHierarchy uniqueName="[Таблица10].[№]" caption="№" attribute="1" defaultMemberUniqueName="[Таблица10].[№].[All]" allUniqueName="[Таблица10].[№].[All]" dimensionUniqueName="[Таблица10]" displayFolder="" count="0" memberValueDatatype="20" unbalanced="0"/>
    <cacheHierarchy uniqueName="[Таблица10].[ПІБ]" caption="ПІБ" attribute="1" defaultMemberUniqueName="[Таблица10].[ПІБ].[All]" allUniqueName="[Таблица10].[ПІБ].[All]" dimensionUniqueName="[Таблица10]" displayFolder="" count="0" memberValueDatatype="130" unbalanced="0"/>
    <cacheHierarchy uniqueName="[Таблица10].[Дата Народження]" caption="Дата Народження" attribute="1" time="1" defaultMemberUniqueName="[Таблица10].[Дата Народження].[All]" allUniqueName="[Таблица10].[Дата Народження].[All]" dimensionUniqueName="[Таблица10]" displayFolder="" count="0" memberValueDatatype="7" unbalanced="0"/>
    <cacheHierarchy uniqueName="[Таблица10].[Стать]" caption="Стать" attribute="1" defaultMemberUniqueName="[Таблица10].[Стать].[All]" allUniqueName="[Таблица10].[Стать].[All]" dimensionUniqueName="[Таблица10]" displayFolder="" count="0" memberValueDatatype="130" unbalanced="0"/>
    <cacheHierarchy uniqueName="[Таблица10].[Місто народження]" caption="Місто народження" attribute="1" defaultMemberUniqueName="[Таблица10].[Місто народження].[All]" allUniqueName="[Таблица10].[Місто народження].[All]" dimensionUniqueName="[Таблица10]" displayFolder="" count="0" memberValueDatatype="130" unbalanced="0"/>
    <cacheHierarchy uniqueName="[Таблица10].[Моб. телефон]" caption="Моб. телефон" attribute="1" defaultMemberUniqueName="[Таблица10].[Моб. телефон].[All]" allUniqueName="[Таблица10].[Моб. телефон].[All]" dimensionUniqueName="[Таблица10]" displayFolder="" count="0" memberValueDatatype="5" unbalanced="0"/>
    <cacheHierarchy uniqueName="[Таблица10].[Основи трудового права]" caption="Основи трудового права" attribute="1" defaultMemberUniqueName="[Таблица10].[Основи трудового права].[All]" allUniqueName="[Таблица10].[Основи трудового права].[All]" dimensionUniqueName="[Таблица10]" displayFolder="" count="0" memberValueDatatype="20" unbalanced="0"/>
    <cacheHierarchy uniqueName="[Таблица10].[Науковий образ світу]" caption="Науковий образ світу" attribute="1" defaultMemberUniqueName="[Таблица10].[Науковий образ світу].[All]" allUniqueName="[Таблица10].[Науковий образ світу].[All]" dimensionUniqueName="[Таблица10]" displayFolder="" count="0" memberValueDatatype="20" unbalanced="0"/>
    <cacheHierarchy uniqueName="[Таблица10].[Іноземна мова професійного спрямування]" caption="Іноземна мова професійного спрямування" attribute="1" defaultMemberUniqueName="[Таблица10].[Іноземна мова професійного спрямування].[All]" allUniqueName="[Таблица10].[Іноземна мова професійного спрямування].[All]" dimensionUniqueName="[Таблица10]" displayFolder="" count="0" memberValueDatatype="20" unbalanced="0"/>
    <cacheHierarchy uniqueName="[Таблица10].[Основи зеленої економіки]" caption="Основи зеленої економіки" attribute="1" defaultMemberUniqueName="[Таблица10].[Основи зеленої економіки].[All]" allUniqueName="[Таблица10].[Основи зеленої економіки].[All]" dimensionUniqueName="[Таблица10]" displayFolder="" count="0" memberValueDatatype="20" unbalanced="0"/>
    <cacheHierarchy uniqueName="[Таблица10].[Теорія ймовірностей для економістів]" caption="Теорія ймовірностей для економістів" attribute="1" defaultMemberUniqueName="[Таблица10].[Теорія ймовірностей для економістів].[All]" allUniqueName="[Таблица10].[Теорія ймовірностей для економістів].[All]" dimensionUniqueName="[Таблица10]" displayFolder="" count="0" memberValueDatatype="20" unbalanced="0"/>
    <cacheHierarchy uniqueName="[Таблица10].[Вища математика для економістів]" caption="Вища математика для економістів" attribute="1" defaultMemberUniqueName="[Таблица10].[Вища математика для економістів].[All]" allUniqueName="[Таблица10].[Вища математика для економістів].[All]" dimensionUniqueName="[Таблица10]" displayFolder="" count="0" memberValueDatatype="20" unbalanced="0"/>
    <cacheHierarchy uniqueName="[Таблица10].[Програмування]" caption="Програмування" attribute="1" defaultMemberUniqueName="[Таблица10].[Програмування].[All]" allUniqueName="[Таблица10].[Програмування].[All]" dimensionUniqueName="[Таблица10]" displayFolder="" count="0" memberValueDatatype="20" unbalanced="0"/>
    <cacheHierarchy uniqueName="[Таблица10].[Сумарний бал]" caption="Сумарний бал" attribute="1" defaultMemberUniqueName="[Таблица10].[Сумарний бал].[All]" allUniqueName="[Таблица10].[Сумарний бал].[All]" dimensionUniqueName="[Таблица10]" displayFolder="" count="0" memberValueDatatype="20" unbalanced="0"/>
    <cacheHierarchy uniqueName="[Таблица10].[Середній бал]" caption="Середній бал" attribute="1" defaultMemberUniqueName="[Таблица10].[Середній бал].[All]" allUniqueName="[Таблица10].[Середній бал].[All]" dimensionUniqueName="[Таблица10]" displayFolder="" count="0" memberValueDatatype="5" unbalanced="0"/>
    <cacheHierarchy uniqueName="[Таблица10].[Чи є дом. телефон]" caption="Чи є дом. телефон" attribute="1" defaultMemberUniqueName="[Таблица10].[Чи є дом. телефон].[All]" allUniqueName="[Таблица10].[Чи є дом. телефон].[All]" dimensionUniqueName="[Таблица10]" displayFolder="" count="0" memberValueDatatype="130" unbalanced="0"/>
    <cacheHierarchy uniqueName="[Таблица10].[Місяць народження]" caption="Місяць народження" attribute="1" defaultMemberUniqueName="[Таблица10].[Місяць народження].[All]" allUniqueName="[Таблица10].[Місяць народження].[All]" dimensionUniqueName="[Таблица10]" displayFolder="" count="0" memberValueDatatype="130" unbalanced="0"/>
    <cacheHierarchy uniqueName="[Таблица10].[Чи постійно проживає в Києві]" caption="Чи постійно проживає в Києві" attribute="1" defaultMemberUniqueName="[Таблица10].[Чи постійно проживає в Києві].[All]" allUniqueName="[Таблица10].[Чи постійно проживає в Києві].[All]" dimensionUniqueName="[Таблица10]" displayFolder="" count="0" memberValueDatatype="130" unbalanced="0"/>
    <cacheHierarchy uniqueName="[Таблица10].[Чи заслуговує на стипендію?]" caption="Чи заслуговує на стипендію?" attribute="1" defaultMemberUniqueName="[Таблица10].[Чи заслуговує на стипендію?].[All]" allUniqueName="[Таблица10].[Чи заслуговує на стипендію?].[All]" dimensionUniqueName="[Таблица10]" displayFolder="" count="0" memberValueDatatype="130" unbalanced="0"/>
    <cacheHierarchy uniqueName="[Таблица10].[Старше 19 років чи ні]" caption="Старше 19 років чи ні" attribute="1" defaultMemberUniqueName="[Таблица10].[Старше 19 років чи ні].[All]" allUniqueName="[Таблица10].[Старше 19 років чи ні].[All]" dimensionUniqueName="[Таблица10]" displayFolder="" count="2" memberValueDatatype="130" unbalanced="0">
      <fieldsUsage count="2">
        <fieldUsage x="-1"/>
        <fieldUsage x="0"/>
      </fieldsUsage>
    </cacheHierarchy>
    <cacheHierarchy uniqueName="[Таблица10].[Дата Народження (Год)]" caption="Дата Народження (Год)" attribute="1" defaultMemberUniqueName="[Таблица10].[Дата Народження (Год)].[All]" allUniqueName="[Таблица10].[Дата Народження (Год)].[All]" dimensionUniqueName="[Таблица10]" displayFolder="" count="0" memberValueDatatype="130" unbalanced="0"/>
    <cacheHierarchy uniqueName="[Таблица10].[Дата Народження (Квартал)]" caption="Дата Народження (Квартал)" attribute="1" defaultMemberUniqueName="[Таблица10].[Дата Народження (Квартал)].[All]" allUniqueName="[Таблица10].[Дата Народження (Квартал)].[All]" dimensionUniqueName="[Таблица10]" displayFolder="" count="0" memberValueDatatype="130" unbalanced="0"/>
    <cacheHierarchy uniqueName="[Таблица10].[Дата Народження (Месяц)]" caption="Дата Народження (Месяц)" attribute="1" defaultMemberUniqueName="[Таблица10].[Дата Народження (Месяц)].[All]" allUniqueName="[Таблица10].[Дата Народження (Месяц)].[All]" dimensionUniqueName="[Таблица10]" displayFolder="" count="0" memberValueDatatype="130" unbalanced="0"/>
    <cacheHierarchy uniqueName="[Таблица10].[Дата Народження (Индекс месяца)]" caption="Дата Народження (Индекс месяца)" attribute="1" defaultMemberUniqueName="[Таблица10].[Дата Народження (Индекс месяца)].[All]" allUniqueName="[Таблица10].[Дата Народження (Индекс месяца)].[All]" dimensionUniqueName="[Таблица10]" displayFolder="" count="0" memberValueDatatype="20" unbalanced="0" hidden="1"/>
    <cacheHierarchy uniqueName="[Measures].[__XL_Count Таблица10]" caption="__XL_Count Таблица10" measure="1" displayFolder="" measureGroup="Таблица10" count="0" hidden="1"/>
    <cacheHierarchy uniqueName="[Measures].[__No measures defined]" caption="__No measures defined" measure="1" displayFolder="" count="0" hidden="1"/>
    <cacheHierarchy uniqueName="[Measures].[Число элементов в столбце Чи заслуговує на стипендію?]" caption="Число элементов в столбце Чи заслуговує на стипендію?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Число элементов в столбце Старше 19 років чи ні]" caption="Число элементов в столбце Старше 19 років чи ні" measure="1" displayFolder="" measureGroup="Таблица1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Чи постійно проживає в Києві]" caption="Число элементов в столбце Чи постійно проживає в Києв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Теорія ймовірностей для економістів]" caption="Сумма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Теорія ймовірностей для економістів]" caption="Среднее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Вища математика для економістів]" caption="Сумма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реднее по столбцу Вища математика для економістів]" caption="Среднее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Середній бал]" caption="Число элементов в столбце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ередній бал]" caption="Сумма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Середній бал]" caption="Среднее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умарний бал]" caption="Сумма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реднее по столбцу Сумарний бал]" caption="Среднее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Таблица10" uniqueName="[Таблица10]" caption="Таблица10"/>
  </dimensions>
  <measureGroups count="1">
    <measureGroup name="Таблица10" caption="Таблица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4853.660738078703" backgroundQuery="1" createdVersion="7" refreshedVersion="7" minRefreshableVersion="3" recordCount="0" supportSubquery="1" supportAdvancedDrill="1" xr:uid="{648DF23C-CCBD-41AA-80C1-94A227FD47B5}">
  <cacheSource type="external" connectionId="1"/>
  <cacheFields count="2">
    <cacheField name="[Таблица10].[Чи заслуговує на стипендію?].[Чи заслуговує на стипендію?]" caption="Чи заслуговує на стипендію?" numFmtId="0" hierarchy="18" level="1">
      <sharedItems count="2">
        <s v="Заслуговує"/>
        <s v="Не заслуговує"/>
      </sharedItems>
    </cacheField>
    <cacheField name="[Measures].[Число элементов в столбце Чи заслуговує на стипендію?]" caption="Число элементов в столбце Чи заслуговує на стипендію?" numFmtId="0" hierarchy="26" level="32767"/>
  </cacheFields>
  <cacheHierarchies count="38">
    <cacheHierarchy uniqueName="[Таблица10].[№]" caption="№" attribute="1" defaultMemberUniqueName="[Таблица10].[№].[All]" allUniqueName="[Таблица10].[№].[All]" dimensionUniqueName="[Таблица10]" displayFolder="" count="0" memberValueDatatype="20" unbalanced="0"/>
    <cacheHierarchy uniqueName="[Таблица10].[ПІБ]" caption="ПІБ" attribute="1" defaultMemberUniqueName="[Таблица10].[ПІБ].[All]" allUniqueName="[Таблица10].[ПІБ].[All]" dimensionUniqueName="[Таблица10]" displayFolder="" count="0" memberValueDatatype="130" unbalanced="0"/>
    <cacheHierarchy uniqueName="[Таблица10].[Дата Народження]" caption="Дата Народження" attribute="1" time="1" defaultMemberUniqueName="[Таблица10].[Дата Народження].[All]" allUniqueName="[Таблица10].[Дата Народження].[All]" dimensionUniqueName="[Таблица10]" displayFolder="" count="0" memberValueDatatype="7" unbalanced="0"/>
    <cacheHierarchy uniqueName="[Таблица10].[Стать]" caption="Стать" attribute="1" defaultMemberUniqueName="[Таблица10].[Стать].[All]" allUniqueName="[Таблица10].[Стать].[All]" dimensionUniqueName="[Таблица10]" displayFolder="" count="0" memberValueDatatype="130" unbalanced="0"/>
    <cacheHierarchy uniqueName="[Таблица10].[Місто народження]" caption="Місто народження" attribute="1" defaultMemberUniqueName="[Таблица10].[Місто народження].[All]" allUniqueName="[Таблица10].[Місто народження].[All]" dimensionUniqueName="[Таблица10]" displayFolder="" count="0" memberValueDatatype="130" unbalanced="0"/>
    <cacheHierarchy uniqueName="[Таблица10].[Моб. телефон]" caption="Моб. телефон" attribute="1" defaultMemberUniqueName="[Таблица10].[Моб. телефон].[All]" allUniqueName="[Таблица10].[Моб. телефон].[All]" dimensionUniqueName="[Таблица10]" displayFolder="" count="0" memberValueDatatype="5" unbalanced="0"/>
    <cacheHierarchy uniqueName="[Таблица10].[Основи трудового права]" caption="Основи трудового права" attribute="1" defaultMemberUniqueName="[Таблица10].[Основи трудового права].[All]" allUniqueName="[Таблица10].[Основи трудового права].[All]" dimensionUniqueName="[Таблица10]" displayFolder="" count="0" memberValueDatatype="20" unbalanced="0"/>
    <cacheHierarchy uniqueName="[Таблица10].[Науковий образ світу]" caption="Науковий образ світу" attribute="1" defaultMemberUniqueName="[Таблица10].[Науковий образ світу].[All]" allUniqueName="[Таблица10].[Науковий образ світу].[All]" dimensionUniqueName="[Таблица10]" displayFolder="" count="0" memberValueDatatype="20" unbalanced="0"/>
    <cacheHierarchy uniqueName="[Таблица10].[Іноземна мова професійного спрямування]" caption="Іноземна мова професійного спрямування" attribute="1" defaultMemberUniqueName="[Таблица10].[Іноземна мова професійного спрямування].[All]" allUniqueName="[Таблица10].[Іноземна мова професійного спрямування].[All]" dimensionUniqueName="[Таблица10]" displayFolder="" count="0" memberValueDatatype="20" unbalanced="0"/>
    <cacheHierarchy uniqueName="[Таблица10].[Основи зеленої економіки]" caption="Основи зеленої економіки" attribute="1" defaultMemberUniqueName="[Таблица10].[Основи зеленої економіки].[All]" allUniqueName="[Таблица10].[Основи зеленої економіки].[All]" dimensionUniqueName="[Таблица10]" displayFolder="" count="0" memberValueDatatype="20" unbalanced="0"/>
    <cacheHierarchy uniqueName="[Таблица10].[Теорія ймовірностей для економістів]" caption="Теорія ймовірностей для економістів" attribute="1" defaultMemberUniqueName="[Таблица10].[Теорія ймовірностей для економістів].[All]" allUniqueName="[Таблица10].[Теорія ймовірностей для економістів].[All]" dimensionUniqueName="[Таблица10]" displayFolder="" count="0" memberValueDatatype="20" unbalanced="0"/>
    <cacheHierarchy uniqueName="[Таблица10].[Вища математика для економістів]" caption="Вища математика для економістів" attribute="1" defaultMemberUniqueName="[Таблица10].[Вища математика для економістів].[All]" allUniqueName="[Таблица10].[Вища математика для економістів].[All]" dimensionUniqueName="[Таблица10]" displayFolder="" count="0" memberValueDatatype="20" unbalanced="0"/>
    <cacheHierarchy uniqueName="[Таблица10].[Програмування]" caption="Програмування" attribute="1" defaultMemberUniqueName="[Таблица10].[Програмування].[All]" allUniqueName="[Таблица10].[Програмування].[All]" dimensionUniqueName="[Таблица10]" displayFolder="" count="0" memberValueDatatype="20" unbalanced="0"/>
    <cacheHierarchy uniqueName="[Таблица10].[Сумарний бал]" caption="Сумарний бал" attribute="1" defaultMemberUniqueName="[Таблица10].[Сумарний бал].[All]" allUniqueName="[Таблица10].[Сумарний бал].[All]" dimensionUniqueName="[Таблица10]" displayFolder="" count="0" memberValueDatatype="20" unbalanced="0"/>
    <cacheHierarchy uniqueName="[Таблица10].[Середній бал]" caption="Середній бал" attribute="1" defaultMemberUniqueName="[Таблица10].[Середній бал].[All]" allUniqueName="[Таблица10].[Середній бал].[All]" dimensionUniqueName="[Таблица10]" displayFolder="" count="0" memberValueDatatype="5" unbalanced="0"/>
    <cacheHierarchy uniqueName="[Таблица10].[Чи є дом. телефон]" caption="Чи є дом. телефон" attribute="1" defaultMemberUniqueName="[Таблица10].[Чи є дом. телефон].[All]" allUniqueName="[Таблица10].[Чи є дом. телефон].[All]" dimensionUniqueName="[Таблица10]" displayFolder="" count="0" memberValueDatatype="130" unbalanced="0"/>
    <cacheHierarchy uniqueName="[Таблица10].[Місяць народження]" caption="Місяць народження" attribute="1" defaultMemberUniqueName="[Таблица10].[Місяць народження].[All]" allUniqueName="[Таблица10].[Місяць народження].[All]" dimensionUniqueName="[Таблица10]" displayFolder="" count="0" memberValueDatatype="130" unbalanced="0"/>
    <cacheHierarchy uniqueName="[Таблица10].[Чи постійно проживає в Києві]" caption="Чи постійно проживає в Києві" attribute="1" defaultMemberUniqueName="[Таблица10].[Чи постійно проживає в Києві].[All]" allUniqueName="[Таблица10].[Чи постійно проживає в Києві].[All]" dimensionUniqueName="[Таблица10]" displayFolder="" count="0" memberValueDatatype="130" unbalanced="0"/>
    <cacheHierarchy uniqueName="[Таблица10].[Чи заслуговує на стипендію?]" caption="Чи заслуговує на стипендію?" attribute="1" defaultMemberUniqueName="[Таблица10].[Чи заслуговує на стипендію?].[All]" allUniqueName="[Таблица10].[Чи заслуговує на стипендію?].[All]" dimensionUniqueName="[Таблица10]" displayFolder="" count="2" memberValueDatatype="130" unbalanced="0">
      <fieldsUsage count="2">
        <fieldUsage x="-1"/>
        <fieldUsage x="0"/>
      </fieldsUsage>
    </cacheHierarchy>
    <cacheHierarchy uniqueName="[Таблица10].[Старше 19 років чи ні]" caption="Старше 19 років чи ні" attribute="1" defaultMemberUniqueName="[Таблица10].[Старше 19 років чи ні].[All]" allUniqueName="[Таблица10].[Старше 19 років чи ні].[All]" dimensionUniqueName="[Таблица10]" displayFolder="" count="0" memberValueDatatype="130" unbalanced="0"/>
    <cacheHierarchy uniqueName="[Таблица10].[Дата Народження (Год)]" caption="Дата Народження (Год)" attribute="1" defaultMemberUniqueName="[Таблица10].[Дата Народження (Год)].[All]" allUniqueName="[Таблица10].[Дата Народження (Год)].[All]" dimensionUniqueName="[Таблица10]" displayFolder="" count="0" memberValueDatatype="130" unbalanced="0"/>
    <cacheHierarchy uniqueName="[Таблица10].[Дата Народження (Квартал)]" caption="Дата Народження (Квартал)" attribute="1" defaultMemberUniqueName="[Таблица10].[Дата Народження (Квартал)].[All]" allUniqueName="[Таблица10].[Дата Народження (Квартал)].[All]" dimensionUniqueName="[Таблица10]" displayFolder="" count="0" memberValueDatatype="130" unbalanced="0"/>
    <cacheHierarchy uniqueName="[Таблица10].[Дата Народження (Месяц)]" caption="Дата Народження (Месяц)" attribute="1" defaultMemberUniqueName="[Таблица10].[Дата Народження (Месяц)].[All]" allUniqueName="[Таблица10].[Дата Народження (Месяц)].[All]" dimensionUniqueName="[Таблица10]" displayFolder="" count="0" memberValueDatatype="130" unbalanced="0"/>
    <cacheHierarchy uniqueName="[Таблица10].[Дата Народження (Индекс месяца)]" caption="Дата Народження (Индекс месяца)" attribute="1" defaultMemberUniqueName="[Таблица10].[Дата Народження (Индекс месяца)].[All]" allUniqueName="[Таблица10].[Дата Народження (Индекс месяца)].[All]" dimensionUniqueName="[Таблица10]" displayFolder="" count="0" memberValueDatatype="20" unbalanced="0" hidden="1"/>
    <cacheHierarchy uniqueName="[Measures].[__XL_Count Таблица10]" caption="__XL_Count Таблица10" measure="1" displayFolder="" measureGroup="Таблица10" count="0" hidden="1"/>
    <cacheHierarchy uniqueName="[Measures].[__No measures defined]" caption="__No measures defined" measure="1" displayFolder="" count="0" hidden="1"/>
    <cacheHierarchy uniqueName="[Measures].[Число элементов в столбце Чи заслуговує на стипендію?]" caption="Число элементов в столбце Чи заслуговує на стипендію?" measure="1" displayFolder="" measureGroup="Таблица1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Число элементов в столбце Старше 19 років чи ні]" caption="Число элементов в столбце Старше 19 років чи н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Чи постійно проживає в Києві]" caption="Число элементов в столбце Чи постійно проживає в Києв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Теорія ймовірностей для економістів]" caption="Сумма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Теорія ймовірностей для економістів]" caption="Среднее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Вища математика для економістів]" caption="Сумма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реднее по столбцу Вища математика для економістів]" caption="Среднее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Середній бал]" caption="Число элементов в столбце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ередній бал]" caption="Сумма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Середній бал]" caption="Среднее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умарний бал]" caption="Сумма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реднее по столбцу Сумарний бал]" caption="Среднее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Таблица10" uniqueName="[Таблица10]" caption="Таблица10"/>
  </dimensions>
  <measureGroups count="1">
    <measureGroup name="Таблица10" caption="Таблица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4853.660741319443" backgroundQuery="1" createdVersion="7" refreshedVersion="7" minRefreshableVersion="3" recordCount="0" supportSubquery="1" supportAdvancedDrill="1" xr:uid="{3328765C-074D-4832-9636-F0D57A8D2DD0}">
  <cacheSource type="external" connectionId="1"/>
  <cacheFields count="2">
    <cacheField name="[Measures].[Среднее по столбцу Теорія ймовірностей для економістів]" caption="Среднее по столбцу Теорія ймовірностей для економістів" numFmtId="0" hierarchy="30" level="32767"/>
    <cacheField name="[Таблица10].[Стать].[Стать]" caption="Стать" numFmtId="0" hierarchy="3" level="1">
      <sharedItems count="2">
        <s v="жіноча"/>
        <s v="чоловіча"/>
      </sharedItems>
    </cacheField>
  </cacheFields>
  <cacheHierarchies count="38">
    <cacheHierarchy uniqueName="[Таблица10].[№]" caption="№" attribute="1" defaultMemberUniqueName="[Таблица10].[№].[All]" allUniqueName="[Таблица10].[№].[All]" dimensionUniqueName="[Таблица10]" displayFolder="" count="0" memberValueDatatype="20" unbalanced="0"/>
    <cacheHierarchy uniqueName="[Таблица10].[ПІБ]" caption="ПІБ" attribute="1" defaultMemberUniqueName="[Таблица10].[ПІБ].[All]" allUniqueName="[Таблица10].[ПІБ].[All]" dimensionUniqueName="[Таблица10]" displayFolder="" count="0" memberValueDatatype="130" unbalanced="0"/>
    <cacheHierarchy uniqueName="[Таблица10].[Дата Народження]" caption="Дата Народження" attribute="1" time="1" defaultMemberUniqueName="[Таблица10].[Дата Народження].[All]" allUniqueName="[Таблица10].[Дата Народження].[All]" dimensionUniqueName="[Таблица10]" displayFolder="" count="0" memberValueDatatype="7" unbalanced="0"/>
    <cacheHierarchy uniqueName="[Таблица10].[Стать]" caption="Стать" attribute="1" defaultMemberUniqueName="[Таблица10].[Стать].[All]" allUniqueName="[Таблица10].[Стать].[All]" dimensionUniqueName="[Таблица10]" displayFolder="" count="2" memberValueDatatype="130" unbalanced="0">
      <fieldsUsage count="2">
        <fieldUsage x="-1"/>
        <fieldUsage x="1"/>
      </fieldsUsage>
    </cacheHierarchy>
    <cacheHierarchy uniqueName="[Таблица10].[Місто народження]" caption="Місто народження" attribute="1" defaultMemberUniqueName="[Таблица10].[Місто народження].[All]" allUniqueName="[Таблица10].[Місто народження].[All]" dimensionUniqueName="[Таблица10]" displayFolder="" count="0" memberValueDatatype="130" unbalanced="0"/>
    <cacheHierarchy uniqueName="[Таблица10].[Моб. телефон]" caption="Моб. телефон" attribute="1" defaultMemberUniqueName="[Таблица10].[Моб. телефон].[All]" allUniqueName="[Таблица10].[Моб. телефон].[All]" dimensionUniqueName="[Таблица10]" displayFolder="" count="0" memberValueDatatype="5" unbalanced="0"/>
    <cacheHierarchy uniqueName="[Таблица10].[Основи трудового права]" caption="Основи трудового права" attribute="1" defaultMemberUniqueName="[Таблица10].[Основи трудового права].[All]" allUniqueName="[Таблица10].[Основи трудового права].[All]" dimensionUniqueName="[Таблица10]" displayFolder="" count="0" memberValueDatatype="20" unbalanced="0"/>
    <cacheHierarchy uniqueName="[Таблица10].[Науковий образ світу]" caption="Науковий образ світу" attribute="1" defaultMemberUniqueName="[Таблица10].[Науковий образ світу].[All]" allUniqueName="[Таблица10].[Науковий образ світу].[All]" dimensionUniqueName="[Таблица10]" displayFolder="" count="0" memberValueDatatype="20" unbalanced="0"/>
    <cacheHierarchy uniqueName="[Таблица10].[Іноземна мова професійного спрямування]" caption="Іноземна мова професійного спрямування" attribute="1" defaultMemberUniqueName="[Таблица10].[Іноземна мова професійного спрямування].[All]" allUniqueName="[Таблица10].[Іноземна мова професійного спрямування].[All]" dimensionUniqueName="[Таблица10]" displayFolder="" count="0" memberValueDatatype="20" unbalanced="0"/>
    <cacheHierarchy uniqueName="[Таблица10].[Основи зеленої економіки]" caption="Основи зеленої економіки" attribute="1" defaultMemberUniqueName="[Таблица10].[Основи зеленої економіки].[All]" allUniqueName="[Таблица10].[Основи зеленої економіки].[All]" dimensionUniqueName="[Таблица10]" displayFolder="" count="0" memberValueDatatype="20" unbalanced="0"/>
    <cacheHierarchy uniqueName="[Таблица10].[Теорія ймовірностей для економістів]" caption="Теорія ймовірностей для економістів" attribute="1" defaultMemberUniqueName="[Таблица10].[Теорія ймовірностей для економістів].[All]" allUniqueName="[Таблица10].[Теорія ймовірностей для економістів].[All]" dimensionUniqueName="[Таблица10]" displayFolder="" count="0" memberValueDatatype="20" unbalanced="0"/>
    <cacheHierarchy uniqueName="[Таблица10].[Вища математика для економістів]" caption="Вища математика для економістів" attribute="1" defaultMemberUniqueName="[Таблица10].[Вища математика для економістів].[All]" allUniqueName="[Таблица10].[Вища математика для економістів].[All]" dimensionUniqueName="[Таблица10]" displayFolder="" count="0" memberValueDatatype="20" unbalanced="0"/>
    <cacheHierarchy uniqueName="[Таблица10].[Програмування]" caption="Програмування" attribute="1" defaultMemberUniqueName="[Таблица10].[Програмування].[All]" allUniqueName="[Таблица10].[Програмування].[All]" dimensionUniqueName="[Таблица10]" displayFolder="" count="0" memberValueDatatype="20" unbalanced="0"/>
    <cacheHierarchy uniqueName="[Таблица10].[Сумарний бал]" caption="Сумарний бал" attribute="1" defaultMemberUniqueName="[Таблица10].[Сумарний бал].[All]" allUniqueName="[Таблица10].[Сумарний бал].[All]" dimensionUniqueName="[Таблица10]" displayFolder="" count="0" memberValueDatatype="20" unbalanced="0"/>
    <cacheHierarchy uniqueName="[Таблица10].[Середній бал]" caption="Середній бал" attribute="1" defaultMemberUniqueName="[Таблица10].[Середній бал].[All]" allUniqueName="[Таблица10].[Середній бал].[All]" dimensionUniqueName="[Таблица10]" displayFolder="" count="0" memberValueDatatype="5" unbalanced="0"/>
    <cacheHierarchy uniqueName="[Таблица10].[Чи є дом. телефон]" caption="Чи є дом. телефон" attribute="1" defaultMemberUniqueName="[Таблица10].[Чи є дом. телефон].[All]" allUniqueName="[Таблица10].[Чи є дом. телефон].[All]" dimensionUniqueName="[Таблица10]" displayFolder="" count="0" memberValueDatatype="130" unbalanced="0"/>
    <cacheHierarchy uniqueName="[Таблица10].[Місяць народження]" caption="Місяць народження" attribute="1" defaultMemberUniqueName="[Таблица10].[Місяць народження].[All]" allUniqueName="[Таблица10].[Місяць народження].[All]" dimensionUniqueName="[Таблица10]" displayFolder="" count="0" memberValueDatatype="130" unbalanced="0"/>
    <cacheHierarchy uniqueName="[Таблица10].[Чи постійно проживає в Києві]" caption="Чи постійно проживає в Києві" attribute="1" defaultMemberUniqueName="[Таблица10].[Чи постійно проживає в Києві].[All]" allUniqueName="[Таблица10].[Чи постійно проживає в Києві].[All]" dimensionUniqueName="[Таблица10]" displayFolder="" count="0" memberValueDatatype="130" unbalanced="0"/>
    <cacheHierarchy uniqueName="[Таблица10].[Чи заслуговує на стипендію?]" caption="Чи заслуговує на стипендію?" attribute="1" defaultMemberUniqueName="[Таблица10].[Чи заслуговує на стипендію?].[All]" allUniqueName="[Таблица10].[Чи заслуговує на стипендію?].[All]" dimensionUniqueName="[Таблица10]" displayFolder="" count="0" memberValueDatatype="130" unbalanced="0"/>
    <cacheHierarchy uniqueName="[Таблица10].[Старше 19 років чи ні]" caption="Старше 19 років чи ні" attribute="1" defaultMemberUniqueName="[Таблица10].[Старше 19 років чи ні].[All]" allUniqueName="[Таблица10].[Старше 19 років чи ні].[All]" dimensionUniqueName="[Таблица10]" displayFolder="" count="0" memberValueDatatype="130" unbalanced="0"/>
    <cacheHierarchy uniqueName="[Таблица10].[Дата Народження (Год)]" caption="Дата Народження (Год)" attribute="1" defaultMemberUniqueName="[Таблица10].[Дата Народження (Год)].[All]" allUniqueName="[Таблица10].[Дата Народження (Год)].[All]" dimensionUniqueName="[Таблица10]" displayFolder="" count="0" memberValueDatatype="130" unbalanced="0"/>
    <cacheHierarchy uniqueName="[Таблица10].[Дата Народження (Квартал)]" caption="Дата Народження (Квартал)" attribute="1" defaultMemberUniqueName="[Таблица10].[Дата Народження (Квартал)].[All]" allUniqueName="[Таблица10].[Дата Народження (Квартал)].[All]" dimensionUniqueName="[Таблица10]" displayFolder="" count="0" memberValueDatatype="130" unbalanced="0"/>
    <cacheHierarchy uniqueName="[Таблица10].[Дата Народження (Месяц)]" caption="Дата Народження (Месяц)" attribute="1" defaultMemberUniqueName="[Таблица10].[Дата Народження (Месяц)].[All]" allUniqueName="[Таблица10].[Дата Народження (Месяц)].[All]" dimensionUniqueName="[Таблица10]" displayFolder="" count="0" memberValueDatatype="130" unbalanced="0"/>
    <cacheHierarchy uniqueName="[Таблица10].[Дата Народження (Индекс месяца)]" caption="Дата Народження (Индекс месяца)" attribute="1" defaultMemberUniqueName="[Таблица10].[Дата Народження (Индекс месяца)].[All]" allUniqueName="[Таблица10].[Дата Народження (Индекс месяца)].[All]" dimensionUniqueName="[Таблица10]" displayFolder="" count="0" memberValueDatatype="20" unbalanced="0" hidden="1"/>
    <cacheHierarchy uniqueName="[Measures].[__XL_Count Таблица10]" caption="__XL_Count Таблица10" measure="1" displayFolder="" measureGroup="Таблица10" count="0" hidden="1"/>
    <cacheHierarchy uniqueName="[Measures].[__No measures defined]" caption="__No measures defined" measure="1" displayFolder="" count="0" hidden="1"/>
    <cacheHierarchy uniqueName="[Measures].[Число элементов в столбце Чи заслуговує на стипендію?]" caption="Число элементов в столбце Чи заслуговує на стипендію?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Число элементов в столбце Старше 19 років чи ні]" caption="Число элементов в столбце Старше 19 років чи н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Чи постійно проживає в Києві]" caption="Число элементов в столбце Чи постійно проживає в Києв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Теорія ймовірностей для економістів]" caption="Сумма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Теорія ймовірностей для економістів]" caption="Среднее по столбцу Теорія ймовірностей для економістів" measure="1" displayFolder="" measureGroup="Таблица1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Вища математика для економістів]" caption="Сумма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реднее по столбцу Вища математика для економістів]" caption="Среднее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Середній бал]" caption="Число элементов в столбце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ередній бал]" caption="Сумма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Середній бал]" caption="Среднее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умарний бал]" caption="Сумма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реднее по столбцу Сумарний бал]" caption="Среднее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Таблица10" uniqueName="[Таблица10]" caption="Таблица10"/>
  </dimensions>
  <measureGroups count="1">
    <measureGroup name="Таблица10" caption="Таблица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4853.66074363426" backgroundQuery="1" createdVersion="7" refreshedVersion="7" minRefreshableVersion="3" recordCount="0" supportSubquery="1" supportAdvancedDrill="1" xr:uid="{09BE005C-7DEF-4963-B397-DE286EA2AB28}">
  <cacheSource type="external" connectionId="1"/>
  <cacheFields count="2">
    <cacheField name="[Таблица10].[Чи постійно проживає в Києві].[Чи постійно проживає в Києві]" caption="Чи постійно проживає в Києві" numFmtId="0" hierarchy="17" level="1">
      <sharedItems count="2">
        <s v="Ні"/>
        <s v="Так"/>
      </sharedItems>
    </cacheField>
    <cacheField name="[Measures].[Среднее по столбцу Теорія ймовірностей для економістів]" caption="Среднее по столбцу Теорія ймовірностей для економістів" numFmtId="0" hierarchy="30" level="32767"/>
  </cacheFields>
  <cacheHierarchies count="38">
    <cacheHierarchy uniqueName="[Таблица10].[№]" caption="№" attribute="1" defaultMemberUniqueName="[Таблица10].[№].[All]" allUniqueName="[Таблица10].[№].[All]" dimensionUniqueName="[Таблица10]" displayFolder="" count="0" memberValueDatatype="20" unbalanced="0"/>
    <cacheHierarchy uniqueName="[Таблица10].[ПІБ]" caption="ПІБ" attribute="1" defaultMemberUniqueName="[Таблица10].[ПІБ].[All]" allUniqueName="[Таблица10].[ПІБ].[All]" dimensionUniqueName="[Таблица10]" displayFolder="" count="0" memberValueDatatype="130" unbalanced="0"/>
    <cacheHierarchy uniqueName="[Таблица10].[Дата Народження]" caption="Дата Народження" attribute="1" time="1" defaultMemberUniqueName="[Таблица10].[Дата Народження].[All]" allUniqueName="[Таблица10].[Дата Народження].[All]" dimensionUniqueName="[Таблица10]" displayFolder="" count="0" memberValueDatatype="7" unbalanced="0"/>
    <cacheHierarchy uniqueName="[Таблица10].[Стать]" caption="Стать" attribute="1" defaultMemberUniqueName="[Таблица10].[Стать].[All]" allUniqueName="[Таблица10].[Стать].[All]" dimensionUniqueName="[Таблица10]" displayFolder="" count="0" memberValueDatatype="130" unbalanced="0"/>
    <cacheHierarchy uniqueName="[Таблица10].[Місто народження]" caption="Місто народження" attribute="1" defaultMemberUniqueName="[Таблица10].[Місто народження].[All]" allUniqueName="[Таблица10].[Місто народження].[All]" dimensionUniqueName="[Таблица10]" displayFolder="" count="0" memberValueDatatype="130" unbalanced="0"/>
    <cacheHierarchy uniqueName="[Таблица10].[Моб. телефон]" caption="Моб. телефон" attribute="1" defaultMemberUniqueName="[Таблица10].[Моб. телефон].[All]" allUniqueName="[Таблица10].[Моб. телефон].[All]" dimensionUniqueName="[Таблица10]" displayFolder="" count="0" memberValueDatatype="5" unbalanced="0"/>
    <cacheHierarchy uniqueName="[Таблица10].[Основи трудового права]" caption="Основи трудового права" attribute="1" defaultMemberUniqueName="[Таблица10].[Основи трудового права].[All]" allUniqueName="[Таблица10].[Основи трудового права].[All]" dimensionUniqueName="[Таблица10]" displayFolder="" count="0" memberValueDatatype="20" unbalanced="0"/>
    <cacheHierarchy uniqueName="[Таблица10].[Науковий образ світу]" caption="Науковий образ світу" attribute="1" defaultMemberUniqueName="[Таблица10].[Науковий образ світу].[All]" allUniqueName="[Таблица10].[Науковий образ світу].[All]" dimensionUniqueName="[Таблица10]" displayFolder="" count="0" memberValueDatatype="20" unbalanced="0"/>
    <cacheHierarchy uniqueName="[Таблица10].[Іноземна мова професійного спрямування]" caption="Іноземна мова професійного спрямування" attribute="1" defaultMemberUniqueName="[Таблица10].[Іноземна мова професійного спрямування].[All]" allUniqueName="[Таблица10].[Іноземна мова професійного спрямування].[All]" dimensionUniqueName="[Таблица10]" displayFolder="" count="0" memberValueDatatype="20" unbalanced="0"/>
    <cacheHierarchy uniqueName="[Таблица10].[Основи зеленої економіки]" caption="Основи зеленої економіки" attribute="1" defaultMemberUniqueName="[Таблица10].[Основи зеленої економіки].[All]" allUniqueName="[Таблица10].[Основи зеленої економіки].[All]" dimensionUniqueName="[Таблица10]" displayFolder="" count="0" memberValueDatatype="20" unbalanced="0"/>
    <cacheHierarchy uniqueName="[Таблица10].[Теорія ймовірностей для економістів]" caption="Теорія ймовірностей для економістів" attribute="1" defaultMemberUniqueName="[Таблица10].[Теорія ймовірностей для економістів].[All]" allUniqueName="[Таблица10].[Теорія ймовірностей для економістів].[All]" dimensionUniqueName="[Таблица10]" displayFolder="" count="0" memberValueDatatype="20" unbalanced="0"/>
    <cacheHierarchy uniqueName="[Таблица10].[Вища математика для економістів]" caption="Вища математика для економістів" attribute="1" defaultMemberUniqueName="[Таблица10].[Вища математика для економістів].[All]" allUniqueName="[Таблица10].[Вища математика для економістів].[All]" dimensionUniqueName="[Таблица10]" displayFolder="" count="0" memberValueDatatype="20" unbalanced="0"/>
    <cacheHierarchy uniqueName="[Таблица10].[Програмування]" caption="Програмування" attribute="1" defaultMemberUniqueName="[Таблица10].[Програмування].[All]" allUniqueName="[Таблица10].[Програмування].[All]" dimensionUniqueName="[Таблица10]" displayFolder="" count="0" memberValueDatatype="20" unbalanced="0"/>
    <cacheHierarchy uniqueName="[Таблица10].[Сумарний бал]" caption="Сумарний бал" attribute="1" defaultMemberUniqueName="[Таблица10].[Сумарний бал].[All]" allUniqueName="[Таблица10].[Сумарний бал].[All]" dimensionUniqueName="[Таблица10]" displayFolder="" count="0" memberValueDatatype="20" unbalanced="0"/>
    <cacheHierarchy uniqueName="[Таблица10].[Середній бал]" caption="Середній бал" attribute="1" defaultMemberUniqueName="[Таблица10].[Середній бал].[All]" allUniqueName="[Таблица10].[Середній бал].[All]" dimensionUniqueName="[Таблица10]" displayFolder="" count="0" memberValueDatatype="5" unbalanced="0"/>
    <cacheHierarchy uniqueName="[Таблица10].[Чи є дом. телефон]" caption="Чи є дом. телефон" attribute="1" defaultMemberUniqueName="[Таблица10].[Чи є дом. телефон].[All]" allUniqueName="[Таблица10].[Чи є дом. телефон].[All]" dimensionUniqueName="[Таблица10]" displayFolder="" count="0" memberValueDatatype="130" unbalanced="0"/>
    <cacheHierarchy uniqueName="[Таблица10].[Місяць народження]" caption="Місяць народження" attribute="1" defaultMemberUniqueName="[Таблица10].[Місяць народження].[All]" allUniqueName="[Таблица10].[Місяць народження].[All]" dimensionUniqueName="[Таблица10]" displayFolder="" count="0" memberValueDatatype="130" unbalanced="0"/>
    <cacheHierarchy uniqueName="[Таблица10].[Чи постійно проживає в Києві]" caption="Чи постійно проживає в Києві" attribute="1" defaultMemberUniqueName="[Таблица10].[Чи постійно проживає в Києві].[All]" allUniqueName="[Таблица10].[Чи постійно проживає в Києві].[All]" dimensionUniqueName="[Таблица10]" displayFolder="" count="2" memberValueDatatype="130" unbalanced="0">
      <fieldsUsage count="2">
        <fieldUsage x="-1"/>
        <fieldUsage x="0"/>
      </fieldsUsage>
    </cacheHierarchy>
    <cacheHierarchy uniqueName="[Таблица10].[Чи заслуговує на стипендію?]" caption="Чи заслуговує на стипендію?" attribute="1" defaultMemberUniqueName="[Таблица10].[Чи заслуговує на стипендію?].[All]" allUniqueName="[Таблица10].[Чи заслуговує на стипендію?].[All]" dimensionUniqueName="[Таблица10]" displayFolder="" count="0" memberValueDatatype="130" unbalanced="0"/>
    <cacheHierarchy uniqueName="[Таблица10].[Старше 19 років чи ні]" caption="Старше 19 років чи ні" attribute="1" defaultMemberUniqueName="[Таблица10].[Старше 19 років чи ні].[All]" allUniqueName="[Таблица10].[Старше 19 років чи ні].[All]" dimensionUniqueName="[Таблица10]" displayFolder="" count="0" memberValueDatatype="130" unbalanced="0"/>
    <cacheHierarchy uniqueName="[Таблица10].[Дата Народження (Год)]" caption="Дата Народження (Год)" attribute="1" defaultMemberUniqueName="[Таблица10].[Дата Народження (Год)].[All]" allUniqueName="[Таблица10].[Дата Народження (Год)].[All]" dimensionUniqueName="[Таблица10]" displayFolder="" count="0" memberValueDatatype="130" unbalanced="0"/>
    <cacheHierarchy uniqueName="[Таблица10].[Дата Народження (Квартал)]" caption="Дата Народження (Квартал)" attribute="1" defaultMemberUniqueName="[Таблица10].[Дата Народження (Квартал)].[All]" allUniqueName="[Таблица10].[Дата Народження (Квартал)].[All]" dimensionUniqueName="[Таблица10]" displayFolder="" count="0" memberValueDatatype="130" unbalanced="0"/>
    <cacheHierarchy uniqueName="[Таблица10].[Дата Народження (Месяц)]" caption="Дата Народження (Месяц)" attribute="1" defaultMemberUniqueName="[Таблица10].[Дата Народження (Месяц)].[All]" allUniqueName="[Таблица10].[Дата Народження (Месяц)].[All]" dimensionUniqueName="[Таблица10]" displayFolder="" count="0" memberValueDatatype="130" unbalanced="0"/>
    <cacheHierarchy uniqueName="[Таблица10].[Дата Народження (Индекс месяца)]" caption="Дата Народження (Индекс месяца)" attribute="1" defaultMemberUniqueName="[Таблица10].[Дата Народження (Индекс месяца)].[All]" allUniqueName="[Таблица10].[Дата Народження (Индекс месяца)].[All]" dimensionUniqueName="[Таблица10]" displayFolder="" count="0" memberValueDatatype="20" unbalanced="0" hidden="1"/>
    <cacheHierarchy uniqueName="[Measures].[__XL_Count Таблица10]" caption="__XL_Count Таблица10" measure="1" displayFolder="" measureGroup="Таблица10" count="0" hidden="1"/>
    <cacheHierarchy uniqueName="[Measures].[__No measures defined]" caption="__No measures defined" measure="1" displayFolder="" count="0" hidden="1"/>
    <cacheHierarchy uniqueName="[Measures].[Число элементов в столбце Чи заслуговує на стипендію?]" caption="Число элементов в столбце Чи заслуговує на стипендію?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Число элементов в столбце Старше 19 років чи ні]" caption="Число элементов в столбце Старше 19 років чи н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Чи постійно проживає в Києві]" caption="Число элементов в столбце Чи постійно проживає в Києві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Теорія ймовірностей для економістів]" caption="Сумма по столбцу Теорія ймовірностей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Теорія ймовірностей для економістів]" caption="Среднее по столбцу Теорія ймовірностей для економістів" measure="1" displayFolder="" measureGroup="Таблица1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Вища математика для економістів]" caption="Сумма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реднее по столбцу Вища математика для економістів]" caption="Среднее по столбцу Вища математика для економістів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Середній бал]" caption="Число элементов в столбце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ередній бал]" caption="Сумма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Середній бал]" caption="Среднее по столбцу Середні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умарний бал]" caption="Сумма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реднее по столбцу Сумарний бал]" caption="Среднее по столбцу Сумарний бал" measure="1" displayFolder="" measureGroup="Таблица10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Таблица10" uniqueName="[Таблица10]" caption="Таблица10"/>
  </dimensions>
  <measureGroups count="1">
    <measureGroup name="Таблица10" caption="Таблица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4853.660744791669" createdVersion="7" refreshedVersion="7" minRefreshableVersion="3" recordCount="5" xr:uid="{C3BB98A2-5A88-49C7-86EF-8352DE685439}">
  <cacheSource type="worksheet">
    <worksheetSource ref="A1:H6" sheet="Завдання 6"/>
  </cacheSource>
  <cacheFields count="8">
    <cacheField name="№" numFmtId="0">
      <sharedItems containsSemiMixedTypes="0" containsString="0" containsNumber="1" containsInteger="1" minValue="1" maxValue="5"/>
    </cacheField>
    <cacheField name="Код товару" numFmtId="0">
      <sharedItems/>
    </cacheField>
    <cacheField name="Категорія" numFmtId="0">
      <sharedItems count="3">
        <s v="Пакет"/>
        <s v="Канцтовари"/>
        <s v="Одяг"/>
      </sharedItems>
    </cacheField>
    <cacheField name="Найменування товару" numFmtId="0">
      <sharedItems count="6">
        <s v="Пакет маленький"/>
        <s v="Пакет великий"/>
        <s v="ЕКО-Ложка"/>
        <s v="ЕКО-Виделка"/>
        <s v="Брендова футболка"/>
        <s v="ЕКО-Вилка" u="1"/>
      </sharedItems>
    </cacheField>
    <cacheField name="Роздрібна вартість товару, грн/кг." numFmtId="179">
      <sharedItems containsSemiMixedTypes="0" containsString="0" containsNumber="1" containsInteger="1" minValue="200" maxValue="450"/>
    </cacheField>
    <cacheField name="Оптова вартість товару, грн/кг." numFmtId="179">
      <sharedItems containsSemiMixedTypes="0" containsString="0" containsNumber="1" containsInteger="1" minValue="150" maxValue="400"/>
    </cacheField>
    <cacheField name="Роздрібна вартість товару, дол/кг." numFmtId="180">
      <sharedItems containsSemiMixedTypes="0" containsString="0" containsNumber="1" minValue="5.4691730063497097" maxValue="12.305639264286846"/>
    </cacheField>
    <cacheField name="Оптова вартість товару, дол/кг." numFmtId="180">
      <sharedItems containsSemiMixedTypes="0" containsString="0" containsNumber="1" minValue="4.1018797547622823" maxValue="10.9383460126994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4853.660746296293" createdVersion="7" refreshedVersion="7" minRefreshableVersion="3" recordCount="22" xr:uid="{EC473166-350C-4BE4-95A1-7A5163A1A17B}">
  <cacheSource type="worksheet">
    <worksheetSource name="Таблица10"/>
  </cacheSource>
  <cacheFields count="22">
    <cacheField name="№" numFmtId="0">
      <sharedItems containsSemiMixedTypes="0" containsString="0" containsNumber="1" containsInteger="1" minValue="1" maxValue="22"/>
    </cacheField>
    <cacheField name="ПІБ" numFmtId="0">
      <sharedItems/>
    </cacheField>
    <cacheField name="Дата Народження" numFmtId="14">
      <sharedItems containsSemiMixedTypes="0" containsNonDate="0" containsDate="1" containsString="0" minDate="2001-07-05T00:00:00" maxDate="2004-11-29T00:00:00" count="21">
        <d v="2004-03-22T00:00:00"/>
        <d v="2001-07-05T00:00:00"/>
        <d v="2003-08-30T00:00:00"/>
        <d v="2004-07-29T00:00:00"/>
        <d v="2004-01-20T00:00:00"/>
        <d v="2003-11-15T00:00:00"/>
        <d v="2004-08-01T00:00:00"/>
        <d v="2004-01-05T00:00:00"/>
        <d v="2004-07-28T00:00:00"/>
        <d v="2004-02-18T00:00:00"/>
        <d v="2003-07-10T00:00:00"/>
        <d v="2004-02-07T00:00:00"/>
        <d v="2003-10-07T00:00:00"/>
        <d v="2004-06-15T00:00:00"/>
        <d v="2004-02-27T00:00:00"/>
        <d v="2004-08-13T00:00:00"/>
        <d v="2004-04-01T00:00:00"/>
        <d v="2004-02-28T00:00:00"/>
        <d v="2004-07-23T00:00:00"/>
        <d v="2004-05-19T00:00:00"/>
        <d v="2004-11-28T00:00:00"/>
      </sharedItems>
      <fieldGroup par="21" base="2">
        <rangePr groupBy="months" startDate="2001-07-05T00:00:00" endDate="2004-11-29T00:00:00"/>
        <groupItems count="14">
          <s v="&lt;05.07.2001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9.11.2004"/>
        </groupItems>
      </fieldGroup>
    </cacheField>
    <cacheField name="Стать" numFmtId="0">
      <sharedItems count="2">
        <s v="жіноча"/>
        <s v="чоловіча"/>
      </sharedItems>
    </cacheField>
    <cacheField name="Місто народження" numFmtId="0">
      <sharedItems count="10">
        <s v="Київ"/>
        <s v="Ромни"/>
        <s v="Рівне"/>
        <s v="Кролевець"/>
        <s v="Олександрія"/>
        <s v="Кременчук"/>
        <s v="Краматорськ"/>
        <s v="Луцьк"/>
        <s v="Харків"/>
        <s v="Миколаїв"/>
      </sharedItems>
    </cacheField>
    <cacheField name="Моб. телефон" numFmtId="1">
      <sharedItems containsSemiMixedTypes="0" containsString="0" containsNumber="1" containsInteger="1" minValue="380503318127" maxValue="380503318127"/>
    </cacheField>
    <cacheField name="Основи трудового права" numFmtId="0">
      <sharedItems containsSemiMixedTypes="0" containsString="0" containsNumber="1" containsInteger="1" minValue="70" maxValue="100"/>
    </cacheField>
    <cacheField name="Науковий образ світу" numFmtId="0">
      <sharedItems containsSemiMixedTypes="0" containsString="0" containsNumber="1" containsInteger="1" minValue="70" maxValue="98"/>
    </cacheField>
    <cacheField name="Іноземна мова професійного спрямування" numFmtId="0">
      <sharedItems containsSemiMixedTypes="0" containsString="0" containsNumber="1" containsInteger="1" minValue="70" maxValue="100"/>
    </cacheField>
    <cacheField name="Основи зеленої економіки" numFmtId="0">
      <sharedItems containsSemiMixedTypes="0" containsString="0" containsNumber="1" containsInteger="1" minValue="70" maxValue="99"/>
    </cacheField>
    <cacheField name="Теорія ймовірностей для економістів" numFmtId="0">
      <sharedItems containsSemiMixedTypes="0" containsString="0" containsNumber="1" containsInteger="1" minValue="70" maxValue="94"/>
    </cacheField>
    <cacheField name="Вища математика для економістів" numFmtId="0">
      <sharedItems containsSemiMixedTypes="0" containsString="0" containsNumber="1" containsInteger="1" minValue="70" maxValue="97"/>
    </cacheField>
    <cacheField name="Програмування" numFmtId="0">
      <sharedItems containsSemiMixedTypes="0" containsString="0" containsNumber="1" containsInteger="1" minValue="64" maxValue="100"/>
    </cacheField>
    <cacheField name="Сумарний бал" numFmtId="0">
      <sharedItems containsSemiMixedTypes="0" containsString="0" containsNumber="1" containsInteger="1" minValue="490" maxValue="659"/>
    </cacheField>
    <cacheField name="Середній бал" numFmtId="0">
      <sharedItems containsSemiMixedTypes="0" containsString="0" containsNumber="1" minValue="70" maxValue="94.142857142857139"/>
    </cacheField>
    <cacheField name="Чи є дом. телефон" numFmtId="0">
      <sharedItems count="1">
        <s v="Немає"/>
      </sharedItems>
    </cacheField>
    <cacheField name="Місяць народження" numFmtId="0">
      <sharedItems count="10">
        <s v="Березень"/>
        <s v="Липень"/>
        <s v="Серпень"/>
        <s v="Січень"/>
        <s v="Листопад"/>
        <s v="Лютий"/>
        <s v="Жовтень"/>
        <s v="Червень"/>
        <s v="Квітень"/>
        <s v="Травень"/>
      </sharedItems>
    </cacheField>
    <cacheField name="Чи постійно проживає в Києві" numFmtId="0">
      <sharedItems/>
    </cacheField>
    <cacheField name="Чи заслуговує на стипендію?" numFmtId="0">
      <sharedItems/>
    </cacheField>
    <cacheField name="Старше 19 років чи ні" numFmtId="0">
      <sharedItems/>
    </cacheField>
    <cacheField name="Кварталы" numFmtId="0" databaseField="0">
      <fieldGroup base="2">
        <rangePr groupBy="quarters" startDate="2001-07-05T00:00:00" endDate="2004-11-29T00:00:00"/>
        <groupItems count="6">
          <s v="&lt;05.07.2001"/>
          <s v="Кв-л1"/>
          <s v="Кв-л2"/>
          <s v="Кв-л3"/>
          <s v="Кв-л4"/>
          <s v="&gt;29.11.2004"/>
        </groupItems>
      </fieldGroup>
    </cacheField>
    <cacheField name="Годы" numFmtId="0" databaseField="0">
      <fieldGroup base="2">
        <rangePr groupBy="years" startDate="2001-07-05T00:00:00" endDate="2004-11-29T00:00:00"/>
        <groupItems count="6">
          <s v="&lt;05.07.2001"/>
          <s v="2001"/>
          <s v="2002"/>
          <s v="2003"/>
          <s v="2004"/>
          <s v="&gt;29.11.200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s v="Е1201"/>
    <x v="0"/>
    <x v="0"/>
    <n v="210"/>
    <n v="200"/>
    <n v="5.7426316566671947"/>
    <n v="5.4691730063497097"/>
  </r>
  <r>
    <n v="2"/>
    <s v="Е1202"/>
    <x v="0"/>
    <x v="1"/>
    <n v="260"/>
    <n v="240"/>
    <n v="7.1099249082546221"/>
    <n v="6.5630076076196513"/>
  </r>
  <r>
    <n v="3"/>
    <s v="Е4345"/>
    <x v="1"/>
    <x v="2"/>
    <n v="450"/>
    <n v="400"/>
    <n v="12.305639264286846"/>
    <n v="10.938346012699419"/>
  </r>
  <r>
    <n v="4"/>
    <s v="Е6843"/>
    <x v="1"/>
    <x v="3"/>
    <n v="430"/>
    <n v="390"/>
    <n v="11.758721963651874"/>
    <n v="10.664887362381933"/>
  </r>
  <r>
    <n v="5"/>
    <s v="Е2123"/>
    <x v="2"/>
    <x v="4"/>
    <n v="200"/>
    <n v="150"/>
    <n v="5.4691730063497097"/>
    <n v="4.10187975476228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"/>
    <s v="Бакун Марія Вадимівна"/>
    <x v="0"/>
    <x v="0"/>
    <x v="0"/>
    <n v="380503318127"/>
    <n v="95"/>
    <n v="93"/>
    <n v="97"/>
    <n v="91"/>
    <n v="92"/>
    <n v="92"/>
    <n v="99"/>
    <n v="659"/>
    <n v="94.142857142857139"/>
    <x v="0"/>
    <x v="0"/>
    <s v="Так"/>
    <s v="Заслуговує"/>
    <s v="Молодше"/>
  </r>
  <r>
    <n v="2"/>
    <s v="Бригінець Даніель Федорович"/>
    <x v="1"/>
    <x v="1"/>
    <x v="0"/>
    <n v="380503318127"/>
    <n v="70"/>
    <n v="70"/>
    <n v="70"/>
    <n v="70"/>
    <n v="70"/>
    <n v="70"/>
    <n v="70"/>
    <n v="490"/>
    <n v="70"/>
    <x v="0"/>
    <x v="1"/>
    <s v="Так"/>
    <s v="Не заслуговує"/>
    <s v="Старше"/>
  </r>
  <r>
    <n v="3"/>
    <s v="Гавриленко Роман Олександрович"/>
    <x v="2"/>
    <x v="1"/>
    <x v="1"/>
    <n v="380503318127"/>
    <n v="85"/>
    <n v="93"/>
    <n v="86"/>
    <n v="88"/>
    <n v="78"/>
    <n v="76"/>
    <n v="64"/>
    <n v="570"/>
    <n v="81.428571428571431"/>
    <x v="0"/>
    <x v="2"/>
    <s v="Ні"/>
    <s v="Не заслуговує"/>
    <s v="Старше"/>
  </r>
  <r>
    <n v="4"/>
    <s v="Гоголь Денис Володимирович"/>
    <x v="3"/>
    <x v="1"/>
    <x v="0"/>
    <n v="380503318127"/>
    <n v="85"/>
    <n v="88"/>
    <n v="87"/>
    <n v="90"/>
    <n v="84"/>
    <n v="86"/>
    <n v="75"/>
    <n v="595"/>
    <n v="85"/>
    <x v="0"/>
    <x v="1"/>
    <s v="Так"/>
    <s v="Не заслуговує"/>
    <s v="Молодше"/>
  </r>
  <r>
    <n v="5"/>
    <s v="Джаман Ольга Олексіївна"/>
    <x v="4"/>
    <x v="0"/>
    <x v="2"/>
    <n v="380503318127"/>
    <n v="90"/>
    <n v="97"/>
    <n v="97"/>
    <n v="93"/>
    <n v="75"/>
    <n v="77"/>
    <n v="87"/>
    <n v="616"/>
    <n v="88"/>
    <x v="0"/>
    <x v="3"/>
    <s v="Ні"/>
    <s v="Не заслуговує"/>
    <s v="Молодше"/>
  </r>
  <r>
    <n v="6"/>
    <s v="Зварич Дмитро Богданович"/>
    <x v="5"/>
    <x v="1"/>
    <x v="2"/>
    <n v="380503318127"/>
    <n v="99"/>
    <n v="93"/>
    <n v="91"/>
    <n v="93"/>
    <n v="92"/>
    <n v="97"/>
    <n v="90"/>
    <n v="655"/>
    <n v="93.571428571428569"/>
    <x v="0"/>
    <x v="4"/>
    <s v="Ні"/>
    <s v="Заслуговує"/>
    <s v="Молодше"/>
  </r>
  <r>
    <n v="7"/>
    <s v="Ковбаса Анастасія Олександрівна"/>
    <x v="6"/>
    <x v="0"/>
    <x v="3"/>
    <n v="380503318127"/>
    <n v="99"/>
    <n v="90"/>
    <n v="96"/>
    <n v="99"/>
    <n v="85"/>
    <n v="87"/>
    <n v="93"/>
    <n v="649"/>
    <n v="92.714285714285708"/>
    <x v="0"/>
    <x v="2"/>
    <s v="Ні"/>
    <s v="Заслуговує"/>
    <s v="Молодше"/>
  </r>
  <r>
    <n v="8"/>
    <s v="Кузнецов Нікіта Сергійович"/>
    <x v="7"/>
    <x v="1"/>
    <x v="4"/>
    <n v="380503318127"/>
    <n v="90"/>
    <n v="90"/>
    <n v="94"/>
    <n v="90"/>
    <n v="85"/>
    <n v="80"/>
    <n v="76"/>
    <n v="605"/>
    <n v="86.428571428571431"/>
    <x v="0"/>
    <x v="3"/>
    <s v="Ні"/>
    <s v="Не заслуговує"/>
    <s v="Молодше"/>
  </r>
  <r>
    <n v="9"/>
    <s v="Миронець Вікторія Олегівна"/>
    <x v="8"/>
    <x v="0"/>
    <x v="0"/>
    <n v="380503318127"/>
    <n v="98"/>
    <n v="94"/>
    <n v="93"/>
    <n v="87"/>
    <n v="90"/>
    <n v="75"/>
    <n v="83"/>
    <n v="620"/>
    <n v="88.571428571428569"/>
    <x v="0"/>
    <x v="1"/>
    <s v="Ні"/>
    <s v="Не заслуговує"/>
    <s v="Молодше"/>
  </r>
  <r>
    <n v="10"/>
    <s v="Мнухіна Марина Олександрівна"/>
    <x v="9"/>
    <x v="0"/>
    <x v="0"/>
    <n v="380503318127"/>
    <n v="97"/>
    <n v="95"/>
    <n v="94"/>
    <n v="86"/>
    <n v="83"/>
    <n v="75"/>
    <n v="100"/>
    <n v="630"/>
    <n v="90"/>
    <x v="0"/>
    <x v="5"/>
    <s v="Ні"/>
    <s v="Заслуговує"/>
    <s v="Молодше"/>
  </r>
  <r>
    <n v="11"/>
    <s v="Овдій Данило Дмитрович"/>
    <x v="10"/>
    <x v="1"/>
    <x v="0"/>
    <n v="380503318127"/>
    <n v="90"/>
    <n v="90"/>
    <n v="90"/>
    <n v="86"/>
    <n v="80"/>
    <n v="83"/>
    <n v="85"/>
    <n v="604"/>
    <n v="86.285714285714292"/>
    <x v="0"/>
    <x v="1"/>
    <s v="Так"/>
    <s v="Не заслуговує"/>
    <s v="Старше"/>
  </r>
  <r>
    <n v="12"/>
    <s v="Петренко Вероніка Сергіївна"/>
    <x v="11"/>
    <x v="0"/>
    <x v="5"/>
    <n v="380503318127"/>
    <n v="90"/>
    <n v="93"/>
    <n v="91"/>
    <n v="90"/>
    <n v="79"/>
    <n v="90"/>
    <n v="91"/>
    <n v="624"/>
    <n v="89.142857142857139"/>
    <x v="0"/>
    <x v="5"/>
    <s v="Ні"/>
    <s v="Заслуговує"/>
    <s v="Молодше"/>
  </r>
  <r>
    <n v="13"/>
    <s v="Петрик Мар'яна Максимівна"/>
    <x v="8"/>
    <x v="0"/>
    <x v="0"/>
    <n v="380503318127"/>
    <n v="94"/>
    <n v="94"/>
    <n v="100"/>
    <n v="93"/>
    <n v="85"/>
    <n v="92"/>
    <n v="84"/>
    <n v="642"/>
    <n v="91.714285714285708"/>
    <x v="0"/>
    <x v="1"/>
    <s v="Так"/>
    <s v="Заслуговує"/>
    <s v="Молодше"/>
  </r>
  <r>
    <n v="14"/>
    <s v="Петрин Олександр Сергійович"/>
    <x v="12"/>
    <x v="1"/>
    <x v="0"/>
    <n v="380503318127"/>
    <n v="84"/>
    <n v="98"/>
    <n v="85"/>
    <n v="78"/>
    <n v="77"/>
    <n v="81"/>
    <n v="74"/>
    <n v="577"/>
    <n v="82.428571428571431"/>
    <x v="0"/>
    <x v="6"/>
    <s v="Так"/>
    <s v="Не заслуговує"/>
    <s v="Старше"/>
  </r>
  <r>
    <n v="15"/>
    <s v="Пустовіт Майя Григорівна"/>
    <x v="13"/>
    <x v="0"/>
    <x v="6"/>
    <n v="380503318127"/>
    <n v="99"/>
    <n v="98"/>
    <n v="91"/>
    <n v="90"/>
    <n v="93"/>
    <n v="93"/>
    <n v="90"/>
    <n v="654"/>
    <n v="93.428571428571431"/>
    <x v="0"/>
    <x v="7"/>
    <s v="Ні"/>
    <s v="Заслуговує"/>
    <s v="Молодше"/>
  </r>
  <r>
    <n v="16"/>
    <s v="Савельєва Анастасія Андріївна"/>
    <x v="14"/>
    <x v="0"/>
    <x v="0"/>
    <n v="380503318127"/>
    <n v="99"/>
    <n v="98"/>
    <n v="100"/>
    <n v="91"/>
    <n v="87"/>
    <n v="92"/>
    <n v="92"/>
    <n v="659"/>
    <n v="94.142857142857139"/>
    <x v="0"/>
    <x v="5"/>
    <s v="Так"/>
    <s v="Заслуговує"/>
    <s v="Молодше"/>
  </r>
  <r>
    <n v="17"/>
    <s v="Сілюк Дарина Миколаївна"/>
    <x v="15"/>
    <x v="0"/>
    <x v="7"/>
    <n v="380503318127"/>
    <n v="100"/>
    <n v="97"/>
    <n v="90"/>
    <n v="86"/>
    <n v="94"/>
    <n v="92"/>
    <n v="68"/>
    <n v="627"/>
    <n v="89.571428571428569"/>
    <x v="0"/>
    <x v="2"/>
    <s v="Ні"/>
    <s v="Заслуговує"/>
    <s v="Молодше"/>
  </r>
  <r>
    <n v="18"/>
    <s v="Тітаренко Вікторія Дмитрівна"/>
    <x v="16"/>
    <x v="0"/>
    <x v="7"/>
    <n v="380503318127"/>
    <n v="95"/>
    <n v="89"/>
    <n v="88"/>
    <n v="85"/>
    <n v="77"/>
    <n v="83"/>
    <n v="77"/>
    <n v="594"/>
    <n v="84.857142857142861"/>
    <x v="0"/>
    <x v="8"/>
    <s v="Ні"/>
    <s v="Не заслуговує"/>
    <s v="Молодше"/>
  </r>
  <r>
    <n v="19"/>
    <s v="Фастова Валерія Євгенівна"/>
    <x v="17"/>
    <x v="0"/>
    <x v="8"/>
    <n v="380503318127"/>
    <n v="93"/>
    <n v="94"/>
    <n v="97"/>
    <n v="76"/>
    <n v="81"/>
    <n v="87"/>
    <n v="90"/>
    <n v="618"/>
    <n v="88.285714285714292"/>
    <x v="0"/>
    <x v="5"/>
    <s v="Так"/>
    <s v="Не заслуговує"/>
    <s v="Молодше"/>
  </r>
  <r>
    <n v="20"/>
    <s v="Франчук Анна Олександрівна"/>
    <x v="18"/>
    <x v="0"/>
    <x v="0"/>
    <n v="380503318127"/>
    <n v="99"/>
    <n v="90"/>
    <n v="91"/>
    <n v="80"/>
    <n v="72"/>
    <n v="82"/>
    <n v="79"/>
    <n v="593"/>
    <n v="84.714285714285708"/>
    <x v="0"/>
    <x v="1"/>
    <s v="Ні"/>
    <s v="Не заслуговує"/>
    <s v="Молодше"/>
  </r>
  <r>
    <n v="21"/>
    <s v="Хижняк Анастасія Олександрівна"/>
    <x v="19"/>
    <x v="0"/>
    <x v="0"/>
    <n v="380503318127"/>
    <n v="93"/>
    <n v="95"/>
    <n v="93"/>
    <n v="85"/>
    <n v="90"/>
    <n v="85"/>
    <n v="71"/>
    <n v="612"/>
    <n v="87.428571428571431"/>
    <x v="0"/>
    <x v="9"/>
    <s v="Так"/>
    <s v="Не заслуговує"/>
    <s v="Молодше"/>
  </r>
  <r>
    <n v="22"/>
    <s v="Ястреба Оксана Олексіївна"/>
    <x v="20"/>
    <x v="0"/>
    <x v="9"/>
    <n v="380503318127"/>
    <n v="90"/>
    <n v="91"/>
    <n v="90"/>
    <n v="84"/>
    <n v="75"/>
    <n v="78"/>
    <n v="72"/>
    <n v="580"/>
    <n v="82.857142857142861"/>
    <x v="0"/>
    <x v="4"/>
    <s v="Ні"/>
    <s v="Не заслуговує"/>
    <s v="Молодше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4203D-BA3C-45E2-AAF3-01C7001E93A0}" name="Сводная таблица45" cacheId="470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chartFormat="5" rowHeaderCaption="ПІБ">
  <location ref="U30:V5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Середній бал" fld="0" subtotal="average" baseField="0" baseItem="0" numFmtId="1"/>
  </dataFields>
  <formats count="19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ередній бал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M_7.xlsx!Таблица10">
        <x15:activeTabTopLevelEntity name="[Таблица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8EE8A-276E-4241-8FD3-7CFD8CCCBF69}" name="Сводная таблица40" cacheId="491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rowHeaderCaption="Чи проживаєте в Києві?">
  <location ref="U25:V2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Середнє ТЙ" fld="1" subtotal="average" baseField="0" baseItem="0"/>
  </dataFields>
  <formats count="21">
    <format dxfId="78">
      <pivotArea collapsedLevelsAreSubtotals="1" fieldPosition="0">
        <references count="1">
          <reference field="0" count="1">
            <x v="0"/>
          </reference>
        </references>
      </pivotArea>
    </format>
    <format dxfId="77">
      <pivotArea collapsedLevelsAreSubtotals="1" fieldPosition="0">
        <references count="1">
          <reference field="0" count="1">
            <x v="1"/>
          </reference>
        </references>
      </pivotArea>
    </format>
    <format dxfId="76">
      <pivotArea grandRow="1" outline="0" collapsedLevelsAreSubtotals="1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Середнє ТЙ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M_7.xlsx!Таблица10">
        <x15:activeTabTopLevelEntity name="[Таблица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75155-2494-40D1-96CF-3DD418D05660}" name="Сводная таблица38" cacheId="488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rowHeaderCaption="Стать">
  <location ref="R43:S4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Середній бал з ТЙ" fld="0" subtotal="average" baseField="0" baseItem="0"/>
  </dataFields>
  <formats count="21">
    <format dxfId="108">
      <pivotArea collapsedLevelsAreSubtotals="1" fieldPosition="0">
        <references count="1">
          <reference field="1" count="1">
            <x v="0"/>
          </reference>
        </references>
      </pivotArea>
    </format>
    <format dxfId="104">
      <pivotArea grandRow="1" outline="0" collapsedLevelsAreSubtotals="1" fieldPosition="0"/>
    </format>
    <format dxfId="103">
      <pivotArea collapsedLevelsAreSubtotals="1" fieldPosition="0">
        <references count="1">
          <reference field="1" count="1">
            <x v="1"/>
          </reference>
        </references>
      </pivotArea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" type="button" dataOnly="0" labelOnly="1" outline="0" axis="axisRow" fieldPosition="0"/>
    </format>
    <format dxfId="99">
      <pivotArea dataOnly="0" labelOnly="1" fieldPosition="0">
        <references count="1">
          <reference field="1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1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" type="button" dataOnly="0" labelOnly="1" outline="0" axis="axisRow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Середній бал з ТЙ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M_7.xlsx!Таблица10">
        <x15:activeTabTopLevelEntity name="[Таблица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1AFC3-14E1-40F1-B693-596486A897B9}" name="Сводная таблица37" cacheId="502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rowHeaderCaption="Стать">
  <location ref="R38:S41" firstHeaderRow="1" firstDataRow="1" firstDataCol="1"/>
  <pivotFields count="22">
    <pivotField showAll="0"/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 Середній бал" fld="14" subtotal="average" baseField="3" baseItem="0"/>
  </dataFields>
  <formats count="20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3" type="button" dataOnly="0" labelOnly="1" outline="0" axis="axisRow" fieldPosition="0"/>
    </format>
    <format dxfId="120">
      <pivotArea dataOnly="0" labelOnly="1" fieldPosition="0">
        <references count="1">
          <reference field="3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3" type="button" dataOnly="0" labelOnly="1" outline="0" axis="axisRow" fieldPosition="0"/>
    </format>
    <format dxfId="114">
      <pivotArea dataOnly="0" labelOnly="1" fieldPosition="0">
        <references count="1">
          <reference field="3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collapsedLevelsAreSubtotals="1" fieldPosition="0">
        <references count="1">
          <reference field="3" count="0"/>
        </references>
      </pivotArea>
    </format>
    <format dxfId="109">
      <pivotArea grandRow="1" outline="0" collapsedLevelsAreSubtotals="1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7482F-6364-4C0D-BE73-A02D9DD61BEF}" name="Сводная таблица34" cacheId="502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rowHeaderCaption="Місяць">
  <location ref="R25:S36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11">
        <item x="0"/>
        <item x="6"/>
        <item x="8"/>
        <item x="1"/>
        <item x="4"/>
        <item x="5"/>
        <item x="2"/>
        <item x="3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6"/>
  </rowFields>
  <rowItems count="11">
    <i>
      <x/>
    </i>
    <i>
      <x v="9"/>
    </i>
    <i>
      <x v="5"/>
    </i>
    <i>
      <x v="4"/>
    </i>
    <i>
      <x v="6"/>
    </i>
    <i>
      <x v="8"/>
    </i>
    <i>
      <x v="7"/>
    </i>
    <i>
      <x v="2"/>
    </i>
    <i>
      <x v="3"/>
    </i>
    <i>
      <x v="1"/>
    </i>
    <i t="grand">
      <x/>
    </i>
  </rowItems>
  <colItems count="1">
    <i/>
  </colItems>
  <dataFields count="1">
    <dataField name=" Середній бал" fld="14" subtotal="average" baseField="16" baseItem="0"/>
  </dataFields>
  <formats count="19"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16" type="button" dataOnly="0" labelOnly="1" outline="0" axis="axisRow" fieldPosition="0"/>
    </format>
    <format dxfId="138">
      <pivotArea dataOnly="0" labelOnly="1" fieldPosition="0">
        <references count="1">
          <reference field="16" count="0"/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6" type="button" dataOnly="0" labelOnly="1" outline="0" axis="axisRow" fieldPosition="0"/>
    </format>
    <format dxfId="132">
      <pivotArea dataOnly="0" labelOnly="1" fieldPosition="0">
        <references count="1">
          <reference field="16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9">
      <pivotArea collapsedLevelsAreSubtotals="1" fieldPosition="0">
        <references count="1">
          <reference field="16" count="0"/>
        </references>
      </pivotArea>
    </format>
    <format dxfId="128">
      <pivotArea field="16" type="button" dataOnly="0" labelOnly="1" outline="0" axis="axisRow" fieldPosition="0"/>
    </format>
    <format dxfId="127">
      <pivotArea dataOnly="0" labelOnly="1" fieldPosition="0">
        <references count="1">
          <reference field="16" count="0"/>
        </references>
      </pivotArea>
    </format>
    <format dxfId="126">
      <pivotArea dataOnly="0" labelOnly="1" outline="0" axis="axisValues" fieldPosition="0"/>
    </format>
    <format dxfId="125">
      <pivotArea collapsedLevelsAreSubtotals="1" fieldPosition="0">
        <references count="1">
          <reference field="16" count="0"/>
        </references>
      </pivotArea>
    </format>
    <format dxfId="124">
      <pivotArea grandRow="1" outline="0" collapsedLevelsAreSubtotals="1" fieldPosition="0"/>
    </format>
    <format dxfId="11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BF86C-F892-4E34-8846-F26BC64C5C0F}" name="Сводная таблица22" cacheId="473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rowHeaderCaption="Місто">
  <location ref="O38:P49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8"/>
    </i>
    <i>
      <x v="5"/>
    </i>
    <i>
      <x v="6"/>
    </i>
    <i>
      <x/>
    </i>
    <i>
      <x v="7"/>
    </i>
    <i>
      <x v="9"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Середній бал з ВМ" fld="0" subtotal="average" baseField="0" baseItem="0"/>
  </dataFields>
  <formats count="19"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1" type="button" dataOnly="0" labelOnly="1" outline="0" axis="axisRow" fieldPosition="0"/>
    </format>
    <format dxfId="157">
      <pivotArea dataOnly="0" labelOnly="1" fieldPosition="0">
        <references count="1">
          <reference field="1" count="0"/>
        </references>
      </pivotArea>
    </format>
    <format dxfId="156">
      <pivotArea dataOnly="0" labelOnly="1" grandRow="1" outline="0" fieldPosition="0"/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1" type="button" dataOnly="0" labelOnly="1" outline="0" axis="axisRow" fieldPosition="0"/>
    </format>
    <format dxfId="151">
      <pivotArea dataOnly="0" labelOnly="1" fieldPosition="0">
        <references count="1">
          <reference field="1" count="0"/>
        </references>
      </pivotArea>
    </format>
    <format dxfId="150">
      <pivotArea dataOnly="0" labelOnly="1" grandRow="1" outline="0" fieldPosition="0"/>
    </format>
    <format dxfId="149">
      <pivotArea dataOnly="0" labelOnly="1" outline="0" axis="axisValues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1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grandRow="1" outline="0" fieldPosition="0"/>
    </format>
    <format dxfId="143">
      <pivotArea dataOnly="0" labelOnly="1" outline="0" axis="axisValues" fieldPosition="0"/>
    </format>
    <format dxfId="105">
      <pivotArea grandRow="1"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ередній бал з ВМ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M_7.xlsx!Таблица10">
        <x15:activeTabTopLevelEntity name="[Таблица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754D3-B3BB-4C0C-A500-C6C67A3F707E}" name="Сводная таблица20" cacheId="476" applyNumberFormats="0" applyBorderFormats="0" applyFontFormats="0" applyPatternFormats="0" applyAlignmentFormats="0" applyWidthHeightFormats="1" dataCaption="Значения" grandTotalCaption="Всього" updatedVersion="7" minRefreshableVersion="3" useAutoFormatting="1" subtotalHiddenItems="1" itemPrintTitles="1" createdVersion="7" indent="0" outline="1" outlineData="1" multipleFieldFilters="0" chartFormat="3" rowHeaderCaption="Місто">
  <location ref="O25:P36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1"/>
    </i>
    <i>
      <x v="4"/>
    </i>
    <i>
      <x v="6"/>
    </i>
    <i>
      <x v="3"/>
    </i>
    <i>
      <x v="7"/>
    </i>
    <i>
      <x/>
    </i>
    <i>
      <x v="9"/>
    </i>
    <i>
      <x v="2"/>
    </i>
    <i>
      <x v="8"/>
    </i>
    <i>
      <x v="5"/>
    </i>
    <i t="grand">
      <x/>
    </i>
  </rowItems>
  <colItems count="1">
    <i/>
  </colItems>
  <dataFields count="1">
    <dataField name="Середній бал з ТЙ" fld="0" subtotal="average" baseField="0" baseItem="0"/>
  </dataFields>
  <formats count="20"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1" type="button" dataOnly="0" labelOnly="1" outline="0" axis="axisRow" fieldPosition="0"/>
    </format>
    <format dxfId="175">
      <pivotArea dataOnly="0" labelOnly="1" fieldPosition="0">
        <references count="1">
          <reference field="1" count="0"/>
        </references>
      </pivotArea>
    </format>
    <format dxfId="174">
      <pivotArea dataOnly="0" labelOnly="1" grandRow="1" outline="0" fieldPosition="0"/>
    </format>
    <format dxfId="173">
      <pivotArea dataOnly="0" labelOnly="1" outline="0" axis="axisValues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1" type="button" dataOnly="0" labelOnly="1" outline="0" axis="axisRow" fieldPosition="0"/>
    </format>
    <format dxfId="169">
      <pivotArea dataOnly="0" labelOnly="1" fieldPosition="0">
        <references count="1">
          <reference field="1" count="0"/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1" type="button" dataOnly="0" labelOnly="1" outline="0" axis="axisRow" fieldPosition="0"/>
    </format>
    <format dxfId="163">
      <pivotArea dataOnly="0" labelOnly="1" fieldPosition="0">
        <references count="1">
          <reference field="1" count="0"/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07">
      <pivotArea collapsedLevelsAreSubtotals="1" fieldPosition="0">
        <references count="1">
          <reference field="1" count="1">
            <x v="0"/>
          </reference>
        </references>
      </pivotArea>
    </format>
    <format dxfId="106">
      <pivotArea grandRow="1"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Середній бал з ТЙ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M_7.xlsx!Таблица10">
        <x15:activeTabTopLevelEntity name="[Таблица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43F21-0FC4-4B68-8F56-22535D1AEB50}" name="Сводная таблица18" cacheId="479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chartFormat="7" rowHeaderCaption="Чи постійно проживає в Києві?">
  <location ref="A45:B4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Кількість" fld="1" subtotal="count" baseField="0" baseItem="0"/>
  </dataFields>
  <formats count="12"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0" type="button" dataOnly="0" labelOnly="1" outline="0" axis="axisRow" fieldPosition="0"/>
    </format>
    <format dxfId="205">
      <pivotArea dataOnly="0" labelOnly="1" fieldPosition="0">
        <references count="1">
          <reference field="0" count="0"/>
        </references>
      </pivotArea>
    </format>
    <format dxfId="204">
      <pivotArea dataOnly="0" labelOnly="1" grandRow="1" outline="0" fieldPosition="0"/>
    </format>
    <format dxfId="203">
      <pivotArea dataOnly="0" labelOnly="1" outline="0" axis="axisValues" fieldPosition="0"/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0" type="button" dataOnly="0" labelOnly="1" outline="0" axis="axisRow" fieldPosition="0"/>
    </format>
    <format dxfId="199">
      <pivotArea dataOnly="0" labelOnly="1" fieldPosition="0">
        <references count="1">
          <reference field="0" count="0"/>
        </references>
      </pivotArea>
    </format>
    <format dxfId="198">
      <pivotArea dataOnly="0" labelOnly="1" grandRow="1" outline="0" fieldPosition="0"/>
    </format>
    <format dxfId="197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Кількість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M_7.xlsx!Таблица10">
        <x15:activeTabTopLevelEntity name="[Таблица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05F70-684F-40AB-A638-1E067CB50A0C}" name="Сводная таблица17" cacheId="482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chartFormat="7" rowHeaderCaption="Старше 19 років">
  <location ref="I44:J4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Кількість" fld="1" subtotal="count" baseField="0" baseItem="0"/>
  </dataFields>
  <formats count="18"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0" type="button" dataOnly="0" labelOnly="1" outline="0" axis="axisRow" fieldPosition="0"/>
    </format>
    <format dxfId="217">
      <pivotArea dataOnly="0" labelOnly="1" fieldPosition="0">
        <references count="1">
          <reference field="0" count="0"/>
        </references>
      </pivotArea>
    </format>
    <format dxfId="216">
      <pivotArea dataOnly="0" labelOnly="1" grandRow="1" outline="0" fieldPosition="0"/>
    </format>
    <format dxfId="215">
      <pivotArea dataOnly="0" labelOnly="1" outline="0" axis="axisValues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0" type="button" dataOnly="0" labelOnly="1" outline="0" axis="axisRow" fieldPosition="0"/>
    </format>
    <format dxfId="211">
      <pivotArea dataOnly="0" labelOnly="1" fieldPosition="0">
        <references count="1">
          <reference field="0" count="0"/>
        </references>
      </pivotArea>
    </format>
    <format dxfId="210">
      <pivotArea dataOnly="0" labelOnly="1" grandRow="1" outline="0" fieldPosition="0"/>
    </format>
    <format dxfId="209">
      <pivotArea dataOnly="0" labelOnly="1" outline="0" axis="axisValues" fieldPosition="0"/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0" type="button" dataOnly="0" labelOnly="1" outline="0" axis="axisRow" fieldPosition="0"/>
    </format>
    <format dxfId="187">
      <pivotArea dataOnly="0" labelOnly="1" fieldPosition="0">
        <references count="1">
          <reference field="0" count="0"/>
        </references>
      </pivotArea>
    </format>
    <format dxfId="186">
      <pivotArea dataOnly="0" labelOnly="1" grandRow="1" outline="0" fieldPosition="0"/>
    </format>
    <format dxfId="185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Кількість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M_7.xlsx!Таблица10">
        <x15:activeTabTopLevelEntity name="[Таблица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98B77-EF0E-46C4-8CFC-B2440357F668}" name="Сводная таблица16" cacheId="485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chartFormat="7" rowHeaderCaption="Чи заслуговує на стипендію">
  <location ref="L25:M2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Кількість" fld="1" subtotal="count" baseField="0" baseItem="0"/>
  </dataFields>
  <formats count="18"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0" type="button" dataOnly="0" labelOnly="1" outline="0" axis="axisRow" fieldPosition="0"/>
    </format>
    <format dxfId="229">
      <pivotArea dataOnly="0" labelOnly="1" fieldPosition="0">
        <references count="1">
          <reference field="0" count="0"/>
        </references>
      </pivotArea>
    </format>
    <format dxfId="228">
      <pivotArea dataOnly="0" labelOnly="1" grandRow="1" outline="0" fieldPosition="0"/>
    </format>
    <format dxfId="227">
      <pivotArea dataOnly="0" labelOnly="1" outline="0" axis="axisValues" fieldPosition="0"/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0" type="button" dataOnly="0" labelOnly="1" outline="0" axis="axisRow" fieldPosition="0"/>
    </format>
    <format dxfId="223">
      <pivotArea dataOnly="0" labelOnly="1" fieldPosition="0">
        <references count="1">
          <reference field="0" count="0"/>
        </references>
      </pivotArea>
    </format>
    <format dxfId="222">
      <pivotArea dataOnly="0" labelOnly="1" grandRow="1" outline="0" fieldPosition="0"/>
    </format>
    <format dxfId="221">
      <pivotArea dataOnly="0" labelOnly="1" outline="0" axis="axisValues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0" type="button" dataOnly="0" labelOnly="1" outline="0" axis="axisRow" fieldPosition="0"/>
    </format>
    <format dxfId="181">
      <pivotArea dataOnly="0" labelOnly="1" fieldPosition="0">
        <references count="1">
          <reference field="0" count="0"/>
        </references>
      </pivotArea>
    </format>
    <format dxfId="180">
      <pivotArea dataOnly="0" labelOnly="1" grandRow="1" outline="0" fieldPosition="0"/>
    </format>
    <format dxfId="179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Кількість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M_7.xlsx!Таблица10">
        <x15:activeTabTopLevelEntity name="[Таблица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6A8CA-899C-4893-92E5-6F47414D72BD}" name="Сводная таблица6" cacheId="502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chartFormat="7" rowHeaderCaption="Наявність домашнього телефону">
  <location ref="I25:J27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2">
    <i>
      <x/>
    </i>
    <i t="grand">
      <x/>
    </i>
  </rowItems>
  <colItems count="1">
    <i/>
  </colItems>
  <dataFields count="1">
    <dataField name="Кількість" fld="15" subtotal="count" baseField="0" baseItem="0"/>
  </dataFields>
  <formats count="18"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15" type="button" dataOnly="0" labelOnly="1" outline="0" axis="axisRow" fieldPosition="0"/>
    </format>
    <format dxfId="257">
      <pivotArea dataOnly="0" labelOnly="1" fieldPosition="0">
        <references count="1">
          <reference field="15" count="0"/>
        </references>
      </pivotArea>
    </format>
    <format dxfId="256">
      <pivotArea dataOnly="0" labelOnly="1" grandRow="1" outline="0" fieldPosition="0"/>
    </format>
    <format dxfId="255">
      <pivotArea dataOnly="0" labelOnly="1" outline="0" axis="axisValues" fieldPosition="0"/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field="15" type="button" dataOnly="0" labelOnly="1" outline="0" axis="axisRow" fieldPosition="0"/>
    </format>
    <format dxfId="251">
      <pivotArea dataOnly="0" labelOnly="1" fieldPosition="0">
        <references count="1">
          <reference field="15" count="0"/>
        </references>
      </pivotArea>
    </format>
    <format dxfId="250">
      <pivotArea dataOnly="0" labelOnly="1" grandRow="1" outline="0" fieldPosition="0"/>
    </format>
    <format dxfId="249">
      <pivotArea dataOnly="0" labelOnly="1" outline="0" axis="axisValues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15" type="button" dataOnly="0" labelOnly="1" outline="0" axis="axisRow" fieldPosition="0"/>
    </format>
    <format dxfId="193">
      <pivotArea dataOnly="0" labelOnly="1" fieldPosition="0">
        <references count="1">
          <reference field="15" count="0"/>
        </references>
      </pivotArea>
    </format>
    <format dxfId="192">
      <pivotArea dataOnly="0" labelOnly="1" grandRow="1" outline="0" fieldPosition="0"/>
    </format>
    <format dxfId="19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1D611-5D2F-4E64-AC6A-AE712A057FB9}" name="Сводная таблица5" cacheId="502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chartFormat="8" rowHeaderCaption="Місто">
  <location ref="F25:G36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dataField="1" showAll="0">
      <items count="11">
        <item x="0"/>
        <item x="6"/>
        <item x="5"/>
        <item x="3"/>
        <item x="7"/>
        <item x="9"/>
        <item x="4"/>
        <item x="2"/>
        <item x="1"/>
        <item x="8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Кількість" fld="4" subtotal="count" baseField="0" baseItem="0"/>
  </dataFields>
  <formats count="14"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4" type="button" dataOnly="0" labelOnly="1" outline="0" axis="axisRow" fieldPosition="0"/>
    </format>
    <format dxfId="271">
      <pivotArea dataOnly="0" labelOnly="1" fieldPosition="0">
        <references count="1">
          <reference field="4" count="0"/>
        </references>
      </pivotArea>
    </format>
    <format dxfId="270">
      <pivotArea dataOnly="0" labelOnly="1" grandRow="1" outline="0" fieldPosition="0"/>
    </format>
    <format dxfId="269">
      <pivotArea dataOnly="0" labelOnly="1" outline="0" axis="axisValues" fieldPosition="0"/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field="4" type="button" dataOnly="0" labelOnly="1" outline="0" axis="axisRow" fieldPosition="0"/>
    </format>
    <format dxfId="265">
      <pivotArea dataOnly="0" labelOnly="1" fieldPosition="0">
        <references count="1">
          <reference field="4" count="0"/>
        </references>
      </pivotArea>
    </format>
    <format dxfId="264">
      <pivotArea dataOnly="0" labelOnly="1" grandRow="1" outline="0" fieldPosition="0"/>
    </format>
    <format dxfId="263">
      <pivotArea dataOnly="0" labelOnly="1" outline="0" axis="axisValues" fieldPosition="0"/>
    </format>
    <format dxfId="262">
      <pivotArea outline="0" collapsedLevelsAreSubtotals="1" fieldPosition="0"/>
    </format>
    <format dxfId="261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46F36-9688-4796-863D-DFDFF469581A}" name="Сводная таблица4" cacheId="502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chartFormat="8" rowHeaderCaption="Стать">
  <location ref="B25:C28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Кількість" fld="3" subtotal="count" baseField="0" baseItem="0"/>
  </dataFields>
  <formats count="12">
    <format dxfId="286">
      <pivotArea type="all" dataOnly="0" outline="0" fieldPosition="0"/>
    </format>
    <format dxfId="285">
      <pivotArea outline="0" collapsedLevelsAreSubtotals="1" fieldPosition="0"/>
    </format>
    <format dxfId="284">
      <pivotArea field="3" type="button" dataOnly="0" labelOnly="1" outline="0" axis="axisRow" fieldPosition="0"/>
    </format>
    <format dxfId="283">
      <pivotArea dataOnly="0" labelOnly="1" fieldPosition="0">
        <references count="1">
          <reference field="3" count="0"/>
        </references>
      </pivotArea>
    </format>
    <format dxfId="282">
      <pivotArea dataOnly="0" labelOnly="1" grandRow="1" outline="0" fieldPosition="0"/>
    </format>
    <format dxfId="281">
      <pivotArea dataOnly="0" labelOnly="1" outline="0" axis="axisValues" fieldPosition="0"/>
    </format>
    <format dxfId="280">
      <pivotArea type="all" dataOnly="0" outline="0" fieldPosition="0"/>
    </format>
    <format dxfId="279">
      <pivotArea outline="0" collapsedLevelsAreSubtotals="1" fieldPosition="0"/>
    </format>
    <format dxfId="278">
      <pivotArea field="3" type="button" dataOnly="0" labelOnly="1" outline="0" axis="axisRow" fieldPosition="0"/>
    </format>
    <format dxfId="277">
      <pivotArea dataOnly="0" labelOnly="1" fieldPosition="0">
        <references count="1">
          <reference field="3" count="0"/>
        </references>
      </pivotArea>
    </format>
    <format dxfId="276">
      <pivotArea dataOnly="0" labelOnly="1" grandRow="1" outline="0" fieldPosition="0"/>
    </format>
    <format dxfId="275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F16DD-5BBF-4CCA-8E55-9BC87F5381D8}" name="Сводная таблица48" cacheId="495" applyNumberFormats="0" applyBorderFormats="0" applyFontFormats="0" applyPatternFormats="0" applyAlignmentFormats="0" applyWidthHeightFormats="1" dataCaption="Значения" grandTotalCaption="Всього" updatedVersion="7" minRefreshableVersion="3" useAutoFormatting="1" itemPrintTitles="1" createdVersion="7" indent="0" outline="1" outlineData="1" multipleFieldFilters="0" rowHeaderCaption="Категорія">
  <location ref="A46:E55" firstHeaderRow="0" firstDataRow="1" firstDataCol="1"/>
  <pivotFields count="8"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7">
        <item x="4"/>
        <item m="1" x="5"/>
        <item x="2"/>
        <item x="1"/>
        <item x="0"/>
        <item x="3"/>
        <item t="default"/>
      </items>
    </pivotField>
    <pivotField dataField="1" numFmtId="179" showAll="0"/>
    <pivotField dataField="1" numFmtId="179" showAll="0"/>
    <pivotField dataField="1" numFmtId="180" showAll="0"/>
    <pivotField dataField="1" numFmtId="180" showAll="0"/>
  </pivotFields>
  <rowFields count="2">
    <field x="2"/>
    <field x="3"/>
  </rowFields>
  <rowItems count="9">
    <i>
      <x/>
    </i>
    <i r="1">
      <x v="2"/>
    </i>
    <i r="1">
      <x v="5"/>
    </i>
    <i>
      <x v="1"/>
    </i>
    <i r="1">
      <x/>
    </i>
    <i>
      <x v="2"/>
    </i>
    <i r="1">
      <x v="3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ередня роздрібна вартість товару, грн/кг." fld="4" subtotal="average" baseField="2" baseItem="0"/>
    <dataField name="Середня оптова вартість товару, грн/кг." fld="5" subtotal="average" baseField="2" baseItem="0"/>
    <dataField name="Середня роздрібна вартість товару, дол/кг." fld="6" subtotal="average" baseField="2" baseItem="0" numFmtId="180"/>
    <dataField name="Середня оптова вартість товару, дол/кг." fld="7" subtotal="average" baseField="2" baseItem="0" numFmtId="180"/>
  </dataFields>
  <formats count="31">
    <format dxfId="35">
      <pivotArea outline="0" collapsedLevelsAreSubtotals="1" fieldPosition="0"/>
    </format>
    <format dxfId="33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2">
          <reference field="2" count="1" selected="0">
            <x v="0"/>
          </reference>
          <reference field="3" count="2">
            <x v="1"/>
            <x v="2"/>
          </reference>
        </references>
      </pivotArea>
    </format>
    <format dxfId="26">
      <pivotArea dataOnly="0" labelOnly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25">
      <pivotArea dataOnly="0" labelOnly="1" fieldPosition="0">
        <references count="2">
          <reference field="2" count="1" selected="0">
            <x v="2"/>
          </reference>
          <reference field="3" count="2">
            <x v="3"/>
            <x v="4"/>
          </reference>
        </references>
      </pivotArea>
    </format>
    <format dxfId="2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2" count="1" selected="0">
            <x v="0"/>
          </reference>
          <reference field="3" count="2">
            <x v="1"/>
            <x v="2"/>
          </reference>
        </references>
      </pivotArea>
    </format>
    <format dxfId="17">
      <pivotArea dataOnly="0" labelOnly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16">
      <pivotArea dataOnly="0" labelOnly="1" fieldPosition="0">
        <references count="2">
          <reference field="2" count="1" selected="0">
            <x v="2"/>
          </reference>
          <reference field="3" count="2">
            <x v="3"/>
            <x v="4"/>
          </reference>
        </references>
      </pivotArea>
    </format>
    <format dxfId="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2">
          <reference field="2" count="1" selected="0">
            <x v="0"/>
          </reference>
          <reference field="3" count="2">
            <x v="1"/>
            <x v="2"/>
          </reference>
        </references>
      </pivotArea>
    </format>
    <format dxfId="8">
      <pivotArea dataOnly="0" labelOnly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7">
      <pivotArea dataOnly="0" labelOnly="1" fieldPosition="0">
        <references count="2">
          <reference field="2" count="1" selected="0">
            <x v="2"/>
          </reference>
          <reference field="3" count="2">
            <x v="3"/>
            <x v="4"/>
          </reference>
        </references>
      </pivotArea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">
      <pivotArea field="2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3" xr16:uid="{CDB9DDA1-7371-4CE3-B5DE-C02AF6693B08}" autoFormatId="16" applyNumberFormats="0" applyBorderFormats="0" applyFontFormats="0" applyPatternFormats="0" applyAlignmentFormats="0" applyWidthHeightFormats="0">
  <queryTableRefresh nextId="6">
    <queryTableFields count="5">
      <queryTableField id="1" name="Код цифровий" tableColumnId="1"/>
      <queryTableField id="2" name="Код літерний" tableColumnId="2"/>
      <queryTableField id="3" name="Кількість одиниць валюти" tableColumnId="3"/>
      <queryTableField id="4" name="Назва валюти" tableColumnId="4"/>
      <queryTableField id="5" name="Офіційний курс для відображення в бухгалтерському обліку, для операцій НБУ з ДКСУ та в інших випадках, визначених законодавством України, без зобов’язань Національного банку України купувати та продавати зазначені валюти за цими курсами" tableColumnId="5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F5C19F-25AC-46D4-9FCC-185BA744233A}" name="Таблица6" displayName="Таблица6" ref="A36:E46" totalsRowShown="0" headerRowDxfId="312" dataDxfId="313" headerRowBorderDxfId="320" tableBorderDxfId="321" totalsRowBorderDxfId="319" headerRowCellStyle="60% — акцент4" dataCellStyle="20% — акцент4">
  <autoFilter ref="A36:E46" xr:uid="{6FF5C19F-25AC-46D4-9FCC-185BA744233A}">
    <filterColumn colId="0">
      <customFilters>
        <customFilter val="Л*"/>
      </customFilters>
    </filterColumn>
  </autoFilter>
  <tableColumns count="5">
    <tableColumn id="1" xr3:uid="{69A3DAE1-03C4-4CFD-A3DD-B44BDBCF56DE}" name="Найменування товару" dataDxfId="318" dataCellStyle="20% — акцент4"/>
    <tableColumn id="2" xr3:uid="{16488150-D1EA-40A6-AABA-E65220DCA195}" name="Одиниці виміру" dataDxfId="317" dataCellStyle="20% — акцент4"/>
    <tableColumn id="3" xr3:uid="{F81B2938-9802-42F3-BD46-7D5B4821BA61}" name="Кількість" dataDxfId="316" dataCellStyle="20% — акцент4"/>
    <tableColumn id="4" xr3:uid="{92BD8E5A-541E-4D72-BF0C-116643BBF77B}" name="Ціна, грн." dataDxfId="315" dataCellStyle="20% — акцент4"/>
    <tableColumn id="5" xr3:uid="{0BD652F2-748B-4193-BCEE-624A51637E1A}" name="Сума, грн." dataDxfId="314" dataCellStyle="20% — акцент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FA02F8-AA6A-4077-9C8E-196C608250A4}" name="Таблица7" displayName="Таблица7" ref="A48:E58" totalsRowShown="0" headerRowDxfId="302" dataDxfId="303" headerRowBorderDxfId="310" tableBorderDxfId="311" totalsRowBorderDxfId="309" headerRowCellStyle="60% — акцент4" dataCellStyle="20% — акцент4">
  <autoFilter ref="A48:E58" xr:uid="{9CFA02F8-AA6A-4077-9C8E-196C608250A4}">
    <filterColumn colId="4">
      <customFilters>
        <customFilter operator="greaterThan" val="1000000"/>
      </customFilters>
    </filterColumn>
  </autoFilter>
  <tableColumns count="5">
    <tableColumn id="1" xr3:uid="{789D0701-45B8-4110-AEF5-1FCB18EF9674}" name="Найменування товару" dataDxfId="308" dataCellStyle="20% — акцент4"/>
    <tableColumn id="2" xr3:uid="{38DD01E8-9F62-42F0-A091-26D84B631B3A}" name="Одиниці виміру" dataDxfId="307" dataCellStyle="20% — акцент4"/>
    <tableColumn id="3" xr3:uid="{FC7A2BF9-56D5-4585-8586-22B3F55A9665}" name="Кількість" dataDxfId="306" dataCellStyle="20% — акцент4"/>
    <tableColumn id="4" xr3:uid="{C59269F5-3814-4C38-BB66-C31CF88BAEC4}" name="Ціна, грн." dataDxfId="305" dataCellStyle="20% — акцент4"/>
    <tableColumn id="5" xr3:uid="{DEB4F897-34FE-4061-A9E0-8E7CC4FE6152}" name="Сума, грн." dataDxfId="304" dataCellStyle="20% — акцент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0110AE7-8C02-4599-8E03-D5C945C1DB31}" name="Таблица8" displayName="Таблица8" ref="A60:E70" totalsRowShown="0" headerRowDxfId="292" dataDxfId="293" headerRowBorderDxfId="300" tableBorderDxfId="301" totalsRowBorderDxfId="299" headerRowCellStyle="60% — акцент4" dataCellStyle="20% — акцент4">
  <autoFilter ref="A60:E70" xr:uid="{50110AE7-8C02-4599-8E03-D5C945C1DB31}">
    <filterColumn colId="1">
      <filters>
        <filter val="т"/>
      </filters>
    </filterColumn>
    <filterColumn colId="3">
      <filters>
        <filter val="322"/>
        <filter val="12444"/>
      </filters>
    </filterColumn>
  </autoFilter>
  <tableColumns count="5">
    <tableColumn id="1" xr3:uid="{98323C55-9B16-46F6-AF64-AA3BE0AF552F}" name="Найменування товару" dataDxfId="298" dataCellStyle="20% — акцент4"/>
    <tableColumn id="2" xr3:uid="{99A37A3A-8977-4D02-A771-31A755905DCF}" name="Одиниці виміру" dataDxfId="297" dataCellStyle="20% — акцент4"/>
    <tableColumn id="3" xr3:uid="{2D492B0D-25CA-46D8-B903-E2EEE3800E5A}" name="Кількість" dataDxfId="296" dataCellStyle="20% — акцент4"/>
    <tableColumn id="4" xr3:uid="{E75F00F7-AA69-4D3F-A451-3BE8D283DB1A}" name="Ціна, грн." dataDxfId="295" dataCellStyle="20% — акцент4"/>
    <tableColumn id="5" xr3:uid="{1B72DE9C-091F-48A6-B755-700B0A166B34}" name="Сума, грн." dataDxfId="294" dataCellStyle="20% — акцент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26B025-BC8B-4161-BD25-388F6F1B19C4}" name="Таблица10" displayName="Таблица10" ref="A1:T23" totalsRowShown="0" headerRowDxfId="288" dataDxfId="287" headerRowBorderDxfId="290" tableBorderDxfId="291" totalsRowBorderDxfId="289" headerRowCellStyle="60% — акцент4">
  <autoFilter ref="A1:T23" xr:uid="{4826B025-BC8B-4161-BD25-388F6F1B19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53739727-D23A-42ED-9FB6-31B96CC0ABB9}" name="№" dataDxfId="248" dataCellStyle="20% — акцент2"/>
    <tableColumn id="2" xr3:uid="{70481B89-08E9-4913-BD8C-D8E36B844CE0}" name="ПІБ" dataDxfId="247" dataCellStyle="20% — акцент2"/>
    <tableColumn id="3" xr3:uid="{31CC11AA-11E9-4281-831A-3F695BB12DC0}" name="Дата Народження" dataDxfId="246" dataCellStyle="20% — акцент2"/>
    <tableColumn id="4" xr3:uid="{D068C12A-B46B-4E35-BCAF-DFF24DA458AF}" name="Стать" dataDxfId="245" dataCellStyle="20% — акцент2"/>
    <tableColumn id="5" xr3:uid="{EFF2461C-D19B-4DBA-A514-5F63BEAAB885}" name="Місто народження" dataDxfId="244" dataCellStyle="20% — акцент2"/>
    <tableColumn id="6" xr3:uid="{3D2B7579-1D2B-486A-9E7C-242B5A99B905}" name="Моб. телефон" dataDxfId="243" dataCellStyle="20% — акцент2"/>
    <tableColumn id="7" xr3:uid="{0D797AA2-80F5-4908-B28D-04809D0D11B9}" name="Основи трудового права" dataDxfId="242" dataCellStyle="20% — акцент2"/>
    <tableColumn id="8" xr3:uid="{F18E28B1-7CAA-4B6E-B08A-42BA28A4C9E0}" name="Науковий образ світу" dataDxfId="241" dataCellStyle="20% — акцент2"/>
    <tableColumn id="9" xr3:uid="{2889B36B-F896-4DCB-8610-22AEEC356F39}" name="Іноземна мова професійного спрямування" dataDxfId="240" dataCellStyle="20% — акцент2"/>
    <tableColumn id="10" xr3:uid="{03E7FDB1-BDD8-47AE-BE80-F04D94DFADA6}" name="Основи зеленої економіки" dataDxfId="239" dataCellStyle="20% — акцент2"/>
    <tableColumn id="11" xr3:uid="{372A6853-F3C3-45C3-99A3-000F6000453C}" name="Теорія ймовірностей для економістів" dataDxfId="238" dataCellStyle="20% — акцент2"/>
    <tableColumn id="12" xr3:uid="{7524ED47-6F63-450A-9EF5-541767544692}" name="Вища математика для економістів" dataDxfId="237" dataCellStyle="20% — акцент2"/>
    <tableColumn id="13" xr3:uid="{A55CDCA5-AF58-4A4A-B313-C66FB7159675}" name="Програмування" dataDxfId="142" dataCellStyle="20% — акцент2"/>
    <tableColumn id="14" xr3:uid="{3D12D792-5A06-40E4-8C30-E8B0131DBEFE}" name="Сумарний бал" dataDxfId="57" dataCellStyle="20% — акцент2">
      <calculatedColumnFormula>SUM(Таблица10[[#This Row],[Основи трудового права]:[Програмування]])</calculatedColumnFormula>
    </tableColumn>
    <tableColumn id="15" xr3:uid="{5575F538-B52A-422A-B65C-BABA836653A7}" name="Середній бал" dataDxfId="55" dataCellStyle="20% — акцент2">
      <calculatedColumnFormula>AVERAGE(Таблица10[[#This Row],[Основи трудового права]:[Програмування]])</calculatedColumnFormula>
    </tableColumn>
    <tableColumn id="16" xr3:uid="{00393FE9-DB0B-484C-A59D-7BD70B590844}" name="Чи є дом. телефон" dataDxfId="56" dataCellStyle="20% — акцент2"/>
    <tableColumn id="17" xr3:uid="{1E15A0C7-AE9A-4E6D-BEBD-7574C450DC77}" name="Місяць народження" dataDxfId="236" dataCellStyle="20% — акцент2"/>
    <tableColumn id="18" xr3:uid="{2564FDFA-2C79-498C-B795-AAE592DB6BDC}" name="Чи постійно проживає в Києві" dataDxfId="235" dataCellStyle="20% — акцент2"/>
    <tableColumn id="19" xr3:uid="{8845DC69-F962-4342-9DBE-62FB807B89F6}" name="Чи заслуговує на стипендію?" dataDxfId="234" dataCellStyle="20% — акцент2">
      <calculatedColumnFormula>IF(Таблица10[[#This Row],[Середній бал]]&gt;=89,"Заслуговує","Не заслуговує")</calculatedColumnFormula>
    </tableColumn>
    <tableColumn id="20" xr3:uid="{DB884BED-CF57-4752-A045-A52068F19EED}" name="Старше 19 років чи ні" dataDxfId="233" dataCellStyle="20% — акцент2">
      <calculatedColumnFormula>IF(_xlfn.DAYS(TODAY(),Таблица10[[#This Row],[Дата Народження]])/365&gt;19,"Старше","Молодше")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04FC57-6ED7-4D78-BA7D-25B6ADC13B5E}" name="Table_0" displayName="Table_0" ref="A9:E43" tableType="queryTable" totalsRowShown="0" headerRowDxfId="34">
  <autoFilter ref="A9:E43" xr:uid="{E204FC57-6ED7-4D78-BA7D-25B6ADC13B5E}">
    <filterColumn colId="1">
      <filters>
        <filter val="USD"/>
      </filters>
    </filterColumn>
  </autoFilter>
  <tableColumns count="5">
    <tableColumn id="1" xr3:uid="{9BCA224C-872F-4F0D-8A62-34C30903FE4C}" uniqueName="1" name="Код цифровий" queryTableFieldId="1"/>
    <tableColumn id="2" xr3:uid="{DF5DF9A7-E52A-4672-B703-8E18F2865D17}" uniqueName="2" name="Код літерний" queryTableFieldId="2" dataDxfId="1"/>
    <tableColumn id="3" xr3:uid="{D3581E0B-FBC8-46A5-A1F8-A3DF5F8B198B}" uniqueName="3" name="Кількість одиниць валюти" queryTableFieldId="3"/>
    <tableColumn id="4" xr3:uid="{E5FD5157-E266-49F2-AA9F-E8091F2ED316}" uniqueName="4" name="Назва валюти" queryTableFieldId="4" dataDxfId="0"/>
    <tableColumn id="5" xr3:uid="{E94D27F0-B5D3-40EE-96EC-E80585CF984D}" uniqueName="5" name="Офіційний курс для відображення в бухгалтерському обліку, для операцій НБУ з ДКСУ та в інших випадках, визначених законодавством України, без зобов’язань Національного банку України купувати та продавати зазначені валюти за цими курсами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4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80B6-5E30-487B-80E2-66808BE80222}">
  <sheetPr codeName="Лист1"/>
  <dimension ref="A1:I26"/>
  <sheetViews>
    <sheetView zoomScale="98" zoomScaleNormal="98" workbookViewId="0">
      <selection activeCell="G2" sqref="G2:I14"/>
    </sheetView>
  </sheetViews>
  <sheetFormatPr defaultRowHeight="15" x14ac:dyDescent="0.25"/>
  <cols>
    <col min="1" max="1" width="20.5703125" customWidth="1"/>
    <col min="2" max="2" width="13" customWidth="1"/>
    <col min="3" max="3" width="25.85546875" bestFit="1" customWidth="1"/>
    <col min="4" max="4" width="22.140625" bestFit="1" customWidth="1"/>
    <col min="7" max="7" width="15.7109375" bestFit="1" customWidth="1"/>
    <col min="8" max="8" width="18.7109375" bestFit="1" customWidth="1"/>
    <col min="9" max="9" width="18.5703125" bestFit="1" customWidth="1"/>
    <col min="10" max="10" width="14.140625" bestFit="1" customWidth="1"/>
  </cols>
  <sheetData>
    <row r="1" spans="1:9" ht="39" customHeight="1" x14ac:dyDescent="0.25">
      <c r="A1" s="9" t="s">
        <v>4</v>
      </c>
      <c r="B1" s="9" t="s">
        <v>0</v>
      </c>
      <c r="C1" s="10" t="s">
        <v>1</v>
      </c>
      <c r="D1" s="10" t="s">
        <v>2</v>
      </c>
    </row>
    <row r="2" spans="1:9" ht="15.75" x14ac:dyDescent="0.25">
      <c r="A2" s="11">
        <v>3421</v>
      </c>
      <c r="B2" s="11">
        <v>218</v>
      </c>
      <c r="C2" s="11">
        <v>23</v>
      </c>
      <c r="D2" s="11">
        <v>21.5</v>
      </c>
      <c r="G2" s="1" t="s">
        <v>5</v>
      </c>
      <c r="H2" s="1" t="s">
        <v>6</v>
      </c>
      <c r="I2" s="2" t="s">
        <v>7</v>
      </c>
    </row>
    <row r="3" spans="1:9" ht="15.75" x14ac:dyDescent="0.25">
      <c r="A3" s="11">
        <v>6723</v>
      </c>
      <c r="B3" s="11">
        <v>210</v>
      </c>
      <c r="C3" s="11">
        <v>22.5</v>
      </c>
      <c r="D3" s="11">
        <v>23</v>
      </c>
      <c r="G3" s="3">
        <v>1</v>
      </c>
      <c r="H3" s="3" t="s">
        <v>8</v>
      </c>
      <c r="I3" s="5">
        <f>DVAR(A1:D21,D1,D2:D21)</f>
        <v>4.5014621052631609</v>
      </c>
    </row>
    <row r="4" spans="1:9" ht="15.75" x14ac:dyDescent="0.25">
      <c r="A4" s="11">
        <v>3224</v>
      </c>
      <c r="B4" s="11">
        <v>113</v>
      </c>
      <c r="C4" s="11">
        <v>24.5</v>
      </c>
      <c r="D4" s="11">
        <v>25.5</v>
      </c>
      <c r="G4" s="3">
        <v>2</v>
      </c>
      <c r="H4" s="3" t="s">
        <v>9</v>
      </c>
      <c r="I4" s="5">
        <f>DVARP(A1:D21,D1,D2:D21)</f>
        <v>4.2763890000000027</v>
      </c>
    </row>
    <row r="5" spans="1:9" ht="15.75" x14ac:dyDescent="0.25">
      <c r="A5" s="11">
        <v>3521</v>
      </c>
      <c r="B5" s="11">
        <v>262</v>
      </c>
      <c r="C5" s="11">
        <v>28</v>
      </c>
      <c r="D5" s="11">
        <v>22</v>
      </c>
      <c r="G5" s="3">
        <v>3</v>
      </c>
      <c r="H5" s="3" t="s">
        <v>10</v>
      </c>
      <c r="I5" s="3">
        <f>DSUM(A1:D21,B1,A25:D26)</f>
        <v>1851</v>
      </c>
    </row>
    <row r="6" spans="1:9" ht="15.75" x14ac:dyDescent="0.25">
      <c r="A6" s="11">
        <v>3827</v>
      </c>
      <c r="B6" s="11">
        <v>15</v>
      </c>
      <c r="C6" s="11">
        <v>21.3</v>
      </c>
      <c r="D6" s="11">
        <v>22.6</v>
      </c>
      <c r="G6" s="3">
        <v>4</v>
      </c>
      <c r="H6" s="3" t="s">
        <v>15</v>
      </c>
      <c r="I6" s="3">
        <f>DPRODUCT(A1:D21,C1,A25:D26)</f>
        <v>289758.59999999998</v>
      </c>
    </row>
    <row r="7" spans="1:9" ht="15.75" x14ac:dyDescent="0.25">
      <c r="A7" s="11">
        <v>9823</v>
      </c>
      <c r="B7" s="11">
        <v>100</v>
      </c>
      <c r="C7" s="11">
        <v>22.5</v>
      </c>
      <c r="D7" s="11">
        <v>23.5</v>
      </c>
      <c r="G7" s="3">
        <v>5</v>
      </c>
      <c r="H7" s="3" t="s">
        <v>16</v>
      </c>
      <c r="I7" s="3">
        <f>DGET(A1:D21,B1,A1:A2)</f>
        <v>218</v>
      </c>
    </row>
    <row r="8" spans="1:9" ht="15.75" x14ac:dyDescent="0.25">
      <c r="A8" s="11">
        <v>3824</v>
      </c>
      <c r="B8" s="11">
        <v>642</v>
      </c>
      <c r="C8" s="11">
        <v>23</v>
      </c>
      <c r="D8" s="11">
        <v>25</v>
      </c>
      <c r="G8" s="3">
        <v>6</v>
      </c>
      <c r="H8" s="3" t="s">
        <v>17</v>
      </c>
      <c r="I8" s="3">
        <f>DCOUNT(A1:D21,D1,D25:D26)</f>
        <v>15</v>
      </c>
    </row>
    <row r="9" spans="1:9" ht="15.75" x14ac:dyDescent="0.25">
      <c r="A9" s="11">
        <v>2452</v>
      </c>
      <c r="B9" s="11">
        <v>123</v>
      </c>
      <c r="C9" s="11">
        <v>22.23</v>
      </c>
      <c r="D9" s="11">
        <v>21.13</v>
      </c>
      <c r="G9" s="3">
        <v>7</v>
      </c>
      <c r="H9" s="3" t="s">
        <v>18</v>
      </c>
      <c r="I9" s="3">
        <f>DCOUNTA(A1:D21,C1,C25:C26)</f>
        <v>15</v>
      </c>
    </row>
    <row r="10" spans="1:9" ht="15.75" x14ac:dyDescent="0.25">
      <c r="A10" s="11">
        <v>4564</v>
      </c>
      <c r="B10" s="11">
        <v>321</v>
      </c>
      <c r="C10" s="11">
        <v>23.33</v>
      </c>
      <c r="D10" s="11">
        <v>23.54</v>
      </c>
      <c r="G10" s="3">
        <v>8</v>
      </c>
      <c r="H10" s="3" t="s">
        <v>19</v>
      </c>
      <c r="I10" s="3">
        <f>DMAX(A1:D21,B1,B2:B21)</f>
        <v>778</v>
      </c>
    </row>
    <row r="11" spans="1:9" ht="15.75" x14ac:dyDescent="0.25">
      <c r="A11" s="11">
        <v>6804</v>
      </c>
      <c r="B11" s="11">
        <v>21</v>
      </c>
      <c r="C11" s="11">
        <v>24.1</v>
      </c>
      <c r="D11" s="11">
        <v>24.43</v>
      </c>
      <c r="G11" s="3">
        <v>9</v>
      </c>
      <c r="H11" s="3" t="s">
        <v>20</v>
      </c>
      <c r="I11" s="3">
        <f>DMIN(A1:D21,B1,B2:B21)</f>
        <v>15</v>
      </c>
    </row>
    <row r="12" spans="1:9" ht="15.75" x14ac:dyDescent="0.25">
      <c r="A12" s="11">
        <v>2334</v>
      </c>
      <c r="B12" s="11">
        <v>490</v>
      </c>
      <c r="C12" s="11">
        <v>22.1</v>
      </c>
      <c r="D12" s="11">
        <v>20.329999999999998</v>
      </c>
      <c r="G12" s="3">
        <v>10</v>
      </c>
      <c r="H12" s="3" t="s">
        <v>21</v>
      </c>
      <c r="I12" s="5">
        <f>DAVERAGE(A1:D21,C1,C2:C21)</f>
        <v>24.265999999999998</v>
      </c>
    </row>
    <row r="13" spans="1:9" ht="15.75" x14ac:dyDescent="0.25">
      <c r="A13" s="11">
        <v>5442</v>
      </c>
      <c r="B13" s="11">
        <v>678</v>
      </c>
      <c r="C13" s="11">
        <v>24</v>
      </c>
      <c r="D13" s="11">
        <v>25.6</v>
      </c>
      <c r="G13" s="3">
        <v>11</v>
      </c>
      <c r="H13" s="3" t="s">
        <v>22</v>
      </c>
      <c r="I13" s="5">
        <f>DSTDEV(A1:D21,D1,D2:D21)</f>
        <v>2.1216649370867118</v>
      </c>
    </row>
    <row r="14" spans="1:9" ht="15.75" x14ac:dyDescent="0.25">
      <c r="A14" s="11">
        <v>2452</v>
      </c>
      <c r="B14" s="11">
        <v>43</v>
      </c>
      <c r="C14" s="11">
        <v>25.46</v>
      </c>
      <c r="D14" s="11">
        <v>25.78</v>
      </c>
      <c r="G14" s="3">
        <v>12</v>
      </c>
      <c r="H14" s="3" t="s">
        <v>23</v>
      </c>
      <c r="I14" s="5">
        <f>DSTDEVP(A1:D21,C1,C2:C21)</f>
        <v>2.097892752263566</v>
      </c>
    </row>
    <row r="15" spans="1:9" ht="15.75" x14ac:dyDescent="0.25">
      <c r="A15" s="11">
        <v>8654</v>
      </c>
      <c r="B15" s="11">
        <v>566</v>
      </c>
      <c r="C15" s="11">
        <v>26</v>
      </c>
      <c r="D15" s="11">
        <v>25.8</v>
      </c>
    </row>
    <row r="16" spans="1:9" ht="15.75" x14ac:dyDescent="0.25">
      <c r="A16" s="11">
        <v>7889</v>
      </c>
      <c r="B16" s="11">
        <v>663</v>
      </c>
      <c r="C16" s="11">
        <v>26.25</v>
      </c>
      <c r="D16" s="11">
        <v>26.35</v>
      </c>
    </row>
    <row r="17" spans="1:9" ht="15.75" x14ac:dyDescent="0.25">
      <c r="A17" s="11">
        <v>9642</v>
      </c>
      <c r="B17" s="11">
        <v>45</v>
      </c>
      <c r="C17" s="11">
        <v>27.87</v>
      </c>
      <c r="D17" s="11">
        <v>26.3</v>
      </c>
      <c r="I17" t="s">
        <v>24</v>
      </c>
    </row>
    <row r="18" spans="1:9" ht="15.75" x14ac:dyDescent="0.25">
      <c r="A18" s="11">
        <v>5849</v>
      </c>
      <c r="B18" s="11">
        <v>778</v>
      </c>
      <c r="C18" s="11">
        <v>28</v>
      </c>
      <c r="D18" s="11">
        <v>28.12</v>
      </c>
    </row>
    <row r="19" spans="1:9" ht="15.75" x14ac:dyDescent="0.25">
      <c r="A19" s="11">
        <v>3321</v>
      </c>
      <c r="B19" s="11">
        <v>453</v>
      </c>
      <c r="C19" s="11">
        <v>21.23</v>
      </c>
      <c r="D19" s="11">
        <v>21.35</v>
      </c>
    </row>
    <row r="20" spans="1:9" ht="15.75" x14ac:dyDescent="0.25">
      <c r="A20" s="11">
        <v>4903</v>
      </c>
      <c r="B20" s="11">
        <v>90</v>
      </c>
      <c r="C20" s="11">
        <v>25.45</v>
      </c>
      <c r="D20" s="11">
        <v>25.75</v>
      </c>
    </row>
    <row r="21" spans="1:9" ht="15.75" x14ac:dyDescent="0.25">
      <c r="A21" s="11">
        <v>1002</v>
      </c>
      <c r="B21" s="11">
        <v>222</v>
      </c>
      <c r="C21" s="11">
        <v>24.5</v>
      </c>
      <c r="D21" s="11">
        <v>24</v>
      </c>
    </row>
    <row r="24" spans="1:9" ht="15.75" x14ac:dyDescent="0.25">
      <c r="A24" s="6" t="s">
        <v>3</v>
      </c>
      <c r="B24" s="7"/>
      <c r="C24" s="7"/>
      <c r="D24" s="8"/>
    </row>
    <row r="25" spans="1:9" ht="15.75" x14ac:dyDescent="0.25">
      <c r="A25" s="4" t="s">
        <v>4</v>
      </c>
      <c r="B25" s="4" t="s">
        <v>0</v>
      </c>
      <c r="C25" s="4" t="s">
        <v>1</v>
      </c>
      <c r="D25" s="4" t="s">
        <v>2</v>
      </c>
    </row>
    <row r="26" spans="1:9" ht="15.75" x14ac:dyDescent="0.25">
      <c r="A26" s="3" t="s">
        <v>11</v>
      </c>
      <c r="B26" s="5" t="s">
        <v>14</v>
      </c>
      <c r="C26" s="3" t="s">
        <v>12</v>
      </c>
      <c r="D26" s="3" t="s">
        <v>13</v>
      </c>
    </row>
  </sheetData>
  <mergeCells count="1">
    <mergeCell ref="A24:D24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278D-3E47-492B-9EAF-6E509BA46535}">
  <sheetPr codeName="Лист2"/>
  <dimension ref="A1:E70"/>
  <sheetViews>
    <sheetView topLeftCell="A36" workbookViewId="0">
      <selection activeCell="G71" sqref="G71"/>
    </sheetView>
  </sheetViews>
  <sheetFormatPr defaultRowHeight="15" x14ac:dyDescent="0.25"/>
  <cols>
    <col min="1" max="1" width="26.28515625" customWidth="1"/>
    <col min="2" max="2" width="19.28515625" customWidth="1"/>
    <col min="3" max="4" width="13" customWidth="1"/>
    <col min="5" max="5" width="13.7109375" customWidth="1"/>
    <col min="7" max="7" width="26.28515625" customWidth="1"/>
    <col min="8" max="8" width="19.28515625" customWidth="1"/>
    <col min="9" max="10" width="13" customWidth="1"/>
    <col min="11" max="11" width="13.7109375" customWidth="1"/>
  </cols>
  <sheetData>
    <row r="1" spans="1:5" ht="31.5" x14ac:dyDescent="0.25">
      <c r="A1" s="9" t="s">
        <v>25</v>
      </c>
      <c r="B1" s="9" t="s">
        <v>26</v>
      </c>
      <c r="C1" s="10" t="s">
        <v>0</v>
      </c>
      <c r="D1" s="10" t="s">
        <v>27</v>
      </c>
      <c r="E1" s="10" t="s">
        <v>28</v>
      </c>
    </row>
    <row r="2" spans="1:5" ht="15.75" x14ac:dyDescent="0.25">
      <c r="A2" s="11" t="s">
        <v>29</v>
      </c>
      <c r="B2" s="11" t="s">
        <v>30</v>
      </c>
      <c r="C2" s="11">
        <v>5000000</v>
      </c>
      <c r="D2" s="11">
        <v>155</v>
      </c>
      <c r="E2" s="11">
        <f>C2*D2</f>
        <v>775000000</v>
      </c>
    </row>
    <row r="3" spans="1:5" ht="15.75" x14ac:dyDescent="0.25">
      <c r="A3" s="11" t="s">
        <v>31</v>
      </c>
      <c r="B3" s="11" t="s">
        <v>32</v>
      </c>
      <c r="C3" s="11">
        <v>350000</v>
      </c>
      <c r="D3" s="11">
        <v>139</v>
      </c>
      <c r="E3" s="11">
        <f t="shared" ref="E3:E9" si="0">C3*D3</f>
        <v>48650000</v>
      </c>
    </row>
    <row r="4" spans="1:5" ht="15.75" x14ac:dyDescent="0.25">
      <c r="A4" s="11" t="s">
        <v>33</v>
      </c>
      <c r="B4" s="11" t="s">
        <v>34</v>
      </c>
      <c r="C4" s="11">
        <v>1200</v>
      </c>
      <c r="D4" s="11">
        <v>6435</v>
      </c>
      <c r="E4" s="11">
        <f t="shared" si="0"/>
        <v>7722000</v>
      </c>
    </row>
    <row r="5" spans="1:5" ht="15.75" x14ac:dyDescent="0.25">
      <c r="A5" s="11" t="s">
        <v>35</v>
      </c>
      <c r="B5" s="11" t="s">
        <v>36</v>
      </c>
      <c r="C5" s="11">
        <v>3400</v>
      </c>
      <c r="D5" s="11">
        <v>6450</v>
      </c>
      <c r="E5" s="11">
        <f t="shared" si="0"/>
        <v>21930000</v>
      </c>
    </row>
    <row r="6" spans="1:5" ht="15.75" x14ac:dyDescent="0.25">
      <c r="A6" s="11" t="s">
        <v>37</v>
      </c>
      <c r="B6" s="11" t="s">
        <v>36</v>
      </c>
      <c r="C6" s="11">
        <v>64</v>
      </c>
      <c r="D6" s="11">
        <v>12444</v>
      </c>
      <c r="E6" s="11">
        <f t="shared" si="0"/>
        <v>796416</v>
      </c>
    </row>
    <row r="7" spans="1:5" ht="15.75" x14ac:dyDescent="0.25">
      <c r="A7" s="11" t="s">
        <v>38</v>
      </c>
      <c r="B7" s="11" t="s">
        <v>36</v>
      </c>
      <c r="C7" s="11">
        <v>5780</v>
      </c>
      <c r="D7" s="11">
        <v>380</v>
      </c>
      <c r="E7" s="11">
        <f t="shared" si="0"/>
        <v>2196400</v>
      </c>
    </row>
    <row r="8" spans="1:5" ht="15.75" x14ac:dyDescent="0.25">
      <c r="A8" s="11" t="s">
        <v>39</v>
      </c>
      <c r="B8" s="11" t="s">
        <v>36</v>
      </c>
      <c r="C8" s="11">
        <v>9800</v>
      </c>
      <c r="D8" s="11">
        <v>322</v>
      </c>
      <c r="E8" s="11">
        <f t="shared" si="0"/>
        <v>3155600</v>
      </c>
    </row>
    <row r="9" spans="1:5" ht="15.75" x14ac:dyDescent="0.25">
      <c r="A9" s="11" t="s">
        <v>40</v>
      </c>
      <c r="B9" s="11" t="s">
        <v>41</v>
      </c>
      <c r="C9" s="11">
        <v>2300</v>
      </c>
      <c r="D9" s="11">
        <v>5</v>
      </c>
      <c r="E9" s="11">
        <f t="shared" si="0"/>
        <v>11500</v>
      </c>
    </row>
    <row r="10" spans="1:5" ht="15.75" x14ac:dyDescent="0.25">
      <c r="A10" s="16" t="s">
        <v>42</v>
      </c>
      <c r="B10" s="11"/>
      <c r="C10" s="11"/>
      <c r="D10" s="11"/>
      <c r="E10" s="11">
        <f>SUM(E2:E9)</f>
        <v>859461916</v>
      </c>
    </row>
    <row r="12" spans="1:5" ht="31.5" x14ac:dyDescent="0.25">
      <c r="A12" s="9" t="s">
        <v>25</v>
      </c>
      <c r="B12" s="9" t="s">
        <v>26</v>
      </c>
      <c r="C12" s="10" t="s">
        <v>0</v>
      </c>
      <c r="D12" s="10" t="s">
        <v>27</v>
      </c>
      <c r="E12" s="10" t="s">
        <v>28</v>
      </c>
    </row>
    <row r="13" spans="1:5" ht="15.75" x14ac:dyDescent="0.25">
      <c r="A13" s="11" t="s">
        <v>29</v>
      </c>
      <c r="B13" s="11" t="s">
        <v>30</v>
      </c>
      <c r="C13" s="11">
        <v>5000000</v>
      </c>
      <c r="D13" s="11">
        <v>155</v>
      </c>
      <c r="E13" s="11">
        <f>C13*D13</f>
        <v>775000000</v>
      </c>
    </row>
    <row r="14" spans="1:5" ht="15.75" x14ac:dyDescent="0.25">
      <c r="A14" s="11" t="s">
        <v>31</v>
      </c>
      <c r="B14" s="11" t="s">
        <v>32</v>
      </c>
      <c r="C14" s="11">
        <v>350000</v>
      </c>
      <c r="D14" s="11">
        <v>139</v>
      </c>
      <c r="E14" s="11">
        <f t="shared" ref="E14:E21" si="1">C14*D14</f>
        <v>48650000</v>
      </c>
    </row>
    <row r="15" spans="1:5" ht="15.75" x14ac:dyDescent="0.25">
      <c r="A15" s="11" t="s">
        <v>33</v>
      </c>
      <c r="B15" s="11" t="s">
        <v>34</v>
      </c>
      <c r="C15" s="11">
        <v>1200</v>
      </c>
      <c r="D15" s="11">
        <v>6435</v>
      </c>
      <c r="E15" s="11">
        <f t="shared" si="1"/>
        <v>7722000</v>
      </c>
    </row>
    <row r="16" spans="1:5" ht="15.75" x14ac:dyDescent="0.25">
      <c r="A16" s="11" t="s">
        <v>35</v>
      </c>
      <c r="B16" s="11" t="s">
        <v>36</v>
      </c>
      <c r="C16" s="11">
        <v>3400</v>
      </c>
      <c r="D16" s="11">
        <v>6450</v>
      </c>
      <c r="E16" s="11">
        <f t="shared" si="1"/>
        <v>21930000</v>
      </c>
    </row>
    <row r="17" spans="1:5" ht="15.75" x14ac:dyDescent="0.25">
      <c r="A17" s="11" t="s">
        <v>37</v>
      </c>
      <c r="B17" s="11" t="s">
        <v>36</v>
      </c>
      <c r="C17" s="11">
        <v>64</v>
      </c>
      <c r="D17" s="11">
        <v>12444</v>
      </c>
      <c r="E17" s="11">
        <f t="shared" si="1"/>
        <v>796416</v>
      </c>
    </row>
    <row r="18" spans="1:5" ht="15.75" x14ac:dyDescent="0.25">
      <c r="A18" s="11" t="s">
        <v>38</v>
      </c>
      <c r="B18" s="11" t="s">
        <v>36</v>
      </c>
      <c r="C18" s="11">
        <v>5780</v>
      </c>
      <c r="D18" s="11">
        <v>380</v>
      </c>
      <c r="E18" s="11">
        <f t="shared" si="1"/>
        <v>2196400</v>
      </c>
    </row>
    <row r="19" spans="1:5" ht="15.75" x14ac:dyDescent="0.25">
      <c r="A19" s="11" t="s">
        <v>39</v>
      </c>
      <c r="B19" s="11" t="s">
        <v>36</v>
      </c>
      <c r="C19" s="11">
        <v>9800</v>
      </c>
      <c r="D19" s="11">
        <v>322</v>
      </c>
      <c r="E19" s="11">
        <f t="shared" si="1"/>
        <v>3155600</v>
      </c>
    </row>
    <row r="20" spans="1:5" ht="15.75" x14ac:dyDescent="0.25">
      <c r="A20" s="11" t="s">
        <v>40</v>
      </c>
      <c r="B20" s="11" t="s">
        <v>41</v>
      </c>
      <c r="C20" s="11">
        <v>2300</v>
      </c>
      <c r="D20" s="11">
        <v>5</v>
      </c>
      <c r="E20" s="11">
        <f t="shared" si="1"/>
        <v>11500</v>
      </c>
    </row>
    <row r="21" spans="1:5" ht="15.75" x14ac:dyDescent="0.25">
      <c r="A21" s="11" t="s">
        <v>44</v>
      </c>
      <c r="B21" s="11" t="s">
        <v>43</v>
      </c>
      <c r="C21" s="11">
        <v>65000</v>
      </c>
      <c r="D21" s="11">
        <v>1030</v>
      </c>
      <c r="E21" s="11">
        <f t="shared" si="1"/>
        <v>66950000</v>
      </c>
    </row>
    <row r="22" spans="1:5" ht="15.75" x14ac:dyDescent="0.25">
      <c r="A22" s="16" t="s">
        <v>42</v>
      </c>
      <c r="B22" s="11"/>
      <c r="C22" s="11"/>
      <c r="D22" s="11"/>
      <c r="E22" s="11">
        <f>SUM(E13:E21)</f>
        <v>926411916</v>
      </c>
    </row>
    <row r="24" spans="1:5" ht="31.5" x14ac:dyDescent="0.25">
      <c r="A24" s="9" t="s">
        <v>25</v>
      </c>
      <c r="B24" s="9" t="s">
        <v>26</v>
      </c>
      <c r="C24" s="10" t="s">
        <v>0</v>
      </c>
      <c r="D24" s="10" t="s">
        <v>27</v>
      </c>
      <c r="E24" s="10" t="s">
        <v>28</v>
      </c>
    </row>
    <row r="25" spans="1:5" ht="15.75" x14ac:dyDescent="0.25">
      <c r="A25" s="11" t="s">
        <v>52</v>
      </c>
      <c r="B25" s="11" t="s">
        <v>41</v>
      </c>
      <c r="C25" s="11">
        <v>2300</v>
      </c>
      <c r="D25" s="11">
        <v>5</v>
      </c>
      <c r="E25" s="11">
        <f>C25*D25</f>
        <v>11500</v>
      </c>
    </row>
    <row r="26" spans="1:5" ht="15.75" x14ac:dyDescent="0.25">
      <c r="A26" s="11" t="s">
        <v>48</v>
      </c>
      <c r="B26" s="11" t="s">
        <v>36</v>
      </c>
      <c r="C26" s="11">
        <v>3400</v>
      </c>
      <c r="D26" s="11">
        <v>6450</v>
      </c>
      <c r="E26" s="11">
        <f>C26*D26</f>
        <v>21930000</v>
      </c>
    </row>
    <row r="27" spans="1:5" ht="15.75" x14ac:dyDescent="0.25">
      <c r="A27" s="11" t="s">
        <v>47</v>
      </c>
      <c r="B27" s="11" t="s">
        <v>34</v>
      </c>
      <c r="C27" s="11">
        <v>1200</v>
      </c>
      <c r="D27" s="11">
        <v>6435</v>
      </c>
      <c r="E27" s="11">
        <f>C27*D27</f>
        <v>7722000</v>
      </c>
    </row>
    <row r="28" spans="1:5" ht="15.75" x14ac:dyDescent="0.25">
      <c r="A28" s="11" t="s">
        <v>51</v>
      </c>
      <c r="B28" s="11" t="s">
        <v>36</v>
      </c>
      <c r="C28" s="11">
        <v>9800</v>
      </c>
      <c r="D28" s="11">
        <v>322</v>
      </c>
      <c r="E28" s="11">
        <f>C28*D28</f>
        <v>3155600</v>
      </c>
    </row>
    <row r="29" spans="1:5" ht="15.75" x14ac:dyDescent="0.25">
      <c r="A29" s="11" t="s">
        <v>46</v>
      </c>
      <c r="B29" s="11" t="s">
        <v>32</v>
      </c>
      <c r="C29" s="11">
        <v>350000</v>
      </c>
      <c r="D29" s="11">
        <v>139</v>
      </c>
      <c r="E29" s="11">
        <f>C29*D29</f>
        <v>48650000</v>
      </c>
    </row>
    <row r="30" spans="1:5" ht="15.75" x14ac:dyDescent="0.25">
      <c r="A30" s="11" t="s">
        <v>50</v>
      </c>
      <c r="B30" s="11" t="s">
        <v>36</v>
      </c>
      <c r="C30" s="11">
        <v>5780</v>
      </c>
      <c r="D30" s="11">
        <v>380</v>
      </c>
      <c r="E30" s="11">
        <f>C30*D30</f>
        <v>2196400</v>
      </c>
    </row>
    <row r="31" spans="1:5" ht="15.75" x14ac:dyDescent="0.25">
      <c r="A31" s="11" t="s">
        <v>53</v>
      </c>
      <c r="B31" s="11" t="s">
        <v>43</v>
      </c>
      <c r="C31" s="11">
        <v>65000</v>
      </c>
      <c r="D31" s="11">
        <v>1030</v>
      </c>
      <c r="E31" s="11">
        <f>C31*D31</f>
        <v>66950000</v>
      </c>
    </row>
    <row r="32" spans="1:5" ht="15.75" x14ac:dyDescent="0.25">
      <c r="A32" s="11" t="s">
        <v>45</v>
      </c>
      <c r="B32" s="11" t="s">
        <v>30</v>
      </c>
      <c r="C32" s="11">
        <v>5000000</v>
      </c>
      <c r="D32" s="11">
        <v>155</v>
      </c>
      <c r="E32" s="11">
        <f>C32*D32</f>
        <v>775000000</v>
      </c>
    </row>
    <row r="33" spans="1:5" ht="15.75" x14ac:dyDescent="0.25">
      <c r="A33" s="11" t="s">
        <v>49</v>
      </c>
      <c r="B33" s="11" t="s">
        <v>36</v>
      </c>
      <c r="C33" s="11">
        <v>64</v>
      </c>
      <c r="D33" s="11">
        <v>12444</v>
      </c>
      <c r="E33" s="11">
        <f>C33*D33</f>
        <v>796416</v>
      </c>
    </row>
    <row r="34" spans="1:5" ht="15.75" x14ac:dyDescent="0.25">
      <c r="A34" s="16" t="s">
        <v>42</v>
      </c>
      <c r="B34" s="11"/>
      <c r="C34" s="11"/>
      <c r="D34" s="11"/>
      <c r="E34" s="11">
        <f>SUM(E25:E33)</f>
        <v>926411916</v>
      </c>
    </row>
    <row r="36" spans="1:5" ht="31.5" x14ac:dyDescent="0.25">
      <c r="A36" s="18" t="s">
        <v>25</v>
      </c>
      <c r="B36" s="19" t="s">
        <v>26</v>
      </c>
      <c r="C36" s="20" t="s">
        <v>0</v>
      </c>
      <c r="D36" s="20" t="s">
        <v>27</v>
      </c>
      <c r="E36" s="21" t="s">
        <v>28</v>
      </c>
    </row>
    <row r="37" spans="1:5" ht="15.75" hidden="1" x14ac:dyDescent="0.25">
      <c r="A37" s="12" t="s">
        <v>52</v>
      </c>
      <c r="B37" s="11" t="s">
        <v>41</v>
      </c>
      <c r="C37" s="11">
        <v>2300</v>
      </c>
      <c r="D37" s="11">
        <v>5</v>
      </c>
      <c r="E37" s="13">
        <f>C37*D37</f>
        <v>11500</v>
      </c>
    </row>
    <row r="38" spans="1:5" ht="15.75" x14ac:dyDescent="0.25">
      <c r="A38" s="12" t="s">
        <v>48</v>
      </c>
      <c r="B38" s="11" t="s">
        <v>36</v>
      </c>
      <c r="C38" s="11">
        <v>3400</v>
      </c>
      <c r="D38" s="11">
        <v>6450</v>
      </c>
      <c r="E38" s="13">
        <f>C38*D38</f>
        <v>21930000</v>
      </c>
    </row>
    <row r="39" spans="1:5" ht="15.75" x14ac:dyDescent="0.25">
      <c r="A39" s="12" t="s">
        <v>47</v>
      </c>
      <c r="B39" s="11" t="s">
        <v>34</v>
      </c>
      <c r="C39" s="11">
        <v>1200</v>
      </c>
      <c r="D39" s="11">
        <v>6435</v>
      </c>
      <c r="E39" s="13">
        <f>C39*D39</f>
        <v>7722000</v>
      </c>
    </row>
    <row r="40" spans="1:5" ht="15.75" hidden="1" x14ac:dyDescent="0.25">
      <c r="A40" s="12" t="s">
        <v>51</v>
      </c>
      <c r="B40" s="11" t="s">
        <v>36</v>
      </c>
      <c r="C40" s="11">
        <v>9800</v>
      </c>
      <c r="D40" s="11">
        <v>322</v>
      </c>
      <c r="E40" s="13">
        <f>C40*D40</f>
        <v>3155600</v>
      </c>
    </row>
    <row r="41" spans="1:5" ht="15.75" hidden="1" x14ac:dyDescent="0.25">
      <c r="A41" s="12" t="s">
        <v>46</v>
      </c>
      <c r="B41" s="11" t="s">
        <v>32</v>
      </c>
      <c r="C41" s="11">
        <v>350000</v>
      </c>
      <c r="D41" s="11">
        <v>139</v>
      </c>
      <c r="E41" s="13">
        <f>C41*D41</f>
        <v>48650000</v>
      </c>
    </row>
    <row r="42" spans="1:5" ht="15.75" hidden="1" x14ac:dyDescent="0.25">
      <c r="A42" s="12" t="s">
        <v>50</v>
      </c>
      <c r="B42" s="11" t="s">
        <v>36</v>
      </c>
      <c r="C42" s="11">
        <v>5780</v>
      </c>
      <c r="D42" s="11">
        <v>380</v>
      </c>
      <c r="E42" s="13">
        <f>C42*D42</f>
        <v>2196400</v>
      </c>
    </row>
    <row r="43" spans="1:5" ht="15.75" hidden="1" x14ac:dyDescent="0.25">
      <c r="A43" s="12" t="s">
        <v>53</v>
      </c>
      <c r="B43" s="11" t="s">
        <v>43</v>
      </c>
      <c r="C43" s="11">
        <v>65000</v>
      </c>
      <c r="D43" s="11">
        <v>1030</v>
      </c>
      <c r="E43" s="13">
        <f>C43*D43</f>
        <v>66950000</v>
      </c>
    </row>
    <row r="44" spans="1:5" ht="15.75" hidden="1" x14ac:dyDescent="0.25">
      <c r="A44" s="12" t="s">
        <v>45</v>
      </c>
      <c r="B44" s="11" t="s">
        <v>30</v>
      </c>
      <c r="C44" s="11">
        <v>5000000</v>
      </c>
      <c r="D44" s="11">
        <v>155</v>
      </c>
      <c r="E44" s="13">
        <f>C44*D44</f>
        <v>775000000</v>
      </c>
    </row>
    <row r="45" spans="1:5" ht="15.75" hidden="1" x14ac:dyDescent="0.25">
      <c r="A45" s="12" t="s">
        <v>49</v>
      </c>
      <c r="B45" s="11" t="s">
        <v>36</v>
      </c>
      <c r="C45" s="11">
        <v>64</v>
      </c>
      <c r="D45" s="11">
        <v>12444</v>
      </c>
      <c r="E45" s="13">
        <f>C45*D45</f>
        <v>796416</v>
      </c>
    </row>
    <row r="46" spans="1:5" ht="15.75" hidden="1" x14ac:dyDescent="0.25">
      <c r="A46" s="17" t="s">
        <v>42</v>
      </c>
      <c r="B46" s="14"/>
      <c r="C46" s="14"/>
      <c r="D46" s="14"/>
      <c r="E46" s="15">
        <f>SUM(E37:E45)</f>
        <v>926411916</v>
      </c>
    </row>
    <row r="48" spans="1:5" ht="15.75" x14ac:dyDescent="0.25">
      <c r="A48" s="18" t="s">
        <v>25</v>
      </c>
      <c r="B48" s="19" t="s">
        <v>26</v>
      </c>
      <c r="C48" s="20" t="s">
        <v>0</v>
      </c>
      <c r="D48" s="20" t="s">
        <v>27</v>
      </c>
      <c r="E48" s="21" t="s">
        <v>28</v>
      </c>
    </row>
    <row r="49" spans="1:5" ht="15.75" hidden="1" x14ac:dyDescent="0.25">
      <c r="A49" s="12" t="s">
        <v>52</v>
      </c>
      <c r="B49" s="11" t="s">
        <v>41</v>
      </c>
      <c r="C49" s="11">
        <v>2300</v>
      </c>
      <c r="D49" s="11">
        <v>5</v>
      </c>
      <c r="E49" s="13">
        <f>C49*D49</f>
        <v>11500</v>
      </c>
    </row>
    <row r="50" spans="1:5" ht="15.75" x14ac:dyDescent="0.25">
      <c r="A50" s="12" t="s">
        <v>48</v>
      </c>
      <c r="B50" s="11" t="s">
        <v>36</v>
      </c>
      <c r="C50" s="11">
        <v>3400</v>
      </c>
      <c r="D50" s="11">
        <v>6450</v>
      </c>
      <c r="E50" s="13">
        <f>C50*D50</f>
        <v>21930000</v>
      </c>
    </row>
    <row r="51" spans="1:5" ht="15.75" x14ac:dyDescent="0.25">
      <c r="A51" s="12" t="s">
        <v>47</v>
      </c>
      <c r="B51" s="11" t="s">
        <v>34</v>
      </c>
      <c r="C51" s="11">
        <v>1200</v>
      </c>
      <c r="D51" s="11">
        <v>6435</v>
      </c>
      <c r="E51" s="13">
        <f>C51*D51</f>
        <v>7722000</v>
      </c>
    </row>
    <row r="52" spans="1:5" ht="15.75" x14ac:dyDescent="0.25">
      <c r="A52" s="12" t="s">
        <v>51</v>
      </c>
      <c r="B52" s="11" t="s">
        <v>36</v>
      </c>
      <c r="C52" s="11">
        <v>9800</v>
      </c>
      <c r="D52" s="11">
        <v>322</v>
      </c>
      <c r="E52" s="13">
        <f>C52*D52</f>
        <v>3155600</v>
      </c>
    </row>
    <row r="53" spans="1:5" ht="15.75" x14ac:dyDescent="0.25">
      <c r="A53" s="12" t="s">
        <v>46</v>
      </c>
      <c r="B53" s="11" t="s">
        <v>32</v>
      </c>
      <c r="C53" s="11">
        <v>350000</v>
      </c>
      <c r="D53" s="11">
        <v>139</v>
      </c>
      <c r="E53" s="13">
        <f>C53*D53</f>
        <v>48650000</v>
      </c>
    </row>
    <row r="54" spans="1:5" ht="15.75" x14ac:dyDescent="0.25">
      <c r="A54" s="12" t="s">
        <v>50</v>
      </c>
      <c r="B54" s="11" t="s">
        <v>36</v>
      </c>
      <c r="C54" s="11">
        <v>5780</v>
      </c>
      <c r="D54" s="11">
        <v>380</v>
      </c>
      <c r="E54" s="13">
        <f>C54*D54</f>
        <v>2196400</v>
      </c>
    </row>
    <row r="55" spans="1:5" ht="15.75" x14ac:dyDescent="0.25">
      <c r="A55" s="12" t="s">
        <v>53</v>
      </c>
      <c r="B55" s="11" t="s">
        <v>43</v>
      </c>
      <c r="C55" s="11">
        <v>65000</v>
      </c>
      <c r="D55" s="11">
        <v>1030</v>
      </c>
      <c r="E55" s="13">
        <f>C55*D55</f>
        <v>66950000</v>
      </c>
    </row>
    <row r="56" spans="1:5" ht="15.75" x14ac:dyDescent="0.25">
      <c r="A56" s="12" t="s">
        <v>45</v>
      </c>
      <c r="B56" s="11" t="s">
        <v>30</v>
      </c>
      <c r="C56" s="11">
        <v>5000000</v>
      </c>
      <c r="D56" s="11">
        <v>155</v>
      </c>
      <c r="E56" s="13">
        <f>C56*D56</f>
        <v>775000000</v>
      </c>
    </row>
    <row r="57" spans="1:5" ht="15.75" hidden="1" x14ac:dyDescent="0.25">
      <c r="A57" s="12" t="s">
        <v>49</v>
      </c>
      <c r="B57" s="11" t="s">
        <v>36</v>
      </c>
      <c r="C57" s="11">
        <v>64</v>
      </c>
      <c r="D57" s="11">
        <v>12444</v>
      </c>
      <c r="E57" s="13">
        <f>C57*D57</f>
        <v>796416</v>
      </c>
    </row>
    <row r="58" spans="1:5" ht="15.75" x14ac:dyDescent="0.25">
      <c r="A58" s="17" t="s">
        <v>42</v>
      </c>
      <c r="B58" s="14"/>
      <c r="C58" s="14"/>
      <c r="D58" s="14"/>
      <c r="E58" s="15">
        <f>SUM(E49:E57)</f>
        <v>926411916</v>
      </c>
    </row>
    <row r="60" spans="1:5" ht="15.75" x14ac:dyDescent="0.25">
      <c r="A60" s="18" t="s">
        <v>25</v>
      </c>
      <c r="B60" s="19" t="s">
        <v>26</v>
      </c>
      <c r="C60" s="20" t="s">
        <v>0</v>
      </c>
      <c r="D60" s="20" t="s">
        <v>27</v>
      </c>
      <c r="E60" s="21" t="s">
        <v>28</v>
      </c>
    </row>
    <row r="61" spans="1:5" ht="15.75" hidden="1" x14ac:dyDescent="0.25">
      <c r="A61" s="12" t="s">
        <v>29</v>
      </c>
      <c r="B61" s="11" t="s">
        <v>30</v>
      </c>
      <c r="C61" s="11">
        <v>5000000</v>
      </c>
      <c r="D61" s="11">
        <v>155</v>
      </c>
      <c r="E61" s="13">
        <f>C61*D61</f>
        <v>775000000</v>
      </c>
    </row>
    <row r="62" spans="1:5" ht="15.75" hidden="1" x14ac:dyDescent="0.25">
      <c r="A62" s="12" t="s">
        <v>31</v>
      </c>
      <c r="B62" s="11" t="s">
        <v>32</v>
      </c>
      <c r="C62" s="11">
        <v>350000</v>
      </c>
      <c r="D62" s="11">
        <v>139</v>
      </c>
      <c r="E62" s="13">
        <f t="shared" ref="E62:E69" si="2">C62*D62</f>
        <v>48650000</v>
      </c>
    </row>
    <row r="63" spans="1:5" ht="15.75" hidden="1" x14ac:dyDescent="0.25">
      <c r="A63" s="12" t="s">
        <v>33</v>
      </c>
      <c r="B63" s="11" t="s">
        <v>34</v>
      </c>
      <c r="C63" s="11">
        <v>1200</v>
      </c>
      <c r="D63" s="11">
        <v>6435</v>
      </c>
      <c r="E63" s="13">
        <f t="shared" si="2"/>
        <v>7722000</v>
      </c>
    </row>
    <row r="64" spans="1:5" ht="15.75" hidden="1" x14ac:dyDescent="0.25">
      <c r="A64" s="12" t="s">
        <v>35</v>
      </c>
      <c r="B64" s="11" t="s">
        <v>36</v>
      </c>
      <c r="C64" s="11">
        <v>3400</v>
      </c>
      <c r="D64" s="11">
        <v>6450</v>
      </c>
      <c r="E64" s="13">
        <f t="shared" si="2"/>
        <v>21930000</v>
      </c>
    </row>
    <row r="65" spans="1:5" ht="15.75" x14ac:dyDescent="0.25">
      <c r="A65" s="12" t="s">
        <v>54</v>
      </c>
      <c r="B65" s="11" t="s">
        <v>36</v>
      </c>
      <c r="C65" s="11">
        <v>64</v>
      </c>
      <c r="D65" s="11">
        <v>12444</v>
      </c>
      <c r="E65" s="13">
        <f t="shared" si="2"/>
        <v>796416</v>
      </c>
    </row>
    <row r="66" spans="1:5" ht="15.75" hidden="1" x14ac:dyDescent="0.25">
      <c r="A66" s="12" t="s">
        <v>38</v>
      </c>
      <c r="B66" s="11" t="s">
        <v>36</v>
      </c>
      <c r="C66" s="11">
        <v>5780</v>
      </c>
      <c r="D66" s="11">
        <v>380</v>
      </c>
      <c r="E66" s="13">
        <f t="shared" si="2"/>
        <v>2196400</v>
      </c>
    </row>
    <row r="67" spans="1:5" ht="15.75" x14ac:dyDescent="0.25">
      <c r="A67" s="12" t="s">
        <v>55</v>
      </c>
      <c r="B67" s="11" t="s">
        <v>36</v>
      </c>
      <c r="C67" s="11">
        <v>9800</v>
      </c>
      <c r="D67" s="11">
        <v>322</v>
      </c>
      <c r="E67" s="13">
        <f t="shared" si="2"/>
        <v>3155600</v>
      </c>
    </row>
    <row r="68" spans="1:5" ht="15.75" hidden="1" x14ac:dyDescent="0.25">
      <c r="A68" s="12" t="s">
        <v>40</v>
      </c>
      <c r="B68" s="11" t="s">
        <v>41</v>
      </c>
      <c r="C68" s="11">
        <v>2300</v>
      </c>
      <c r="D68" s="11">
        <v>5</v>
      </c>
      <c r="E68" s="13">
        <f t="shared" si="2"/>
        <v>11500</v>
      </c>
    </row>
    <row r="69" spans="1:5" ht="15.75" hidden="1" x14ac:dyDescent="0.25">
      <c r="A69" s="12" t="s">
        <v>44</v>
      </c>
      <c r="B69" s="11" t="s">
        <v>43</v>
      </c>
      <c r="C69" s="11">
        <v>65000</v>
      </c>
      <c r="D69" s="11">
        <v>1030</v>
      </c>
      <c r="E69" s="13">
        <f t="shared" si="2"/>
        <v>66950000</v>
      </c>
    </row>
    <row r="70" spans="1:5" ht="15.75" hidden="1" x14ac:dyDescent="0.25">
      <c r="A70" s="17" t="s">
        <v>42</v>
      </c>
      <c r="B70" s="14"/>
      <c r="C70" s="14"/>
      <c r="D70" s="14"/>
      <c r="E70" s="15">
        <f>SUM(E61:E69)</f>
        <v>926411916</v>
      </c>
    </row>
  </sheetData>
  <sortState xmlns:xlrd2="http://schemas.microsoft.com/office/spreadsheetml/2017/richdata2" ref="A25:E33">
    <sortCondition ref="A25:A33"/>
  </sortState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5C44-0CE2-493A-8219-AF19DAEB9946}">
  <dimension ref="A1:N13"/>
  <sheetViews>
    <sheetView workbookViewId="0">
      <selection activeCell="A12" sqref="A12:C13"/>
    </sheetView>
  </sheetViews>
  <sheetFormatPr defaultRowHeight="15" x14ac:dyDescent="0.25"/>
  <cols>
    <col min="1" max="1" width="35.140625" bestFit="1" customWidth="1"/>
    <col min="2" max="2" width="17.42578125" bestFit="1" customWidth="1"/>
    <col min="3" max="3" width="13.7109375" bestFit="1" customWidth="1"/>
    <col min="11" max="11" width="14.42578125" customWidth="1"/>
  </cols>
  <sheetData>
    <row r="1" spans="1:14" ht="15.75" x14ac:dyDescent="0.25">
      <c r="A1" s="9" t="s">
        <v>56</v>
      </c>
      <c r="B1" s="9" t="s">
        <v>57</v>
      </c>
      <c r="C1" s="26" t="s">
        <v>67</v>
      </c>
      <c r="D1" s="27"/>
      <c r="E1" s="27"/>
      <c r="F1" s="27"/>
      <c r="G1" s="27"/>
      <c r="H1" s="28"/>
    </row>
    <row r="2" spans="1:14" ht="15.75" x14ac:dyDescent="0.25">
      <c r="A2" s="23"/>
      <c r="B2" s="24">
        <f>-PMT(N4/12,B13,,C13)</f>
        <v>274.34369445215884</v>
      </c>
      <c r="C2" s="11">
        <v>8</v>
      </c>
      <c r="D2" s="11">
        <v>12</v>
      </c>
      <c r="E2" s="11">
        <v>18</v>
      </c>
      <c r="F2" s="11">
        <v>24</v>
      </c>
      <c r="G2" s="11">
        <v>30</v>
      </c>
      <c r="H2" s="11">
        <v>36</v>
      </c>
    </row>
    <row r="3" spans="1:14" ht="15.75" x14ac:dyDescent="0.25">
      <c r="A3" s="11" t="s">
        <v>58</v>
      </c>
      <c r="B3" s="11">
        <v>7400</v>
      </c>
      <c r="C3" s="11">
        <f t="dataTable" ref="C3:H9" dt2D="1" dtr="1" r1="B13" r2="C13"/>
        <v>893.10816112053362</v>
      </c>
      <c r="D3" s="11">
        <v>583.48103621972848</v>
      </c>
      <c r="E3" s="11">
        <v>377.26715442522976</v>
      </c>
      <c r="F3" s="11">
        <v>274.34369445215884</v>
      </c>
      <c r="G3" s="11">
        <v>212.73603779726886</v>
      </c>
      <c r="H3" s="11">
        <v>171.78589261509882</v>
      </c>
    </row>
    <row r="4" spans="1:14" ht="15.75" x14ac:dyDescent="0.25">
      <c r="A4" s="11" t="s">
        <v>59</v>
      </c>
      <c r="B4" s="11">
        <v>5900</v>
      </c>
      <c r="C4" s="11">
        <v>712.07272305556069</v>
      </c>
      <c r="D4" s="11">
        <v>465.20785320221592</v>
      </c>
      <c r="E4" s="11">
        <v>300.79408258227778</v>
      </c>
      <c r="F4" s="11">
        <v>218.73348611726175</v>
      </c>
      <c r="G4" s="11">
        <v>169.61386797349817</v>
      </c>
      <c r="H4" s="11">
        <v>136.96442789582201</v>
      </c>
      <c r="K4" s="26" t="s">
        <v>68</v>
      </c>
      <c r="L4" s="27"/>
      <c r="M4" s="27"/>
      <c r="N4" s="30">
        <v>0.12</v>
      </c>
    </row>
    <row r="5" spans="1:14" ht="15.75" x14ac:dyDescent="0.25">
      <c r="A5" s="11" t="s">
        <v>60</v>
      </c>
      <c r="B5" s="11">
        <v>21000</v>
      </c>
      <c r="C5" s="11">
        <v>2534.4961329096222</v>
      </c>
      <c r="D5" s="11">
        <v>1655.8245622451755</v>
      </c>
      <c r="E5" s="11">
        <v>1070.6230058013277</v>
      </c>
      <c r="F5" s="11">
        <v>778.54291668855876</v>
      </c>
      <c r="G5" s="11">
        <v>603.71037753279006</v>
      </c>
      <c r="H5" s="11">
        <v>487.50050606987497</v>
      </c>
    </row>
    <row r="6" spans="1:14" ht="15.75" x14ac:dyDescent="0.25">
      <c r="A6" s="11" t="s">
        <v>61</v>
      </c>
      <c r="B6" s="11">
        <v>18000</v>
      </c>
      <c r="C6" s="11">
        <v>2172.4252567796766</v>
      </c>
      <c r="D6" s="11">
        <v>1419.2781962101506</v>
      </c>
      <c r="E6" s="11">
        <v>917.67686211542377</v>
      </c>
      <c r="F6" s="11">
        <v>667.32250001876469</v>
      </c>
      <c r="G6" s="11">
        <v>517.46603788524862</v>
      </c>
      <c r="H6" s="11">
        <v>417.85757663132142</v>
      </c>
      <c r="K6" s="26" t="s">
        <v>70</v>
      </c>
      <c r="L6" s="28"/>
    </row>
    <row r="7" spans="1:14" ht="15.75" x14ac:dyDescent="0.25">
      <c r="A7" s="11" t="s">
        <v>62</v>
      </c>
      <c r="B7" s="11">
        <v>36100</v>
      </c>
      <c r="C7" s="11">
        <v>4356.9195427636841</v>
      </c>
      <c r="D7" s="11">
        <v>2846.4412712881349</v>
      </c>
      <c r="E7" s="11">
        <v>1840.4519290203775</v>
      </c>
      <c r="F7" s="11">
        <v>1338.3523472598556</v>
      </c>
      <c r="G7" s="11">
        <v>1037.806887092082</v>
      </c>
      <c r="H7" s="11">
        <v>838.0365842439279</v>
      </c>
      <c r="K7" s="31"/>
      <c r="L7" s="11" t="s">
        <v>71</v>
      </c>
    </row>
    <row r="8" spans="1:14" ht="15.75" x14ac:dyDescent="0.25">
      <c r="A8" s="11" t="s">
        <v>63</v>
      </c>
      <c r="B8" s="11">
        <v>24800</v>
      </c>
      <c r="C8" s="11">
        <v>2993.1192426742205</v>
      </c>
      <c r="D8" s="11">
        <v>1955.4499592228738</v>
      </c>
      <c r="E8" s="11">
        <v>1264.3547878034728</v>
      </c>
      <c r="F8" s="11">
        <v>919.42211113696465</v>
      </c>
      <c r="G8" s="11">
        <v>712.95320775300922</v>
      </c>
      <c r="H8" s="11">
        <v>575.71488335870947</v>
      </c>
      <c r="K8" s="32"/>
      <c r="L8" s="11" t="s">
        <v>72</v>
      </c>
    </row>
    <row r="9" spans="1:14" ht="15.75" x14ac:dyDescent="0.25">
      <c r="A9" s="11" t="s">
        <v>64</v>
      </c>
      <c r="B9" s="11">
        <v>17500</v>
      </c>
      <c r="C9" s="11">
        <v>2112.0801107580187</v>
      </c>
      <c r="D9" s="11">
        <v>1379.8538018709794</v>
      </c>
      <c r="E9" s="11">
        <v>892.185838167773</v>
      </c>
      <c r="F9" s="11">
        <v>648.78576390713238</v>
      </c>
      <c r="G9" s="11">
        <v>503.09198127732498</v>
      </c>
      <c r="H9" s="11">
        <v>406.25042172489577</v>
      </c>
    </row>
    <row r="12" spans="1:14" ht="15.75" x14ac:dyDescent="0.25">
      <c r="A12" s="9" t="s">
        <v>65</v>
      </c>
      <c r="B12" s="9" t="s">
        <v>66</v>
      </c>
      <c r="C12" s="29" t="s">
        <v>69</v>
      </c>
    </row>
    <row r="13" spans="1:14" ht="15.75" x14ac:dyDescent="0.25">
      <c r="A13" s="11">
        <v>570</v>
      </c>
      <c r="B13" s="11">
        <v>24</v>
      </c>
      <c r="C13" s="11">
        <v>7400</v>
      </c>
    </row>
  </sheetData>
  <mergeCells count="3">
    <mergeCell ref="C1:H1"/>
    <mergeCell ref="K4:M4"/>
    <mergeCell ref="K6:L6"/>
  </mergeCells>
  <conditionalFormatting sqref="C3:H9">
    <cfRule type="cellIs" dxfId="5" priority="1" operator="lessThanOrEqual">
      <formula>$A$13</formula>
    </cfRule>
    <cfRule type="cellIs" dxfId="4" priority="2" operator="greaterThan">
      <formula>$A$13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3DA3-9BB7-4460-BED3-879298E239F8}">
  <dimension ref="A1:V53"/>
  <sheetViews>
    <sheetView topLeftCell="A19" zoomScale="33" zoomScaleNormal="33" zoomScaleSheetLayoutView="50" workbookViewId="0">
      <selection activeCell="U25" sqref="U25:V28"/>
    </sheetView>
  </sheetViews>
  <sheetFormatPr defaultRowHeight="15" x14ac:dyDescent="0.25"/>
  <cols>
    <col min="1" max="1" width="46" bestFit="1" customWidth="1"/>
    <col min="2" max="2" width="14.85546875" bestFit="1" customWidth="1"/>
    <col min="3" max="3" width="11.42578125" bestFit="1" customWidth="1"/>
    <col min="4" max="4" width="9.28515625" bestFit="1" customWidth="1"/>
    <col min="5" max="5" width="12.42578125" bestFit="1" customWidth="1"/>
    <col min="6" max="6" width="14.42578125" bestFit="1" customWidth="1"/>
    <col min="7" max="7" width="11.42578125" bestFit="1" customWidth="1"/>
    <col min="8" max="8" width="25.140625" customWidth="1"/>
    <col min="9" max="9" width="50.85546875" bestFit="1" customWidth="1"/>
    <col min="10" max="10" width="11.42578125" bestFit="1" customWidth="1"/>
    <col min="11" max="11" width="29.5703125" customWidth="1"/>
    <col min="12" max="12" width="45.140625" bestFit="1" customWidth="1"/>
    <col min="13" max="13" width="11.42578125" bestFit="1" customWidth="1"/>
    <col min="14" max="14" width="17.7109375" customWidth="1"/>
    <col min="15" max="15" width="21.28515625" bestFit="1" customWidth="1"/>
    <col min="16" max="16" width="20.42578125" bestFit="1" customWidth="1"/>
    <col min="17" max="17" width="23.85546875" customWidth="1"/>
    <col min="18" max="18" width="23.140625" bestFit="1" customWidth="1"/>
    <col min="19" max="19" width="15.7109375" bestFit="1" customWidth="1"/>
    <col min="20" max="20" width="11.5703125" customWidth="1"/>
    <col min="21" max="21" width="41.28515625" bestFit="1" customWidth="1"/>
    <col min="22" max="22" width="13.5703125" bestFit="1" customWidth="1"/>
    <col min="23" max="23" width="6" bestFit="1" customWidth="1"/>
    <col min="24" max="24" width="3.42578125" bestFit="1" customWidth="1"/>
    <col min="25" max="25" width="5" bestFit="1" customWidth="1"/>
    <col min="26" max="28" width="12.140625" bestFit="1" customWidth="1"/>
    <col min="29" max="29" width="6" bestFit="1" customWidth="1"/>
    <col min="30" max="30" width="3.42578125" bestFit="1" customWidth="1"/>
    <col min="31" max="32" width="12.140625" bestFit="1" customWidth="1"/>
    <col min="33" max="33" width="6" bestFit="1" customWidth="1"/>
    <col min="34" max="34" width="3.42578125" bestFit="1" customWidth="1"/>
    <col min="35" max="40" width="12.140625" bestFit="1" customWidth="1"/>
  </cols>
  <sheetData>
    <row r="1" spans="1:20" ht="63" x14ac:dyDescent="0.25">
      <c r="A1" s="33" t="s">
        <v>5</v>
      </c>
      <c r="B1" s="20" t="s">
        <v>73</v>
      </c>
      <c r="C1" s="20" t="s">
        <v>74</v>
      </c>
      <c r="D1" s="20" t="s">
        <v>75</v>
      </c>
      <c r="E1" s="20" t="s">
        <v>76</v>
      </c>
      <c r="F1" s="20" t="s">
        <v>77</v>
      </c>
      <c r="G1" s="20" t="s">
        <v>78</v>
      </c>
      <c r="H1" s="20" t="s">
        <v>79</v>
      </c>
      <c r="I1" s="20" t="s">
        <v>80</v>
      </c>
      <c r="J1" s="20" t="s">
        <v>81</v>
      </c>
      <c r="K1" s="20" t="s">
        <v>82</v>
      </c>
      <c r="L1" s="20" t="s">
        <v>83</v>
      </c>
      <c r="M1" s="20" t="s">
        <v>84</v>
      </c>
      <c r="N1" s="20" t="s">
        <v>85</v>
      </c>
      <c r="O1" s="20" t="s">
        <v>86</v>
      </c>
      <c r="P1" s="20" t="s">
        <v>87</v>
      </c>
      <c r="Q1" s="20" t="s">
        <v>88</v>
      </c>
      <c r="R1" s="21" t="s">
        <v>89</v>
      </c>
      <c r="S1" s="46" t="s">
        <v>139</v>
      </c>
      <c r="T1" s="46" t="s">
        <v>140</v>
      </c>
    </row>
    <row r="2" spans="1:20" ht="45" x14ac:dyDescent="0.25">
      <c r="A2" s="34">
        <v>1</v>
      </c>
      <c r="B2" s="35" t="s">
        <v>90</v>
      </c>
      <c r="C2" s="36">
        <v>38068</v>
      </c>
      <c r="D2" s="35" t="s">
        <v>91</v>
      </c>
      <c r="E2" s="35" t="s">
        <v>92</v>
      </c>
      <c r="F2" s="37">
        <v>380503318127</v>
      </c>
      <c r="G2" s="35">
        <v>95</v>
      </c>
      <c r="H2" s="35">
        <v>93</v>
      </c>
      <c r="I2" s="35">
        <v>97</v>
      </c>
      <c r="J2" s="35">
        <v>91</v>
      </c>
      <c r="K2" s="35">
        <v>92</v>
      </c>
      <c r="L2" s="35">
        <v>92</v>
      </c>
      <c r="M2" s="35">
        <v>99</v>
      </c>
      <c r="N2" s="56">
        <f>SUM(Таблица10[[#This Row],[Основи трудового права]:[Програмування]])</f>
        <v>659</v>
      </c>
      <c r="O2" s="58">
        <f>AVERAGE(Таблица10[[#This Row],[Основи трудового права]:[Програмування]])</f>
        <v>94.142857142857139</v>
      </c>
      <c r="P2" s="35" t="s">
        <v>93</v>
      </c>
      <c r="Q2" s="35" t="s">
        <v>94</v>
      </c>
      <c r="R2" s="38" t="s">
        <v>95</v>
      </c>
      <c r="S2" s="45" t="str">
        <f>IF(Таблица10[[#This Row],[Середній бал]]&gt;=89,"Заслуговує","Не заслуговує")</f>
        <v>Заслуговує</v>
      </c>
      <c r="T2" s="45" t="str">
        <f ca="1">IF(_xlfn.DAYS(TODAY(),Таблица10[[#This Row],[Дата Народження]])/365&gt;19,"Старше","Молодше")</f>
        <v>Молодше</v>
      </c>
    </row>
    <row r="3" spans="1:20" ht="45" x14ac:dyDescent="0.25">
      <c r="A3" s="34">
        <v>2</v>
      </c>
      <c r="B3" s="35" t="s">
        <v>96</v>
      </c>
      <c r="C3" s="36">
        <v>37077</v>
      </c>
      <c r="D3" s="35" t="s">
        <v>97</v>
      </c>
      <c r="E3" s="35" t="s">
        <v>92</v>
      </c>
      <c r="F3" s="37">
        <v>380503318127</v>
      </c>
      <c r="G3" s="35">
        <v>70</v>
      </c>
      <c r="H3" s="35">
        <v>70</v>
      </c>
      <c r="I3" s="35">
        <v>70</v>
      </c>
      <c r="J3" s="35">
        <v>70</v>
      </c>
      <c r="K3" s="35">
        <v>70</v>
      </c>
      <c r="L3" s="35">
        <v>70</v>
      </c>
      <c r="M3" s="35">
        <v>70</v>
      </c>
      <c r="N3" s="56">
        <f>SUM(Таблица10[[#This Row],[Основи трудового права]:[Програмування]])</f>
        <v>490</v>
      </c>
      <c r="O3" s="58">
        <f>AVERAGE(Таблица10[[#This Row],[Основи трудового права]:[Програмування]])</f>
        <v>70</v>
      </c>
      <c r="P3" s="35" t="s">
        <v>93</v>
      </c>
      <c r="Q3" s="35" t="s">
        <v>98</v>
      </c>
      <c r="R3" s="38" t="s">
        <v>95</v>
      </c>
      <c r="S3" s="35" t="str">
        <f>IF(Таблица10[[#This Row],[Середній бал]]&gt;=89,"Заслуговує","Не заслуговує")</f>
        <v>Не заслуговує</v>
      </c>
      <c r="T3" s="35" t="str">
        <f ca="1">IF(_xlfn.DAYS(TODAY(),Таблица10[[#This Row],[Дата Народження]])/365&gt;19,"Старше","Молодше")</f>
        <v>Старше</v>
      </c>
    </row>
    <row r="4" spans="1:20" ht="60" x14ac:dyDescent="0.25">
      <c r="A4" s="34">
        <v>3</v>
      </c>
      <c r="B4" s="35" t="s">
        <v>99</v>
      </c>
      <c r="C4" s="36">
        <v>37863</v>
      </c>
      <c r="D4" s="35" t="s">
        <v>97</v>
      </c>
      <c r="E4" s="35" t="s">
        <v>100</v>
      </c>
      <c r="F4" s="37">
        <v>380503318127</v>
      </c>
      <c r="G4" s="35">
        <v>85</v>
      </c>
      <c r="H4" s="35">
        <v>93</v>
      </c>
      <c r="I4" s="35">
        <v>86</v>
      </c>
      <c r="J4" s="35">
        <v>88</v>
      </c>
      <c r="K4" s="35">
        <v>78</v>
      </c>
      <c r="L4" s="35">
        <v>76</v>
      </c>
      <c r="M4" s="35">
        <v>64</v>
      </c>
      <c r="N4" s="56">
        <f>SUM(Таблица10[[#This Row],[Основи трудового права]:[Програмування]])</f>
        <v>570</v>
      </c>
      <c r="O4" s="58">
        <f>AVERAGE(Таблица10[[#This Row],[Основи трудового права]:[Програмування]])</f>
        <v>81.428571428571431</v>
      </c>
      <c r="P4" s="35" t="s">
        <v>93</v>
      </c>
      <c r="Q4" s="35" t="s">
        <v>101</v>
      </c>
      <c r="R4" s="38" t="s">
        <v>102</v>
      </c>
      <c r="S4" s="35" t="str">
        <f>IF(Таблица10[[#This Row],[Середній бал]]&gt;=89,"Заслуговує","Не заслуговує")</f>
        <v>Не заслуговує</v>
      </c>
      <c r="T4" s="35" t="str">
        <f ca="1">IF(_xlfn.DAYS(TODAY(),Таблица10[[#This Row],[Дата Народження]])/365&gt;19,"Старше","Молодше")</f>
        <v>Старше</v>
      </c>
    </row>
    <row r="5" spans="1:20" ht="60" x14ac:dyDescent="0.25">
      <c r="A5" s="34">
        <v>4</v>
      </c>
      <c r="B5" s="35" t="s">
        <v>103</v>
      </c>
      <c r="C5" s="36">
        <v>38197</v>
      </c>
      <c r="D5" s="35" t="s">
        <v>97</v>
      </c>
      <c r="E5" s="35" t="s">
        <v>92</v>
      </c>
      <c r="F5" s="37">
        <v>380503318127</v>
      </c>
      <c r="G5" s="35">
        <v>85</v>
      </c>
      <c r="H5" s="35">
        <v>88</v>
      </c>
      <c r="I5" s="35">
        <v>87</v>
      </c>
      <c r="J5" s="35">
        <v>90</v>
      </c>
      <c r="K5" s="35">
        <v>84</v>
      </c>
      <c r="L5" s="35">
        <v>86</v>
      </c>
      <c r="M5" s="35">
        <v>75</v>
      </c>
      <c r="N5" s="56">
        <f>SUM(Таблица10[[#This Row],[Основи трудового права]:[Програмування]])</f>
        <v>595</v>
      </c>
      <c r="O5" s="58">
        <f>AVERAGE(Таблица10[[#This Row],[Основи трудового права]:[Програмування]])</f>
        <v>85</v>
      </c>
      <c r="P5" s="35" t="s">
        <v>93</v>
      </c>
      <c r="Q5" s="35" t="s">
        <v>98</v>
      </c>
      <c r="R5" s="38" t="s">
        <v>95</v>
      </c>
      <c r="S5" s="35" t="str">
        <f>IF(Таблица10[[#This Row],[Середній бал]]&gt;=89,"Заслуговує","Не заслуговує")</f>
        <v>Не заслуговує</v>
      </c>
      <c r="T5" s="35" t="str">
        <f ca="1">IF(_xlfn.DAYS(TODAY(),Таблица10[[#This Row],[Дата Народження]])/365&gt;19,"Старше","Молодше")</f>
        <v>Молодше</v>
      </c>
    </row>
    <row r="6" spans="1:20" ht="45" x14ac:dyDescent="0.25">
      <c r="A6" s="34">
        <v>5</v>
      </c>
      <c r="B6" s="35" t="s">
        <v>104</v>
      </c>
      <c r="C6" s="36">
        <v>38006</v>
      </c>
      <c r="D6" s="35" t="s">
        <v>91</v>
      </c>
      <c r="E6" s="35" t="s">
        <v>105</v>
      </c>
      <c r="F6" s="37">
        <v>380503318127</v>
      </c>
      <c r="G6" s="35">
        <v>90</v>
      </c>
      <c r="H6" s="35">
        <v>97</v>
      </c>
      <c r="I6" s="35">
        <v>97</v>
      </c>
      <c r="J6" s="35">
        <v>93</v>
      </c>
      <c r="K6" s="35">
        <v>75</v>
      </c>
      <c r="L6" s="35">
        <v>77</v>
      </c>
      <c r="M6" s="35">
        <v>87</v>
      </c>
      <c r="N6" s="56">
        <f>SUM(Таблица10[[#This Row],[Основи трудового права]:[Програмування]])</f>
        <v>616</v>
      </c>
      <c r="O6" s="58">
        <f>AVERAGE(Таблица10[[#This Row],[Основи трудового права]:[Програмування]])</f>
        <v>88</v>
      </c>
      <c r="P6" s="35" t="s">
        <v>93</v>
      </c>
      <c r="Q6" s="35" t="s">
        <v>106</v>
      </c>
      <c r="R6" s="38" t="s">
        <v>102</v>
      </c>
      <c r="S6" s="35" t="str">
        <f>IF(Таблица10[[#This Row],[Середній бал]]&gt;=89,"Заслуговує","Не заслуговує")</f>
        <v>Не заслуговує</v>
      </c>
      <c r="T6" s="35" t="str">
        <f ca="1">IF(_xlfn.DAYS(TODAY(),Таблица10[[#This Row],[Дата Народження]])/365&gt;19,"Старше","Молодше")</f>
        <v>Молодше</v>
      </c>
    </row>
    <row r="7" spans="1:20" ht="45" x14ac:dyDescent="0.25">
      <c r="A7" s="34">
        <v>6</v>
      </c>
      <c r="B7" s="35" t="s">
        <v>107</v>
      </c>
      <c r="C7" s="36">
        <v>37940</v>
      </c>
      <c r="D7" s="35" t="s">
        <v>97</v>
      </c>
      <c r="E7" s="35" t="s">
        <v>105</v>
      </c>
      <c r="F7" s="37">
        <v>380503318127</v>
      </c>
      <c r="G7" s="35">
        <v>99</v>
      </c>
      <c r="H7" s="35">
        <v>93</v>
      </c>
      <c r="I7" s="35">
        <v>91</v>
      </c>
      <c r="J7" s="35">
        <v>93</v>
      </c>
      <c r="K7" s="35">
        <v>92</v>
      </c>
      <c r="L7" s="35">
        <v>97</v>
      </c>
      <c r="M7" s="35">
        <v>90</v>
      </c>
      <c r="N7" s="56">
        <f>SUM(Таблица10[[#This Row],[Основи трудового права]:[Програмування]])</f>
        <v>655</v>
      </c>
      <c r="O7" s="58">
        <f>AVERAGE(Таблица10[[#This Row],[Основи трудового права]:[Програмування]])</f>
        <v>93.571428571428569</v>
      </c>
      <c r="P7" s="35" t="s">
        <v>93</v>
      </c>
      <c r="Q7" s="35" t="s">
        <v>108</v>
      </c>
      <c r="R7" s="38" t="s">
        <v>102</v>
      </c>
      <c r="S7" s="35" t="str">
        <f>IF(Таблица10[[#This Row],[Середній бал]]&gt;=89,"Заслуговує","Не заслуговує")</f>
        <v>Заслуговує</v>
      </c>
      <c r="T7" s="35" t="str">
        <f ca="1">IF(_xlfn.DAYS(TODAY(),Таблица10[[#This Row],[Дата Народження]])/365&gt;19,"Старше","Молодше")</f>
        <v>Молодше</v>
      </c>
    </row>
    <row r="8" spans="1:20" ht="60" x14ac:dyDescent="0.25">
      <c r="A8" s="34">
        <v>7</v>
      </c>
      <c r="B8" s="35" t="s">
        <v>109</v>
      </c>
      <c r="C8" s="36">
        <v>38200</v>
      </c>
      <c r="D8" s="35" t="s">
        <v>91</v>
      </c>
      <c r="E8" s="35" t="s">
        <v>110</v>
      </c>
      <c r="F8" s="37">
        <v>380503318127</v>
      </c>
      <c r="G8" s="35">
        <v>99</v>
      </c>
      <c r="H8" s="35">
        <v>90</v>
      </c>
      <c r="I8" s="35">
        <v>96</v>
      </c>
      <c r="J8" s="35">
        <v>99</v>
      </c>
      <c r="K8" s="35">
        <v>85</v>
      </c>
      <c r="L8" s="35">
        <v>87</v>
      </c>
      <c r="M8" s="35">
        <v>93</v>
      </c>
      <c r="N8" s="56">
        <f>SUM(Таблица10[[#This Row],[Основи трудового права]:[Програмування]])</f>
        <v>649</v>
      </c>
      <c r="O8" s="58">
        <f>AVERAGE(Таблица10[[#This Row],[Основи трудового права]:[Програмування]])</f>
        <v>92.714285714285708</v>
      </c>
      <c r="P8" s="35" t="s">
        <v>93</v>
      </c>
      <c r="Q8" s="35" t="s">
        <v>101</v>
      </c>
      <c r="R8" s="38" t="s">
        <v>102</v>
      </c>
      <c r="S8" s="35" t="str">
        <f>IF(Таблица10[[#This Row],[Середній бал]]&gt;=89,"Заслуговує","Не заслуговує")</f>
        <v>Заслуговує</v>
      </c>
      <c r="T8" s="35" t="str">
        <f ca="1">IF(_xlfn.DAYS(TODAY(),Таблица10[[#This Row],[Дата Народження]])/365&gt;19,"Старше","Молодше")</f>
        <v>Молодше</v>
      </c>
    </row>
    <row r="9" spans="1:20" ht="45" x14ac:dyDescent="0.25">
      <c r="A9" s="34">
        <v>8</v>
      </c>
      <c r="B9" s="35" t="s">
        <v>111</v>
      </c>
      <c r="C9" s="36">
        <v>37991</v>
      </c>
      <c r="D9" s="35" t="s">
        <v>97</v>
      </c>
      <c r="E9" s="35" t="s">
        <v>112</v>
      </c>
      <c r="F9" s="37">
        <v>380503318127</v>
      </c>
      <c r="G9" s="35">
        <v>90</v>
      </c>
      <c r="H9" s="35">
        <v>90</v>
      </c>
      <c r="I9" s="35">
        <v>94</v>
      </c>
      <c r="J9" s="35">
        <v>90</v>
      </c>
      <c r="K9" s="35">
        <v>85</v>
      </c>
      <c r="L9" s="35">
        <v>80</v>
      </c>
      <c r="M9" s="35">
        <v>76</v>
      </c>
      <c r="N9" s="56">
        <f>SUM(Таблица10[[#This Row],[Основи трудового права]:[Програмування]])</f>
        <v>605</v>
      </c>
      <c r="O9" s="58">
        <f>AVERAGE(Таблица10[[#This Row],[Основи трудового права]:[Програмування]])</f>
        <v>86.428571428571431</v>
      </c>
      <c r="P9" s="35" t="s">
        <v>93</v>
      </c>
      <c r="Q9" s="35" t="s">
        <v>106</v>
      </c>
      <c r="R9" s="38" t="s">
        <v>102</v>
      </c>
      <c r="S9" s="35" t="str">
        <f>IF(Таблица10[[#This Row],[Середній бал]]&gt;=89,"Заслуговує","Не заслуговує")</f>
        <v>Не заслуговує</v>
      </c>
      <c r="T9" s="35" t="str">
        <f ca="1">IF(_xlfn.DAYS(TODAY(),Таблица10[[#This Row],[Дата Народження]])/365&gt;19,"Старше","Молодше")</f>
        <v>Молодше</v>
      </c>
    </row>
    <row r="10" spans="1:20" ht="45" x14ac:dyDescent="0.25">
      <c r="A10" s="34">
        <v>9</v>
      </c>
      <c r="B10" s="35" t="s">
        <v>113</v>
      </c>
      <c r="C10" s="36">
        <v>38196</v>
      </c>
      <c r="D10" s="35" t="s">
        <v>91</v>
      </c>
      <c r="E10" s="35" t="s">
        <v>92</v>
      </c>
      <c r="F10" s="37">
        <v>380503318127</v>
      </c>
      <c r="G10" s="35">
        <v>98</v>
      </c>
      <c r="H10" s="35">
        <v>94</v>
      </c>
      <c r="I10" s="35">
        <v>93</v>
      </c>
      <c r="J10" s="35">
        <v>87</v>
      </c>
      <c r="K10" s="35">
        <v>90</v>
      </c>
      <c r="L10" s="35">
        <v>75</v>
      </c>
      <c r="M10" s="35">
        <v>83</v>
      </c>
      <c r="N10" s="56">
        <f>SUM(Таблица10[[#This Row],[Основи трудового права]:[Програмування]])</f>
        <v>620</v>
      </c>
      <c r="O10" s="58">
        <f>AVERAGE(Таблица10[[#This Row],[Основи трудового права]:[Програмування]])</f>
        <v>88.571428571428569</v>
      </c>
      <c r="P10" s="35" t="s">
        <v>93</v>
      </c>
      <c r="Q10" s="35" t="s">
        <v>98</v>
      </c>
      <c r="R10" s="38" t="s">
        <v>102</v>
      </c>
      <c r="S10" s="35" t="str">
        <f>IF(Таблица10[[#This Row],[Середній бал]]&gt;=89,"Заслуговує","Не заслуговує")</f>
        <v>Не заслуговує</v>
      </c>
      <c r="T10" s="35" t="str">
        <f ca="1">IF(_xlfn.DAYS(TODAY(),Таблица10[[#This Row],[Дата Народження]])/365&gt;19,"Старше","Молодше")</f>
        <v>Молодше</v>
      </c>
    </row>
    <row r="11" spans="1:20" ht="60" x14ac:dyDescent="0.25">
      <c r="A11" s="34">
        <v>10</v>
      </c>
      <c r="B11" s="35" t="s">
        <v>114</v>
      </c>
      <c r="C11" s="36">
        <v>38035</v>
      </c>
      <c r="D11" s="35" t="s">
        <v>91</v>
      </c>
      <c r="E11" s="35" t="s">
        <v>92</v>
      </c>
      <c r="F11" s="37">
        <v>380503318127</v>
      </c>
      <c r="G11" s="35">
        <v>97</v>
      </c>
      <c r="H11" s="35">
        <v>95</v>
      </c>
      <c r="I11" s="35">
        <v>94</v>
      </c>
      <c r="J11" s="35">
        <v>86</v>
      </c>
      <c r="K11" s="35">
        <v>83</v>
      </c>
      <c r="L11" s="35">
        <v>75</v>
      </c>
      <c r="M11" s="35">
        <v>100</v>
      </c>
      <c r="N11" s="56">
        <f>SUM(Таблица10[[#This Row],[Основи трудового права]:[Програмування]])</f>
        <v>630</v>
      </c>
      <c r="O11" s="58">
        <f>AVERAGE(Таблица10[[#This Row],[Основи трудового права]:[Програмування]])</f>
        <v>90</v>
      </c>
      <c r="P11" s="35" t="s">
        <v>93</v>
      </c>
      <c r="Q11" s="35" t="s">
        <v>115</v>
      </c>
      <c r="R11" s="38" t="s">
        <v>102</v>
      </c>
      <c r="S11" s="35" t="str">
        <f>IF(Таблица10[[#This Row],[Середній бал]]&gt;=89,"Заслуговує","Не заслуговує")</f>
        <v>Заслуговує</v>
      </c>
      <c r="T11" s="35" t="str">
        <f ca="1">IF(_xlfn.DAYS(TODAY(),Таблица10[[#This Row],[Дата Народження]])/365&gt;19,"Старше","Молодше")</f>
        <v>Молодше</v>
      </c>
    </row>
    <row r="12" spans="1:20" ht="45" x14ac:dyDescent="0.25">
      <c r="A12" s="34">
        <v>11</v>
      </c>
      <c r="B12" s="35" t="s">
        <v>116</v>
      </c>
      <c r="C12" s="36">
        <v>37812</v>
      </c>
      <c r="D12" s="35" t="s">
        <v>97</v>
      </c>
      <c r="E12" s="35" t="s">
        <v>92</v>
      </c>
      <c r="F12" s="37">
        <v>380503318127</v>
      </c>
      <c r="G12" s="35">
        <v>90</v>
      </c>
      <c r="H12" s="35">
        <v>90</v>
      </c>
      <c r="I12" s="35">
        <v>90</v>
      </c>
      <c r="J12" s="35">
        <v>86</v>
      </c>
      <c r="K12" s="35">
        <v>80</v>
      </c>
      <c r="L12" s="35">
        <v>83</v>
      </c>
      <c r="M12" s="35">
        <v>85</v>
      </c>
      <c r="N12" s="56">
        <f>SUM(Таблица10[[#This Row],[Основи трудового права]:[Програмування]])</f>
        <v>604</v>
      </c>
      <c r="O12" s="58">
        <f>AVERAGE(Таблица10[[#This Row],[Основи трудового права]:[Програмування]])</f>
        <v>86.285714285714292</v>
      </c>
      <c r="P12" s="35" t="s">
        <v>93</v>
      </c>
      <c r="Q12" s="35" t="s">
        <v>98</v>
      </c>
      <c r="R12" s="38" t="s">
        <v>95</v>
      </c>
      <c r="S12" s="35" t="str">
        <f>IF(Таблица10[[#This Row],[Середній бал]]&gt;=89,"Заслуговує","Не заслуговує")</f>
        <v>Не заслуговує</v>
      </c>
      <c r="T12" s="35" t="str">
        <f ca="1">IF(_xlfn.DAYS(TODAY(),Таблица10[[#This Row],[Дата Народження]])/365&gt;19,"Старше","Молодше")</f>
        <v>Старше</v>
      </c>
    </row>
    <row r="13" spans="1:20" ht="45" x14ac:dyDescent="0.25">
      <c r="A13" s="34">
        <v>12</v>
      </c>
      <c r="B13" s="35" t="s">
        <v>117</v>
      </c>
      <c r="C13" s="36">
        <v>38024</v>
      </c>
      <c r="D13" s="35" t="s">
        <v>91</v>
      </c>
      <c r="E13" s="35" t="s">
        <v>118</v>
      </c>
      <c r="F13" s="37">
        <v>380503318127</v>
      </c>
      <c r="G13" s="35">
        <v>90</v>
      </c>
      <c r="H13" s="35">
        <v>93</v>
      </c>
      <c r="I13" s="35">
        <v>91</v>
      </c>
      <c r="J13" s="35">
        <v>90</v>
      </c>
      <c r="K13" s="35">
        <v>79</v>
      </c>
      <c r="L13" s="35">
        <v>90</v>
      </c>
      <c r="M13" s="35">
        <v>91</v>
      </c>
      <c r="N13" s="56">
        <f>SUM(Таблица10[[#This Row],[Основи трудового права]:[Програмування]])</f>
        <v>624</v>
      </c>
      <c r="O13" s="58">
        <f>AVERAGE(Таблица10[[#This Row],[Основи трудового права]:[Програмування]])</f>
        <v>89.142857142857139</v>
      </c>
      <c r="P13" s="35" t="s">
        <v>93</v>
      </c>
      <c r="Q13" s="35" t="s">
        <v>115</v>
      </c>
      <c r="R13" s="38" t="s">
        <v>102</v>
      </c>
      <c r="S13" s="35" t="str">
        <f>IF(Таблица10[[#This Row],[Середній бал]]&gt;=89,"Заслуговує","Не заслуговує")</f>
        <v>Заслуговує</v>
      </c>
      <c r="T13" s="35" t="str">
        <f ca="1">IF(_xlfn.DAYS(TODAY(),Таблица10[[#This Row],[Дата Народження]])/365&gt;19,"Старше","Молодше")</f>
        <v>Молодше</v>
      </c>
    </row>
    <row r="14" spans="1:20" ht="45" x14ac:dyDescent="0.25">
      <c r="A14" s="34">
        <v>13</v>
      </c>
      <c r="B14" s="35" t="s">
        <v>119</v>
      </c>
      <c r="C14" s="36">
        <v>38196</v>
      </c>
      <c r="D14" s="35" t="s">
        <v>91</v>
      </c>
      <c r="E14" s="35" t="s">
        <v>92</v>
      </c>
      <c r="F14" s="37">
        <v>380503318127</v>
      </c>
      <c r="G14" s="35">
        <v>94</v>
      </c>
      <c r="H14" s="35">
        <v>94</v>
      </c>
      <c r="I14" s="35">
        <v>100</v>
      </c>
      <c r="J14" s="35">
        <v>93</v>
      </c>
      <c r="K14" s="35">
        <v>85</v>
      </c>
      <c r="L14" s="35">
        <v>92</v>
      </c>
      <c r="M14" s="35">
        <v>84</v>
      </c>
      <c r="N14" s="56">
        <f>SUM(Таблица10[[#This Row],[Основи трудового права]:[Програмування]])</f>
        <v>642</v>
      </c>
      <c r="O14" s="58">
        <f>AVERAGE(Таблица10[[#This Row],[Основи трудового права]:[Програмування]])</f>
        <v>91.714285714285708</v>
      </c>
      <c r="P14" s="35" t="s">
        <v>93</v>
      </c>
      <c r="Q14" s="35" t="s">
        <v>98</v>
      </c>
      <c r="R14" s="38" t="s">
        <v>95</v>
      </c>
      <c r="S14" s="35" t="str">
        <f>IF(Таблица10[[#This Row],[Середній бал]]&gt;=89,"Заслуговує","Не заслуговує")</f>
        <v>Заслуговує</v>
      </c>
      <c r="T14" s="35" t="str">
        <f ca="1">IF(_xlfn.DAYS(TODAY(),Таблица10[[#This Row],[Дата Народження]])/365&gt;19,"Старше","Молодше")</f>
        <v>Молодше</v>
      </c>
    </row>
    <row r="15" spans="1:20" ht="45" x14ac:dyDescent="0.25">
      <c r="A15" s="34">
        <v>14</v>
      </c>
      <c r="B15" s="35" t="s">
        <v>120</v>
      </c>
      <c r="C15" s="36">
        <v>37901</v>
      </c>
      <c r="D15" s="35" t="s">
        <v>97</v>
      </c>
      <c r="E15" s="35" t="s">
        <v>92</v>
      </c>
      <c r="F15" s="37">
        <v>380503318127</v>
      </c>
      <c r="G15" s="35">
        <v>84</v>
      </c>
      <c r="H15" s="35">
        <v>98</v>
      </c>
      <c r="I15" s="35">
        <v>85</v>
      </c>
      <c r="J15" s="35">
        <v>78</v>
      </c>
      <c r="K15" s="35">
        <v>77</v>
      </c>
      <c r="L15" s="35">
        <v>81</v>
      </c>
      <c r="M15" s="35">
        <v>74</v>
      </c>
      <c r="N15" s="56">
        <f>SUM(Таблица10[[#This Row],[Основи трудового права]:[Програмування]])</f>
        <v>577</v>
      </c>
      <c r="O15" s="58">
        <f>AVERAGE(Таблица10[[#This Row],[Основи трудового права]:[Програмування]])</f>
        <v>82.428571428571431</v>
      </c>
      <c r="P15" s="35" t="s">
        <v>93</v>
      </c>
      <c r="Q15" s="35" t="s">
        <v>121</v>
      </c>
      <c r="R15" s="38" t="s">
        <v>95</v>
      </c>
      <c r="S15" s="35" t="str">
        <f>IF(Таблица10[[#This Row],[Середній бал]]&gt;=89,"Заслуговує","Не заслуговує")</f>
        <v>Не заслуговує</v>
      </c>
      <c r="T15" s="35" t="str">
        <f ca="1">IF(_xlfn.DAYS(TODAY(),Таблица10[[#This Row],[Дата Народження]])/365&gt;19,"Старше","Молодше")</f>
        <v>Старше</v>
      </c>
    </row>
    <row r="16" spans="1:20" ht="45" x14ac:dyDescent="0.25">
      <c r="A16" s="34">
        <v>15</v>
      </c>
      <c r="B16" s="35" t="s">
        <v>122</v>
      </c>
      <c r="C16" s="36">
        <v>38153</v>
      </c>
      <c r="D16" s="35" t="s">
        <v>91</v>
      </c>
      <c r="E16" s="35" t="s">
        <v>123</v>
      </c>
      <c r="F16" s="37">
        <v>380503318127</v>
      </c>
      <c r="G16" s="35">
        <v>99</v>
      </c>
      <c r="H16" s="35">
        <v>98</v>
      </c>
      <c r="I16" s="35">
        <v>91</v>
      </c>
      <c r="J16" s="35">
        <v>90</v>
      </c>
      <c r="K16" s="35">
        <v>93</v>
      </c>
      <c r="L16" s="35">
        <v>93</v>
      </c>
      <c r="M16" s="35">
        <v>90</v>
      </c>
      <c r="N16" s="56">
        <f>SUM(Таблица10[[#This Row],[Основи трудового права]:[Програмування]])</f>
        <v>654</v>
      </c>
      <c r="O16" s="58">
        <f>AVERAGE(Таблица10[[#This Row],[Основи трудового права]:[Програмування]])</f>
        <v>93.428571428571431</v>
      </c>
      <c r="P16" s="35" t="s">
        <v>93</v>
      </c>
      <c r="Q16" s="35" t="s">
        <v>124</v>
      </c>
      <c r="R16" s="38" t="s">
        <v>102</v>
      </c>
      <c r="S16" s="35" t="str">
        <f>IF(Таблица10[[#This Row],[Середній бал]]&gt;=89,"Заслуговує","Не заслуговує")</f>
        <v>Заслуговує</v>
      </c>
      <c r="T16" s="35" t="str">
        <f ca="1">IF(_xlfn.DAYS(TODAY(),Таблица10[[#This Row],[Дата Народження]])/365&gt;19,"Старше","Молодше")</f>
        <v>Молодше</v>
      </c>
    </row>
    <row r="17" spans="1:22" ht="45" x14ac:dyDescent="0.25">
      <c r="A17" s="34">
        <v>16</v>
      </c>
      <c r="B17" s="35" t="s">
        <v>125</v>
      </c>
      <c r="C17" s="36">
        <v>38044</v>
      </c>
      <c r="D17" s="35" t="s">
        <v>91</v>
      </c>
      <c r="E17" s="35" t="s">
        <v>92</v>
      </c>
      <c r="F17" s="37">
        <v>380503318127</v>
      </c>
      <c r="G17" s="35">
        <v>99</v>
      </c>
      <c r="H17" s="35">
        <v>98</v>
      </c>
      <c r="I17" s="35">
        <v>100</v>
      </c>
      <c r="J17" s="35">
        <v>91</v>
      </c>
      <c r="K17" s="35">
        <v>87</v>
      </c>
      <c r="L17" s="35">
        <v>92</v>
      </c>
      <c r="M17" s="35">
        <v>92</v>
      </c>
      <c r="N17" s="56">
        <f>SUM(Таблица10[[#This Row],[Основи трудового права]:[Програмування]])</f>
        <v>659</v>
      </c>
      <c r="O17" s="58">
        <f>AVERAGE(Таблица10[[#This Row],[Основи трудового права]:[Програмування]])</f>
        <v>94.142857142857139</v>
      </c>
      <c r="P17" s="35" t="s">
        <v>93</v>
      </c>
      <c r="Q17" s="35" t="s">
        <v>115</v>
      </c>
      <c r="R17" s="38" t="s">
        <v>95</v>
      </c>
      <c r="S17" s="35" t="str">
        <f>IF(Таблица10[[#This Row],[Середній бал]]&gt;=89,"Заслуговує","Не заслуговує")</f>
        <v>Заслуговує</v>
      </c>
      <c r="T17" s="35" t="str">
        <f ca="1">IF(_xlfn.DAYS(TODAY(),Таблица10[[#This Row],[Дата Народження]])/365&gt;19,"Старше","Молодше")</f>
        <v>Молодше</v>
      </c>
    </row>
    <row r="18" spans="1:22" ht="45" x14ac:dyDescent="0.25">
      <c r="A18" s="34">
        <v>17</v>
      </c>
      <c r="B18" s="35" t="s">
        <v>126</v>
      </c>
      <c r="C18" s="36">
        <v>38212</v>
      </c>
      <c r="D18" s="35" t="s">
        <v>91</v>
      </c>
      <c r="E18" s="35" t="s">
        <v>127</v>
      </c>
      <c r="F18" s="37">
        <v>380503318127</v>
      </c>
      <c r="G18" s="35">
        <v>100</v>
      </c>
      <c r="H18" s="35">
        <v>97</v>
      </c>
      <c r="I18" s="35">
        <v>90</v>
      </c>
      <c r="J18" s="35">
        <v>86</v>
      </c>
      <c r="K18" s="35">
        <v>94</v>
      </c>
      <c r="L18" s="35">
        <v>92</v>
      </c>
      <c r="M18" s="35">
        <v>68</v>
      </c>
      <c r="N18" s="56">
        <f>SUM(Таблица10[[#This Row],[Основи трудового права]:[Програмування]])</f>
        <v>627</v>
      </c>
      <c r="O18" s="58">
        <f>AVERAGE(Таблица10[[#This Row],[Основи трудового права]:[Програмування]])</f>
        <v>89.571428571428569</v>
      </c>
      <c r="P18" s="35" t="s">
        <v>93</v>
      </c>
      <c r="Q18" s="35" t="s">
        <v>101</v>
      </c>
      <c r="R18" s="38" t="s">
        <v>102</v>
      </c>
      <c r="S18" s="35" t="str">
        <f>IF(Таблица10[[#This Row],[Середній бал]]&gt;=89,"Заслуговує","Не заслуговує")</f>
        <v>Заслуговує</v>
      </c>
      <c r="T18" s="35" t="str">
        <f ca="1">IF(_xlfn.DAYS(TODAY(),Таблица10[[#This Row],[Дата Народження]])/365&gt;19,"Старше","Молодше")</f>
        <v>Молодше</v>
      </c>
    </row>
    <row r="19" spans="1:22" ht="45" x14ac:dyDescent="0.25">
      <c r="A19" s="34">
        <v>18</v>
      </c>
      <c r="B19" s="35" t="s">
        <v>128</v>
      </c>
      <c r="C19" s="36">
        <v>38078</v>
      </c>
      <c r="D19" s="35" t="s">
        <v>91</v>
      </c>
      <c r="E19" s="35" t="s">
        <v>127</v>
      </c>
      <c r="F19" s="37">
        <v>380503318127</v>
      </c>
      <c r="G19" s="35">
        <v>95</v>
      </c>
      <c r="H19" s="35">
        <v>89</v>
      </c>
      <c r="I19" s="35">
        <v>88</v>
      </c>
      <c r="J19" s="35">
        <v>85</v>
      </c>
      <c r="K19" s="35">
        <v>77</v>
      </c>
      <c r="L19" s="35">
        <v>83</v>
      </c>
      <c r="M19" s="35">
        <v>77</v>
      </c>
      <c r="N19" s="56">
        <f>SUM(Таблица10[[#This Row],[Основи трудового права]:[Програмування]])</f>
        <v>594</v>
      </c>
      <c r="O19" s="58">
        <f>AVERAGE(Таблица10[[#This Row],[Основи трудового права]:[Програмування]])</f>
        <v>84.857142857142861</v>
      </c>
      <c r="P19" s="35" t="s">
        <v>93</v>
      </c>
      <c r="Q19" s="35" t="s">
        <v>129</v>
      </c>
      <c r="R19" s="38" t="s">
        <v>102</v>
      </c>
      <c r="S19" s="35" t="str">
        <f>IF(Таблица10[[#This Row],[Середній бал]]&gt;=89,"Заслуговує","Не заслуговує")</f>
        <v>Не заслуговує</v>
      </c>
      <c r="T19" s="35" t="str">
        <f ca="1">IF(_xlfn.DAYS(TODAY(),Таблица10[[#This Row],[Дата Народження]])/365&gt;19,"Старше","Молодше")</f>
        <v>Молодше</v>
      </c>
    </row>
    <row r="20" spans="1:22" ht="45" x14ac:dyDescent="0.25">
      <c r="A20" s="34">
        <v>19</v>
      </c>
      <c r="B20" s="35" t="s">
        <v>130</v>
      </c>
      <c r="C20" s="36">
        <v>38045</v>
      </c>
      <c r="D20" s="35" t="s">
        <v>91</v>
      </c>
      <c r="E20" s="35" t="s">
        <v>131</v>
      </c>
      <c r="F20" s="37">
        <v>380503318127</v>
      </c>
      <c r="G20" s="35">
        <v>93</v>
      </c>
      <c r="H20" s="35">
        <v>94</v>
      </c>
      <c r="I20" s="35">
        <v>97</v>
      </c>
      <c r="J20" s="35">
        <v>76</v>
      </c>
      <c r="K20" s="35">
        <v>81</v>
      </c>
      <c r="L20" s="35">
        <v>87</v>
      </c>
      <c r="M20" s="35">
        <v>90</v>
      </c>
      <c r="N20" s="56">
        <f>SUM(Таблица10[[#This Row],[Основи трудового права]:[Програмування]])</f>
        <v>618</v>
      </c>
      <c r="O20" s="58">
        <f>AVERAGE(Таблица10[[#This Row],[Основи трудового права]:[Програмування]])</f>
        <v>88.285714285714292</v>
      </c>
      <c r="P20" s="35" t="s">
        <v>93</v>
      </c>
      <c r="Q20" s="35" t="s">
        <v>115</v>
      </c>
      <c r="R20" s="38" t="s">
        <v>95</v>
      </c>
      <c r="S20" s="35" t="str">
        <f>IF(Таблица10[[#This Row],[Середній бал]]&gt;=89,"Заслуговує","Не заслуговує")</f>
        <v>Не заслуговує</v>
      </c>
      <c r="T20" s="35" t="str">
        <f ca="1">IF(_xlfn.DAYS(TODAY(),Таблица10[[#This Row],[Дата Народження]])/365&gt;19,"Старше","Молодше")</f>
        <v>Молодше</v>
      </c>
    </row>
    <row r="21" spans="1:22" ht="60" x14ac:dyDescent="0.25">
      <c r="A21" s="34">
        <v>20</v>
      </c>
      <c r="B21" s="35" t="s">
        <v>132</v>
      </c>
      <c r="C21" s="36">
        <v>38191</v>
      </c>
      <c r="D21" s="35" t="s">
        <v>91</v>
      </c>
      <c r="E21" s="35" t="s">
        <v>92</v>
      </c>
      <c r="F21" s="37">
        <v>380503318127</v>
      </c>
      <c r="G21" s="35">
        <v>99</v>
      </c>
      <c r="H21" s="35">
        <v>90</v>
      </c>
      <c r="I21" s="35">
        <v>91</v>
      </c>
      <c r="J21" s="35">
        <v>80</v>
      </c>
      <c r="K21" s="35">
        <v>72</v>
      </c>
      <c r="L21" s="35">
        <v>82</v>
      </c>
      <c r="M21" s="35">
        <v>79</v>
      </c>
      <c r="N21" s="56">
        <f>SUM(Таблица10[[#This Row],[Основи трудового права]:[Програмування]])</f>
        <v>593</v>
      </c>
      <c r="O21" s="58">
        <f>AVERAGE(Таблица10[[#This Row],[Основи трудового права]:[Програмування]])</f>
        <v>84.714285714285708</v>
      </c>
      <c r="P21" s="35" t="s">
        <v>93</v>
      </c>
      <c r="Q21" s="35" t="s">
        <v>98</v>
      </c>
      <c r="R21" s="38" t="s">
        <v>102</v>
      </c>
      <c r="S21" s="35" t="str">
        <f>IF(Таблица10[[#This Row],[Середній бал]]&gt;=89,"Заслуговує","Не заслуговує")</f>
        <v>Не заслуговує</v>
      </c>
      <c r="T21" s="35" t="str">
        <f ca="1">IF(_xlfn.DAYS(TODAY(),Таблица10[[#This Row],[Дата Народження]])/365&gt;19,"Старше","Молодше")</f>
        <v>Молодше</v>
      </c>
    </row>
    <row r="22" spans="1:22" ht="60" x14ac:dyDescent="0.25">
      <c r="A22" s="34">
        <v>21</v>
      </c>
      <c r="B22" s="35" t="s">
        <v>133</v>
      </c>
      <c r="C22" s="36">
        <v>38126</v>
      </c>
      <c r="D22" s="35" t="s">
        <v>91</v>
      </c>
      <c r="E22" s="35" t="s">
        <v>92</v>
      </c>
      <c r="F22" s="37">
        <v>380503318127</v>
      </c>
      <c r="G22" s="35">
        <v>93</v>
      </c>
      <c r="H22" s="35">
        <v>95</v>
      </c>
      <c r="I22" s="35">
        <v>93</v>
      </c>
      <c r="J22" s="35">
        <v>85</v>
      </c>
      <c r="K22" s="35">
        <v>90</v>
      </c>
      <c r="L22" s="35">
        <v>85</v>
      </c>
      <c r="M22" s="35">
        <v>71</v>
      </c>
      <c r="N22" s="56">
        <f>SUM(Таблица10[[#This Row],[Основи трудового права]:[Програмування]])</f>
        <v>612</v>
      </c>
      <c r="O22" s="58">
        <f>AVERAGE(Таблица10[[#This Row],[Основи трудового права]:[Програмування]])</f>
        <v>87.428571428571431</v>
      </c>
      <c r="P22" s="35" t="s">
        <v>93</v>
      </c>
      <c r="Q22" s="35" t="s">
        <v>134</v>
      </c>
      <c r="R22" s="38" t="s">
        <v>95</v>
      </c>
      <c r="S22" s="35" t="str">
        <f>IF(Таблица10[[#This Row],[Середній бал]]&gt;=89,"Заслуговує","Не заслуговує")</f>
        <v>Не заслуговує</v>
      </c>
      <c r="T22" s="35" t="str">
        <f ca="1">IF(_xlfn.DAYS(TODAY(),Таблица10[[#This Row],[Дата Народження]])/365&gt;19,"Старше","Молодше")</f>
        <v>Молодше</v>
      </c>
    </row>
    <row r="23" spans="1:22" ht="45" x14ac:dyDescent="0.25">
      <c r="A23" s="39">
        <v>22</v>
      </c>
      <c r="B23" s="40" t="s">
        <v>135</v>
      </c>
      <c r="C23" s="41">
        <v>38319</v>
      </c>
      <c r="D23" s="40" t="s">
        <v>91</v>
      </c>
      <c r="E23" s="40" t="s">
        <v>136</v>
      </c>
      <c r="F23" s="42">
        <v>380503318127</v>
      </c>
      <c r="G23" s="40">
        <v>90</v>
      </c>
      <c r="H23" s="40">
        <v>91</v>
      </c>
      <c r="I23" s="40">
        <v>90</v>
      </c>
      <c r="J23" s="40">
        <v>84</v>
      </c>
      <c r="K23" s="40">
        <v>75</v>
      </c>
      <c r="L23" s="40">
        <v>78</v>
      </c>
      <c r="M23" s="40">
        <v>72</v>
      </c>
      <c r="N23" s="56">
        <f>SUM(Таблица10[[#This Row],[Основи трудового права]:[Програмування]])</f>
        <v>580</v>
      </c>
      <c r="O23" s="58">
        <f>AVERAGE(Таблица10[[#This Row],[Основи трудового права]:[Програмування]])</f>
        <v>82.857142857142861</v>
      </c>
      <c r="P23" s="40" t="s">
        <v>93</v>
      </c>
      <c r="Q23" s="40" t="s">
        <v>108</v>
      </c>
      <c r="R23" s="43" t="s">
        <v>102</v>
      </c>
      <c r="S23" s="40" t="str">
        <f>IF(Таблица10[[#This Row],[Середній бал]]&gt;=89,"Заслуговує","Не заслуговує")</f>
        <v>Не заслуговує</v>
      </c>
      <c r="T23" s="40" t="str">
        <f ca="1">IF(_xlfn.DAYS(TODAY(),Таблица10[[#This Row],[Дата Народження]])/365&gt;19,"Старше","Молодше")</f>
        <v>Молодше</v>
      </c>
    </row>
    <row r="25" spans="1:22" x14ac:dyDescent="0.25">
      <c r="B25" s="49" t="s">
        <v>75</v>
      </c>
      <c r="C25" s="50" t="s">
        <v>0</v>
      </c>
      <c r="F25" s="49" t="s">
        <v>137</v>
      </c>
      <c r="G25" s="54" t="s">
        <v>0</v>
      </c>
      <c r="I25" s="53" t="s">
        <v>138</v>
      </c>
      <c r="J25" s="54" t="s">
        <v>0</v>
      </c>
      <c r="L25" s="53" t="s">
        <v>143</v>
      </c>
      <c r="M25" s="54" t="s">
        <v>0</v>
      </c>
      <c r="O25" s="53" t="s">
        <v>137</v>
      </c>
      <c r="P25" s="54" t="s">
        <v>148</v>
      </c>
      <c r="R25" s="53" t="s">
        <v>151</v>
      </c>
      <c r="S25" s="54" t="s">
        <v>150</v>
      </c>
      <c r="U25" s="53" t="s">
        <v>152</v>
      </c>
      <c r="V25" s="54" t="s">
        <v>153</v>
      </c>
    </row>
    <row r="26" spans="1:22" x14ac:dyDescent="0.25">
      <c r="B26" s="51" t="s">
        <v>91</v>
      </c>
      <c r="C26" s="52">
        <v>15</v>
      </c>
      <c r="F26" s="51" t="s">
        <v>92</v>
      </c>
      <c r="G26" s="55">
        <v>11</v>
      </c>
      <c r="I26" s="54" t="s">
        <v>93</v>
      </c>
      <c r="J26" s="55">
        <v>22</v>
      </c>
      <c r="L26" s="54" t="s">
        <v>141</v>
      </c>
      <c r="M26" s="55">
        <v>9</v>
      </c>
      <c r="O26" s="54" t="s">
        <v>123</v>
      </c>
      <c r="P26" s="55">
        <v>93</v>
      </c>
      <c r="R26" s="54" t="s">
        <v>94</v>
      </c>
      <c r="S26" s="57">
        <v>94.142857142857139</v>
      </c>
      <c r="U26" s="54" t="s">
        <v>102</v>
      </c>
      <c r="V26" s="57">
        <v>82.92307692307692</v>
      </c>
    </row>
    <row r="27" spans="1:22" x14ac:dyDescent="0.25">
      <c r="B27" s="51" t="s">
        <v>97</v>
      </c>
      <c r="C27" s="52">
        <v>7</v>
      </c>
      <c r="F27" s="51" t="s">
        <v>123</v>
      </c>
      <c r="G27" s="55">
        <v>1</v>
      </c>
      <c r="I27" s="54" t="s">
        <v>42</v>
      </c>
      <c r="J27" s="55">
        <v>22</v>
      </c>
      <c r="L27" s="54" t="s">
        <v>142</v>
      </c>
      <c r="M27" s="55">
        <v>13</v>
      </c>
      <c r="O27" s="54" t="s">
        <v>127</v>
      </c>
      <c r="P27" s="55">
        <v>85.5</v>
      </c>
      <c r="R27" s="54" t="s">
        <v>124</v>
      </c>
      <c r="S27" s="57">
        <v>93.428571428571431</v>
      </c>
      <c r="U27" s="54" t="s">
        <v>95</v>
      </c>
      <c r="V27" s="57">
        <v>82.888888888888886</v>
      </c>
    </row>
    <row r="28" spans="1:22" x14ac:dyDescent="0.25">
      <c r="B28" s="51" t="s">
        <v>42</v>
      </c>
      <c r="C28" s="52">
        <v>22</v>
      </c>
      <c r="F28" s="51" t="s">
        <v>118</v>
      </c>
      <c r="G28" s="55">
        <v>1</v>
      </c>
      <c r="L28" s="54" t="s">
        <v>42</v>
      </c>
      <c r="M28" s="55">
        <v>22</v>
      </c>
      <c r="O28" s="54" t="s">
        <v>112</v>
      </c>
      <c r="P28" s="55">
        <v>85</v>
      </c>
      <c r="R28" s="54" t="s">
        <v>115</v>
      </c>
      <c r="S28" s="57">
        <v>90.392857142857139</v>
      </c>
      <c r="U28" s="54" t="s">
        <v>42</v>
      </c>
      <c r="V28" s="57">
        <v>82.909090909090907</v>
      </c>
    </row>
    <row r="29" spans="1:22" x14ac:dyDescent="0.25">
      <c r="F29" s="51" t="s">
        <v>110</v>
      </c>
      <c r="G29" s="55">
        <v>1</v>
      </c>
      <c r="O29" s="54" t="s">
        <v>110</v>
      </c>
      <c r="P29" s="55">
        <v>85</v>
      </c>
      <c r="R29" s="54" t="s">
        <v>108</v>
      </c>
      <c r="S29" s="57">
        <v>88.214285714285722</v>
      </c>
    </row>
    <row r="30" spans="1:22" x14ac:dyDescent="0.25">
      <c r="F30" s="51" t="s">
        <v>127</v>
      </c>
      <c r="G30" s="55">
        <v>2</v>
      </c>
      <c r="O30" s="54" t="s">
        <v>105</v>
      </c>
      <c r="P30" s="55">
        <v>83.5</v>
      </c>
      <c r="R30" s="54" t="s">
        <v>101</v>
      </c>
      <c r="S30" s="57">
        <v>87.904761904761912</v>
      </c>
      <c r="U30" s="53" t="s">
        <v>73</v>
      </c>
      <c r="V30" s="54" t="s">
        <v>86</v>
      </c>
    </row>
    <row r="31" spans="1:22" x14ac:dyDescent="0.25">
      <c r="F31" s="51" t="s">
        <v>136</v>
      </c>
      <c r="G31" s="55">
        <v>1</v>
      </c>
      <c r="O31" s="54" t="s">
        <v>92</v>
      </c>
      <c r="P31" s="57">
        <v>82.727272727272734</v>
      </c>
      <c r="R31" s="54" t="s">
        <v>134</v>
      </c>
      <c r="S31" s="57">
        <v>87.428571428571431</v>
      </c>
      <c r="U31" s="54" t="s">
        <v>90</v>
      </c>
      <c r="V31" s="81">
        <v>94.142857142857139</v>
      </c>
    </row>
    <row r="32" spans="1:22" x14ac:dyDescent="0.25">
      <c r="F32" s="51" t="s">
        <v>112</v>
      </c>
      <c r="G32" s="55">
        <v>1</v>
      </c>
      <c r="O32" s="54" t="s">
        <v>131</v>
      </c>
      <c r="P32" s="55">
        <v>81</v>
      </c>
      <c r="R32" s="54" t="s">
        <v>106</v>
      </c>
      <c r="S32" s="57">
        <v>87.214285714285722</v>
      </c>
      <c r="U32" s="54" t="s">
        <v>96</v>
      </c>
      <c r="V32" s="81">
        <v>70</v>
      </c>
    </row>
    <row r="33" spans="1:22" x14ac:dyDescent="0.25">
      <c r="F33" s="51" t="s">
        <v>105</v>
      </c>
      <c r="G33" s="55">
        <v>2</v>
      </c>
      <c r="O33" s="54" t="s">
        <v>118</v>
      </c>
      <c r="P33" s="55">
        <v>79</v>
      </c>
      <c r="R33" s="54" t="s">
        <v>129</v>
      </c>
      <c r="S33" s="57">
        <v>84.857142857142861</v>
      </c>
      <c r="U33" s="54" t="s">
        <v>99</v>
      </c>
      <c r="V33" s="81">
        <v>81.428571428571431</v>
      </c>
    </row>
    <row r="34" spans="1:22" x14ac:dyDescent="0.25">
      <c r="F34" s="51" t="s">
        <v>100</v>
      </c>
      <c r="G34" s="55">
        <v>1</v>
      </c>
      <c r="O34" s="54" t="s">
        <v>100</v>
      </c>
      <c r="P34" s="55">
        <v>78</v>
      </c>
      <c r="R34" s="54" t="s">
        <v>98</v>
      </c>
      <c r="S34" s="57">
        <v>84.38095238095238</v>
      </c>
      <c r="U34" s="54" t="s">
        <v>103</v>
      </c>
      <c r="V34" s="81">
        <v>85</v>
      </c>
    </row>
    <row r="35" spans="1:22" x14ac:dyDescent="0.25">
      <c r="F35" s="51" t="s">
        <v>131</v>
      </c>
      <c r="G35" s="55">
        <v>1</v>
      </c>
      <c r="O35" s="54" t="s">
        <v>136</v>
      </c>
      <c r="P35" s="55">
        <v>75</v>
      </c>
      <c r="R35" s="54" t="s">
        <v>121</v>
      </c>
      <c r="S35" s="57">
        <v>82.428571428571431</v>
      </c>
      <c r="U35" s="54" t="s">
        <v>104</v>
      </c>
      <c r="V35" s="81">
        <v>88</v>
      </c>
    </row>
    <row r="36" spans="1:22" x14ac:dyDescent="0.25">
      <c r="F36" s="51" t="s">
        <v>42</v>
      </c>
      <c r="G36" s="55">
        <v>22</v>
      </c>
      <c r="O36" s="54" t="s">
        <v>42</v>
      </c>
      <c r="P36" s="57">
        <v>82.909090909090907</v>
      </c>
      <c r="R36" s="51" t="s">
        <v>42</v>
      </c>
      <c r="S36" s="57">
        <v>87.487012987012974</v>
      </c>
      <c r="U36" s="54" t="s">
        <v>107</v>
      </c>
      <c r="V36" s="81">
        <v>93.571428571428569</v>
      </c>
    </row>
    <row r="37" spans="1:22" x14ac:dyDescent="0.25">
      <c r="U37" s="54" t="s">
        <v>109</v>
      </c>
      <c r="V37" s="81">
        <v>92.714285714285708</v>
      </c>
    </row>
    <row r="38" spans="1:22" x14ac:dyDescent="0.25">
      <c r="O38" s="53" t="s">
        <v>137</v>
      </c>
      <c r="P38" s="54" t="s">
        <v>149</v>
      </c>
      <c r="R38" s="53" t="s">
        <v>75</v>
      </c>
      <c r="S38" s="54" t="s">
        <v>150</v>
      </c>
      <c r="U38" s="54" t="s">
        <v>111</v>
      </c>
      <c r="V38" s="81">
        <v>86.428571428571431</v>
      </c>
    </row>
    <row r="39" spans="1:22" x14ac:dyDescent="0.25">
      <c r="O39" s="54" t="s">
        <v>100</v>
      </c>
      <c r="P39" s="55">
        <v>76</v>
      </c>
      <c r="R39" s="54" t="s">
        <v>91</v>
      </c>
      <c r="S39" s="57">
        <v>89.304761904761889</v>
      </c>
      <c r="U39" s="54" t="s">
        <v>113</v>
      </c>
      <c r="V39" s="81">
        <v>88.571428571428569</v>
      </c>
    </row>
    <row r="40" spans="1:22" x14ac:dyDescent="0.25">
      <c r="O40" s="54" t="s">
        <v>136</v>
      </c>
      <c r="P40" s="55">
        <v>78</v>
      </c>
      <c r="R40" s="54" t="s">
        <v>97</v>
      </c>
      <c r="S40" s="57">
        <v>83.591836734693871</v>
      </c>
      <c r="U40" s="54" t="s">
        <v>114</v>
      </c>
      <c r="V40" s="81">
        <v>90</v>
      </c>
    </row>
    <row r="41" spans="1:22" x14ac:dyDescent="0.25">
      <c r="O41" s="54" t="s">
        <v>112</v>
      </c>
      <c r="P41" s="55">
        <v>80</v>
      </c>
      <c r="R41" s="54" t="s">
        <v>42</v>
      </c>
      <c r="S41" s="59">
        <v>87.487012987012974</v>
      </c>
      <c r="U41" s="54" t="s">
        <v>116</v>
      </c>
      <c r="V41" s="81">
        <v>86.285714285714292</v>
      </c>
    </row>
    <row r="42" spans="1:22" x14ac:dyDescent="0.25">
      <c r="O42" s="54" t="s">
        <v>92</v>
      </c>
      <c r="P42" s="55">
        <v>83</v>
      </c>
      <c r="U42" s="54" t="s">
        <v>117</v>
      </c>
      <c r="V42" s="81">
        <v>89.142857142857139</v>
      </c>
    </row>
    <row r="43" spans="1:22" x14ac:dyDescent="0.25">
      <c r="O43" s="54" t="s">
        <v>105</v>
      </c>
      <c r="P43" s="55">
        <v>87</v>
      </c>
      <c r="R43" s="53" t="s">
        <v>75</v>
      </c>
      <c r="S43" s="54" t="s">
        <v>148</v>
      </c>
      <c r="U43" s="54" t="s">
        <v>119</v>
      </c>
      <c r="V43" s="81">
        <v>91.714285714285708</v>
      </c>
    </row>
    <row r="44" spans="1:22" x14ac:dyDescent="0.25">
      <c r="I44" s="53" t="s">
        <v>146</v>
      </c>
      <c r="J44" s="54" t="s">
        <v>0</v>
      </c>
      <c r="O44" s="54" t="s">
        <v>131</v>
      </c>
      <c r="P44" s="55">
        <v>87</v>
      </c>
      <c r="R44" s="54" t="s">
        <v>91</v>
      </c>
      <c r="S44" s="57">
        <v>83.86666666666666</v>
      </c>
      <c r="U44" s="54" t="s">
        <v>120</v>
      </c>
      <c r="V44" s="81">
        <v>82.428571428571431</v>
      </c>
    </row>
    <row r="45" spans="1:22" x14ac:dyDescent="0.25">
      <c r="A45" s="47" t="s">
        <v>147</v>
      </c>
      <c r="B45" s="25" t="s">
        <v>0</v>
      </c>
      <c r="I45" s="54" t="s">
        <v>144</v>
      </c>
      <c r="J45" s="55">
        <v>18</v>
      </c>
      <c r="O45" s="54" t="s">
        <v>110</v>
      </c>
      <c r="P45" s="55">
        <v>87</v>
      </c>
      <c r="R45" s="54" t="s">
        <v>97</v>
      </c>
      <c r="S45" s="57">
        <v>80.857142857142861</v>
      </c>
      <c r="U45" s="54" t="s">
        <v>122</v>
      </c>
      <c r="V45" s="81">
        <v>93.428571428571431</v>
      </c>
    </row>
    <row r="46" spans="1:22" x14ac:dyDescent="0.25">
      <c r="A46" s="25" t="s">
        <v>102</v>
      </c>
      <c r="B46" s="48">
        <v>13</v>
      </c>
      <c r="I46" s="54" t="s">
        <v>145</v>
      </c>
      <c r="J46" s="55">
        <v>4</v>
      </c>
      <c r="O46" s="54" t="s">
        <v>127</v>
      </c>
      <c r="P46" s="55">
        <v>87.5</v>
      </c>
      <c r="R46" s="54" t="s">
        <v>42</v>
      </c>
      <c r="S46" s="57">
        <v>82.909090909090907</v>
      </c>
      <c r="U46" s="54" t="s">
        <v>125</v>
      </c>
      <c r="V46" s="81">
        <v>94.142857142857139</v>
      </c>
    </row>
    <row r="47" spans="1:22" x14ac:dyDescent="0.25">
      <c r="A47" s="25" t="s">
        <v>95</v>
      </c>
      <c r="B47" s="48">
        <v>9</v>
      </c>
      <c r="I47" s="54" t="s">
        <v>42</v>
      </c>
      <c r="J47" s="55">
        <v>22</v>
      </c>
      <c r="O47" s="54" t="s">
        <v>118</v>
      </c>
      <c r="P47" s="55">
        <v>90</v>
      </c>
      <c r="U47" s="54" t="s">
        <v>126</v>
      </c>
      <c r="V47" s="81">
        <v>89.571428571428569</v>
      </c>
    </row>
    <row r="48" spans="1:22" x14ac:dyDescent="0.25">
      <c r="A48" s="25" t="s">
        <v>42</v>
      </c>
      <c r="B48" s="48">
        <v>22</v>
      </c>
      <c r="O48" s="54" t="s">
        <v>123</v>
      </c>
      <c r="P48" s="55">
        <v>93</v>
      </c>
      <c r="U48" s="54" t="s">
        <v>128</v>
      </c>
      <c r="V48" s="81">
        <v>84.857142857142861</v>
      </c>
    </row>
    <row r="49" spans="15:22" x14ac:dyDescent="0.25">
      <c r="O49" s="54" t="s">
        <v>42</v>
      </c>
      <c r="P49" s="60">
        <v>84.227272727272734</v>
      </c>
      <c r="U49" s="54" t="s">
        <v>130</v>
      </c>
      <c r="V49" s="81">
        <v>88.285714285714292</v>
      </c>
    </row>
    <row r="50" spans="15:22" x14ac:dyDescent="0.25">
      <c r="U50" s="54" t="s">
        <v>132</v>
      </c>
      <c r="V50" s="81">
        <v>84.714285714285708</v>
      </c>
    </row>
    <row r="51" spans="15:22" x14ac:dyDescent="0.25">
      <c r="U51" s="54" t="s">
        <v>133</v>
      </c>
      <c r="V51" s="81">
        <v>87.428571428571431</v>
      </c>
    </row>
    <row r="52" spans="15:22" x14ac:dyDescent="0.25">
      <c r="U52" s="54" t="s">
        <v>135</v>
      </c>
      <c r="V52" s="81">
        <v>82.857142857142861</v>
      </c>
    </row>
    <row r="53" spans="15:22" x14ac:dyDescent="0.25">
      <c r="U53" s="54" t="s">
        <v>42</v>
      </c>
      <c r="V53" s="81">
        <v>87.487012987012974</v>
      </c>
    </row>
  </sheetData>
  <pageMargins left="0.7" right="0.7" top="0.75" bottom="0.75" header="0.3" footer="0.3"/>
  <pageSetup paperSize="9" orientation="portrait" r:id="rId14"/>
  <drawing r:id="rId15"/>
  <tableParts count="1"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A074-6B4D-4903-82C6-0A9AE5D3B3CB}">
  <dimension ref="A1:H56"/>
  <sheetViews>
    <sheetView tabSelected="1" topLeftCell="D38" zoomScale="78" zoomScaleNormal="78" workbookViewId="0">
      <selection activeCell="N11" sqref="N11"/>
    </sheetView>
  </sheetViews>
  <sheetFormatPr defaultRowHeight="15" outlineLevelRow="4" x14ac:dyDescent="0.25"/>
  <cols>
    <col min="1" max="1" width="40.42578125" bestFit="1" customWidth="1"/>
    <col min="3" max="3" width="36.7109375" bestFit="1" customWidth="1"/>
    <col min="4" max="4" width="30.7109375" bestFit="1" customWidth="1"/>
    <col min="5" max="5" width="28.28515625" bestFit="1" customWidth="1"/>
    <col min="6" max="6" width="31.5703125" bestFit="1" customWidth="1"/>
    <col min="7" max="7" width="25.85546875" bestFit="1" customWidth="1"/>
    <col min="8" max="8" width="17.5703125" customWidth="1"/>
    <col min="10" max="10" width="39.5703125" bestFit="1" customWidth="1"/>
  </cols>
  <sheetData>
    <row r="1" spans="1:8" ht="28.5" x14ac:dyDescent="0.25">
      <c r="A1" s="61" t="s">
        <v>73</v>
      </c>
      <c r="B1" s="61" t="s">
        <v>154</v>
      </c>
      <c r="C1" s="61" t="s">
        <v>155</v>
      </c>
      <c r="D1" s="61" t="s">
        <v>156</v>
      </c>
      <c r="E1" s="61" t="s">
        <v>157</v>
      </c>
      <c r="F1" s="61" t="s">
        <v>158</v>
      </c>
      <c r="G1" s="61" t="s">
        <v>159</v>
      </c>
    </row>
    <row r="2" spans="1:8" outlineLevel="4" x14ac:dyDescent="0.25">
      <c r="A2" s="62" t="s">
        <v>172</v>
      </c>
      <c r="B2" s="67" t="s">
        <v>160</v>
      </c>
      <c r="C2" s="67">
        <v>62</v>
      </c>
      <c r="D2" s="67">
        <v>812</v>
      </c>
      <c r="E2" s="68">
        <f>D2/C2</f>
        <v>13.096774193548388</v>
      </c>
      <c r="F2" s="69">
        <f>SUM(D2:D4,)/SUM(C2:C4)</f>
        <v>10.858895705521473</v>
      </c>
      <c r="G2" s="63">
        <f>SUM(D2:D13)/SUM(C2:C13)</f>
        <v>12.569090909090908</v>
      </c>
      <c r="H2" s="22"/>
    </row>
    <row r="3" spans="1:8" outlineLevel="4" x14ac:dyDescent="0.25">
      <c r="A3" s="62"/>
      <c r="B3" s="67" t="s">
        <v>161</v>
      </c>
      <c r="C3" s="67">
        <v>47</v>
      </c>
      <c r="D3" s="67">
        <v>469</v>
      </c>
      <c r="E3" s="68">
        <f t="shared" ref="E3:E13" si="0">D3/C3</f>
        <v>9.9787234042553195</v>
      </c>
      <c r="F3" s="69"/>
      <c r="G3" s="63"/>
      <c r="H3" s="22"/>
    </row>
    <row r="4" spans="1:8" outlineLevel="4" x14ac:dyDescent="0.25">
      <c r="A4" s="62"/>
      <c r="B4" s="67" t="s">
        <v>162</v>
      </c>
      <c r="C4" s="67">
        <v>54</v>
      </c>
      <c r="D4" s="67">
        <v>489</v>
      </c>
      <c r="E4" s="68">
        <f t="shared" si="0"/>
        <v>9.0555555555555554</v>
      </c>
      <c r="F4" s="69"/>
      <c r="G4" s="63"/>
      <c r="H4" s="22"/>
    </row>
    <row r="5" spans="1:8" outlineLevel="4" x14ac:dyDescent="0.25">
      <c r="A5" s="62"/>
      <c r="B5" s="67" t="s">
        <v>164</v>
      </c>
      <c r="C5" s="67">
        <v>24</v>
      </c>
      <c r="D5" s="67">
        <v>687</v>
      </c>
      <c r="E5" s="68">
        <f t="shared" si="0"/>
        <v>28.625</v>
      </c>
      <c r="F5" s="64">
        <f>SUM(D5:D7)/SUM(C5:C7)</f>
        <v>12.038095238095238</v>
      </c>
      <c r="G5" s="63"/>
      <c r="H5" s="22"/>
    </row>
    <row r="6" spans="1:8" outlineLevel="4" x14ac:dyDescent="0.25">
      <c r="A6" s="62"/>
      <c r="B6" s="67" t="s">
        <v>163</v>
      </c>
      <c r="C6" s="67">
        <v>59</v>
      </c>
      <c r="D6" s="67">
        <v>334</v>
      </c>
      <c r="E6" s="68">
        <f t="shared" si="0"/>
        <v>5.6610169491525424</v>
      </c>
      <c r="F6" s="64"/>
      <c r="G6" s="63"/>
      <c r="H6" s="22"/>
    </row>
    <row r="7" spans="1:8" outlineLevel="4" x14ac:dyDescent="0.25">
      <c r="A7" s="62"/>
      <c r="B7" s="67" t="s">
        <v>165</v>
      </c>
      <c r="C7" s="67">
        <v>22</v>
      </c>
      <c r="D7" s="67">
        <v>243</v>
      </c>
      <c r="E7" s="68">
        <f t="shared" si="0"/>
        <v>11.045454545454545</v>
      </c>
      <c r="F7" s="64"/>
      <c r="G7" s="63"/>
      <c r="H7" s="22"/>
    </row>
    <row r="8" spans="1:8" outlineLevel="4" x14ac:dyDescent="0.25">
      <c r="A8" s="62"/>
      <c r="B8" s="67" t="s">
        <v>166</v>
      </c>
      <c r="C8" s="67">
        <v>36</v>
      </c>
      <c r="D8" s="67">
        <v>689</v>
      </c>
      <c r="E8" s="68">
        <f t="shared" si="0"/>
        <v>19.138888888888889</v>
      </c>
      <c r="F8" s="64">
        <f>SUM(D8:D10)/SUM(C8:C10)</f>
        <v>17.376923076923077</v>
      </c>
      <c r="G8" s="63"/>
      <c r="H8" s="22"/>
    </row>
    <row r="9" spans="1:8" outlineLevel="4" x14ac:dyDescent="0.25">
      <c r="A9" s="62"/>
      <c r="B9" s="67" t="s">
        <v>167</v>
      </c>
      <c r="C9" s="67">
        <v>25</v>
      </c>
      <c r="D9" s="67">
        <v>978</v>
      </c>
      <c r="E9" s="68">
        <f t="shared" si="0"/>
        <v>39.119999999999997</v>
      </c>
      <c r="F9" s="64"/>
      <c r="G9" s="63"/>
      <c r="H9" s="22"/>
    </row>
    <row r="10" spans="1:8" outlineLevel="4" x14ac:dyDescent="0.25">
      <c r="A10" s="62"/>
      <c r="B10" s="67" t="s">
        <v>168</v>
      </c>
      <c r="C10" s="67">
        <v>69</v>
      </c>
      <c r="D10" s="67">
        <v>592</v>
      </c>
      <c r="E10" s="68">
        <f t="shared" si="0"/>
        <v>8.579710144927537</v>
      </c>
      <c r="F10" s="64"/>
      <c r="G10" s="63"/>
      <c r="H10" s="22"/>
    </row>
    <row r="11" spans="1:8" outlineLevel="4" x14ac:dyDescent="0.25">
      <c r="A11" s="62"/>
      <c r="B11" s="67" t="s">
        <v>169</v>
      </c>
      <c r="C11" s="67">
        <v>45</v>
      </c>
      <c r="D11" s="67">
        <v>478</v>
      </c>
      <c r="E11" s="68">
        <f t="shared" si="0"/>
        <v>10.622222222222222</v>
      </c>
      <c r="F11" s="69">
        <f>SUM(D11:D13)/SUM(C11:C13)</f>
        <v>10.657894736842104</v>
      </c>
      <c r="G11" s="63"/>
      <c r="H11" s="22"/>
    </row>
    <row r="12" spans="1:8" outlineLevel="4" x14ac:dyDescent="0.25">
      <c r="A12" s="62"/>
      <c r="B12" s="67" t="s">
        <v>170</v>
      </c>
      <c r="C12" s="67">
        <v>33</v>
      </c>
      <c r="D12" s="67">
        <v>399</v>
      </c>
      <c r="E12" s="68">
        <f t="shared" si="0"/>
        <v>12.090909090909092</v>
      </c>
      <c r="F12" s="69"/>
      <c r="G12" s="63"/>
      <c r="H12" s="22"/>
    </row>
    <row r="13" spans="1:8" outlineLevel="4" x14ac:dyDescent="0.25">
      <c r="A13" s="62"/>
      <c r="B13" s="67" t="s">
        <v>171</v>
      </c>
      <c r="C13" s="67">
        <v>74</v>
      </c>
      <c r="D13" s="67">
        <v>743</v>
      </c>
      <c r="E13" s="68">
        <f t="shared" si="0"/>
        <v>10.04054054054054</v>
      </c>
      <c r="F13" s="69"/>
      <c r="G13" s="63"/>
      <c r="H13" s="22"/>
    </row>
    <row r="14" spans="1:8" outlineLevel="2" x14ac:dyDescent="0.25">
      <c r="A14" s="66" t="s">
        <v>174</v>
      </c>
      <c r="B14" s="67"/>
      <c r="C14" s="67">
        <f>SUBTOTAL(9,C2:C13)</f>
        <v>550</v>
      </c>
      <c r="D14" s="67">
        <f>SUBTOTAL(9,D2:D13)</f>
        <v>6913</v>
      </c>
      <c r="E14" s="68"/>
      <c r="F14" s="70"/>
      <c r="G14" s="65">
        <f>SUBTOTAL(9,G2:G13)</f>
        <v>12.569090909090908</v>
      </c>
    </row>
    <row r="15" spans="1:8" outlineLevel="4" x14ac:dyDescent="0.25">
      <c r="A15" s="62" t="s">
        <v>173</v>
      </c>
      <c r="B15" s="67" t="s">
        <v>160</v>
      </c>
      <c r="C15" s="67">
        <v>64</v>
      </c>
      <c r="D15" s="67">
        <v>811</v>
      </c>
      <c r="E15" s="68">
        <f>D15/C15</f>
        <v>12.671875</v>
      </c>
      <c r="F15" s="69">
        <f>SUM(D15:D17,)/SUM(C15:C17)</f>
        <v>13.586776859504132</v>
      </c>
      <c r="G15" s="63">
        <f>SUM(D15:D26)/SUM(C15:C26)</f>
        <v>12.007155635062611</v>
      </c>
      <c r="H15" s="22"/>
    </row>
    <row r="16" spans="1:8" outlineLevel="4" x14ac:dyDescent="0.25">
      <c r="A16" s="62"/>
      <c r="B16" s="67" t="s">
        <v>161</v>
      </c>
      <c r="C16" s="67">
        <v>45</v>
      </c>
      <c r="D16" s="67">
        <v>444</v>
      </c>
      <c r="E16" s="68">
        <f t="shared" ref="E16:E26" si="1">D16/C16</f>
        <v>9.8666666666666671</v>
      </c>
      <c r="F16" s="69"/>
      <c r="G16" s="63"/>
      <c r="H16" s="22"/>
    </row>
    <row r="17" spans="1:8" outlineLevel="4" x14ac:dyDescent="0.25">
      <c r="A17" s="62"/>
      <c r="B17" s="67" t="s">
        <v>162</v>
      </c>
      <c r="C17" s="67">
        <v>12</v>
      </c>
      <c r="D17" s="67">
        <v>389</v>
      </c>
      <c r="E17" s="68">
        <f t="shared" si="1"/>
        <v>32.416666666666664</v>
      </c>
      <c r="F17" s="69"/>
      <c r="G17" s="63"/>
      <c r="H17" s="22"/>
    </row>
    <row r="18" spans="1:8" outlineLevel="4" x14ac:dyDescent="0.25">
      <c r="A18" s="62"/>
      <c r="B18" s="67" t="s">
        <v>164</v>
      </c>
      <c r="C18" s="67">
        <v>44</v>
      </c>
      <c r="D18" s="67">
        <v>690</v>
      </c>
      <c r="E18" s="68">
        <f t="shared" si="1"/>
        <v>15.681818181818182</v>
      </c>
      <c r="F18" s="64">
        <f>SUM(D18:D20)/SUM(C18:C20)</f>
        <v>8.612244897959183</v>
      </c>
      <c r="G18" s="63"/>
      <c r="H18" s="22"/>
    </row>
    <row r="19" spans="1:8" outlineLevel="4" x14ac:dyDescent="0.25">
      <c r="A19" s="62"/>
      <c r="B19" s="67" t="s">
        <v>163</v>
      </c>
      <c r="C19" s="67">
        <v>79</v>
      </c>
      <c r="D19" s="67">
        <v>311</v>
      </c>
      <c r="E19" s="68">
        <f t="shared" si="1"/>
        <v>3.9367088607594938</v>
      </c>
      <c r="F19" s="64"/>
      <c r="G19" s="63"/>
      <c r="H19" s="22"/>
    </row>
    <row r="20" spans="1:8" outlineLevel="4" x14ac:dyDescent="0.25">
      <c r="A20" s="62"/>
      <c r="B20" s="67" t="s">
        <v>165</v>
      </c>
      <c r="C20" s="67">
        <v>24</v>
      </c>
      <c r="D20" s="67">
        <v>265</v>
      </c>
      <c r="E20" s="68">
        <f t="shared" si="1"/>
        <v>11.041666666666666</v>
      </c>
      <c r="F20" s="64"/>
      <c r="G20" s="63"/>
      <c r="H20" s="22"/>
    </row>
    <row r="21" spans="1:8" outlineLevel="4" x14ac:dyDescent="0.25">
      <c r="A21" s="62"/>
      <c r="B21" s="67" t="s">
        <v>166</v>
      </c>
      <c r="C21" s="67">
        <v>37</v>
      </c>
      <c r="D21" s="67">
        <v>677</v>
      </c>
      <c r="E21" s="68">
        <f t="shared" si="1"/>
        <v>18.297297297297298</v>
      </c>
      <c r="F21" s="64">
        <f>SUM(D21:D23)/SUM(C21:C23)</f>
        <v>17.653543307086615</v>
      </c>
      <c r="G21" s="63"/>
      <c r="H21" s="22"/>
    </row>
    <row r="22" spans="1:8" outlineLevel="4" x14ac:dyDescent="0.25">
      <c r="A22" s="62"/>
      <c r="B22" s="67" t="s">
        <v>167</v>
      </c>
      <c r="C22" s="67">
        <v>21</v>
      </c>
      <c r="D22" s="67">
        <v>977</v>
      </c>
      <c r="E22" s="68">
        <f t="shared" si="1"/>
        <v>46.523809523809526</v>
      </c>
      <c r="F22" s="64"/>
      <c r="G22" s="63"/>
      <c r="H22" s="22"/>
    </row>
    <row r="23" spans="1:8" outlineLevel="4" x14ac:dyDescent="0.25">
      <c r="A23" s="62"/>
      <c r="B23" s="67" t="s">
        <v>168</v>
      </c>
      <c r="C23" s="67">
        <v>69</v>
      </c>
      <c r="D23" s="67">
        <v>588</v>
      </c>
      <c r="E23" s="68">
        <f t="shared" si="1"/>
        <v>8.5217391304347831</v>
      </c>
      <c r="F23" s="64"/>
      <c r="G23" s="63"/>
      <c r="H23" s="22"/>
    </row>
    <row r="24" spans="1:8" outlineLevel="4" x14ac:dyDescent="0.25">
      <c r="A24" s="62"/>
      <c r="B24" s="67" t="s">
        <v>169</v>
      </c>
      <c r="C24" s="67">
        <v>50</v>
      </c>
      <c r="D24" s="67">
        <v>432</v>
      </c>
      <c r="E24" s="68">
        <f t="shared" si="1"/>
        <v>8.64</v>
      </c>
      <c r="F24" s="69">
        <f>SUM(D24:D26)/SUM(C24:C26)</f>
        <v>9.5121951219512191</v>
      </c>
      <c r="G24" s="63"/>
      <c r="H24" s="22"/>
    </row>
    <row r="25" spans="1:8" outlineLevel="4" x14ac:dyDescent="0.25">
      <c r="A25" s="62"/>
      <c r="B25" s="67" t="s">
        <v>170</v>
      </c>
      <c r="C25" s="67">
        <v>34</v>
      </c>
      <c r="D25" s="67">
        <v>385</v>
      </c>
      <c r="E25" s="68">
        <f t="shared" si="1"/>
        <v>11.323529411764707</v>
      </c>
      <c r="F25" s="69"/>
      <c r="G25" s="63"/>
      <c r="H25" s="22"/>
    </row>
    <row r="26" spans="1:8" outlineLevel="4" x14ac:dyDescent="0.25">
      <c r="A26" s="62"/>
      <c r="B26" s="67" t="s">
        <v>171</v>
      </c>
      <c r="C26" s="67">
        <v>80</v>
      </c>
      <c r="D26" s="67">
        <v>743</v>
      </c>
      <c r="E26" s="68">
        <f t="shared" si="1"/>
        <v>9.2874999999999996</v>
      </c>
      <c r="F26" s="69"/>
      <c r="G26" s="63"/>
      <c r="H26" s="22"/>
    </row>
    <row r="27" spans="1:8" outlineLevel="2" x14ac:dyDescent="0.25">
      <c r="A27" s="66" t="s">
        <v>179</v>
      </c>
      <c r="B27" s="67"/>
      <c r="C27" s="67">
        <f>SUBTOTAL(9,C15:C26)</f>
        <v>559</v>
      </c>
      <c r="D27" s="67">
        <f>SUBTOTAL(9,D15:D26)</f>
        <v>6712</v>
      </c>
      <c r="E27" s="68"/>
      <c r="F27" s="70"/>
      <c r="G27" s="65">
        <f>SUBTOTAL(9,G15:G26)</f>
        <v>12.007155635062611</v>
      </c>
    </row>
    <row r="28" spans="1:8" outlineLevel="4" x14ac:dyDescent="0.25">
      <c r="A28" s="62" t="s">
        <v>175</v>
      </c>
      <c r="B28" s="67" t="s">
        <v>160</v>
      </c>
      <c r="C28" s="67">
        <v>23</v>
      </c>
      <c r="D28" s="67">
        <v>234</v>
      </c>
      <c r="E28" s="68">
        <f>D28/C28</f>
        <v>10.173913043478262</v>
      </c>
      <c r="F28" s="69">
        <f>SUM(D28:D30,)/SUM(C28:C30)</f>
        <v>13.285714285714286</v>
      </c>
      <c r="G28" s="63">
        <f>SUM(D28:D39)/SUM(C28:C39)</f>
        <v>10.686274509803921</v>
      </c>
      <c r="H28" s="22"/>
    </row>
    <row r="29" spans="1:8" outlineLevel="4" x14ac:dyDescent="0.25">
      <c r="A29" s="62"/>
      <c r="B29" s="67" t="s">
        <v>161</v>
      </c>
      <c r="C29" s="67">
        <v>43</v>
      </c>
      <c r="D29" s="67">
        <v>654</v>
      </c>
      <c r="E29" s="68">
        <f t="shared" ref="E29:E39" si="2">D29/C29</f>
        <v>15.209302325581396</v>
      </c>
      <c r="F29" s="69"/>
      <c r="G29" s="63"/>
      <c r="H29" s="22"/>
    </row>
    <row r="30" spans="1:8" outlineLevel="4" x14ac:dyDescent="0.25">
      <c r="A30" s="62"/>
      <c r="B30" s="67" t="s">
        <v>162</v>
      </c>
      <c r="C30" s="67">
        <v>25</v>
      </c>
      <c r="D30" s="67">
        <v>321</v>
      </c>
      <c r="E30" s="68">
        <f t="shared" si="2"/>
        <v>12.84</v>
      </c>
      <c r="F30" s="69"/>
      <c r="G30" s="63"/>
      <c r="H30" s="22"/>
    </row>
    <row r="31" spans="1:8" outlineLevel="4" x14ac:dyDescent="0.25">
      <c r="A31" s="62"/>
      <c r="B31" s="67" t="s">
        <v>164</v>
      </c>
      <c r="C31" s="67">
        <v>23</v>
      </c>
      <c r="D31" s="67">
        <v>453</v>
      </c>
      <c r="E31" s="68">
        <f t="shared" si="2"/>
        <v>19.695652173913043</v>
      </c>
      <c r="F31" s="64">
        <f>SUM(D31:D33)/SUM(C31:C33)</f>
        <v>9.3636363636363633</v>
      </c>
      <c r="G31" s="63"/>
      <c r="H31" s="22"/>
    </row>
    <row r="32" spans="1:8" outlineLevel="4" x14ac:dyDescent="0.25">
      <c r="A32" s="62"/>
      <c r="B32" s="67" t="s">
        <v>163</v>
      </c>
      <c r="C32" s="67">
        <v>55</v>
      </c>
      <c r="D32" s="67">
        <v>655</v>
      </c>
      <c r="E32" s="68">
        <f t="shared" si="2"/>
        <v>11.909090909090908</v>
      </c>
      <c r="F32" s="64"/>
      <c r="G32" s="63"/>
      <c r="H32" s="22"/>
    </row>
    <row r="33" spans="1:8" outlineLevel="4" x14ac:dyDescent="0.25">
      <c r="A33" s="62"/>
      <c r="B33" s="67" t="s">
        <v>165</v>
      </c>
      <c r="C33" s="67">
        <v>65</v>
      </c>
      <c r="D33" s="67">
        <v>231</v>
      </c>
      <c r="E33" s="68">
        <f t="shared" si="2"/>
        <v>3.5538461538461537</v>
      </c>
      <c r="F33" s="64"/>
      <c r="G33" s="63"/>
      <c r="H33" s="22"/>
    </row>
    <row r="34" spans="1:8" outlineLevel="4" x14ac:dyDescent="0.25">
      <c r="A34" s="62"/>
      <c r="B34" s="67" t="s">
        <v>166</v>
      </c>
      <c r="C34" s="67">
        <v>32</v>
      </c>
      <c r="D34" s="67">
        <v>352</v>
      </c>
      <c r="E34" s="68">
        <f t="shared" si="2"/>
        <v>11</v>
      </c>
      <c r="F34" s="64">
        <f>SUM(D34:D36)/SUM(C34:C36)</f>
        <v>7.8881118881118883</v>
      </c>
      <c r="G34" s="63"/>
      <c r="H34" s="22"/>
    </row>
    <row r="35" spans="1:8" outlineLevel="4" x14ac:dyDescent="0.25">
      <c r="A35" s="62"/>
      <c r="B35" s="67" t="s">
        <v>167</v>
      </c>
      <c r="C35" s="67">
        <v>46</v>
      </c>
      <c r="D35" s="67">
        <v>543</v>
      </c>
      <c r="E35" s="68">
        <f t="shared" si="2"/>
        <v>11.804347826086957</v>
      </c>
      <c r="F35" s="64"/>
      <c r="G35" s="63"/>
      <c r="H35" s="22"/>
    </row>
    <row r="36" spans="1:8" outlineLevel="4" x14ac:dyDescent="0.25">
      <c r="A36" s="62"/>
      <c r="B36" s="67" t="s">
        <v>168</v>
      </c>
      <c r="C36" s="67">
        <v>65</v>
      </c>
      <c r="D36" s="67">
        <v>233</v>
      </c>
      <c r="E36" s="68">
        <f t="shared" si="2"/>
        <v>3.5846153846153848</v>
      </c>
      <c r="F36" s="64"/>
      <c r="G36" s="63"/>
      <c r="H36" s="22"/>
    </row>
    <row r="37" spans="1:8" outlineLevel="4" x14ac:dyDescent="0.25">
      <c r="A37" s="62"/>
      <c r="B37" s="67" t="s">
        <v>169</v>
      </c>
      <c r="C37" s="67">
        <v>32</v>
      </c>
      <c r="D37" s="67">
        <v>655</v>
      </c>
      <c r="E37" s="68">
        <f t="shared" si="2"/>
        <v>20.46875</v>
      </c>
      <c r="F37" s="69">
        <f>SUM(D37:D39)/SUM(C37:C39)</f>
        <v>13.338345864661655</v>
      </c>
      <c r="G37" s="63"/>
      <c r="H37" s="22"/>
    </row>
    <row r="38" spans="1:8" outlineLevel="4" x14ac:dyDescent="0.25">
      <c r="A38" s="62"/>
      <c r="B38" s="67" t="s">
        <v>170</v>
      </c>
      <c r="C38" s="67">
        <v>35</v>
      </c>
      <c r="D38" s="67">
        <v>676</v>
      </c>
      <c r="E38" s="68">
        <f t="shared" si="2"/>
        <v>19.314285714285713</v>
      </c>
      <c r="F38" s="69"/>
      <c r="G38" s="63"/>
      <c r="H38" s="22"/>
    </row>
    <row r="39" spans="1:8" outlineLevel="4" x14ac:dyDescent="0.25">
      <c r="A39" s="62"/>
      <c r="B39" s="67" t="s">
        <v>171</v>
      </c>
      <c r="C39" s="67">
        <v>66</v>
      </c>
      <c r="D39" s="67">
        <v>443</v>
      </c>
      <c r="E39" s="68">
        <f t="shared" si="2"/>
        <v>6.7121212121212119</v>
      </c>
      <c r="F39" s="69"/>
      <c r="G39" s="63"/>
      <c r="H39" s="22"/>
    </row>
    <row r="40" spans="1:8" outlineLevel="2" x14ac:dyDescent="0.25">
      <c r="A40" s="66" t="s">
        <v>178</v>
      </c>
      <c r="B40" s="67"/>
      <c r="C40" s="67">
        <f>SUBTOTAL(9,C28:C39)</f>
        <v>510</v>
      </c>
      <c r="D40" s="67">
        <f>SUBTOTAL(9,D28:D39)</f>
        <v>5450</v>
      </c>
      <c r="E40" s="68"/>
      <c r="F40" s="70"/>
      <c r="G40" s="65">
        <f>SUBTOTAL(9,G28:G39)</f>
        <v>10.686274509803921</v>
      </c>
    </row>
    <row r="41" spans="1:8" outlineLevel="4" x14ac:dyDescent="0.25">
      <c r="A41" s="62" t="s">
        <v>176</v>
      </c>
      <c r="B41" s="67" t="s">
        <v>160</v>
      </c>
      <c r="C41" s="67">
        <v>35</v>
      </c>
      <c r="D41" s="67">
        <v>433</v>
      </c>
      <c r="E41" s="68">
        <f>D41/C41</f>
        <v>12.371428571428572</v>
      </c>
      <c r="F41" s="69">
        <f>SUM(D41:D43,)/SUM(C41:C43)</f>
        <v>10.121621621621621</v>
      </c>
      <c r="G41" s="63">
        <f>SUM(D41:D52)/SUM(C41:C52)</f>
        <v>9.0961791831357051</v>
      </c>
      <c r="H41" s="22"/>
    </row>
    <row r="42" spans="1:8" outlineLevel="4" x14ac:dyDescent="0.25">
      <c r="A42" s="62"/>
      <c r="B42" s="67" t="s">
        <v>161</v>
      </c>
      <c r="C42" s="67">
        <v>46</v>
      </c>
      <c r="D42" s="67">
        <v>684</v>
      </c>
      <c r="E42" s="68">
        <f t="shared" ref="E42:E52" si="3">D42/C42</f>
        <v>14.869565217391305</v>
      </c>
      <c r="F42" s="69"/>
      <c r="G42" s="63"/>
      <c r="H42" s="22"/>
    </row>
    <row r="43" spans="1:8" outlineLevel="4" x14ac:dyDescent="0.25">
      <c r="A43" s="62"/>
      <c r="B43" s="67" t="s">
        <v>162</v>
      </c>
      <c r="C43" s="67">
        <v>67</v>
      </c>
      <c r="D43" s="67">
        <v>381</v>
      </c>
      <c r="E43" s="68">
        <f t="shared" si="3"/>
        <v>5.6865671641791042</v>
      </c>
      <c r="F43" s="69"/>
      <c r="G43" s="63"/>
      <c r="H43" s="22"/>
    </row>
    <row r="44" spans="1:8" outlineLevel="4" x14ac:dyDescent="0.25">
      <c r="A44" s="62"/>
      <c r="B44" s="67" t="s">
        <v>164</v>
      </c>
      <c r="C44" s="67">
        <v>85</v>
      </c>
      <c r="D44" s="67">
        <v>589</v>
      </c>
      <c r="E44" s="68">
        <f t="shared" si="3"/>
        <v>6.9294117647058826</v>
      </c>
      <c r="F44" s="64">
        <f>SUM(D44:D46)/SUM(C44:C46)</f>
        <v>14.705426356589147</v>
      </c>
      <c r="G44" s="63"/>
      <c r="H44" s="22"/>
    </row>
    <row r="45" spans="1:8" outlineLevel="4" x14ac:dyDescent="0.25">
      <c r="A45" s="62"/>
      <c r="B45" s="67" t="s">
        <v>163</v>
      </c>
      <c r="C45" s="67">
        <v>32</v>
      </c>
      <c r="D45" s="67">
        <v>432</v>
      </c>
      <c r="E45" s="68">
        <f t="shared" si="3"/>
        <v>13.5</v>
      </c>
      <c r="F45" s="64"/>
      <c r="G45" s="63"/>
      <c r="H45" s="22"/>
    </row>
    <row r="46" spans="1:8" outlineLevel="4" x14ac:dyDescent="0.25">
      <c r="A46" s="62"/>
      <c r="B46" s="67" t="s">
        <v>165</v>
      </c>
      <c r="C46" s="67">
        <v>12</v>
      </c>
      <c r="D46" s="67">
        <v>876</v>
      </c>
      <c r="E46" s="68">
        <f t="shared" si="3"/>
        <v>73</v>
      </c>
      <c r="F46" s="64"/>
      <c r="G46" s="63"/>
      <c r="H46" s="22"/>
    </row>
    <row r="47" spans="1:8" outlineLevel="4" x14ac:dyDescent="0.25">
      <c r="A47" s="62"/>
      <c r="B47" s="67" t="s">
        <v>166</v>
      </c>
      <c r="C47" s="67">
        <v>79</v>
      </c>
      <c r="D47" s="67">
        <v>584</v>
      </c>
      <c r="E47" s="68">
        <f t="shared" si="3"/>
        <v>7.3924050632911396</v>
      </c>
      <c r="F47" s="64">
        <f>SUM(D47:D49)/SUM(C47:C49)</f>
        <v>7.0853080568720381</v>
      </c>
      <c r="G47" s="63"/>
      <c r="H47" s="22"/>
    </row>
    <row r="48" spans="1:8" outlineLevel="4" x14ac:dyDescent="0.25">
      <c r="A48" s="62"/>
      <c r="B48" s="67" t="s">
        <v>167</v>
      </c>
      <c r="C48" s="67">
        <v>54</v>
      </c>
      <c r="D48" s="67">
        <v>322</v>
      </c>
      <c r="E48" s="68">
        <f t="shared" si="3"/>
        <v>5.9629629629629628</v>
      </c>
      <c r="F48" s="64"/>
      <c r="G48" s="63"/>
      <c r="H48" s="22"/>
    </row>
    <row r="49" spans="1:8" outlineLevel="4" x14ac:dyDescent="0.25">
      <c r="A49" s="62"/>
      <c r="B49" s="67" t="s">
        <v>168</v>
      </c>
      <c r="C49" s="67">
        <v>78</v>
      </c>
      <c r="D49" s="67">
        <v>589</v>
      </c>
      <c r="E49" s="68">
        <f t="shared" si="3"/>
        <v>7.5512820512820511</v>
      </c>
      <c r="F49" s="64"/>
      <c r="G49" s="63"/>
      <c r="H49" s="22"/>
    </row>
    <row r="50" spans="1:8" outlineLevel="4" x14ac:dyDescent="0.25">
      <c r="A50" s="62"/>
      <c r="B50" s="67" t="s">
        <v>169</v>
      </c>
      <c r="C50" s="67">
        <v>89</v>
      </c>
      <c r="D50" s="67">
        <v>895</v>
      </c>
      <c r="E50" s="68">
        <f t="shared" si="3"/>
        <v>10.056179775280899</v>
      </c>
      <c r="F50" s="69">
        <f>SUM(D50:D52)/SUM(C50:C52)</f>
        <v>7.4317343173431736</v>
      </c>
      <c r="G50" s="63"/>
      <c r="H50" s="22"/>
    </row>
    <row r="51" spans="1:8" outlineLevel="4" x14ac:dyDescent="0.25">
      <c r="A51" s="62"/>
      <c r="B51" s="67" t="s">
        <v>170</v>
      </c>
      <c r="C51" s="67">
        <v>90</v>
      </c>
      <c r="D51" s="67">
        <v>676</v>
      </c>
      <c r="E51" s="68">
        <f t="shared" si="3"/>
        <v>7.5111111111111111</v>
      </c>
      <c r="F51" s="69"/>
      <c r="G51" s="63"/>
      <c r="H51" s="22"/>
    </row>
    <row r="52" spans="1:8" outlineLevel="4" x14ac:dyDescent="0.25">
      <c r="A52" s="62"/>
      <c r="B52" s="67" t="s">
        <v>171</v>
      </c>
      <c r="C52" s="67">
        <v>92</v>
      </c>
      <c r="D52" s="67">
        <v>443</v>
      </c>
      <c r="E52" s="68">
        <f t="shared" si="3"/>
        <v>4.8152173913043477</v>
      </c>
      <c r="F52" s="69"/>
      <c r="G52" s="63"/>
      <c r="H52" s="22"/>
    </row>
    <row r="53" spans="1:8" outlineLevel="2" x14ac:dyDescent="0.25">
      <c r="A53" s="66" t="s">
        <v>177</v>
      </c>
      <c r="B53" s="67"/>
      <c r="C53" s="67">
        <f>SUBTOTAL(9,C41:C52)</f>
        <v>759</v>
      </c>
      <c r="D53" s="67">
        <f>SUBTOTAL(9,D41:D52)</f>
        <v>6904</v>
      </c>
      <c r="E53" s="68"/>
      <c r="F53" s="70"/>
      <c r="G53" s="65">
        <f>SUBTOTAL(9,G41:G52)</f>
        <v>9.0961791831357051</v>
      </c>
    </row>
    <row r="54" spans="1:8" ht="28.5" x14ac:dyDescent="0.25">
      <c r="A54" s="66" t="s">
        <v>180</v>
      </c>
      <c r="B54" s="67"/>
      <c r="C54" s="67">
        <f>SUM(C2:C52)</f>
        <v>3997</v>
      </c>
      <c r="D54" s="67">
        <f>SUM(D2:D52)</f>
        <v>45054</v>
      </c>
      <c r="E54" s="68"/>
      <c r="F54" s="70"/>
      <c r="G54" s="70">
        <f>D54/C54</f>
        <v>11.271953965474106</v>
      </c>
    </row>
    <row r="55" spans="1:8" outlineLevel="2" x14ac:dyDescent="0.25">
      <c r="A55" s="71" t="s">
        <v>181</v>
      </c>
      <c r="B55" s="72"/>
      <c r="C55" s="73"/>
      <c r="D55" s="73"/>
      <c r="E55" s="73"/>
      <c r="F55" s="74"/>
      <c r="G55" s="71" t="str">
        <f>IF(MAX(G2,G15,G28,G41)=G2,A2,IF(MAX(G2,G15,G28,G41)=G15,A15,IF(MAX(G2,G15,G28,G41)=G28,A28,IF(MAX(G2,G15,G28,G41)=G41,A41))))</f>
        <v>Савінцев Ілля Сергійович</v>
      </c>
    </row>
    <row r="56" spans="1:8" outlineLevel="1" x14ac:dyDescent="0.25"/>
  </sheetData>
  <mergeCells count="29">
    <mergeCell ref="H2:H13"/>
    <mergeCell ref="H15:H26"/>
    <mergeCell ref="H28:H39"/>
    <mergeCell ref="H41:H52"/>
    <mergeCell ref="B55:F55"/>
    <mergeCell ref="A41:A52"/>
    <mergeCell ref="F41:F43"/>
    <mergeCell ref="G41:G52"/>
    <mergeCell ref="F44:F46"/>
    <mergeCell ref="F47:F49"/>
    <mergeCell ref="F50:F52"/>
    <mergeCell ref="A28:A39"/>
    <mergeCell ref="F28:F30"/>
    <mergeCell ref="G28:G39"/>
    <mergeCell ref="F31:F33"/>
    <mergeCell ref="F34:F36"/>
    <mergeCell ref="F37:F39"/>
    <mergeCell ref="A15:A26"/>
    <mergeCell ref="F15:F17"/>
    <mergeCell ref="G15:G26"/>
    <mergeCell ref="F18:F20"/>
    <mergeCell ref="F21:F23"/>
    <mergeCell ref="F24:F26"/>
    <mergeCell ref="A2:A13"/>
    <mergeCell ref="F2:F4"/>
    <mergeCell ref="F5:F7"/>
    <mergeCell ref="F8:F10"/>
    <mergeCell ref="F11:F13"/>
    <mergeCell ref="G2:G13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50F9462-AAE4-4609-8FFE-C3B211A971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'Завдання 5'!E41:E52</xm:f>
              <xm:sqref>H41</xm:sqref>
            </x14:sparkline>
          </x14:sparklines>
        </x14:sparklineGroup>
        <x14:sparklineGroup displayEmptyCellsAs="gap" xr2:uid="{361FB797-7154-4E1A-847B-2488E22229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'Завдання 5'!E28:E39</xm:f>
              <xm:sqref>H28</xm:sqref>
            </x14:sparkline>
          </x14:sparklines>
        </x14:sparklineGroup>
        <x14:sparklineGroup displayEmptyCellsAs="gap" xr2:uid="{08033435-B59C-414F-AEE4-B86858F496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'Завдання 5'!E15:E26</xm:f>
              <xm:sqref>H15</xm:sqref>
            </x14:sparkline>
          </x14:sparklines>
        </x14:sparklineGroup>
        <x14:sparklineGroup displayEmptyCellsAs="gap" xr2:uid="{6F919FED-14EF-4AF7-9B93-CF67A10096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'Завдання 5'!E2:E13</xm:f>
              <xm:sqref>H2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FA0D-BB8A-4923-88AD-34733B234D89}">
  <dimension ref="A1:H65"/>
  <sheetViews>
    <sheetView topLeftCell="C1" zoomScale="90" zoomScaleNormal="90" workbookViewId="0">
      <selection activeCell="A58" sqref="A58:E65"/>
    </sheetView>
  </sheetViews>
  <sheetFormatPr defaultRowHeight="15" x14ac:dyDescent="0.25"/>
  <cols>
    <col min="1" max="1" width="20.28515625" bestFit="1" customWidth="1"/>
    <col min="2" max="2" width="19.28515625" bestFit="1" customWidth="1"/>
    <col min="3" max="3" width="32.85546875" bestFit="1" customWidth="1"/>
    <col min="4" max="4" width="34.7109375" bestFit="1" customWidth="1"/>
    <col min="5" max="5" width="81.140625" bestFit="1" customWidth="1"/>
    <col min="6" max="6" width="13.85546875" customWidth="1"/>
    <col min="7" max="7" width="18.5703125" customWidth="1"/>
    <col min="8" max="8" width="18.28515625" customWidth="1"/>
    <col min="12" max="12" width="21.42578125" bestFit="1" customWidth="1"/>
    <col min="14" max="14" width="18.140625" bestFit="1" customWidth="1"/>
    <col min="15" max="15" width="16.28515625" bestFit="1" customWidth="1"/>
    <col min="16" max="16" width="28.5703125" bestFit="1" customWidth="1"/>
    <col min="17" max="17" width="34.5703125" bestFit="1" customWidth="1"/>
    <col min="18" max="18" width="81.140625" bestFit="1" customWidth="1"/>
  </cols>
  <sheetData>
    <row r="1" spans="1:8" ht="28.5" x14ac:dyDescent="0.25">
      <c r="A1" s="61" t="s">
        <v>5</v>
      </c>
      <c r="B1" s="61" t="s">
        <v>182</v>
      </c>
      <c r="C1" s="61" t="s">
        <v>188</v>
      </c>
      <c r="D1" s="61" t="s">
        <v>25</v>
      </c>
      <c r="E1" s="61" t="s">
        <v>196</v>
      </c>
      <c r="F1" s="61" t="s">
        <v>197</v>
      </c>
      <c r="G1" s="61" t="s">
        <v>198</v>
      </c>
      <c r="H1" s="61" t="s">
        <v>199</v>
      </c>
    </row>
    <row r="2" spans="1:8" x14ac:dyDescent="0.25">
      <c r="A2" s="76">
        <f>IF(ISNUMBER(B2)=FALSE,COUNTA($B$2:B2),"")</f>
        <v>1</v>
      </c>
      <c r="B2" s="76" t="s">
        <v>183</v>
      </c>
      <c r="C2" s="76" t="s">
        <v>189</v>
      </c>
      <c r="D2" s="76" t="s">
        <v>192</v>
      </c>
      <c r="E2" s="77">
        <v>210</v>
      </c>
      <c r="F2" s="77">
        <v>200</v>
      </c>
      <c r="G2" s="78">
        <f>E2/$E$17</f>
        <v>5.7426316566671947</v>
      </c>
      <c r="H2" s="78">
        <f>F2/$E$17</f>
        <v>5.4691730063497097</v>
      </c>
    </row>
    <row r="3" spans="1:8" x14ac:dyDescent="0.25">
      <c r="A3" s="76">
        <f>IF(ISNUMBER(B3)=FALSE,COUNTA($B$2:B3),"")</f>
        <v>2</v>
      </c>
      <c r="B3" s="76" t="s">
        <v>184</v>
      </c>
      <c r="C3" s="76" t="s">
        <v>189</v>
      </c>
      <c r="D3" s="76" t="s">
        <v>193</v>
      </c>
      <c r="E3" s="77">
        <v>260</v>
      </c>
      <c r="F3" s="77">
        <v>240</v>
      </c>
      <c r="G3" s="78">
        <f t="shared" ref="G3:G6" si="0">E3/$E$17</f>
        <v>7.1099249082546221</v>
      </c>
      <c r="H3" s="78">
        <f t="shared" ref="H3:H5" si="1">F3/$E$17</f>
        <v>6.5630076076196513</v>
      </c>
    </row>
    <row r="4" spans="1:8" x14ac:dyDescent="0.25">
      <c r="A4" s="76">
        <f>IF(ISNUMBER(B4)=FALSE,COUNTA($B$2:B4),"")</f>
        <v>3</v>
      </c>
      <c r="B4" s="76" t="s">
        <v>185</v>
      </c>
      <c r="C4" s="76" t="s">
        <v>190</v>
      </c>
      <c r="D4" s="76" t="s">
        <v>194</v>
      </c>
      <c r="E4" s="77">
        <v>450</v>
      </c>
      <c r="F4" s="77">
        <v>400</v>
      </c>
      <c r="G4" s="78">
        <f t="shared" si="0"/>
        <v>12.305639264286846</v>
      </c>
      <c r="H4" s="78">
        <f t="shared" si="1"/>
        <v>10.938346012699419</v>
      </c>
    </row>
    <row r="5" spans="1:8" x14ac:dyDescent="0.25">
      <c r="A5" s="76">
        <f>IF(ISNUMBER(B5)=FALSE,COUNTA($B$2:B5),"")</f>
        <v>4</v>
      </c>
      <c r="B5" s="76" t="s">
        <v>186</v>
      </c>
      <c r="C5" s="76" t="s">
        <v>190</v>
      </c>
      <c r="D5" s="76" t="s">
        <v>279</v>
      </c>
      <c r="E5" s="77">
        <v>430</v>
      </c>
      <c r="F5" s="77">
        <v>390</v>
      </c>
      <c r="G5" s="78">
        <f t="shared" si="0"/>
        <v>11.758721963651874</v>
      </c>
      <c r="H5" s="78">
        <f t="shared" si="1"/>
        <v>10.664887362381933</v>
      </c>
    </row>
    <row r="6" spans="1:8" x14ac:dyDescent="0.25">
      <c r="A6" s="76">
        <f>IF(ISNUMBER(B6)=FALSE,COUNTA($B$2:B6),"")</f>
        <v>5</v>
      </c>
      <c r="B6" s="76" t="s">
        <v>187</v>
      </c>
      <c r="C6" s="76" t="s">
        <v>191</v>
      </c>
      <c r="D6" s="76" t="s">
        <v>195</v>
      </c>
      <c r="E6" s="77">
        <v>200</v>
      </c>
      <c r="F6" s="77">
        <v>150</v>
      </c>
      <c r="G6" s="78">
        <f t="shared" si="0"/>
        <v>5.4691730063497097</v>
      </c>
      <c r="H6" s="78">
        <f>F6/$E$17</f>
        <v>4.1018797547622823</v>
      </c>
    </row>
    <row r="9" spans="1:8" x14ac:dyDescent="0.25">
      <c r="A9" s="79" t="s">
        <v>200</v>
      </c>
      <c r="B9" s="79" t="s">
        <v>201</v>
      </c>
      <c r="C9" s="79" t="s">
        <v>202</v>
      </c>
      <c r="D9" s="79" t="s">
        <v>203</v>
      </c>
      <c r="E9" s="79" t="s">
        <v>204</v>
      </c>
    </row>
    <row r="10" spans="1:8" hidden="1" x14ac:dyDescent="0.25">
      <c r="A10">
        <v>36</v>
      </c>
      <c r="B10" s="44" t="s">
        <v>205</v>
      </c>
      <c r="C10">
        <v>1</v>
      </c>
      <c r="D10" s="44" t="s">
        <v>206</v>
      </c>
      <c r="E10">
        <v>22.9724</v>
      </c>
    </row>
    <row r="11" spans="1:8" hidden="1" x14ac:dyDescent="0.25">
      <c r="A11">
        <v>944</v>
      </c>
      <c r="B11" s="44" t="s">
        <v>207</v>
      </c>
      <c r="C11">
        <v>1</v>
      </c>
      <c r="D11" s="44" t="s">
        <v>208</v>
      </c>
      <c r="E11">
        <v>21.559100000000001</v>
      </c>
    </row>
    <row r="12" spans="1:8" hidden="1" x14ac:dyDescent="0.25">
      <c r="A12">
        <v>933</v>
      </c>
      <c r="B12" s="44" t="s">
        <v>209</v>
      </c>
      <c r="C12">
        <v>1</v>
      </c>
      <c r="D12" s="44" t="s">
        <v>210</v>
      </c>
      <c r="E12">
        <v>13.2919</v>
      </c>
    </row>
    <row r="13" spans="1:8" hidden="1" x14ac:dyDescent="0.25">
      <c r="A13">
        <v>975</v>
      </c>
      <c r="B13" s="44" t="s">
        <v>211</v>
      </c>
      <c r="C13">
        <v>1</v>
      </c>
      <c r="D13" s="44" t="s">
        <v>212</v>
      </c>
      <c r="E13">
        <v>18.288</v>
      </c>
    </row>
    <row r="14" spans="1:8" hidden="1" x14ac:dyDescent="0.25">
      <c r="A14">
        <v>410</v>
      </c>
      <c r="B14" s="44" t="s">
        <v>213</v>
      </c>
      <c r="C14">
        <v>100</v>
      </c>
      <c r="D14" s="44" t="s">
        <v>214</v>
      </c>
      <c r="E14">
        <v>2.5640000000000001</v>
      </c>
    </row>
    <row r="15" spans="1:8" hidden="1" x14ac:dyDescent="0.25">
      <c r="A15">
        <v>344</v>
      </c>
      <c r="B15" s="44" t="s">
        <v>215</v>
      </c>
      <c r="C15">
        <v>1</v>
      </c>
      <c r="D15" s="44" t="s">
        <v>216</v>
      </c>
      <c r="E15">
        <v>4.6584000000000003</v>
      </c>
    </row>
    <row r="16" spans="1:8" hidden="1" x14ac:dyDescent="0.25">
      <c r="A16">
        <v>208</v>
      </c>
      <c r="B16" s="44" t="s">
        <v>217</v>
      </c>
      <c r="C16">
        <v>1</v>
      </c>
      <c r="D16" s="44" t="s">
        <v>218</v>
      </c>
      <c r="E16">
        <v>4.8074000000000003</v>
      </c>
    </row>
    <row r="17" spans="1:5" x14ac:dyDescent="0.25">
      <c r="A17" s="79">
        <v>840</v>
      </c>
      <c r="B17" s="80" t="s">
        <v>219</v>
      </c>
      <c r="C17" s="79">
        <v>1</v>
      </c>
      <c r="D17" s="80" t="s">
        <v>220</v>
      </c>
      <c r="E17" s="79">
        <v>36.568600000000004</v>
      </c>
    </row>
    <row r="18" spans="1:5" hidden="1" x14ac:dyDescent="0.25">
      <c r="A18">
        <v>978</v>
      </c>
      <c r="B18" s="44" t="s">
        <v>221</v>
      </c>
      <c r="C18">
        <v>1</v>
      </c>
      <c r="D18" s="44" t="s">
        <v>222</v>
      </c>
      <c r="E18">
        <v>35.762300000000003</v>
      </c>
    </row>
    <row r="19" spans="1:5" hidden="1" x14ac:dyDescent="0.25">
      <c r="A19">
        <v>818</v>
      </c>
      <c r="B19" s="44" t="s">
        <v>223</v>
      </c>
      <c r="C19">
        <v>1</v>
      </c>
      <c r="D19" s="44" t="s">
        <v>224</v>
      </c>
      <c r="E19">
        <v>1.8583000000000001</v>
      </c>
    </row>
    <row r="20" spans="1:5" hidden="1" x14ac:dyDescent="0.25">
      <c r="A20">
        <v>392</v>
      </c>
      <c r="B20" s="44" t="s">
        <v>225</v>
      </c>
      <c r="C20">
        <v>10</v>
      </c>
      <c r="D20" s="44" t="s">
        <v>226</v>
      </c>
      <c r="E20">
        <v>2.444</v>
      </c>
    </row>
    <row r="21" spans="1:5" hidden="1" x14ac:dyDescent="0.25">
      <c r="A21">
        <v>985</v>
      </c>
      <c r="B21" s="44" t="s">
        <v>227</v>
      </c>
      <c r="C21">
        <v>1</v>
      </c>
      <c r="D21" s="44" t="s">
        <v>228</v>
      </c>
      <c r="E21">
        <v>7.4710999999999999</v>
      </c>
    </row>
    <row r="22" spans="1:5" hidden="1" x14ac:dyDescent="0.25">
      <c r="A22">
        <v>356</v>
      </c>
      <c r="B22" s="44" t="s">
        <v>229</v>
      </c>
      <c r="C22">
        <v>10</v>
      </c>
      <c r="D22" s="44" t="s">
        <v>230</v>
      </c>
      <c r="E22">
        <v>4.4066000000000001</v>
      </c>
    </row>
    <row r="23" spans="1:5" hidden="1" x14ac:dyDescent="0.25">
      <c r="A23">
        <v>124</v>
      </c>
      <c r="B23" s="44" t="s">
        <v>231</v>
      </c>
      <c r="C23">
        <v>1</v>
      </c>
      <c r="D23" s="44" t="s">
        <v>232</v>
      </c>
      <c r="E23">
        <v>26.524899999999999</v>
      </c>
    </row>
    <row r="24" spans="1:5" hidden="1" x14ac:dyDescent="0.25">
      <c r="A24">
        <v>191</v>
      </c>
      <c r="B24" s="44" t="s">
        <v>233</v>
      </c>
      <c r="C24">
        <v>1</v>
      </c>
      <c r="D24" s="44" t="s">
        <v>234</v>
      </c>
      <c r="E24">
        <v>4.7478999999999996</v>
      </c>
    </row>
    <row r="25" spans="1:5" hidden="1" x14ac:dyDescent="0.25">
      <c r="A25">
        <v>484</v>
      </c>
      <c r="B25" s="44" t="s">
        <v>235</v>
      </c>
      <c r="C25">
        <v>1</v>
      </c>
      <c r="D25" s="44" t="s">
        <v>236</v>
      </c>
      <c r="E25">
        <v>1.8192999999999999</v>
      </c>
    </row>
    <row r="26" spans="1:5" hidden="1" x14ac:dyDescent="0.25">
      <c r="A26">
        <v>498</v>
      </c>
      <c r="B26" s="44" t="s">
        <v>237</v>
      </c>
      <c r="C26">
        <v>1</v>
      </c>
      <c r="D26" s="44" t="s">
        <v>238</v>
      </c>
      <c r="E26">
        <v>1.8857999999999999</v>
      </c>
    </row>
    <row r="27" spans="1:5" hidden="1" x14ac:dyDescent="0.25">
      <c r="A27">
        <v>376</v>
      </c>
      <c r="B27" s="44" t="s">
        <v>239</v>
      </c>
      <c r="C27">
        <v>1</v>
      </c>
      <c r="D27" s="44" t="s">
        <v>240</v>
      </c>
      <c r="E27">
        <v>10.3362</v>
      </c>
    </row>
    <row r="28" spans="1:5" hidden="1" x14ac:dyDescent="0.25">
      <c r="A28">
        <v>554</v>
      </c>
      <c r="B28" s="44" t="s">
        <v>241</v>
      </c>
      <c r="C28">
        <v>1</v>
      </c>
      <c r="D28" s="44" t="s">
        <v>242</v>
      </c>
      <c r="E28">
        <v>20.7179</v>
      </c>
    </row>
    <row r="29" spans="1:5" hidden="1" x14ac:dyDescent="0.25">
      <c r="A29">
        <v>578</v>
      </c>
      <c r="B29" s="44" t="s">
        <v>243</v>
      </c>
      <c r="C29">
        <v>1</v>
      </c>
      <c r="D29" s="44" t="s">
        <v>244</v>
      </c>
      <c r="E29">
        <v>3.4428999999999998</v>
      </c>
    </row>
    <row r="30" spans="1:5" hidden="1" x14ac:dyDescent="0.25">
      <c r="A30">
        <v>710</v>
      </c>
      <c r="B30" s="44" t="s">
        <v>245</v>
      </c>
      <c r="C30">
        <v>1</v>
      </c>
      <c r="D30" s="44" t="s">
        <v>246</v>
      </c>
      <c r="E30">
        <v>2.0065</v>
      </c>
    </row>
    <row r="31" spans="1:5" hidden="1" x14ac:dyDescent="0.25">
      <c r="A31">
        <v>643</v>
      </c>
      <c r="B31" s="44" t="s">
        <v>247</v>
      </c>
      <c r="C31">
        <v>10</v>
      </c>
      <c r="D31" s="44" t="s">
        <v>248</v>
      </c>
      <c r="E31">
        <v>5.9264000000000001</v>
      </c>
    </row>
    <row r="32" spans="1:5" hidden="1" x14ac:dyDescent="0.25">
      <c r="A32">
        <v>946</v>
      </c>
      <c r="B32" s="44" t="s">
        <v>249</v>
      </c>
      <c r="C32">
        <v>1</v>
      </c>
      <c r="D32" s="44" t="s">
        <v>250</v>
      </c>
      <c r="E32">
        <v>7.2624000000000004</v>
      </c>
    </row>
    <row r="33" spans="1:8" hidden="1" x14ac:dyDescent="0.25">
      <c r="A33">
        <v>360</v>
      </c>
      <c r="B33" s="44" t="s">
        <v>251</v>
      </c>
      <c r="C33">
        <v>1000</v>
      </c>
      <c r="D33" s="44" t="s">
        <v>252</v>
      </c>
      <c r="E33">
        <v>2.3595999999999999</v>
      </c>
    </row>
    <row r="34" spans="1:8" hidden="1" x14ac:dyDescent="0.25">
      <c r="A34">
        <v>702</v>
      </c>
      <c r="B34" s="44" t="s">
        <v>253</v>
      </c>
      <c r="C34">
        <v>1</v>
      </c>
      <c r="D34" s="44" t="s">
        <v>254</v>
      </c>
      <c r="E34">
        <v>25.671199999999999</v>
      </c>
    </row>
    <row r="35" spans="1:8" hidden="1" x14ac:dyDescent="0.25">
      <c r="A35">
        <v>960</v>
      </c>
      <c r="B35" s="44" t="s">
        <v>255</v>
      </c>
      <c r="C35">
        <v>1</v>
      </c>
      <c r="D35" s="44" t="s">
        <v>256</v>
      </c>
      <c r="E35">
        <v>46.683</v>
      </c>
    </row>
    <row r="36" spans="1:8" hidden="1" x14ac:dyDescent="0.25">
      <c r="A36">
        <v>398</v>
      </c>
      <c r="B36" s="44" t="s">
        <v>257</v>
      </c>
      <c r="C36">
        <v>100</v>
      </c>
      <c r="D36" s="44" t="s">
        <v>258</v>
      </c>
      <c r="E36">
        <v>7.7784000000000004</v>
      </c>
    </row>
    <row r="37" spans="1:8" hidden="1" x14ac:dyDescent="0.25">
      <c r="A37">
        <v>949</v>
      </c>
      <c r="B37" s="44" t="s">
        <v>259</v>
      </c>
      <c r="C37">
        <v>1</v>
      </c>
      <c r="D37" s="44" t="s">
        <v>260</v>
      </c>
      <c r="E37">
        <v>1.9666999999999999</v>
      </c>
    </row>
    <row r="38" spans="1:8" hidden="1" x14ac:dyDescent="0.25">
      <c r="A38">
        <v>348</v>
      </c>
      <c r="B38" s="44" t="s">
        <v>261</v>
      </c>
      <c r="C38">
        <v>100</v>
      </c>
      <c r="D38" s="44" t="s">
        <v>262</v>
      </c>
      <c r="E38">
        <v>8.6416000000000004</v>
      </c>
    </row>
    <row r="39" spans="1:8" hidden="1" x14ac:dyDescent="0.25">
      <c r="A39">
        <v>826</v>
      </c>
      <c r="B39" s="44" t="s">
        <v>263</v>
      </c>
      <c r="C39">
        <v>1</v>
      </c>
      <c r="D39" s="44" t="s">
        <v>264</v>
      </c>
      <c r="E39">
        <v>41.108600000000003</v>
      </c>
    </row>
    <row r="40" spans="1:8" hidden="1" x14ac:dyDescent="0.25">
      <c r="A40">
        <v>203</v>
      </c>
      <c r="B40" s="44" t="s">
        <v>265</v>
      </c>
      <c r="C40">
        <v>1</v>
      </c>
      <c r="D40" s="44" t="s">
        <v>266</v>
      </c>
      <c r="E40">
        <v>1.456</v>
      </c>
    </row>
    <row r="41" spans="1:8" hidden="1" x14ac:dyDescent="0.25">
      <c r="A41">
        <v>752</v>
      </c>
      <c r="B41" s="44" t="s">
        <v>267</v>
      </c>
      <c r="C41">
        <v>1</v>
      </c>
      <c r="D41" s="44" t="s">
        <v>268</v>
      </c>
      <c r="E41">
        <v>3.2669999999999999</v>
      </c>
    </row>
    <row r="42" spans="1:8" hidden="1" x14ac:dyDescent="0.25">
      <c r="A42">
        <v>756</v>
      </c>
      <c r="B42" s="44" t="s">
        <v>269</v>
      </c>
      <c r="C42">
        <v>1</v>
      </c>
      <c r="D42" s="44" t="s">
        <v>270</v>
      </c>
      <c r="E42">
        <v>36.4756</v>
      </c>
    </row>
    <row r="43" spans="1:8" hidden="1" x14ac:dyDescent="0.25">
      <c r="A43">
        <v>156</v>
      </c>
      <c r="B43" s="44" t="s">
        <v>271</v>
      </c>
      <c r="C43">
        <v>1</v>
      </c>
      <c r="D43" s="44" t="s">
        <v>272</v>
      </c>
      <c r="E43">
        <v>5.0594000000000001</v>
      </c>
    </row>
    <row r="46" spans="1:8" ht="29.25" x14ac:dyDescent="0.25">
      <c r="A46" s="125" t="s">
        <v>188</v>
      </c>
      <c r="B46" s="126" t="s">
        <v>273</v>
      </c>
      <c r="C46" s="126" t="s">
        <v>274</v>
      </c>
      <c r="D46" s="126" t="s">
        <v>275</v>
      </c>
      <c r="E46" s="126" t="s">
        <v>276</v>
      </c>
      <c r="G46" s="84" t="s">
        <v>277</v>
      </c>
      <c r="H46" s="85"/>
    </row>
    <row r="47" spans="1:8" ht="30" x14ac:dyDescent="0.25">
      <c r="A47" s="54" t="s">
        <v>190</v>
      </c>
      <c r="B47" s="82">
        <v>440</v>
      </c>
      <c r="C47" s="82">
        <v>395</v>
      </c>
      <c r="D47" s="83">
        <v>12.032180613969359</v>
      </c>
      <c r="E47" s="83">
        <v>10.801616687540676</v>
      </c>
      <c r="G47" s="78" t="s">
        <v>278</v>
      </c>
      <c r="H47" s="78" t="s">
        <v>25</v>
      </c>
    </row>
    <row r="48" spans="1:8" x14ac:dyDescent="0.25">
      <c r="A48" s="54" t="s">
        <v>194</v>
      </c>
      <c r="B48" s="82">
        <v>450</v>
      </c>
      <c r="C48" s="82">
        <v>400</v>
      </c>
      <c r="D48" s="83">
        <v>12.305639264286846</v>
      </c>
      <c r="E48" s="83">
        <v>10.938346012699419</v>
      </c>
      <c r="G48" s="78" t="s">
        <v>185</v>
      </c>
      <c r="H48" s="78" t="str">
        <f>IF(ISNA(VLOOKUP(G48,B2:D6,3,FALSE)),"Неправильне значення",VLOOKUP(G48,B2:D6,3,FALSE))</f>
        <v>ЕКО-Ложка</v>
      </c>
    </row>
    <row r="49" spans="1:5" x14ac:dyDescent="0.25">
      <c r="A49" s="54" t="s">
        <v>279</v>
      </c>
      <c r="B49" s="82">
        <v>430</v>
      </c>
      <c r="C49" s="82">
        <v>390</v>
      </c>
      <c r="D49" s="83">
        <v>11.758721963651874</v>
      </c>
      <c r="E49" s="83">
        <v>10.664887362381933</v>
      </c>
    </row>
    <row r="50" spans="1:5" x14ac:dyDescent="0.25">
      <c r="A50" s="54" t="s">
        <v>191</v>
      </c>
      <c r="B50" s="82">
        <v>200</v>
      </c>
      <c r="C50" s="82">
        <v>150</v>
      </c>
      <c r="D50" s="83">
        <v>5.4691730063497097</v>
      </c>
      <c r="E50" s="83">
        <v>4.1018797547622823</v>
      </c>
    </row>
    <row r="51" spans="1:5" x14ac:dyDescent="0.25">
      <c r="A51" s="54" t="s">
        <v>195</v>
      </c>
      <c r="B51" s="82">
        <v>200</v>
      </c>
      <c r="C51" s="82">
        <v>150</v>
      </c>
      <c r="D51" s="83">
        <v>5.4691730063497097</v>
      </c>
      <c r="E51" s="83">
        <v>4.1018797547622823</v>
      </c>
    </row>
    <row r="52" spans="1:5" x14ac:dyDescent="0.25">
      <c r="A52" s="54" t="s">
        <v>189</v>
      </c>
      <c r="B52" s="82">
        <v>235</v>
      </c>
      <c r="C52" s="82">
        <v>220</v>
      </c>
      <c r="D52" s="83">
        <v>6.4262782824609079</v>
      </c>
      <c r="E52" s="83">
        <v>6.0160903069846805</v>
      </c>
    </row>
    <row r="53" spans="1:5" x14ac:dyDescent="0.25">
      <c r="A53" s="54" t="s">
        <v>193</v>
      </c>
      <c r="B53" s="82">
        <v>260</v>
      </c>
      <c r="C53" s="82">
        <v>240</v>
      </c>
      <c r="D53" s="83">
        <v>7.1099249082546221</v>
      </c>
      <c r="E53" s="83">
        <v>6.5630076076196513</v>
      </c>
    </row>
    <row r="54" spans="1:5" x14ac:dyDescent="0.25">
      <c r="A54" s="54" t="s">
        <v>192</v>
      </c>
      <c r="B54" s="82">
        <v>210</v>
      </c>
      <c r="C54" s="82">
        <v>200</v>
      </c>
      <c r="D54" s="83">
        <v>5.7426316566671947</v>
      </c>
      <c r="E54" s="83">
        <v>5.4691730063497097</v>
      </c>
    </row>
    <row r="55" spans="1:5" x14ac:dyDescent="0.25">
      <c r="A55" s="54" t="s">
        <v>42</v>
      </c>
      <c r="B55" s="82">
        <v>310</v>
      </c>
      <c r="C55" s="82">
        <v>276</v>
      </c>
      <c r="D55" s="83">
        <v>8.4772181598420495</v>
      </c>
      <c r="E55" s="83">
        <v>7.5474587487625993</v>
      </c>
    </row>
    <row r="58" spans="1:5" ht="35.25" customHeight="1" x14ac:dyDescent="0.25">
      <c r="A58" s="84" t="s">
        <v>280</v>
      </c>
      <c r="B58" s="86"/>
      <c r="C58" s="86"/>
      <c r="D58" s="86"/>
      <c r="E58" s="85"/>
    </row>
    <row r="59" spans="1:5" ht="28.5" x14ac:dyDescent="0.25">
      <c r="A59" s="61" t="s">
        <v>5</v>
      </c>
      <c r="B59" s="61" t="s">
        <v>25</v>
      </c>
      <c r="C59" s="61" t="s">
        <v>281</v>
      </c>
      <c r="D59" s="61" t="s">
        <v>282</v>
      </c>
      <c r="E59" s="61" t="s">
        <v>283</v>
      </c>
    </row>
    <row r="60" spans="1:5" x14ac:dyDescent="0.25">
      <c r="A60" s="76">
        <f>IF(ISNUMBER(B60)=FALSE,COUNTA($B$60:B60),"")</f>
        <v>1</v>
      </c>
      <c r="B60" s="76" t="s">
        <v>192</v>
      </c>
      <c r="C60" s="76">
        <v>5000</v>
      </c>
      <c r="D60" s="77">
        <f>IF(C60&gt;2500,F2,E2)</f>
        <v>200</v>
      </c>
      <c r="E60" s="77">
        <f>IFERROR(D60*C60,"Неправильний ввід даних")</f>
        <v>1000000</v>
      </c>
    </row>
    <row r="61" spans="1:5" x14ac:dyDescent="0.25">
      <c r="A61" s="76">
        <f>IF(ISNUMBER(B61)=FALSE,COUNTA($B$60:B61),"")</f>
        <v>2</v>
      </c>
      <c r="B61" s="76" t="s">
        <v>193</v>
      </c>
      <c r="C61" s="76">
        <v>2000</v>
      </c>
      <c r="D61" s="77">
        <f t="shared" ref="D61:D64" si="2">IF(C61&gt;2500,F3,E3)</f>
        <v>260</v>
      </c>
      <c r="E61" s="77">
        <f t="shared" ref="E61:E64" si="3">IFERROR(D61*C61,"Неправильний ввід даних")</f>
        <v>520000</v>
      </c>
    </row>
    <row r="62" spans="1:5" x14ac:dyDescent="0.25">
      <c r="A62" s="76">
        <f>IF(ISNUMBER(B62)=FALSE,COUNTA($B$60:B62),"")</f>
        <v>3</v>
      </c>
      <c r="B62" s="76" t="s">
        <v>194</v>
      </c>
      <c r="C62" s="76">
        <v>4000</v>
      </c>
      <c r="D62" s="77">
        <f t="shared" si="2"/>
        <v>400</v>
      </c>
      <c r="E62" s="77">
        <f t="shared" si="3"/>
        <v>1600000</v>
      </c>
    </row>
    <row r="63" spans="1:5" x14ac:dyDescent="0.25">
      <c r="A63" s="76">
        <f>IF(ISNUMBER(B63)=FALSE,COUNTA($B$60:B63),"")</f>
        <v>4</v>
      </c>
      <c r="B63" s="76" t="s">
        <v>279</v>
      </c>
      <c r="C63" s="76">
        <v>4000</v>
      </c>
      <c r="D63" s="77">
        <f t="shared" si="2"/>
        <v>390</v>
      </c>
      <c r="E63" s="77">
        <f t="shared" si="3"/>
        <v>1560000</v>
      </c>
    </row>
    <row r="64" spans="1:5" x14ac:dyDescent="0.25">
      <c r="A64" s="76">
        <f>IF(ISNUMBER(B64)=FALSE,COUNTA($B$60:B64),"")</f>
        <v>5</v>
      </c>
      <c r="B64" s="76" t="s">
        <v>195</v>
      </c>
      <c r="C64" s="76">
        <v>1500</v>
      </c>
      <c r="D64" s="77">
        <f t="shared" si="2"/>
        <v>200</v>
      </c>
      <c r="E64" s="77">
        <f t="shared" si="3"/>
        <v>300000</v>
      </c>
    </row>
    <row r="65" spans="1:5" x14ac:dyDescent="0.25">
      <c r="A65" s="76"/>
      <c r="B65" s="76" t="s">
        <v>284</v>
      </c>
      <c r="C65" s="88"/>
      <c r="D65" s="88"/>
      <c r="E65" s="87">
        <f>SUM(E60:E64)</f>
        <v>4980000</v>
      </c>
    </row>
  </sheetData>
  <mergeCells count="2">
    <mergeCell ref="G46:H46"/>
    <mergeCell ref="A58:E58"/>
  </mergeCell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E2B3-48DE-47C3-9223-C5088FF5D94E}">
  <dimension ref="A1:Q10"/>
  <sheetViews>
    <sheetView topLeftCell="G1" workbookViewId="0">
      <selection sqref="A1:I8"/>
    </sheetView>
  </sheetViews>
  <sheetFormatPr defaultRowHeight="15" x14ac:dyDescent="0.25"/>
  <cols>
    <col min="2" max="2" width="29.42578125" bestFit="1" customWidth="1"/>
    <col min="3" max="4" width="12.5703125" bestFit="1" customWidth="1"/>
    <col min="5" max="5" width="28.140625" bestFit="1" customWidth="1"/>
    <col min="6" max="6" width="17" bestFit="1" customWidth="1"/>
    <col min="7" max="7" width="12.5703125" bestFit="1" customWidth="1"/>
    <col min="8" max="8" width="13.28515625" bestFit="1" customWidth="1"/>
    <col min="9" max="9" width="14.7109375" bestFit="1" customWidth="1"/>
    <col min="11" max="11" width="29.28515625" bestFit="1" customWidth="1"/>
    <col min="12" max="12" width="12.140625" bestFit="1" customWidth="1"/>
    <col min="13" max="13" width="19.85546875" bestFit="1" customWidth="1"/>
    <col min="15" max="15" width="29.28515625" bestFit="1" customWidth="1"/>
    <col min="16" max="16" width="12.140625" bestFit="1" customWidth="1"/>
    <col min="17" max="17" width="19.85546875" bestFit="1" customWidth="1"/>
  </cols>
  <sheetData>
    <row r="1" spans="1:17" x14ac:dyDescent="0.25">
      <c r="A1" s="92" t="s">
        <v>286</v>
      </c>
      <c r="B1" s="92"/>
      <c r="C1" s="92"/>
      <c r="D1" s="92"/>
      <c r="E1" s="92"/>
      <c r="F1" s="92"/>
      <c r="G1" s="92"/>
      <c r="H1" s="92"/>
      <c r="I1" s="92"/>
    </row>
    <row r="2" spans="1:17" x14ac:dyDescent="0.25">
      <c r="A2" s="93" t="s">
        <v>5</v>
      </c>
      <c r="B2" s="93" t="s">
        <v>285</v>
      </c>
      <c r="C2" s="95" t="s">
        <v>292</v>
      </c>
      <c r="D2" s="95" t="s">
        <v>294</v>
      </c>
      <c r="E2" s="95" t="s">
        <v>295</v>
      </c>
      <c r="F2" s="95" t="s">
        <v>296</v>
      </c>
      <c r="G2" s="95" t="s">
        <v>297</v>
      </c>
      <c r="H2" s="95" t="s">
        <v>298</v>
      </c>
      <c r="I2" s="95" t="s">
        <v>299</v>
      </c>
      <c r="K2" s="97" t="s">
        <v>300</v>
      </c>
      <c r="L2" s="91" t="s">
        <v>301</v>
      </c>
      <c r="M2" s="91"/>
      <c r="O2" s="97" t="s">
        <v>300</v>
      </c>
      <c r="P2" s="91" t="s">
        <v>304</v>
      </c>
      <c r="Q2" s="91"/>
    </row>
    <row r="3" spans="1:17" x14ac:dyDescent="0.25">
      <c r="A3" s="93"/>
      <c r="B3" s="93"/>
      <c r="C3" s="95" t="s">
        <v>293</v>
      </c>
      <c r="D3" s="95" t="s">
        <v>293</v>
      </c>
      <c r="E3" s="95" t="s">
        <v>293</v>
      </c>
      <c r="F3" s="95" t="s">
        <v>293</v>
      </c>
      <c r="G3" s="95" t="s">
        <v>293</v>
      </c>
      <c r="H3" s="95" t="s">
        <v>293</v>
      </c>
      <c r="I3" s="95" t="s">
        <v>293</v>
      </c>
      <c r="K3" s="98"/>
      <c r="L3" s="95" t="s">
        <v>302</v>
      </c>
      <c r="M3" s="95" t="s">
        <v>303</v>
      </c>
      <c r="O3" s="98"/>
      <c r="P3" s="95" t="s">
        <v>305</v>
      </c>
      <c r="Q3" s="95" t="s">
        <v>303</v>
      </c>
    </row>
    <row r="4" spans="1:17" x14ac:dyDescent="0.25">
      <c r="A4" s="95">
        <v>1</v>
      </c>
      <c r="B4" s="95" t="s">
        <v>287</v>
      </c>
      <c r="C4" s="96">
        <v>200</v>
      </c>
      <c r="D4" s="96">
        <v>230</v>
      </c>
      <c r="E4" s="96">
        <v>250</v>
      </c>
      <c r="F4" s="96">
        <v>385</v>
      </c>
      <c r="G4" s="96">
        <v>315</v>
      </c>
      <c r="H4" s="96">
        <v>320</v>
      </c>
      <c r="I4" s="96">
        <v>375</v>
      </c>
      <c r="K4" s="95" t="s">
        <v>292</v>
      </c>
      <c r="L4" s="99">
        <v>0.72</v>
      </c>
      <c r="M4" s="99">
        <v>0.28000000000000003</v>
      </c>
      <c r="O4" s="95" t="s">
        <v>292</v>
      </c>
      <c r="P4" s="99">
        <v>0.8</v>
      </c>
      <c r="Q4" s="99">
        <v>0.2</v>
      </c>
    </row>
    <row r="5" spans="1:17" x14ac:dyDescent="0.25">
      <c r="A5" s="95">
        <v>2</v>
      </c>
      <c r="B5" s="95" t="s">
        <v>288</v>
      </c>
      <c r="C5" s="96">
        <v>210</v>
      </c>
      <c r="D5" s="96">
        <v>245</v>
      </c>
      <c r="E5" s="96">
        <v>300</v>
      </c>
      <c r="F5" s="96">
        <v>420</v>
      </c>
      <c r="G5" s="96">
        <v>320</v>
      </c>
      <c r="H5" s="96">
        <v>315</v>
      </c>
      <c r="I5" s="96">
        <v>340</v>
      </c>
      <c r="K5" s="95" t="s">
        <v>294</v>
      </c>
      <c r="L5" s="99">
        <v>0.6</v>
      </c>
      <c r="M5" s="99">
        <v>0.4</v>
      </c>
      <c r="O5" s="95" t="s">
        <v>294</v>
      </c>
      <c r="P5" s="99">
        <v>0.72</v>
      </c>
      <c r="Q5" s="99">
        <v>0.28000000000000003</v>
      </c>
    </row>
    <row r="6" spans="1:17" x14ac:dyDescent="0.25">
      <c r="A6" s="95">
        <v>3</v>
      </c>
      <c r="B6" s="95" t="s">
        <v>289</v>
      </c>
      <c r="C6" s="96">
        <v>200</v>
      </c>
      <c r="D6" s="96">
        <v>200</v>
      </c>
      <c r="E6" s="96">
        <v>315</v>
      </c>
      <c r="F6" s="96">
        <v>520</v>
      </c>
      <c r="G6" s="96">
        <v>375</v>
      </c>
      <c r="H6" s="96">
        <v>370</v>
      </c>
      <c r="I6" s="96">
        <v>465</v>
      </c>
      <c r="K6" s="95" t="s">
        <v>295</v>
      </c>
      <c r="L6" s="99">
        <v>0.2</v>
      </c>
      <c r="M6" s="99">
        <v>0.8</v>
      </c>
      <c r="O6" s="95" t="s">
        <v>295</v>
      </c>
      <c r="P6" s="99">
        <v>0.18</v>
      </c>
      <c r="Q6" s="99">
        <v>0.82</v>
      </c>
    </row>
    <row r="7" spans="1:17" x14ac:dyDescent="0.25">
      <c r="A7" s="95">
        <v>4</v>
      </c>
      <c r="B7" s="95" t="s">
        <v>290</v>
      </c>
      <c r="C7" s="96">
        <v>150</v>
      </c>
      <c r="D7" s="96">
        <v>170</v>
      </c>
      <c r="E7" s="96">
        <v>295</v>
      </c>
      <c r="F7" s="96">
        <v>385</v>
      </c>
      <c r="G7" s="96">
        <v>250</v>
      </c>
      <c r="H7" s="96">
        <v>270</v>
      </c>
      <c r="I7" s="96">
        <v>380</v>
      </c>
      <c r="K7" s="95" t="s">
        <v>296</v>
      </c>
      <c r="L7" s="99">
        <v>0.47</v>
      </c>
      <c r="M7" s="99">
        <v>0.53</v>
      </c>
      <c r="O7" s="95" t="s">
        <v>296</v>
      </c>
      <c r="P7" s="99">
        <v>0.56000000000000005</v>
      </c>
      <c r="Q7" s="99">
        <v>0.44</v>
      </c>
    </row>
    <row r="8" spans="1:17" x14ac:dyDescent="0.25">
      <c r="A8" s="95">
        <v>5</v>
      </c>
      <c r="B8" s="95" t="s">
        <v>291</v>
      </c>
      <c r="C8" s="96">
        <v>150</v>
      </c>
      <c r="D8" s="96">
        <v>175</v>
      </c>
      <c r="E8" s="96">
        <v>280</v>
      </c>
      <c r="F8" s="96">
        <v>525</v>
      </c>
      <c r="G8" s="96">
        <v>280</v>
      </c>
      <c r="H8" s="96">
        <v>265</v>
      </c>
      <c r="I8" s="96">
        <v>460</v>
      </c>
      <c r="K8" s="95" t="s">
        <v>297</v>
      </c>
      <c r="L8" s="99">
        <v>0.57999999999999996</v>
      </c>
      <c r="M8" s="99">
        <v>0.42</v>
      </c>
      <c r="O8" s="95" t="s">
        <v>297</v>
      </c>
      <c r="P8" s="99">
        <v>0.47</v>
      </c>
      <c r="Q8" s="99">
        <v>0.53</v>
      </c>
    </row>
    <row r="9" spans="1:17" x14ac:dyDescent="0.25">
      <c r="K9" s="95" t="s">
        <v>298</v>
      </c>
      <c r="L9" s="99">
        <v>0.62</v>
      </c>
      <c r="M9" s="99">
        <v>0.38</v>
      </c>
      <c r="O9" s="95" t="s">
        <v>298</v>
      </c>
      <c r="P9" s="99">
        <v>0.77</v>
      </c>
      <c r="Q9" s="99">
        <v>0.23</v>
      </c>
    </row>
    <row r="10" spans="1:17" x14ac:dyDescent="0.25">
      <c r="K10" s="95" t="s">
        <v>299</v>
      </c>
      <c r="L10" s="99">
        <v>0.46</v>
      </c>
      <c r="M10" s="99">
        <v>0.54</v>
      </c>
      <c r="O10" s="95" t="s">
        <v>299</v>
      </c>
      <c r="P10" s="99">
        <v>0.48</v>
      </c>
      <c r="Q10" s="99">
        <v>0.52</v>
      </c>
    </row>
  </sheetData>
  <mergeCells count="7">
    <mergeCell ref="P2:Q2"/>
    <mergeCell ref="A1:I1"/>
    <mergeCell ref="B2:B3"/>
    <mergeCell ref="A2:A3"/>
    <mergeCell ref="K2:K3"/>
    <mergeCell ref="L2:M2"/>
    <mergeCell ref="O2:O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F118-68AF-4053-937E-1280D16C15C2}">
  <dimension ref="A1:L41"/>
  <sheetViews>
    <sheetView topLeftCell="B19" workbookViewId="0">
      <selection activeCell="L4" sqref="L4"/>
    </sheetView>
  </sheetViews>
  <sheetFormatPr defaultRowHeight="15" x14ac:dyDescent="0.25"/>
  <cols>
    <col min="1" max="1" width="18.28515625" bestFit="1" customWidth="1"/>
    <col min="4" max="4" width="20.42578125" bestFit="1" customWidth="1"/>
    <col min="5" max="5" width="10.28515625" bestFit="1" customWidth="1"/>
    <col min="6" max="6" width="16.42578125" bestFit="1" customWidth="1"/>
    <col min="7" max="7" width="12.5703125" customWidth="1"/>
    <col min="8" max="8" width="13.5703125" customWidth="1"/>
    <col min="10" max="10" width="38.28515625" bestFit="1" customWidth="1"/>
    <col min="11" max="11" width="17.5703125" bestFit="1" customWidth="1"/>
    <col min="12" max="12" width="12" bestFit="1" customWidth="1"/>
  </cols>
  <sheetData>
    <row r="1" spans="1:12" x14ac:dyDescent="0.25">
      <c r="A1" s="89" t="s">
        <v>307</v>
      </c>
      <c r="B1" s="89"/>
      <c r="D1" s="106" t="s">
        <v>314</v>
      </c>
      <c r="E1" s="106" t="s">
        <v>315</v>
      </c>
      <c r="F1" s="106" t="s">
        <v>316</v>
      </c>
      <c r="G1" s="106" t="s">
        <v>27</v>
      </c>
      <c r="H1" s="106" t="s">
        <v>317</v>
      </c>
      <c r="J1" s="114" t="s">
        <v>338</v>
      </c>
      <c r="K1" s="114"/>
      <c r="L1" s="114"/>
    </row>
    <row r="2" spans="1:12" x14ac:dyDescent="0.25">
      <c r="A2" s="90" t="s">
        <v>306</v>
      </c>
      <c r="B2" s="90">
        <v>4.5</v>
      </c>
      <c r="D2" s="94" t="s">
        <v>319</v>
      </c>
      <c r="E2" s="95">
        <v>20</v>
      </c>
      <c r="F2" s="95" t="s">
        <v>320</v>
      </c>
      <c r="G2" s="107">
        <v>30</v>
      </c>
      <c r="H2" s="107">
        <f>G2*E2</f>
        <v>600</v>
      </c>
      <c r="J2" s="115" t="s">
        <v>339</v>
      </c>
      <c r="K2" s="116" t="s">
        <v>340</v>
      </c>
      <c r="L2" s="116" t="s">
        <v>341</v>
      </c>
    </row>
    <row r="3" spans="1:12" x14ac:dyDescent="0.25">
      <c r="A3" s="90" t="s">
        <v>308</v>
      </c>
      <c r="B3" s="90">
        <v>2.7</v>
      </c>
      <c r="D3" s="94" t="s">
        <v>321</v>
      </c>
      <c r="E3" s="95">
        <v>250</v>
      </c>
      <c r="F3" s="95" t="s">
        <v>322</v>
      </c>
      <c r="G3" s="107">
        <v>1.68</v>
      </c>
      <c r="H3" s="107">
        <f>G3*E3</f>
        <v>420</v>
      </c>
      <c r="J3" s="119" t="s">
        <v>336</v>
      </c>
      <c r="K3" s="120">
        <f>0.15*B6</f>
        <v>1.8225</v>
      </c>
      <c r="L3" s="120">
        <f>K3*G13</f>
        <v>0.63787499999999997</v>
      </c>
    </row>
    <row r="4" spans="1:12" ht="30" x14ac:dyDescent="0.25">
      <c r="A4" s="90" t="s">
        <v>309</v>
      </c>
      <c r="B4" s="90">
        <v>3</v>
      </c>
      <c r="D4" s="94" t="s">
        <v>323</v>
      </c>
      <c r="E4" s="95">
        <v>1</v>
      </c>
      <c r="F4" s="95" t="s">
        <v>324</v>
      </c>
      <c r="G4" s="107">
        <v>8000</v>
      </c>
      <c r="H4" s="107">
        <f>G4</f>
        <v>8000</v>
      </c>
      <c r="J4" s="119" t="s">
        <v>342</v>
      </c>
      <c r="K4" s="120">
        <v>350</v>
      </c>
      <c r="L4" s="120">
        <f>K4*(1126/18)</f>
        <v>21894.444444444445</v>
      </c>
    </row>
    <row r="5" spans="1:12" ht="30" x14ac:dyDescent="0.25">
      <c r="A5" s="90" t="s">
        <v>310</v>
      </c>
      <c r="B5" s="90">
        <v>0.25</v>
      </c>
      <c r="D5" s="108" t="s">
        <v>325</v>
      </c>
      <c r="E5" s="95">
        <v>1</v>
      </c>
      <c r="F5" s="95" t="s">
        <v>326</v>
      </c>
      <c r="G5" s="107">
        <v>3000</v>
      </c>
      <c r="H5" s="107">
        <f>G5</f>
        <v>3000</v>
      </c>
      <c r="J5" s="117" t="s">
        <v>337</v>
      </c>
      <c r="K5" s="118"/>
      <c r="L5" s="120">
        <f>L3+L4</f>
        <v>21895.082319444446</v>
      </c>
    </row>
    <row r="6" spans="1:12" ht="30" x14ac:dyDescent="0.25">
      <c r="A6" s="90" t="s">
        <v>311</v>
      </c>
      <c r="B6" s="90">
        <f>B2*B3</f>
        <v>12.15</v>
      </c>
      <c r="D6" s="108" t="s">
        <v>327</v>
      </c>
      <c r="E6" s="95">
        <v>1</v>
      </c>
      <c r="F6" s="95" t="s">
        <v>326</v>
      </c>
      <c r="G6" s="107">
        <v>488</v>
      </c>
      <c r="H6" s="107">
        <f>G6*E6</f>
        <v>488</v>
      </c>
    </row>
    <row r="7" spans="1:12" ht="15.75" x14ac:dyDescent="0.25">
      <c r="D7" s="100" t="s">
        <v>328</v>
      </c>
      <c r="E7" s="101">
        <f>E8/12</f>
        <v>9758</v>
      </c>
      <c r="F7" s="101"/>
      <c r="G7" s="101"/>
      <c r="H7" s="101"/>
    </row>
    <row r="8" spans="1:12" ht="15.75" x14ac:dyDescent="0.25">
      <c r="A8" s="89" t="s">
        <v>312</v>
      </c>
      <c r="B8" s="89"/>
      <c r="D8" s="102" t="s">
        <v>329</v>
      </c>
      <c r="E8" s="103">
        <f>SUM(H2,H3,H4,H6)*12+H5</f>
        <v>117096</v>
      </c>
      <c r="F8" s="104"/>
      <c r="G8" s="104"/>
      <c r="H8" s="105"/>
    </row>
    <row r="9" spans="1:12" x14ac:dyDescent="0.25">
      <c r="A9" s="90" t="s">
        <v>313</v>
      </c>
      <c r="B9" s="90">
        <f>B6*B5</f>
        <v>3.0375000000000001</v>
      </c>
    </row>
    <row r="10" spans="1:12" ht="30" x14ac:dyDescent="0.25">
      <c r="D10" s="111" t="s">
        <v>330</v>
      </c>
      <c r="E10" s="112"/>
      <c r="F10" s="75" t="s">
        <v>331</v>
      </c>
      <c r="G10" s="75" t="s">
        <v>332</v>
      </c>
      <c r="H10" s="75" t="s">
        <v>333</v>
      </c>
    </row>
    <row r="11" spans="1:12" x14ac:dyDescent="0.25">
      <c r="D11" s="113" t="s">
        <v>334</v>
      </c>
      <c r="E11" s="70">
        <v>350</v>
      </c>
      <c r="F11" s="70">
        <f>E11*$B$9</f>
        <v>1063.125</v>
      </c>
      <c r="G11" s="70">
        <f>115/25</f>
        <v>4.5999999999999996</v>
      </c>
      <c r="H11" s="70">
        <f>F11*G11</f>
        <v>4890.375</v>
      </c>
    </row>
    <row r="12" spans="1:12" x14ac:dyDescent="0.25">
      <c r="D12" s="113" t="s">
        <v>335</v>
      </c>
      <c r="E12" s="70">
        <v>1050</v>
      </c>
      <c r="F12" s="70">
        <f t="shared" ref="F12:F14" si="0">E12*$B$9</f>
        <v>3189.375</v>
      </c>
      <c r="G12" s="70">
        <f>48/50</f>
        <v>0.96</v>
      </c>
      <c r="H12" s="70">
        <f t="shared" ref="H12:H13" si="1">F12*G12</f>
        <v>3061.7999999999997</v>
      </c>
    </row>
    <row r="13" spans="1:12" x14ac:dyDescent="0.25">
      <c r="D13" s="113" t="s">
        <v>336</v>
      </c>
      <c r="E13" s="70">
        <v>1750</v>
      </c>
      <c r="F13" s="70">
        <f t="shared" si="0"/>
        <v>5315.625</v>
      </c>
      <c r="G13" s="70">
        <f>350/1000</f>
        <v>0.35</v>
      </c>
      <c r="H13" s="70">
        <f t="shared" si="1"/>
        <v>1860.4687499999998</v>
      </c>
    </row>
    <row r="14" spans="1:12" x14ac:dyDescent="0.25">
      <c r="D14" s="113" t="s">
        <v>319</v>
      </c>
      <c r="E14" s="70">
        <v>175</v>
      </c>
      <c r="F14" s="70">
        <f t="shared" si="0"/>
        <v>531.5625</v>
      </c>
      <c r="G14" s="70">
        <v>0</v>
      </c>
      <c r="H14" s="70">
        <f>F14*G14</f>
        <v>0</v>
      </c>
    </row>
    <row r="15" spans="1:12" ht="15.75" x14ac:dyDescent="0.25">
      <c r="D15" s="109" t="s">
        <v>337</v>
      </c>
      <c r="E15" s="109"/>
      <c r="F15" s="109"/>
      <c r="G15" s="109"/>
      <c r="H15" s="110">
        <f>SUM(H11:H14)</f>
        <v>9812.6437499999993</v>
      </c>
    </row>
    <row r="17" spans="4:12" x14ac:dyDescent="0.25">
      <c r="D17" s="122" t="s">
        <v>343</v>
      </c>
      <c r="E17" s="122"/>
      <c r="F17" s="122"/>
      <c r="G17" s="122"/>
      <c r="J17" s="106" t="s">
        <v>362</v>
      </c>
      <c r="K17" s="106" t="s">
        <v>316</v>
      </c>
      <c r="L17" s="106" t="s">
        <v>363</v>
      </c>
    </row>
    <row r="18" spans="4:12" x14ac:dyDescent="0.25">
      <c r="D18" s="95" t="s">
        <v>339</v>
      </c>
      <c r="E18" s="95" t="s">
        <v>27</v>
      </c>
      <c r="F18" s="95" t="s">
        <v>316</v>
      </c>
      <c r="G18" s="95" t="s">
        <v>317</v>
      </c>
      <c r="J18" s="95" t="s">
        <v>365</v>
      </c>
      <c r="K18" s="95" t="s">
        <v>364</v>
      </c>
      <c r="L18" s="107">
        <v>8000</v>
      </c>
    </row>
    <row r="19" spans="4:12" x14ac:dyDescent="0.25">
      <c r="D19" s="95" t="s">
        <v>344</v>
      </c>
      <c r="E19" s="123">
        <v>30</v>
      </c>
      <c r="F19" s="95" t="s">
        <v>345</v>
      </c>
      <c r="G19" s="107">
        <f>E19*100</f>
        <v>3000</v>
      </c>
      <c r="J19" s="95" t="s">
        <v>366</v>
      </c>
      <c r="K19" s="95" t="s">
        <v>364</v>
      </c>
      <c r="L19" s="107">
        <v>16700</v>
      </c>
    </row>
    <row r="20" spans="4:12" x14ac:dyDescent="0.25">
      <c r="D20" s="76" t="s">
        <v>346</v>
      </c>
      <c r="E20" s="123">
        <v>6500</v>
      </c>
      <c r="F20" s="95" t="s">
        <v>326</v>
      </c>
      <c r="G20" s="107">
        <f>E20</f>
        <v>6500</v>
      </c>
      <c r="J20" s="95" t="s">
        <v>367</v>
      </c>
      <c r="K20" s="95" t="s">
        <v>364</v>
      </c>
      <c r="L20" s="107">
        <f>SUM(L18:L19)</f>
        <v>24700</v>
      </c>
    </row>
    <row r="21" spans="4:12" x14ac:dyDescent="0.25">
      <c r="D21" s="76" t="s">
        <v>347</v>
      </c>
      <c r="E21" s="123">
        <v>182</v>
      </c>
      <c r="F21" s="95" t="s">
        <v>354</v>
      </c>
      <c r="G21" s="107">
        <f>E21*$B$2</f>
        <v>819</v>
      </c>
      <c r="J21" s="95" t="s">
        <v>368</v>
      </c>
      <c r="K21" s="95" t="s">
        <v>364</v>
      </c>
      <c r="L21" s="107">
        <f>L20*12</f>
        <v>296400</v>
      </c>
    </row>
    <row r="22" spans="4:12" ht="30" x14ac:dyDescent="0.25">
      <c r="D22" s="76" t="s">
        <v>348</v>
      </c>
      <c r="E22" s="123">
        <v>839</v>
      </c>
      <c r="F22" s="95" t="s">
        <v>326</v>
      </c>
      <c r="G22" s="107">
        <f>E22</f>
        <v>839</v>
      </c>
      <c r="J22" s="95" t="s">
        <v>369</v>
      </c>
      <c r="K22" s="95" t="s">
        <v>370</v>
      </c>
      <c r="L22" s="95">
        <f>_xlfn.CEILING.MATH(NPER(,-(L20-E7),E28))</f>
        <v>5</v>
      </c>
    </row>
    <row r="23" spans="4:12" x14ac:dyDescent="0.25">
      <c r="D23" s="95" t="s">
        <v>349</v>
      </c>
      <c r="E23" s="123">
        <v>440</v>
      </c>
      <c r="F23" s="95" t="s">
        <v>326</v>
      </c>
      <c r="G23" s="107">
        <f>E23</f>
        <v>440</v>
      </c>
      <c r="J23" s="95" t="s">
        <v>371</v>
      </c>
      <c r="K23" s="95" t="s">
        <v>370</v>
      </c>
      <c r="L23" s="95">
        <f>_xlfn.CEILING.MATH(NPER(,-(L20-E7),E41))</f>
        <v>4</v>
      </c>
    </row>
    <row r="24" spans="4:12" x14ac:dyDescent="0.25">
      <c r="D24" s="76" t="s">
        <v>350</v>
      </c>
      <c r="E24" s="107">
        <v>1000</v>
      </c>
      <c r="F24" s="95" t="s">
        <v>354</v>
      </c>
      <c r="G24" s="107">
        <f>E24*($B$6/2.625)</f>
        <v>4628.5714285714294</v>
      </c>
    </row>
    <row r="25" spans="4:12" x14ac:dyDescent="0.25">
      <c r="D25" s="76" t="s">
        <v>351</v>
      </c>
      <c r="E25" s="107">
        <v>8</v>
      </c>
      <c r="F25" s="95" t="s">
        <v>352</v>
      </c>
      <c r="G25" s="107">
        <f>E25*2500</f>
        <v>20000</v>
      </c>
    </row>
    <row r="26" spans="4:12" ht="30" x14ac:dyDescent="0.25">
      <c r="D26" s="76" t="s">
        <v>353</v>
      </c>
      <c r="E26" s="107">
        <f>G11+G12</f>
        <v>5.56</v>
      </c>
      <c r="F26" s="95" t="s">
        <v>355</v>
      </c>
      <c r="G26" s="107">
        <f>E26*750</f>
        <v>4170</v>
      </c>
    </row>
    <row r="27" spans="4:12" x14ac:dyDescent="0.25">
      <c r="D27" s="76" t="s">
        <v>356</v>
      </c>
      <c r="E27" s="107">
        <v>1000</v>
      </c>
      <c r="F27" s="95" t="s">
        <v>318</v>
      </c>
      <c r="G27" s="107">
        <f>E27</f>
        <v>1000</v>
      </c>
    </row>
    <row r="28" spans="4:12" ht="15.75" x14ac:dyDescent="0.25">
      <c r="D28" s="121" t="s">
        <v>42</v>
      </c>
      <c r="E28" s="124">
        <f>SUM(G19:G27)+H15+L5</f>
        <v>73104.297498015861</v>
      </c>
      <c r="F28" s="124"/>
      <c r="G28" s="124"/>
    </row>
    <row r="30" spans="4:12" x14ac:dyDescent="0.25">
      <c r="D30" s="122" t="s">
        <v>357</v>
      </c>
      <c r="E30" s="122"/>
      <c r="F30" s="122"/>
      <c r="G30" s="122"/>
    </row>
    <row r="31" spans="4:12" x14ac:dyDescent="0.25">
      <c r="D31" s="95" t="s">
        <v>339</v>
      </c>
      <c r="E31" s="95" t="s">
        <v>27</v>
      </c>
      <c r="F31" s="95" t="s">
        <v>316</v>
      </c>
      <c r="G31" s="95" t="s">
        <v>317</v>
      </c>
    </row>
    <row r="32" spans="4:12" x14ac:dyDescent="0.25">
      <c r="D32" s="95" t="s">
        <v>344</v>
      </c>
      <c r="E32" s="123">
        <v>30</v>
      </c>
      <c r="F32" s="95" t="s">
        <v>345</v>
      </c>
      <c r="G32" s="107">
        <f>E32*100</f>
        <v>3000</v>
      </c>
    </row>
    <row r="33" spans="4:7" x14ac:dyDescent="0.25">
      <c r="D33" s="76" t="s">
        <v>346</v>
      </c>
      <c r="E33" s="123">
        <v>6500</v>
      </c>
      <c r="F33" s="95" t="s">
        <v>326</v>
      </c>
      <c r="G33" s="107">
        <f>E33</f>
        <v>6500</v>
      </c>
    </row>
    <row r="34" spans="4:7" x14ac:dyDescent="0.25">
      <c r="D34" s="76" t="s">
        <v>347</v>
      </c>
      <c r="E34" s="123">
        <v>182</v>
      </c>
      <c r="F34" s="95" t="s">
        <v>354</v>
      </c>
      <c r="G34" s="107">
        <f>E34*B2</f>
        <v>819</v>
      </c>
    </row>
    <row r="35" spans="4:7" ht="30" x14ac:dyDescent="0.25">
      <c r="D35" s="76" t="s">
        <v>348</v>
      </c>
      <c r="E35" s="123">
        <v>839</v>
      </c>
      <c r="F35" s="95" t="s">
        <v>326</v>
      </c>
      <c r="G35" s="107">
        <f>E35</f>
        <v>839</v>
      </c>
    </row>
    <row r="36" spans="4:7" x14ac:dyDescent="0.25">
      <c r="D36" s="95" t="s">
        <v>349</v>
      </c>
      <c r="E36" s="123">
        <v>440</v>
      </c>
      <c r="F36" s="95" t="s">
        <v>326</v>
      </c>
      <c r="G36" s="107">
        <f>E36</f>
        <v>440</v>
      </c>
    </row>
    <row r="37" spans="4:7" x14ac:dyDescent="0.25">
      <c r="D37" s="76" t="s">
        <v>350</v>
      </c>
      <c r="E37" s="107">
        <v>1000</v>
      </c>
      <c r="F37" s="95" t="s">
        <v>354</v>
      </c>
      <c r="G37" s="107">
        <f>E37*($B$6/2.625)</f>
        <v>4628.5714285714294</v>
      </c>
    </row>
    <row r="38" spans="4:7" x14ac:dyDescent="0.25">
      <c r="D38" s="76" t="s">
        <v>358</v>
      </c>
      <c r="E38" s="107">
        <v>576</v>
      </c>
      <c r="F38" s="95" t="s">
        <v>361</v>
      </c>
      <c r="G38" s="107">
        <f>E38*(B6/0.96)</f>
        <v>7290</v>
      </c>
    </row>
    <row r="39" spans="4:7" ht="30" x14ac:dyDescent="0.25">
      <c r="D39" s="76" t="s">
        <v>359</v>
      </c>
      <c r="E39" s="107">
        <f>145.02/30</f>
        <v>4.8340000000000005</v>
      </c>
      <c r="F39" s="95" t="s">
        <v>360</v>
      </c>
      <c r="G39" s="107">
        <f>E39*100</f>
        <v>483.40000000000003</v>
      </c>
    </row>
    <row r="40" spans="4:7" x14ac:dyDescent="0.25">
      <c r="D40" s="76" t="s">
        <v>356</v>
      </c>
      <c r="E40" s="107">
        <v>1000</v>
      </c>
      <c r="F40" s="95" t="s">
        <v>318</v>
      </c>
      <c r="G40" s="107">
        <f>E40</f>
        <v>1000</v>
      </c>
    </row>
    <row r="41" spans="4:7" ht="15.75" x14ac:dyDescent="0.25">
      <c r="D41" s="121" t="s">
        <v>42</v>
      </c>
      <c r="E41" s="124">
        <f>SUM(G32:G40)+H15+L5</f>
        <v>56707.697498015877</v>
      </c>
      <c r="F41" s="124"/>
      <c r="G41" s="124"/>
    </row>
  </sheetData>
  <mergeCells count="12">
    <mergeCell ref="D30:G30"/>
    <mergeCell ref="E41:G41"/>
    <mergeCell ref="D10:E10"/>
    <mergeCell ref="D15:G15"/>
    <mergeCell ref="J1:L1"/>
    <mergeCell ref="J5:K5"/>
    <mergeCell ref="D17:G17"/>
    <mergeCell ref="E28:G28"/>
    <mergeCell ref="A1:B1"/>
    <mergeCell ref="A8:B8"/>
    <mergeCell ref="E7:H7"/>
    <mergeCell ref="E8:H8"/>
  </mergeCells>
  <pageMargins left="0.7" right="0.7" top="0.75" bottom="0.75" header="0.3" footer="0.3"/>
  <ignoredErrors>
    <ignoredError sqref="G21 G34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487AF5-E488-49EA-ADCE-F4CF237493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Завдання 1</vt:lpstr>
      <vt:lpstr>Завдання 2</vt:lpstr>
      <vt:lpstr>Завдання 3</vt:lpstr>
      <vt:lpstr>Завдання 4</vt:lpstr>
      <vt:lpstr>Завдання 5</vt:lpstr>
      <vt:lpstr>Завдання 6</vt:lpstr>
      <vt:lpstr>Завдання 7</vt:lpstr>
      <vt:lpstr>Завдання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2022-10-17T17:45:28Z</dcterms:created>
  <dcterms:modified xsi:type="dcterms:W3CDTF">2022-10-19T22:30:41Z</dcterms:modified>
</cp:coreProperties>
</file>