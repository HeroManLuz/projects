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nikita.kuznetsov/Downloads/"/>
    </mc:Choice>
  </mc:AlternateContent>
  <xr:revisionPtr revIDLastSave="0" documentId="13_ncr:1_{B5CF7844-851E-7C4E-B63A-90C7C9F0A2EB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EBA CA Regression" sheetId="1" r:id="rId1"/>
    <sheet name="EBA REER Regression" sheetId="2" r:id="rId2"/>
    <sheet name="ES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__BOP2" localSheetId="0">[1]BoP!#REF!</definedName>
    <definedName name="___BOP2">[1]BoP!#REF!</definedName>
    <definedName name="___EXP5" localSheetId="0">#REF!</definedName>
    <definedName name="___EXP5" localSheetId="1">#REF!</definedName>
    <definedName name="___EXP5">#REF!</definedName>
    <definedName name="___EXP6" localSheetId="0">#REF!</definedName>
    <definedName name="___EXP6" localSheetId="1">#REF!</definedName>
    <definedName name="___EXP6">#REF!</definedName>
    <definedName name="___EXP7" localSheetId="0">#REF!</definedName>
    <definedName name="___EXP7" localSheetId="1">#REF!</definedName>
    <definedName name="___EXP7">#REF!</definedName>
    <definedName name="___EXP9" localSheetId="0">#REF!</definedName>
    <definedName name="___EXP9">#REF!</definedName>
    <definedName name="___IMP2" localSheetId="0">#REF!</definedName>
    <definedName name="___IMP2">#REF!</definedName>
    <definedName name="___IMP4" localSheetId="0">#REF!</definedName>
    <definedName name="___IMP4">#REF!</definedName>
    <definedName name="___IMP6" localSheetId="0">#REF!</definedName>
    <definedName name="___IMP6">#REF!</definedName>
    <definedName name="___IMP7" localSheetId="0">#REF!</definedName>
    <definedName name="___IMP7">#REF!</definedName>
    <definedName name="___MTS2" localSheetId="0">'[2]Annual Tables'!#REF!</definedName>
    <definedName name="___MTS2">'[2]Annual Tables'!#REF!</definedName>
    <definedName name="___PAG2" localSheetId="0">[2]Index!#REF!</definedName>
    <definedName name="___PAG2">[2]Index!#REF!</definedName>
    <definedName name="___PAG3" localSheetId="0">[2]Index!#REF!</definedName>
    <definedName name="___PAG3">[2]Index!#REF!</definedName>
    <definedName name="___PAG4" localSheetId="0">[2]Index!#REF!</definedName>
    <definedName name="___PAG4">[2]Index!#REF!</definedName>
    <definedName name="___PAG5" localSheetId="0">[2]Index!#REF!</definedName>
    <definedName name="___PAG5">[2]Index!#REF!</definedName>
    <definedName name="___PAG6" localSheetId="0">[2]Index!#REF!</definedName>
    <definedName name="___PAG6">[2]Index!#REF!</definedName>
    <definedName name="___RES2" localSheetId="0">[1]RES!#REF!</definedName>
    <definedName name="___RES2">[1]RES!#REF!</definedName>
    <definedName name="___TAB7" localSheetId="0">#REF!</definedName>
    <definedName name="___TAB7" localSheetId="1">#REF!</definedName>
    <definedName name="___TAB7">#REF!</definedName>
    <definedName name="__123Graph_A">'[3]Table 5'!$B$11:$B$11</definedName>
    <definedName name="__123Graph_AWEEKLY" localSheetId="0">#REF!</definedName>
    <definedName name="__123Graph_AWEEKLY" localSheetId="1">#REF!</definedName>
    <definedName name="__123Graph_AWEEKLY">#REF!</definedName>
    <definedName name="__123Graph_B">'[3]Table 5'!$C$11:$C$11</definedName>
    <definedName name="__123Graph_BCurrent" localSheetId="0">[4]G!#REF!</definedName>
    <definedName name="__123Graph_BCurrent" localSheetId="1">[4]G!#REF!</definedName>
    <definedName name="__123Graph_BCurrent">[4]G!#REF!</definedName>
    <definedName name="__123Graph_C" localSheetId="0">#REF!</definedName>
    <definedName name="__123Graph_C" localSheetId="1">#REF!</definedName>
    <definedName name="__123Graph_C">#REF!</definedName>
    <definedName name="__BOP1" localSheetId="0">#REF!</definedName>
    <definedName name="__BOP1" localSheetId="1">#REF!</definedName>
    <definedName name="__BOP1">#REF!</definedName>
    <definedName name="__IMP10" localSheetId="0">#REF!</definedName>
    <definedName name="__IMP10">#REF!</definedName>
    <definedName name="__IMP8" localSheetId="0">#REF!</definedName>
    <definedName name="__IMP8">#REF!</definedName>
    <definedName name="__PAG7" localSheetId="0">#REF!</definedName>
    <definedName name="__PAG7">#REF!</definedName>
    <definedName name="__TAB1" localSheetId="0">#REF!</definedName>
    <definedName name="__TAB1">#REF!</definedName>
    <definedName name="__TAB10" localSheetId="0">#REF!</definedName>
    <definedName name="__TAB10">#REF!</definedName>
    <definedName name="__TAB12" localSheetId="0">#REF!</definedName>
    <definedName name="__TAB12">#REF!</definedName>
    <definedName name="__Tab19" localSheetId="0">#REF!</definedName>
    <definedName name="__Tab19">#REF!</definedName>
    <definedName name="__TAB2" localSheetId="0">#REF!</definedName>
    <definedName name="__TAB2">#REF!</definedName>
    <definedName name="__Tab20" localSheetId="0">#REF!</definedName>
    <definedName name="__Tab20">#REF!</definedName>
    <definedName name="__Tab21" localSheetId="0">#REF!</definedName>
    <definedName name="__Tab21">#REF!</definedName>
    <definedName name="__Tab22" localSheetId="0">#REF!</definedName>
    <definedName name="__Tab22">#REF!</definedName>
    <definedName name="__Tab23" localSheetId="0">#REF!</definedName>
    <definedName name="__Tab23">#REF!</definedName>
    <definedName name="__Tab24" localSheetId="0">#REF!</definedName>
    <definedName name="__Tab24">#REF!</definedName>
    <definedName name="__Tab26" localSheetId="0">#REF!</definedName>
    <definedName name="__Tab26">#REF!</definedName>
    <definedName name="__Tab27" localSheetId="0">#REF!</definedName>
    <definedName name="__Tab27">#REF!</definedName>
    <definedName name="__Tab28" localSheetId="0">#REF!</definedName>
    <definedName name="__Tab28">#REF!</definedName>
    <definedName name="__Tab29" localSheetId="0">#REF!</definedName>
    <definedName name="__Tab29">#REF!</definedName>
    <definedName name="__TAB3" localSheetId="0">#REF!</definedName>
    <definedName name="__TAB3">#REF!</definedName>
    <definedName name="__Tab30" localSheetId="0">#REF!</definedName>
    <definedName name="__Tab30">#REF!</definedName>
    <definedName name="__Tab31" localSheetId="0">#REF!</definedName>
    <definedName name="__Tab31">#REF!</definedName>
    <definedName name="__Tab32" localSheetId="0">#REF!</definedName>
    <definedName name="__Tab32">#REF!</definedName>
    <definedName name="__Tab33" localSheetId="0">#REF!</definedName>
    <definedName name="__Tab33">#REF!</definedName>
    <definedName name="__Tab34" localSheetId="0">#REF!</definedName>
    <definedName name="__Tab34">#REF!</definedName>
    <definedName name="__Tab35" localSheetId="0">#REF!</definedName>
    <definedName name="__Tab35">#REF!</definedName>
    <definedName name="__TAB4" localSheetId="0">#REF!</definedName>
    <definedName name="__TAB4">#REF!</definedName>
    <definedName name="__TAB5" localSheetId="0">#REF!</definedName>
    <definedName name="__TAB5">#REF!</definedName>
    <definedName name="__TAB8" localSheetId="0">#REF!</definedName>
    <definedName name="__TAB8">#REF!</definedName>
    <definedName name="__WEO1" localSheetId="0">#REF!</definedName>
    <definedName name="__WEO1">#REF!</definedName>
    <definedName name="__WEO2" localSheetId="0">#REF!</definedName>
    <definedName name="__WEO2">#REF!</definedName>
    <definedName name="_5Macros_Import_.qbop" localSheetId="0">[5]!'[Macros Import].qbop'</definedName>
    <definedName name="_5Macros_Import_.qbop">[5]!'[Macros Import].qbop'</definedName>
    <definedName name="_BOP1" localSheetId="0">#REF!</definedName>
    <definedName name="_BOP1" localSheetId="1">#REF!</definedName>
    <definedName name="_BOP1">#REF!</definedName>
    <definedName name="_BOP2" localSheetId="0">[1]BoP!#REF!</definedName>
    <definedName name="_BOP2" localSheetId="1">[1]BoP!#REF!</definedName>
    <definedName name="_BOP2">[1]BoP!#REF!</definedName>
    <definedName name="_DLX1.EMG3" localSheetId="0">#REF!</definedName>
    <definedName name="_DLX1.EMG3" localSheetId="1">#REF!</definedName>
    <definedName name="_DLX1.EMG3">#REF!</definedName>
    <definedName name="_DLX1.USE" localSheetId="0">#REF!</definedName>
    <definedName name="_DLX1.USE" localSheetId="1">#REF!</definedName>
    <definedName name="_DLX1.USE">#REF!</definedName>
    <definedName name="_DLX10.USE" localSheetId="0">#REF!</definedName>
    <definedName name="_DLX10.USE">#REF!</definedName>
    <definedName name="_DLX11.USE" localSheetId="0">#REF!</definedName>
    <definedName name="_DLX11.USE">#REF!</definedName>
    <definedName name="_DLX12.USE" localSheetId="0">#REF!</definedName>
    <definedName name="_DLX12.USE">#REF!</definedName>
    <definedName name="_DLX13.USE" localSheetId="0">#REF!</definedName>
    <definedName name="_DLX13.USE">#REF!</definedName>
    <definedName name="_DLX14.USE" localSheetId="0">#REF!</definedName>
    <definedName name="_DLX14.USE">#REF!</definedName>
    <definedName name="_DLX15.USE" localSheetId="0">#REF!</definedName>
    <definedName name="_DLX15.USE">#REF!</definedName>
    <definedName name="_DLX16.USE" localSheetId="0">#REF!</definedName>
    <definedName name="_DLX16.USE">#REF!</definedName>
    <definedName name="_DLX17.USE" localSheetId="0">#REF!</definedName>
    <definedName name="_DLX17.USE">#REF!</definedName>
    <definedName name="_DLX18.USE" localSheetId="0">#REF!</definedName>
    <definedName name="_DLX18.USE">#REF!</definedName>
    <definedName name="_DLX19.USE" localSheetId="0">#REF!</definedName>
    <definedName name="_DLX19.USE">#REF!</definedName>
    <definedName name="_DLX2.EMG4" localSheetId="0">#REF!</definedName>
    <definedName name="_DLX2.EMG4">#REF!</definedName>
    <definedName name="_DLX2.USE" localSheetId="0">#REF!</definedName>
    <definedName name="_DLX2.USE" localSheetId="1">#REF!</definedName>
    <definedName name="_DLX2.USE">#REF!</definedName>
    <definedName name="_DLX20.USE" localSheetId="0">#REF!</definedName>
    <definedName name="_DLX20.USE">#REF!</definedName>
    <definedName name="_DLX21.USE" localSheetId="0">#REF!</definedName>
    <definedName name="_DLX21.USE">#REF!</definedName>
    <definedName name="_DLX22.USE" localSheetId="0">#REF!</definedName>
    <definedName name="_DLX22.USE">#REF!</definedName>
    <definedName name="_DLX23.USE" localSheetId="0">#REF!</definedName>
    <definedName name="_DLX23.USE">#REF!</definedName>
    <definedName name="_DLX24.USE" localSheetId="0">#REF!</definedName>
    <definedName name="_DLX24.USE">#REF!</definedName>
    <definedName name="_DLX25.USE" localSheetId="0">#REF!</definedName>
    <definedName name="_DLX25.USE">#REF!</definedName>
    <definedName name="_DLX26.USE" localSheetId="0">#REF!</definedName>
    <definedName name="_DLX26.USE">#REF!</definedName>
    <definedName name="_DLX27.USE" localSheetId="0">#REF!</definedName>
    <definedName name="_DLX27.USE">#REF!</definedName>
    <definedName name="_DLX28.USE" localSheetId="0">#REF!</definedName>
    <definedName name="_DLX28.USE">#REF!</definedName>
    <definedName name="_DLX29.USE" localSheetId="0">#REF!</definedName>
    <definedName name="_DLX29.USE">#REF!</definedName>
    <definedName name="_DLX3.EMG3" localSheetId="0">#REF!</definedName>
    <definedName name="_DLX3.EMG3">#REF!</definedName>
    <definedName name="_DLX3.USE" localSheetId="0">#REF!</definedName>
    <definedName name="_DLX3.USE" localSheetId="1">#REF!</definedName>
    <definedName name="_DLX3.USE">#REF!</definedName>
    <definedName name="_DLX30.USE" localSheetId="0">#REF!</definedName>
    <definedName name="_DLX30.USE">#REF!</definedName>
    <definedName name="_DLX31.USE" localSheetId="0">#REF!</definedName>
    <definedName name="_DLX31.USE">#REF!</definedName>
    <definedName name="_DLX32.USE" localSheetId="0">#REF!</definedName>
    <definedName name="_DLX32.USE">#REF!</definedName>
    <definedName name="_DLX33.USE" localSheetId="0">#REF!</definedName>
    <definedName name="_DLX33.USE">#REF!</definedName>
    <definedName name="_DLX34.USE" localSheetId="0">#REF!</definedName>
    <definedName name="_DLX34.USE">#REF!</definedName>
    <definedName name="_DLX35.USE" localSheetId="0">#REF!</definedName>
    <definedName name="_DLX35.USE">#REF!</definedName>
    <definedName name="_DLX36.USE" localSheetId="0">#REF!</definedName>
    <definedName name="_DLX36.USE">#REF!</definedName>
    <definedName name="_DLX37.USE" localSheetId="0">#REF!</definedName>
    <definedName name="_DLX37.USE">#REF!</definedName>
    <definedName name="_DLX38.USE" localSheetId="0">#REF!</definedName>
    <definedName name="_DLX38.USE">#REF!</definedName>
    <definedName name="_DLX39.USE" localSheetId="0">#REF!</definedName>
    <definedName name="_DLX39.USE">#REF!</definedName>
    <definedName name="_DLX4.LAT1" localSheetId="0">#REF!</definedName>
    <definedName name="_DLX4.LAT1">#REF!</definedName>
    <definedName name="_DLX4.USE" localSheetId="0">#REF!</definedName>
    <definedName name="_DLX4.USE" localSheetId="1">#REF!</definedName>
    <definedName name="_DLX4.USE">#REF!</definedName>
    <definedName name="_DLX5.USE" localSheetId="0">#REF!</definedName>
    <definedName name="_DLX5.USE" localSheetId="1">#REF!</definedName>
    <definedName name="_DLX5.USE">#REF!</definedName>
    <definedName name="_DLX53.USE" localSheetId="0">#REF!</definedName>
    <definedName name="_DLX53.USE">#REF!</definedName>
    <definedName name="_DLX54.USE" localSheetId="0">'[6]DATA-IN (Monthly)'!#REF!</definedName>
    <definedName name="_DLX54.USE">'[6]DATA-IN (Monthly)'!#REF!</definedName>
    <definedName name="_DLX55.USE" localSheetId="0">'[6]DATA-IN (Quarterly)'!#REF!</definedName>
    <definedName name="_DLX55.USE">'[6]DATA-IN (Quarterly)'!#REF!</definedName>
    <definedName name="_DLX56.USE" localSheetId="0">#REF!</definedName>
    <definedName name="_DLX56.USE" localSheetId="1">#REF!</definedName>
    <definedName name="_DLX56.USE">#REF!</definedName>
    <definedName name="_DLX59.USE" localSheetId="0">#REF!</definedName>
    <definedName name="_DLX59.USE" localSheetId="1">#REF!</definedName>
    <definedName name="_DLX59.USE">#REF!</definedName>
    <definedName name="_DLX6.USE" localSheetId="0">#REF!</definedName>
    <definedName name="_DLX6.USE" localSheetId="1">#REF!</definedName>
    <definedName name="_DLX6.USE">#REF!</definedName>
    <definedName name="_DLX61.USE" localSheetId="0">'[6]DATA-IN (Quarterly)'!#REF!</definedName>
    <definedName name="_DLX61.USE" localSheetId="1">'[6]DATA-IN (Quarterly)'!#REF!</definedName>
    <definedName name="_DLX61.USE">'[6]DATA-IN (Quarterly)'!#REF!</definedName>
    <definedName name="_DLX62.USE" localSheetId="0">#REF!</definedName>
    <definedName name="_DLX62.USE" localSheetId="1">#REF!</definedName>
    <definedName name="_DLX62.USE">#REF!</definedName>
    <definedName name="_DLX7.USE" localSheetId="0">#REF!</definedName>
    <definedName name="_DLX7.USE" localSheetId="1">#REF!</definedName>
    <definedName name="_DLX7.USE">#REF!</definedName>
    <definedName name="_DLX8.USE" localSheetId="1">#REF!</definedName>
    <definedName name="_DLX8.USE">#REF!</definedName>
    <definedName name="_EXP5" localSheetId="0">#REF!</definedName>
    <definedName name="_EXP5">#REF!</definedName>
    <definedName name="_EXP6" localSheetId="0">#REF!</definedName>
    <definedName name="_EXP6">#REF!</definedName>
    <definedName name="_EXP7" localSheetId="0">#REF!</definedName>
    <definedName name="_EXP7">#REF!</definedName>
    <definedName name="_EXP9" localSheetId="0">#REF!</definedName>
    <definedName name="_EXP9">#REF!</definedName>
    <definedName name="_Fill" localSheetId="0">#REF!</definedName>
    <definedName name="_Fill" localSheetId="1">#REF!</definedName>
    <definedName name="_Fill">#REF!</definedName>
    <definedName name="_IMP10" localSheetId="0">#REF!</definedName>
    <definedName name="_IMP10">#REF!</definedName>
    <definedName name="_IMP2" localSheetId="0">#REF!</definedName>
    <definedName name="_IMP2">#REF!</definedName>
    <definedName name="_IMP4" localSheetId="0">#REF!</definedName>
    <definedName name="_IMP4">#REF!</definedName>
    <definedName name="_IMP6" localSheetId="0">#REF!</definedName>
    <definedName name="_IMP6">#REF!</definedName>
    <definedName name="_IMP7" localSheetId="0">#REF!</definedName>
    <definedName name="_IMP7">#REF!</definedName>
    <definedName name="_IMP8" localSheetId="0">#REF!</definedName>
    <definedName name="_IMP8">#REF!</definedName>
    <definedName name="_Kur2002">[7]ONEMLI_OKUYUN!$H$86</definedName>
    <definedName name="_MTS2" localSheetId="0">'[2]Annual Tables'!#REF!</definedName>
    <definedName name="_MTS2" localSheetId="1">'[2]Annual Tables'!#REF!</definedName>
    <definedName name="_MTS2">'[2]Annual Tables'!#REF!</definedName>
    <definedName name="_Order1">255</definedName>
    <definedName name="_Order2">255</definedName>
    <definedName name="_PAG2" localSheetId="0">[2]Index!#REF!</definedName>
    <definedName name="_PAG2" localSheetId="1">[2]Index!#REF!</definedName>
    <definedName name="_PAG2">[2]Index!#REF!</definedName>
    <definedName name="_PAG3" localSheetId="0">[2]Index!#REF!</definedName>
    <definedName name="_PAG3" localSheetId="1">[2]Index!#REF!</definedName>
    <definedName name="_PAG3">[2]Index!#REF!</definedName>
    <definedName name="_PAG4" localSheetId="0">[2]Index!#REF!</definedName>
    <definedName name="_PAG4" localSheetId="1">[2]Index!#REF!</definedName>
    <definedName name="_PAG4">[2]Index!#REF!</definedName>
    <definedName name="_PAG5" localSheetId="0">[2]Index!#REF!</definedName>
    <definedName name="_PAG5">[2]Index!#REF!</definedName>
    <definedName name="_PAG6" localSheetId="0">[2]Index!#REF!</definedName>
    <definedName name="_PAG6">[2]Index!#REF!</definedName>
    <definedName name="_PAG7" localSheetId="0">#REF!</definedName>
    <definedName name="_PAG7" localSheetId="1">#REF!</definedName>
    <definedName name="_PAG7">#REF!</definedName>
    <definedName name="_RES2" localSheetId="0">[1]RES!#REF!</definedName>
    <definedName name="_RES2" localSheetId="1">[1]RES!#REF!</definedName>
    <definedName name="_RES2">[1]RES!#REF!</definedName>
    <definedName name="_TAB1" localSheetId="0">#REF!</definedName>
    <definedName name="_TAB1" localSheetId="1">#REF!</definedName>
    <definedName name="_TAB1">#REF!</definedName>
    <definedName name="_TAB10" localSheetId="0">#REF!</definedName>
    <definedName name="_TAB10" localSheetId="1">#REF!</definedName>
    <definedName name="_TAB10">#REF!</definedName>
    <definedName name="_TAB12" localSheetId="0">#REF!</definedName>
    <definedName name="_TAB12" localSheetId="1">#REF!</definedName>
    <definedName name="_TAB12">#REF!</definedName>
    <definedName name="_Tab18">'[8]Soc Sec OECD countries'!$B$5:$P$62</definedName>
    <definedName name="_Tab19" localSheetId="0">#REF!</definedName>
    <definedName name="_Tab19" localSheetId="1">#REF!</definedName>
    <definedName name="_Tab19">#REF!</definedName>
    <definedName name="_TAB2" localSheetId="0">#REF!</definedName>
    <definedName name="_TAB2" localSheetId="1">#REF!</definedName>
    <definedName name="_TAB2">#REF!</definedName>
    <definedName name="_Tab20" localSheetId="0">#REF!</definedName>
    <definedName name="_Tab20" localSheetId="1">#REF!</definedName>
    <definedName name="_Tab20">#REF!</definedName>
    <definedName name="_Tab21" localSheetId="0">#REF!</definedName>
    <definedName name="_Tab21">#REF!</definedName>
    <definedName name="_Tab22" localSheetId="0">#REF!</definedName>
    <definedName name="_Tab22">#REF!</definedName>
    <definedName name="_Tab23" localSheetId="0">#REF!</definedName>
    <definedName name="_Tab23">#REF!</definedName>
    <definedName name="_Tab24" localSheetId="0">#REF!</definedName>
    <definedName name="_Tab24">#REF!</definedName>
    <definedName name="_Tab26" localSheetId="0">#REF!</definedName>
    <definedName name="_Tab26">#REF!</definedName>
    <definedName name="_Tab27" localSheetId="0">#REF!</definedName>
    <definedName name="_Tab27">#REF!</definedName>
    <definedName name="_Tab28" localSheetId="0">#REF!</definedName>
    <definedName name="_Tab28">#REF!</definedName>
    <definedName name="_Tab29" localSheetId="0">#REF!</definedName>
    <definedName name="_Tab29">#REF!</definedName>
    <definedName name="_TAB3" localSheetId="0">#REF!</definedName>
    <definedName name="_TAB3">#REF!</definedName>
    <definedName name="_Tab30" localSheetId="0">#REF!</definedName>
    <definedName name="_Tab30">#REF!</definedName>
    <definedName name="_Tab31" localSheetId="0">#REF!</definedName>
    <definedName name="_Tab31">#REF!</definedName>
    <definedName name="_Tab32" localSheetId="0">#REF!</definedName>
    <definedName name="_Tab32">#REF!</definedName>
    <definedName name="_Tab33" localSheetId="0">#REF!</definedName>
    <definedName name="_Tab33">#REF!</definedName>
    <definedName name="_Tab34" localSheetId="0">#REF!</definedName>
    <definedName name="_Tab34">#REF!</definedName>
    <definedName name="_Tab35" localSheetId="0">#REF!</definedName>
    <definedName name="_Tab35">#REF!</definedName>
    <definedName name="_TAB4" localSheetId="0">#REF!</definedName>
    <definedName name="_TAB4">#REF!</definedName>
    <definedName name="_TAB5" localSheetId="0">#REF!</definedName>
    <definedName name="_TAB5">#REF!</definedName>
    <definedName name="_TAB7" localSheetId="0">#REF!</definedName>
    <definedName name="_TAB7">#REF!</definedName>
    <definedName name="_TAB8" localSheetId="0">#REF!</definedName>
    <definedName name="_TAB8">#REF!</definedName>
    <definedName name="_Tab9">'[8]Dom GS OECD countries'!$B$5:$P$62</definedName>
    <definedName name="_WEO1" localSheetId="0">#REF!</definedName>
    <definedName name="_WEO1" localSheetId="1">#REF!</definedName>
    <definedName name="_WEO1">#REF!</definedName>
    <definedName name="_WEO2" localSheetId="0">#REF!</definedName>
    <definedName name="_WEO2" localSheetId="1">#REF!</definedName>
    <definedName name="_WEO2">#REF!</definedName>
    <definedName name="a" localSheetId="0">#REF!</definedName>
    <definedName name="a" localSheetId="1">#REF!</definedName>
    <definedName name="a">#REF!</definedName>
    <definedName name="aaa" localSheetId="0">#REF!</definedName>
    <definedName name="aaa">#REF!</definedName>
    <definedName name="aaaa" localSheetId="0">#REF!</definedName>
    <definedName name="aaaa">#REF!</definedName>
    <definedName name="Africa" localSheetId="0">#REF!</definedName>
    <definedName name="Africa">#REF!</definedName>
    <definedName name="ar_i_dag">2008</definedName>
    <definedName name="Asia" localSheetId="0">#REF!</definedName>
    <definedName name="Asia" localSheetId="1">#REF!</definedName>
    <definedName name="Asia">#REF!</definedName>
    <definedName name="atrade" localSheetId="0">[5]!atrade</definedName>
    <definedName name="atrade">[5]!atrade</definedName>
    <definedName name="b" localSheetId="0">#REF!</definedName>
    <definedName name="b" localSheetId="1">#REF!</definedName>
    <definedName name="b">#REF!</definedName>
    <definedName name="BASDAT" localSheetId="0">'[2]Annual Tables'!#REF!</definedName>
    <definedName name="BASDAT" localSheetId="1">'[2]Annual Tables'!#REF!</definedName>
    <definedName name="BASDAT">'[2]Annual Tables'!#REF!</definedName>
    <definedName name="bb" localSheetId="0">{"Riqfin97",#N/A,FALSE,"Tran";"Riqfinpro",#N/A,FALSE,"Tran"}</definedName>
    <definedName name="bb" localSheetId="1">{"Riqfin97",#N/A,FALSE,"Tran";"Riqfinpro",#N/A,FALSE,"Tran"}</definedName>
    <definedName name="bb">{"Riqfin97",#N/A,FALSE,"Tran";"Riqfinpro",#N/A,FALSE,"Tran"}</definedName>
    <definedName name="BCA">#REF!</definedName>
    <definedName name="BCA_GDP">#REF!</definedName>
    <definedName name="BE">#REF!</definedName>
    <definedName name="BEAI">#REF!</definedName>
    <definedName name="BEAIB">#REF!</definedName>
    <definedName name="BEAIG">#REF!</definedName>
    <definedName name="BEAP">#REF!</definedName>
    <definedName name="BEAPB">#REF!</definedName>
    <definedName name="BEAPG">#REF!</definedName>
    <definedName name="BEDE" localSheetId="0">#REF!</definedName>
    <definedName name="BEDE" localSheetId="1">#REF!</definedName>
    <definedName name="BEDE">#REF!</definedName>
    <definedName name="BERI">#REF!</definedName>
    <definedName name="BERIB">#REF!</definedName>
    <definedName name="BERIG">#REF!</definedName>
    <definedName name="BERP">#REF!</definedName>
    <definedName name="BERPB">#REF!</definedName>
    <definedName name="BERPG">#REF!</definedName>
    <definedName name="BF">#REF!</definedName>
    <definedName name="BFL">#REF!</definedName>
    <definedName name="BFL_D">#REF!</definedName>
    <definedName name="BFL_DF">#REF!</definedName>
    <definedName name="BFLB">#REF!</definedName>
    <definedName name="BFLB_D">#REF!</definedName>
    <definedName name="BFLB_DF">#REF!</definedName>
    <definedName name="BFLD_DF">#REF!</definedName>
    <definedName name="BFLG">#REF!</definedName>
    <definedName name="BFLG_D">#REF!</definedName>
    <definedName name="BFLG_DF">#REF!</definedName>
    <definedName name="BFRA">#REF!</definedName>
    <definedName name="BI">#REF!</definedName>
    <definedName name="BK">#REF!</definedName>
    <definedName name="BKF">#REF!</definedName>
    <definedName name="BMG">[9]Q6!$E$28:$AH$28</definedName>
    <definedName name="BMII">#REF!</definedName>
    <definedName name="BMIIB">#REF!</definedName>
    <definedName name="BMIIG">#REF!</definedName>
    <definedName name="Bolivia" localSheetId="0">#REF!</definedName>
    <definedName name="Bolivia" localSheetId="1">#REF!</definedName>
    <definedName name="Bolivia">#REF!</definedName>
    <definedName name="BOP">#REF!</definedName>
    <definedName name="Brazil" localSheetId="0">#REF!</definedName>
    <definedName name="Brazil" localSheetId="1">#REF!</definedName>
    <definedName name="Brazil">#REF!</definedName>
    <definedName name="Budget_expenditure" localSheetId="0">#REF!</definedName>
    <definedName name="Budget_expenditure" localSheetId="1">#REF!</definedName>
    <definedName name="Budget_expenditure">#REF!</definedName>
    <definedName name="Budget_revenue" localSheetId="0">#REF!</definedName>
    <definedName name="Budget_revenue" localSheetId="1">#REF!</definedName>
    <definedName name="Budget_revenue">#REF!</definedName>
    <definedName name="BXG">[9]Q6!$E$26:$AH$26</definedName>
    <definedName name="calcNGS_NGDP">#REF!</definedName>
    <definedName name="cc" localSheetId="0">{"Riqfin97",#N/A,FALSE,"Tran";"Riqfinpro",#N/A,FALSE,"Tran"}</definedName>
    <definedName name="cc" localSheetId="1">{"Riqfin97",#N/A,FALSE,"Tran";"Riqfinpro",#N/A,FALSE,"Tran"}</definedName>
    <definedName name="cc">{"Riqfin97",#N/A,FALSE,"Tran";"Riqfinpro",#N/A,FALSE,"Tran"}</definedName>
    <definedName name="ccc" localSheetId="0">{"Riqfin97",#N/A,FALSE,"Tran";"Riqfinpro",#N/A,FALSE,"Tran"}</definedName>
    <definedName name="ccc" localSheetId="1">{"Riqfin97",#N/A,FALSE,"Tran";"Riqfinpro",#N/A,FALSE,"Tran"}</definedName>
    <definedName name="ccc">{"Riqfin97",#N/A,FALSE,"Tran";"Riqfinpro",#N/A,FALSE,"Tran"}</definedName>
    <definedName name="CEE_BRO" localSheetId="0">#REF!</definedName>
    <definedName name="CEE_BRO" localSheetId="1">#REF!</definedName>
    <definedName name="CEE_BRO">#REF!</definedName>
    <definedName name="CHILE" localSheetId="0">#REF!</definedName>
    <definedName name="CHILE" localSheetId="1">#REF!</definedName>
    <definedName name="CHILE">#REF!</definedName>
    <definedName name="CHK" localSheetId="0">#REF!</definedName>
    <definedName name="CHK" localSheetId="1">#REF!</definedName>
    <definedName name="CHK">#REF!</definedName>
    <definedName name="cntryname">'[10]country name lookup'!$A$1:$B$50</definedName>
    <definedName name="CONCK" localSheetId="0">#REF!</definedName>
    <definedName name="CONCK" localSheetId="1">#REF!</definedName>
    <definedName name="CONCK">#REF!</definedName>
    <definedName name="Cons" localSheetId="0">#REF!</definedName>
    <definedName name="Cons" localSheetId="1">#REF!</definedName>
    <definedName name="Cons">#REF!</definedName>
    <definedName name="Consumption_HP" localSheetId="0">#REF!</definedName>
    <definedName name="Consumption_HP" localSheetId="1">#REF!</definedName>
    <definedName name="Consumption_HP">#REF!</definedName>
    <definedName name="CurrVintage">'[11]A Current Data'!$D$60</definedName>
    <definedName name="d" localSheetId="0">#REF!</definedName>
    <definedName name="d" localSheetId="1">#REF!</definedName>
    <definedName name="d">#REF!</definedName>
    <definedName name="DABproj">#REF!</definedName>
    <definedName name="DAGproj">#REF!</definedName>
    <definedName name="DAproj">#REF!</definedName>
    <definedName name="DASD">#REF!</definedName>
    <definedName name="DASDB">#REF!</definedName>
    <definedName name="DASDG">#REF!</definedName>
    <definedName name="Date">'[11]A Current Data'!$D$61</definedName>
    <definedName name="DATES" localSheetId="0">#REF!</definedName>
    <definedName name="DATES" localSheetId="1">#REF!</definedName>
    <definedName name="DATES">#REF!</definedName>
    <definedName name="dates_w" localSheetId="0">#REF!</definedName>
    <definedName name="dates_w" localSheetId="1">#REF!</definedName>
    <definedName name="dates_w">#REF!</definedName>
    <definedName name="DBproj">#REF!</definedName>
    <definedName name="dd" localSheetId="0">{"Riqfin97",#N/A,FALSE,"Tran";"Riqfinpro",#N/A,FALSE,"Tran"}</definedName>
    <definedName name="dd" localSheetId="1">{"Riqfin97",#N/A,FALSE,"Tran";"Riqfinpro",#N/A,FALSE,"Tran"}</definedName>
    <definedName name="dd">{"Riqfin97",#N/A,FALSE,"Tran";"Riqfinpro",#N/A,FALSE,"Tran"}</definedName>
    <definedName name="ddd" localSheetId="0">{"Riqfin97",#N/A,FALSE,"Tran";"Riqfinpro",#N/A,FALSE,"Tran"}</definedName>
    <definedName name="ddd" localSheetId="1">{"Riqfin97",#N/A,FALSE,"Tran";"Riqfinpro",#N/A,FALSE,"Tran"}</definedName>
    <definedName name="ddd">{"Riqfin97",#N/A,FALSE,"Tran";"Riqfinpro",#N/A,FALSE,"Tran"}</definedName>
    <definedName name="DEBT1" localSheetId="0">#REF!</definedName>
    <definedName name="DEBT1" localSheetId="1">#REF!</definedName>
    <definedName name="DEBT1">#REF!</definedName>
    <definedName name="DEBT10" localSheetId="0">#REF!</definedName>
    <definedName name="DEBT10" localSheetId="1">#REF!</definedName>
    <definedName name="DEBT10">#REF!</definedName>
    <definedName name="DEBT11" localSheetId="0">#REF!</definedName>
    <definedName name="DEBT11" localSheetId="1">#REF!</definedName>
    <definedName name="DEBT11">#REF!</definedName>
    <definedName name="DEBT12" localSheetId="0">#REF!</definedName>
    <definedName name="DEBT12">#REF!</definedName>
    <definedName name="DEBT13" localSheetId="0">#REF!</definedName>
    <definedName name="DEBT13">#REF!</definedName>
    <definedName name="DEBT14" localSheetId="0">#REF!</definedName>
    <definedName name="DEBT14">#REF!</definedName>
    <definedName name="DEBT15" localSheetId="0">#REF!</definedName>
    <definedName name="DEBT15">#REF!</definedName>
    <definedName name="DEBT16" localSheetId="0">#REF!</definedName>
    <definedName name="DEBT16">#REF!</definedName>
    <definedName name="DEBT2" localSheetId="0">#REF!</definedName>
    <definedName name="DEBT2">#REF!</definedName>
    <definedName name="DEBT3" localSheetId="0">#REF!</definedName>
    <definedName name="DEBT3">#REF!</definedName>
    <definedName name="DEBT4" localSheetId="0">#REF!</definedName>
    <definedName name="DEBT4">#REF!</definedName>
    <definedName name="DEBT5" localSheetId="0">#REF!</definedName>
    <definedName name="DEBT5">#REF!</definedName>
    <definedName name="DEBT6" localSheetId="0">#REF!</definedName>
    <definedName name="DEBT6">#REF!</definedName>
    <definedName name="DEBT7" localSheetId="0">#REF!</definedName>
    <definedName name="DEBT7">#REF!</definedName>
    <definedName name="DEBT8" localSheetId="0">#REF!</definedName>
    <definedName name="DEBT8">#REF!</definedName>
    <definedName name="DEBT9" localSheetId="0">#REF!</definedName>
    <definedName name="DEBT9">#REF!</definedName>
    <definedName name="DES" localSheetId="0">#REF!</definedName>
    <definedName name="DES">#REF!</definedName>
    <definedName name="DGproj">#REF!</definedName>
    <definedName name="DLX1.EMG3" localSheetId="0">#REF!</definedName>
    <definedName name="DLX1.EMG3" localSheetId="1">#REF!</definedName>
    <definedName name="DLX1.EMG3">#REF!</definedName>
    <definedName name="DLX1.EMG4" localSheetId="0">#REF!</definedName>
    <definedName name="DLX1.EMG4" localSheetId="1">#REF!</definedName>
    <definedName name="DLX1.EMG4">#REF!</definedName>
    <definedName name="DLX2.USE" localSheetId="0">#REF!</definedName>
    <definedName name="DLX2.USE" localSheetId="1">#REF!</definedName>
    <definedName name="DLX2.USE">#REF!</definedName>
    <definedName name="DLX3.EMG3" localSheetId="0">#REF!</definedName>
    <definedName name="DLX3.EMG3">#REF!</definedName>
    <definedName name="DME_Dirty">"False"</definedName>
    <definedName name="DME_LocalFile">"True"</definedName>
    <definedName name="Dproj">#REF!</definedName>
    <definedName name="DSD">#REF!</definedName>
    <definedName name="DSD_S">#REF!</definedName>
    <definedName name="DSDB">#REF!</definedName>
    <definedName name="DSDG">#REF!</definedName>
    <definedName name="DSIBproj">#REF!</definedName>
    <definedName name="DSIGproj">#REF!</definedName>
    <definedName name="DSIproj">#REF!</definedName>
    <definedName name="DSISD">#REF!</definedName>
    <definedName name="DSISDB">#REF!</definedName>
    <definedName name="DSISDG">#REF!</definedName>
    <definedName name="DSPBproj">#REF!</definedName>
    <definedName name="DSPGproj">#REF!</definedName>
    <definedName name="DSPproj">#REF!</definedName>
    <definedName name="DSPSD">#REF!</definedName>
    <definedName name="DSPSDB">#REF!</definedName>
    <definedName name="DSPSDG">#REF!</definedName>
    <definedName name="EDNA">#REF!</definedName>
    <definedName name="ee" localSheetId="0">{"Tab1",#N/A,FALSE,"P";"Tab2",#N/A,FALSE,"P"}</definedName>
    <definedName name="ee" localSheetId="1">{"Tab1",#N/A,FALSE,"P";"Tab2",#N/A,FALSE,"P"}</definedName>
    <definedName name="ee">{"Tab1",#N/A,FALSE,"P";"Tab2",#N/A,FALSE,"P"}</definedName>
    <definedName name="eee" localSheetId="0">{"Tab1",#N/A,FALSE,"P";"Tab2",#N/A,FALSE,"P"}</definedName>
    <definedName name="eee" localSheetId="1">{"Tab1",#N/A,FALSE,"P";"Tab2",#N/A,FALSE,"P"}</definedName>
    <definedName name="eee">{"Tab1",#N/A,FALSE,"P";"Tab2",#N/A,FALSE,"P"}</definedName>
    <definedName name="Efn_hmb__DB">[12]EFN_HMB_!$A$1:$D$250</definedName>
    <definedName name="Efn_man__DB">[13]EFN_MAN_!$A$1:$D$226</definedName>
    <definedName name="elect" localSheetId="0">#REF!</definedName>
    <definedName name="elect" localSheetId="1">#REF!</definedName>
    <definedName name="elect">#REF!</definedName>
    <definedName name="EMETEL" localSheetId="0">#REF!</definedName>
    <definedName name="EMETEL" localSheetId="1">#REF!</definedName>
    <definedName name="EMETEL">#REF!</definedName>
    <definedName name="ENDA">#REF!</definedName>
    <definedName name="Escenario_AG" localSheetId="0">#REF!</definedName>
    <definedName name="Escenario_AG" localSheetId="1">#REF!</definedName>
    <definedName name="Escenario_AG">#REF!</definedName>
    <definedName name="Escenario_HI" localSheetId="0">#REF!</definedName>
    <definedName name="Escenario_HI" localSheetId="1">#REF!</definedName>
    <definedName name="Escenario_HI">#REF!</definedName>
    <definedName name="EUI" localSheetId="0">#REF!</definedName>
    <definedName name="EUI" localSheetId="1">#REF!</definedName>
    <definedName name="EUI">#REF!</definedName>
    <definedName name="ff" localSheetId="0">{"Tab1",#N/A,FALSE,"P";"Tab2",#N/A,FALSE,"P"}</definedName>
    <definedName name="ff" localSheetId="1">{"Tab1",#N/A,FALSE,"P";"Tab2",#N/A,FALSE,"P"}</definedName>
    <definedName name="ff">{"Tab1",#N/A,FALSE,"P";"Tab2",#N/A,FALSE,"P"}</definedName>
    <definedName name="fff" localSheetId="0">{"Tab1",#N/A,FALSE,"P";"Tab2",#N/A,FALSE,"P"}</definedName>
    <definedName name="fff" localSheetId="1">{"Tab1",#N/A,FALSE,"P";"Tab2",#N/A,FALSE,"P"}</definedName>
    <definedName name="fff">{"Tab1",#N/A,FALSE,"P";"Tab2",#N/A,FALSE,"P"}</definedName>
    <definedName name="ffsdsdff">[14]M!#REF!</definedName>
    <definedName name="finan" localSheetId="0">#REF!</definedName>
    <definedName name="finan" localSheetId="1">#REF!</definedName>
    <definedName name="finan">#REF!</definedName>
    <definedName name="finan1" localSheetId="0">#REF!</definedName>
    <definedName name="finan1" localSheetId="1">#REF!</definedName>
    <definedName name="finan1">#REF!</definedName>
    <definedName name="Financing" localSheetId="0">{"Tab1",#N/A,FALSE,"P";"Tab2",#N/A,FALSE,"P"}</definedName>
    <definedName name="Financing" localSheetId="1">{"Tab1",#N/A,FALSE,"P";"Tab2",#N/A,FALSE,"P"}</definedName>
    <definedName name="Financing">{"Tab1",#N/A,FALSE,"P";"Tab2",#N/A,FALSE,"P"}</definedName>
    <definedName name="FISUM" localSheetId="0">#REF!</definedName>
    <definedName name="FISUM" localSheetId="1">#REF!</definedName>
    <definedName name="FISUM">#REF!</definedName>
    <definedName name="FLOPEC" localSheetId="0">#REF!</definedName>
    <definedName name="FLOPEC" localSheetId="1">#REF!</definedName>
    <definedName name="FLOPEC">#REF!</definedName>
    <definedName name="FODESEC" localSheetId="0">#REF!</definedName>
    <definedName name="FODESEC" localSheetId="1">#REF!</definedName>
    <definedName name="FODESEC">#REF!</definedName>
    <definedName name="g" localSheetId="0">#REF!</definedName>
    <definedName name="g">#REF!</definedName>
    <definedName name="GCB_NGDP">#REF!</definedName>
    <definedName name="GGB_NGDP">#REF!</definedName>
    <definedName name="ggg" localSheetId="0">{"Riqfin97",#N/A,FALSE,"Tran";"Riqfinpro",#N/A,FALSE,"Tran"}</definedName>
    <definedName name="ggg" localSheetId="1">{"Riqfin97",#N/A,FALSE,"Tran";"Riqfinpro",#N/A,FALSE,"Tran"}</definedName>
    <definedName name="ggg">{"Riqfin97",#N/A,FALSE,"Tran";"Riqfinpro",#N/A,FALSE,"Tran"}</definedName>
    <definedName name="ggggg" localSheetId="0">'[15]J(Priv.Cap)'!#REF!</definedName>
    <definedName name="ggggg" localSheetId="1">'[15]J(Priv.Cap)'!#REF!</definedName>
    <definedName name="ggggg">'[15]J(Priv.Cap)'!#REF!</definedName>
    <definedName name="hali" localSheetId="0">#REF!</definedName>
    <definedName name="hali" localSheetId="1">#REF!</definedName>
    <definedName name="hali">#REF!</definedName>
    <definedName name="hhh" localSheetId="0">'[16]J(Priv.Cap)'!#REF!</definedName>
    <definedName name="hhh" localSheetId="1">'[16]J(Priv.Cap)'!#REF!</definedName>
    <definedName name="hhh">'[16]J(Priv.Cap)'!#REF!</definedName>
    <definedName name="hje" localSheetId="1">{"'Resources'!$A$1:$W$34","'Balance Sheet'!$A$1:$W$58","'SFD'!$A$1:$J$52"}</definedName>
    <definedName name="hje">{"'Resources'!$A$1:$W$34","'Balance Sheet'!$A$1:$W$58","'SFD'!$A$1:$J$52"}</definedName>
    <definedName name="HTML_CodePage">1252</definedName>
    <definedName name="HTML_Control" localSheetId="0">{"'Resources'!$A$1:$W$34","'Balance Sheet'!$A$1:$W$58","'SFD'!$A$1:$J$52"}</definedName>
    <definedName name="HTML_Control" localSheetId="1">{"'Resources'!$A$1:$W$34","'Balance Sheet'!$A$1:$W$58","'SFD'!$A$1:$J$52"}</definedName>
    <definedName name="HTML_Control">{"'Resources'!$A$1:$W$34","'Balance Sheet'!$A$1:$W$58","'SFD'!$A$1:$J$52"}</definedName>
    <definedName name="HTML_Description">""</definedName>
    <definedName name="HTML_Email">""</definedName>
    <definedName name="HTML_Header">"Balance Sheet"</definedName>
    <definedName name="HTML_LastUpdate">"11/14/97"</definedName>
    <definedName name="HTML_LineAfter">FALSE</definedName>
    <definedName name="HTML_LineBefore">FALSE</definedName>
    <definedName name="HTML_Name">"Frank M. Meek"</definedName>
    <definedName name="HTML_OBDlg2">TRUE</definedName>
    <definedName name="HTML_OBDlg4">TRUE</definedName>
    <definedName name="HTML_OS">0</definedName>
    <definedName name="HTML_PathFile">"Q:\DATA\AR\98FYFS\SEPT97\ESAF\esafadmfsHL.htm"</definedName>
    <definedName name="HTML_Title">"ADMFS97HTMLlinks"</definedName>
    <definedName name="i" localSheetId="0">#REF!</definedName>
    <definedName name="i" localSheetId="1">#REF!</definedName>
    <definedName name="i">#REF!</definedName>
    <definedName name="IDS" localSheetId="0">#REF!</definedName>
    <definedName name="IDS" localSheetId="1">#REF!</definedName>
    <definedName name="IDS">#REF!</definedName>
    <definedName name="IESS" localSheetId="0">#REF!</definedName>
    <definedName name="IESS" localSheetId="1">#REF!</definedName>
    <definedName name="IESS">#REF!</definedName>
    <definedName name="ii" localSheetId="0">{"Tab1",#N/A,FALSE,"P";"Tab2",#N/A,FALSE,"P"}</definedName>
    <definedName name="ii" localSheetId="1">{"Tab1",#N/A,FALSE,"P";"Tab2",#N/A,FALSE,"P"}</definedName>
    <definedName name="ii">{"Tab1",#N/A,FALSE,"P";"Tab2",#N/A,FALSE,"P"}</definedName>
    <definedName name="ima" localSheetId="0">#REF!</definedName>
    <definedName name="ima" localSheetId="1">#REF!</definedName>
    <definedName name="ima">#REF!</definedName>
    <definedName name="ind" localSheetId="0">#REF!</definedName>
    <definedName name="ind" localSheetId="1">#REF!</definedName>
    <definedName name="ind">#REF!</definedName>
    <definedName name="INECEL" localSheetId="0">#REF!</definedName>
    <definedName name="INECEL" localSheetId="1">#REF!</definedName>
    <definedName name="INECEL">#REF!</definedName>
    <definedName name="INPUT_2" localSheetId="0">[1]Input!#REF!</definedName>
    <definedName name="INPUT_2" localSheetId="1">[1]Input!#REF!</definedName>
    <definedName name="INPUT_2">[1]Input!#REF!</definedName>
    <definedName name="INPUT_4" localSheetId="0">[1]Input!#REF!</definedName>
    <definedName name="INPUT_4" localSheetId="1">[1]Input!#REF!</definedName>
    <definedName name="INPUT_4">[1]Input!#REF!</definedName>
    <definedName name="jj" localSheetId="0">{"Riqfin97",#N/A,FALSE,"Tran";"Riqfinpro",#N/A,FALSE,"Tran"}</definedName>
    <definedName name="jj" localSheetId="1">{"Riqfin97",#N/A,FALSE,"Tran";"Riqfinpro",#N/A,FALSE,"Tran"}</definedName>
    <definedName name="jj">{"Riqfin97",#N/A,FALSE,"Tran";"Riqfinpro",#N/A,FALSE,"Tran"}</definedName>
    <definedName name="jjj" localSheetId="0">[14]M!#REF!</definedName>
    <definedName name="jjj" localSheetId="1">[14]M!#REF!</definedName>
    <definedName name="jjj">[14]M!#REF!</definedName>
    <definedName name="jjjjjj" localSheetId="0">'[15]J(Priv.Cap)'!#REF!</definedName>
    <definedName name="jjjjjj" localSheetId="1">'[15]J(Priv.Cap)'!#REF!</definedName>
    <definedName name="jjjjjj">'[15]J(Priv.Cap)'!#REF!</definedName>
    <definedName name="kk" localSheetId="0">{"Tab1",#N/A,FALSE,"P";"Tab2",#N/A,FALSE,"P"}</definedName>
    <definedName name="kk" localSheetId="1">{"Tab1",#N/A,FALSE,"P";"Tab2",#N/A,FALSE,"P"}</definedName>
    <definedName name="kk">{"Tab1",#N/A,FALSE,"P";"Tab2",#N/A,FALSE,"P"}</definedName>
    <definedName name="kkk" localSheetId="0">{"Tab1",#N/A,FALSE,"P";"Tab2",#N/A,FALSE,"P"}</definedName>
    <definedName name="kkk" localSheetId="1">{"Tab1",#N/A,FALSE,"P";"Tab2",#N/A,FALSE,"P"}</definedName>
    <definedName name="kkk">{"Tab1",#N/A,FALSE,"P";"Tab2",#N/A,FALSE,"P"}</definedName>
    <definedName name="kkkk" localSheetId="0">[17]M!#REF!</definedName>
    <definedName name="kkkk" localSheetId="1">[17]M!#REF!</definedName>
    <definedName name="kkkk">[17]M!#REF!</definedName>
    <definedName name="ll" localSheetId="0">{"Tab1",#N/A,FALSE,"P";"Tab2",#N/A,FALSE,"P"}</definedName>
    <definedName name="ll" localSheetId="1">{"Tab1",#N/A,FALSE,"P";"Tab2",#N/A,FALSE,"P"}</definedName>
    <definedName name="ll">{"Tab1",#N/A,FALSE,"P";"Tab2",#N/A,FALSE,"P"}</definedName>
    <definedName name="lll" localSheetId="0">{"Riqfin97",#N/A,FALSE,"Tran";"Riqfinpro",#N/A,FALSE,"Tran"}</definedName>
    <definedName name="lll" localSheetId="1">{"Riqfin97",#N/A,FALSE,"Tran";"Riqfinpro",#N/A,FALSE,"Tran"}</definedName>
    <definedName name="lll">{"Riqfin97",#N/A,FALSE,"Tran";"Riqfinpro",#N/A,FALSE,"Tran"}</definedName>
    <definedName name="llll" localSheetId="0">[14]M!#REF!</definedName>
    <definedName name="llll" localSheetId="1">[14]M!#REF!</definedName>
    <definedName name="llll">[14]M!#REF!</definedName>
    <definedName name="LUR">#REF!</definedName>
    <definedName name="Malaysia" localSheetId="0">#REF!</definedName>
    <definedName name="Malaysia" localSheetId="1">#REF!</definedName>
    <definedName name="Malaysia">#REF!</definedName>
    <definedName name="MCV">#REF!</definedName>
    <definedName name="MCV_B">#REF!</definedName>
    <definedName name="MCV_D">#REF!</definedName>
    <definedName name="MCV_N">#REF!</definedName>
    <definedName name="MCV_T">#REF!</definedName>
    <definedName name="MED" localSheetId="0">#REF!</definedName>
    <definedName name="MED" localSheetId="1">#REF!</definedName>
    <definedName name="MED">#REF!</definedName>
    <definedName name="MENORES" localSheetId="0">#REF!</definedName>
    <definedName name="MENORES" localSheetId="1">#REF!</definedName>
    <definedName name="MENORES">#REF!</definedName>
    <definedName name="MFISCAL" localSheetId="0">'[2]Annual Raw Data'!#REF!</definedName>
    <definedName name="MFISCAL" localSheetId="1">'[2]Annual Raw Data'!#REF!</definedName>
    <definedName name="MFISCAL">'[2]Annual Raw Data'!#REF!</definedName>
    <definedName name="mflowsa" localSheetId="0">[5]!mflowsa</definedName>
    <definedName name="mflowsa">[5]!mflowsa</definedName>
    <definedName name="mflowsq" localSheetId="0">[5]!mflowsq</definedName>
    <definedName name="mflowsq">[5]!mflowsq</definedName>
    <definedName name="MICRO" localSheetId="0">#REF!</definedName>
    <definedName name="MICRO" localSheetId="1">#REF!</definedName>
    <definedName name="MICRO">#REF!</definedName>
    <definedName name="MISC3" localSheetId="0">#REF!</definedName>
    <definedName name="MISC3" localSheetId="1">#REF!</definedName>
    <definedName name="MISC3">#REF!</definedName>
    <definedName name="MISC4" localSheetId="0">[1]OUTPUT!#REF!</definedName>
    <definedName name="MISC4" localSheetId="1">[1]OUTPUT!#REF!</definedName>
    <definedName name="MISC4">[1]OUTPUT!#REF!</definedName>
    <definedName name="mmm" localSheetId="0">{"Riqfin97",#N/A,FALSE,"Tran";"Riqfinpro",#N/A,FALSE,"Tran"}</definedName>
    <definedName name="mmm" localSheetId="1">{"Riqfin97",#N/A,FALSE,"Tran";"Riqfinpro",#N/A,FALSE,"Tran"}</definedName>
    <definedName name="mmm">{"Riqfin97",#N/A,FALSE,"Tran";"Riqfinpro",#N/A,FALSE,"Tran"}</definedName>
    <definedName name="mmmm" localSheetId="0">{"Tab1",#N/A,FALSE,"P";"Tab2",#N/A,FALSE,"P"}</definedName>
    <definedName name="mmmm" localSheetId="1">{"Tab1",#N/A,FALSE,"P";"Tab2",#N/A,FALSE,"P"}</definedName>
    <definedName name="mmmm">{"Tab1",#N/A,FALSE,"P";"Tab2",#N/A,FALSE,"P"}</definedName>
    <definedName name="MON_SM" localSheetId="0">#REF!</definedName>
    <definedName name="MON_SM" localSheetId="1">#REF!</definedName>
    <definedName name="MON_SM">#REF!</definedName>
    <definedName name="MONF_SM" localSheetId="0">#REF!</definedName>
    <definedName name="MONF_SM" localSheetId="1">#REF!</definedName>
    <definedName name="MONF_SM">#REF!</definedName>
    <definedName name="mstocksa" localSheetId="0">[5]!mstocksa</definedName>
    <definedName name="mstocksa">[5]!mstocksa</definedName>
    <definedName name="mstocksq" localSheetId="0">[5]!mstocksq</definedName>
    <definedName name="mstocksq">[5]!mstocksq</definedName>
    <definedName name="Municipios" localSheetId="0">#REF!</definedName>
    <definedName name="Municipios" localSheetId="1">#REF!</definedName>
    <definedName name="Municipios">#REF!</definedName>
    <definedName name="names" localSheetId="0">#REF!</definedName>
    <definedName name="names" localSheetId="1">#REF!</definedName>
    <definedName name="names">#REF!</definedName>
    <definedName name="names_w" localSheetId="0">#REF!</definedName>
    <definedName name="names_w" localSheetId="1">#REF!</definedName>
    <definedName name="names_w">#REF!</definedName>
    <definedName name="NCG">#REF!</definedName>
    <definedName name="NCG_R">#REF!</definedName>
    <definedName name="NCP">#REF!</definedName>
    <definedName name="NCP_R">#REF!</definedName>
    <definedName name="NFI">#REF!</definedName>
    <definedName name="NFI_R">#REF!</definedName>
    <definedName name="NGDP">#REF!</definedName>
    <definedName name="NGDP_DG">#REF!</definedName>
    <definedName name="NGDP_R">#REF!</definedName>
    <definedName name="NGDP_RG">#REF!</definedName>
    <definedName name="NGDPA" localSheetId="0">#REF!</definedName>
    <definedName name="NGDPA" localSheetId="1">#REF!</definedName>
    <definedName name="NGDPA">#REF!</definedName>
    <definedName name="NGS_NGDP">#REF!</definedName>
    <definedName name="NINV">#REF!</definedName>
    <definedName name="NINV_R">#REF!</definedName>
    <definedName name="NM">#REF!</definedName>
    <definedName name="NM_R">#REF!</definedName>
    <definedName name="NMG_RG">#REF!</definedName>
    <definedName name="nn" localSheetId="0">{"Riqfin97",#N/A,FALSE,"Tran";"Riqfinpro",#N/A,FALSE,"Tran"}</definedName>
    <definedName name="nn" localSheetId="1">{"Riqfin97",#N/A,FALSE,"Tran";"Riqfinpro",#N/A,FALSE,"Tran"}</definedName>
    <definedName name="nn">{"Riqfin97",#N/A,FALSE,"Tran";"Riqfinpro",#N/A,FALSE,"Tran"}</definedName>
    <definedName name="nnn" localSheetId="0">{"Tab1",#N/A,FALSE,"P";"Tab2",#N/A,FALSE,"P"}</definedName>
    <definedName name="nnn" localSheetId="1">{"Tab1",#N/A,FALSE,"P";"Tab2",#N/A,FALSE,"P"}</definedName>
    <definedName name="nnn">{"Tab1",#N/A,FALSE,"P";"Tab2",#N/A,FALSE,"P"}</definedName>
    <definedName name="NTDD_RG">#REF!</definedName>
    <definedName name="NX">#REF!</definedName>
    <definedName name="NX_R">#REF!</definedName>
    <definedName name="NXG_RG">#REF!</definedName>
    <definedName name="OBS" localSheetId="0">#REF!</definedName>
    <definedName name="OBS" localSheetId="1">#REF!</definedName>
    <definedName name="OBS">#REF!</definedName>
    <definedName name="OECD">'[8]VAT rates OECD Countries'!$B$5:$G$68</definedName>
    <definedName name="oo" localSheetId="0">{"Riqfin97",#N/A,FALSE,"Tran";"Riqfinpro",#N/A,FALSE,"Tran"}</definedName>
    <definedName name="oo" localSheetId="1">{"Riqfin97",#N/A,FALSE,"Tran";"Riqfinpro",#N/A,FALSE,"Tran"}</definedName>
    <definedName name="oo">{"Riqfin97",#N/A,FALSE,"Tran";"Riqfinpro",#N/A,FALSE,"Tran"}</definedName>
    <definedName name="ooo" localSheetId="0">{"Tab1",#N/A,FALSE,"P";"Tab2",#N/A,FALSE,"P"}</definedName>
    <definedName name="ooo" localSheetId="1">{"Tab1",#N/A,FALSE,"P";"Tab2",#N/A,FALSE,"P"}</definedName>
    <definedName name="ooo">{"Tab1",#N/A,FALSE,"P";"Tab2",#N/A,FALSE,"P"}</definedName>
    <definedName name="Otras_Residuales" localSheetId="0">#REF!</definedName>
    <definedName name="Otras_Residuales" localSheetId="1">#REF!</definedName>
    <definedName name="Otras_Residuales">#REF!</definedName>
    <definedName name="p" localSheetId="0">{"Riqfin97",#N/A,FALSE,"Tran";"Riqfinpro",#N/A,FALSE,"Tran"}</definedName>
    <definedName name="p" localSheetId="1">{"Riqfin97",#N/A,FALSE,"Tran";"Riqfinpro",#N/A,FALSE,"Tran"}</definedName>
    <definedName name="p">{"Riqfin97",#N/A,FALSE,"Tran";"Riqfinpro",#N/A,FALSE,"Tran"}</definedName>
    <definedName name="Part1" localSheetId="0">#REF!</definedName>
    <definedName name="Part1" localSheetId="1">#REF!</definedName>
    <definedName name="Part1">#REF!</definedName>
    <definedName name="PCPIG">#REF!</definedName>
    <definedName name="Petroecuador" localSheetId="0">#REF!</definedName>
    <definedName name="Petroecuador" localSheetId="1">#REF!</definedName>
    <definedName name="Petroecuador">#REF!</definedName>
    <definedName name="Ports" localSheetId="0">#REF!</definedName>
    <definedName name="Ports" localSheetId="1">#REF!</definedName>
    <definedName name="Ports">#REF!</definedName>
    <definedName name="pp" localSheetId="0">{"Riqfin97",#N/A,FALSE,"Tran";"Riqfinpro",#N/A,FALSE,"Tran"}</definedName>
    <definedName name="pp" localSheetId="1">{"Riqfin97",#N/A,FALSE,"Tran";"Riqfinpro",#N/A,FALSE,"Tran"}</definedName>
    <definedName name="pp">{"Riqfin97",#N/A,FALSE,"Tran";"Riqfinpro",#N/A,FALSE,"Tran"}</definedName>
    <definedName name="ppp" localSheetId="0">{"Riqfin97",#N/A,FALSE,"Tran";"Riqfinpro",#N/A,FALSE,"Tran"}</definedName>
    <definedName name="ppp" localSheetId="1">{"Riqfin97",#N/A,FALSE,"Tran";"Riqfinpro",#N/A,FALSE,"Tran"}</definedName>
    <definedName name="ppp">{"Riqfin97",#N/A,FALSE,"Tran";"Riqfinpro",#N/A,FALSE,"Tran"}</definedName>
    <definedName name="PPPWGT">#REF!</definedName>
    <definedName name="Q6_" localSheetId="0">#REF!</definedName>
    <definedName name="Q6_" localSheetId="1">#REF!</definedName>
    <definedName name="Q6_">#REF!</definedName>
    <definedName name="QFISCAL" localSheetId="0">'[2]Quarterly Raw Data'!#REF!</definedName>
    <definedName name="QFISCAL" localSheetId="1">'[2]Quarterly Raw Data'!#REF!</definedName>
    <definedName name="QFISCAL">'[2]Quarterly Raw Data'!#REF!</definedName>
    <definedName name="qq" localSheetId="0">'[16]J(Priv.Cap)'!#REF!</definedName>
    <definedName name="qq" localSheetId="1">'[16]J(Priv.Cap)'!#REF!</definedName>
    <definedName name="qq">'[16]J(Priv.Cap)'!#REF!</definedName>
    <definedName name="QTAB7" localSheetId="0">'[2]Quarterly MacroFlow'!#REF!</definedName>
    <definedName name="QTAB7" localSheetId="1">'[2]Quarterly MacroFlow'!#REF!</definedName>
    <definedName name="QTAB7">'[2]Quarterly MacroFlow'!#REF!</definedName>
    <definedName name="QTAB7A" localSheetId="0">'[2]Quarterly MacroFlow'!#REF!</definedName>
    <definedName name="QTAB7A">'[2]Quarterly MacroFlow'!#REF!</definedName>
    <definedName name="QW" localSheetId="0">#REF!</definedName>
    <definedName name="QW" localSheetId="1">#REF!</definedName>
    <definedName name="QW">#REF!</definedName>
    <definedName name="REDTbl3" localSheetId="0">#REF!</definedName>
    <definedName name="REDTbl3" localSheetId="1">#REF!</definedName>
    <definedName name="REDTbl3">#REF!</definedName>
    <definedName name="REDTbl4" localSheetId="0">#REF!</definedName>
    <definedName name="REDTbl4" localSheetId="1">#REF!</definedName>
    <definedName name="REDTbl4">#REF!</definedName>
    <definedName name="REDTbl5" localSheetId="0">#REF!</definedName>
    <definedName name="REDTbl5">#REF!</definedName>
    <definedName name="REDTbl6" localSheetId="0">#REF!</definedName>
    <definedName name="REDTbl6">#REF!</definedName>
    <definedName name="REDTbl7" localSheetId="0">#REF!</definedName>
    <definedName name="REDTbl7">#REF!</definedName>
    <definedName name="RGDPA" localSheetId="0">#REF!</definedName>
    <definedName name="RGDPA">#REF!</definedName>
    <definedName name="RGSPA" localSheetId="0">#REF!</definedName>
    <definedName name="RGSPA">#REF!</definedName>
    <definedName name="rr" localSheetId="0">{"Riqfin97",#N/A,FALSE,"Tran";"Riqfinpro",#N/A,FALSE,"Tran"}</definedName>
    <definedName name="rr" localSheetId="1">{"Riqfin97",#N/A,FALSE,"Tran";"Riqfinpro",#N/A,FALSE,"Tran"}</definedName>
    <definedName name="rr">{"Riqfin97",#N/A,FALSE,"Tran";"Riqfinpro",#N/A,FALSE,"Tran"}</definedName>
    <definedName name="rrr" localSheetId="0">{"Riqfin97",#N/A,FALSE,"Tran";"Riqfinpro",#N/A,FALSE,"Tran"}</definedName>
    <definedName name="rrr" localSheetId="1">{"Riqfin97",#N/A,FALSE,"Tran";"Riqfinpro",#N/A,FALSE,"Tran"}</definedName>
    <definedName name="rrr">{"Riqfin97",#N/A,FALSE,"Tran";"Riqfinpro",#N/A,FALSE,"Tran"}</definedName>
    <definedName name="rrttttttttttttttttttt" localSheetId="0">'[2]Annual Tables'!#REF!</definedName>
    <definedName name="rrttttttttttttttttttt">'[2]Annual Tables'!#REF!</definedName>
    <definedName name="Solución_preguntas_13a_y_13b" localSheetId="0">#REF!</definedName>
    <definedName name="Solución_preguntas_13a_y_13b" localSheetId="1">#REF!</definedName>
    <definedName name="Solución_preguntas_13a_y_13b">#REF!</definedName>
    <definedName name="SS">[18]IMATA!$B$45:$B$108</definedName>
    <definedName name="TAB1A" localSheetId="0">#REF!</definedName>
    <definedName name="TAB1A" localSheetId="1">#REF!</definedName>
    <definedName name="TAB1A">#REF!</definedName>
    <definedName name="TAB1CK" localSheetId="0">#REF!</definedName>
    <definedName name="TAB1CK" localSheetId="1">#REF!</definedName>
    <definedName name="TAB1CK">#REF!</definedName>
    <definedName name="Tab25a" localSheetId="0">#REF!</definedName>
    <definedName name="Tab25a" localSheetId="1">#REF!</definedName>
    <definedName name="Tab25a">#REF!</definedName>
    <definedName name="Tab25b" localSheetId="0">#REF!</definedName>
    <definedName name="Tab25b">#REF!</definedName>
    <definedName name="TAB2A" localSheetId="0">#REF!</definedName>
    <definedName name="TAB2A">#REF!</definedName>
    <definedName name="TAB5A" localSheetId="0">#REF!</definedName>
    <definedName name="TAB5A">#REF!</definedName>
    <definedName name="TAB6A" localSheetId="0">'[2]Annual Tables'!#REF!</definedName>
    <definedName name="TAB6A">'[2]Annual Tables'!#REF!</definedName>
    <definedName name="TAB6B" localSheetId="0">'[2]Annual Tables'!#REF!</definedName>
    <definedName name="TAB6B">'[2]Annual Tables'!#REF!</definedName>
    <definedName name="TAB6C" localSheetId="0">#REF!</definedName>
    <definedName name="TAB6C" localSheetId="1">#REF!</definedName>
    <definedName name="TAB6C">#REF!</definedName>
    <definedName name="TAB7A" localSheetId="0">#REF!</definedName>
    <definedName name="TAB7A" localSheetId="1">#REF!</definedName>
    <definedName name="TAB7A">#REF!</definedName>
    <definedName name="Table" localSheetId="0">#REF!</definedName>
    <definedName name="Table" localSheetId="1">#REF!</definedName>
    <definedName name="Table">#REF!</definedName>
    <definedName name="Table__47">[19]RED47!$A$1:$I$53</definedName>
    <definedName name="Table_2._Country_X___Public_Sector_Financing_1" localSheetId="0">#REF!</definedName>
    <definedName name="Table_2._Country_X___Public_Sector_Financing_1" localSheetId="1">#REF!</definedName>
    <definedName name="Table_2._Country_X___Public_Sector_Financing_1">#REF!</definedName>
    <definedName name="Table_4SR" localSheetId="0">#REF!</definedName>
    <definedName name="Table_4SR" localSheetId="1">#REF!</definedName>
    <definedName name="Table_4SR">#REF!</definedName>
    <definedName name="Table_debt">[20]Table!$A$3:$AB$73</definedName>
    <definedName name="TAME" localSheetId="0">#REF!</definedName>
    <definedName name="TAME" localSheetId="1">#REF!</definedName>
    <definedName name="TAME">#REF!</definedName>
    <definedName name="Tbl_GFN">[20]Table_GEF!$B$2:$T$53</definedName>
    <definedName name="Tegsun_DB">[21]tegsun!$A$1:$F$1136</definedName>
    <definedName name="TMG_D">[9]Q5!$E$23:$AH$23</definedName>
    <definedName name="TMGO">#REF!</definedName>
    <definedName name="Total_Consumption" localSheetId="0">#REF!</definedName>
    <definedName name="Total_Consumption" localSheetId="1">#REF!</definedName>
    <definedName name="Total_Consumption">#REF!</definedName>
    <definedName name="TOWEO" localSheetId="0">#REF!</definedName>
    <definedName name="TOWEO" localSheetId="1">#REF!</definedName>
    <definedName name="TOWEO">#REF!</definedName>
    <definedName name="TPD" localSheetId="0">#REF!</definedName>
    <definedName name="TPD" localSheetId="1">#REF!</definedName>
    <definedName name="TPD">#REF!</definedName>
    <definedName name="TRADE3" localSheetId="0">[1]Trade!#REF!</definedName>
    <definedName name="TRADE3" localSheetId="1">[1]Trade!#REF!</definedName>
    <definedName name="TRADE3">[1]Trade!#REF!</definedName>
    <definedName name="trans" localSheetId="0">#REF!</definedName>
    <definedName name="trans" localSheetId="1">#REF!</definedName>
    <definedName name="trans">#REF!</definedName>
    <definedName name="Transfer_check" localSheetId="0">#REF!</definedName>
    <definedName name="Transfer_check" localSheetId="1">#REF!</definedName>
    <definedName name="Transfer_check">#REF!</definedName>
    <definedName name="TRANSNAVE" localSheetId="0">#REF!</definedName>
    <definedName name="TRANSNAVE" localSheetId="1">#REF!</definedName>
    <definedName name="TRANSNAVE">#REF!</definedName>
    <definedName name="tt" localSheetId="0">{"Tab1",#N/A,FALSE,"P";"Tab2",#N/A,FALSE,"P"}</definedName>
    <definedName name="tt" localSheetId="1">{"Tab1",#N/A,FALSE,"P";"Tab2",#N/A,FALSE,"P"}</definedName>
    <definedName name="tt">{"Tab1",#N/A,FALSE,"P";"Tab2",#N/A,FALSE,"P"}</definedName>
    <definedName name="ttt" localSheetId="0">{"Tab1",#N/A,FALSE,"P";"Tab2",#N/A,FALSE,"P"}</definedName>
    <definedName name="ttt" localSheetId="1">{"Tab1",#N/A,FALSE,"P";"Tab2",#N/A,FALSE,"P"}</definedName>
    <definedName name="ttt">{"Tab1",#N/A,FALSE,"P";"Tab2",#N/A,FALSE,"P"}</definedName>
    <definedName name="ttttt" localSheetId="0">[14]M!#REF!</definedName>
    <definedName name="ttttt" localSheetId="1">[14]M!#REF!</definedName>
    <definedName name="ttttt">[14]M!#REF!</definedName>
    <definedName name="tttttttttttttttttt" localSheetId="0">[2]Index!#REF!</definedName>
    <definedName name="tttttttttttttttttt">[2]Index!#REF!</definedName>
    <definedName name="TXG_D">#REF!</definedName>
    <definedName name="TXGO">#REF!</definedName>
    <definedName name="UNITS" localSheetId="0">#REF!</definedName>
    <definedName name="UNITS" localSheetId="1">#REF!</definedName>
    <definedName name="UNITS">#REF!</definedName>
    <definedName name="Universities" localSheetId="0">#REF!</definedName>
    <definedName name="Universities" localSheetId="1">#REF!</definedName>
    <definedName name="Universities">#REF!</definedName>
    <definedName name="Uruguay" localSheetId="0">#REF!</definedName>
    <definedName name="Uruguay" localSheetId="1">#REF!</definedName>
    <definedName name="Uruguay">#REF!</definedName>
    <definedName name="uu" localSheetId="0">{"Riqfin97",#N/A,FALSE,"Tran";"Riqfinpro",#N/A,FALSE,"Tran"}</definedName>
    <definedName name="uu" localSheetId="1">{"Riqfin97",#N/A,FALSE,"Tran";"Riqfinpro",#N/A,FALSE,"Tran"}</definedName>
    <definedName name="uu">{"Riqfin97",#N/A,FALSE,"Tran";"Riqfinpro",#N/A,FALSE,"Tran"}</definedName>
    <definedName name="uuu" localSheetId="0">{"Riqfin97",#N/A,FALSE,"Tran";"Riqfinpro",#N/A,FALSE,"Tran"}</definedName>
    <definedName name="uuu" localSheetId="1">{"Riqfin97",#N/A,FALSE,"Tran";"Riqfinpro",#N/A,FALSE,"Tran"}</definedName>
    <definedName name="uuu">{"Riqfin97",#N/A,FALSE,"Tran";"Riqfinpro",#N/A,FALSE,"Tran"}</definedName>
    <definedName name="Venezuela" localSheetId="0">#REF!</definedName>
    <definedName name="Venezuela" localSheetId="1">#REF!</definedName>
    <definedName name="Venezuela">#REF!</definedName>
    <definedName name="vv" localSheetId="0">{"Tab1",#N/A,FALSE,"P";"Tab2",#N/A,FALSE,"P"}</definedName>
    <definedName name="vv" localSheetId="1">{"Tab1",#N/A,FALSE,"P";"Tab2",#N/A,FALSE,"P"}</definedName>
    <definedName name="vv">{"Tab1",#N/A,FALSE,"P";"Tab2",#N/A,FALSE,"P"}</definedName>
    <definedName name="vvv" localSheetId="0">{"Tab1",#N/A,FALSE,"P";"Tab2",#N/A,FALSE,"P"}</definedName>
    <definedName name="vvv" localSheetId="1">{"Tab1",#N/A,FALSE,"P";"Tab2",#N/A,FALSE,"P"}</definedName>
    <definedName name="vvv">{"Tab1",#N/A,FALSE,"P";"Tab2",#N/A,FALSE,"P"}</definedName>
    <definedName name="WHD" localSheetId="0">#REF!</definedName>
    <definedName name="WHD" localSheetId="1">#REF!</definedName>
    <definedName name="WHD">#REF!</definedName>
    <definedName name="wrn.Program." localSheetId="0">{"Tab1",#N/A,FALSE,"P";"Tab2",#N/A,FALSE,"P"}</definedName>
    <definedName name="wrn.Program." localSheetId="1">{"Tab1",#N/A,FALSE,"P";"Tab2",#N/A,FALSE,"P"}</definedName>
    <definedName name="wrn.Program.">{"Tab1",#N/A,FALSE,"P";"Tab2",#N/A,FALSE,"P"}</definedName>
    <definedName name="wrn.Riqfin." localSheetId="0">{"Riqfin97",#N/A,FALSE,"Tran";"Riqfinpro",#N/A,FALSE,"Tran"}</definedName>
    <definedName name="wrn.Riqfin." localSheetId="1">{"Riqfin97",#N/A,FALSE,"Tran";"Riqfinpro",#N/A,FALSE,"Tran"}</definedName>
    <definedName name="wrn.Riqfin.">{"Riqfin97",#N/A,FALSE,"Tran";"Riqfinpro",#N/A,FALSE,"Tran"}</definedName>
    <definedName name="ww" localSheetId="0">[14]M!#REF!</definedName>
    <definedName name="ww" localSheetId="1">[14]M!#REF!</definedName>
    <definedName name="ww">[14]M!#REF!</definedName>
    <definedName name="www" localSheetId="0">{"Riqfin97",#N/A,FALSE,"Tran";"Riqfinpro",#N/A,FALSE,"Tran"}</definedName>
    <definedName name="www" localSheetId="1">{"Riqfin97",#N/A,FALSE,"Tran";"Riqfinpro",#N/A,FALSE,"Tran"}</definedName>
    <definedName name="www">{"Riqfin97",#N/A,FALSE,"Tran";"Riqfinpro",#N/A,FALSE,"Tran"}</definedName>
    <definedName name="x" localSheetId="0">#REF!</definedName>
    <definedName name="x" localSheetId="1">#REF!</definedName>
    <definedName name="x">#REF!</definedName>
    <definedName name="xx" localSheetId="0">{"Riqfin97",#N/A,FALSE,"Tran";"Riqfinpro",#N/A,FALSE,"Tran"}</definedName>
    <definedName name="xx" localSheetId="1">{"Riqfin97",#N/A,FALSE,"Tran";"Riqfinpro",#N/A,FALSE,"Tran"}</definedName>
    <definedName name="xx">{"Riqfin97",#N/A,FALSE,"Tran";"Riqfinpro",#N/A,FALSE,"Tran"}</definedName>
    <definedName name="xxxx" localSheetId="0">{"Riqfin97",#N/A,FALSE,"Tran";"Riqfinpro",#N/A,FALSE,"Tran"}</definedName>
    <definedName name="xxxx" localSheetId="1">{"Riqfin97",#N/A,FALSE,"Tran";"Riqfinpro",#N/A,FALSE,"Tran"}</definedName>
    <definedName name="xxxx">{"Riqfin97",#N/A,FALSE,"Tran";"Riqfinpro",#N/A,FALSE,"Tran"}</definedName>
    <definedName name="yy" localSheetId="0">{"Tab1",#N/A,FALSE,"P";"Tab2",#N/A,FALSE,"P"}</definedName>
    <definedName name="yy" localSheetId="1">{"Tab1",#N/A,FALSE,"P";"Tab2",#N/A,FALSE,"P"}</definedName>
    <definedName name="yy">{"Tab1",#N/A,FALSE,"P";"Tab2",#N/A,FALSE,"P"}</definedName>
    <definedName name="yyy" localSheetId="0">{"Tab1",#N/A,FALSE,"P";"Tab2",#N/A,FALSE,"P"}</definedName>
    <definedName name="yyy" localSheetId="1">{"Tab1",#N/A,FALSE,"P";"Tab2",#N/A,FALSE,"P"}</definedName>
    <definedName name="yyy">{"Tab1",#N/A,FALSE,"P";"Tab2",#N/A,FALSE,"P"}</definedName>
    <definedName name="yyyy" localSheetId="0">{"Riqfin97",#N/A,FALSE,"Tran";"Riqfinpro",#N/A,FALSE,"Tran"}</definedName>
    <definedName name="yyyy" localSheetId="1">{"Riqfin97",#N/A,FALSE,"Tran";"Riqfinpro",#N/A,FALSE,"Tran"}</definedName>
    <definedName name="yyyy">{"Riqfin97",#N/A,FALSE,"Tran";"Riqfinpro",#N/A,FALSE,"Tran"}</definedName>
    <definedName name="Z_95224721_0485_11D4_BFD1_00508B5F4DA4_.wvu.Cols" localSheetId="0">#REF!</definedName>
    <definedName name="Z_95224721_0485_11D4_BFD1_00508B5F4DA4_.wvu.Cols" localSheetId="1">#REF!</definedName>
    <definedName name="Z_95224721_0485_11D4_BFD1_00508B5F4DA4_.wvu.Cols">#REF!</definedName>
    <definedName name="zz" localSheetId="0">{"Tab1",#N/A,FALSE,"P";"Tab2",#N/A,FALSE,"P"}</definedName>
    <definedName name="zz" localSheetId="1">{"Tab1",#N/A,FALSE,"P";"Tab2",#N/A,FALSE,"P"}</definedName>
    <definedName name="zz">{"Tab1",#N/A,FALSE,"P";"Tab2",#N/A,FALSE,"P"}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28" roundtripDataChecksum="UxsztkhUzSFp1Eww81wBNX34u3G4HQbDyt/2zyFDxgw="/>
    </ext>
  </extLst>
</workbook>
</file>

<file path=xl/calcChain.xml><?xml version="1.0" encoding="utf-8"?>
<calcChain xmlns="http://schemas.openxmlformats.org/spreadsheetml/2006/main">
  <c r="C17" i="3" l="1"/>
  <c r="D70" i="2"/>
  <c r="D68" i="1"/>
  <c r="D74" i="1"/>
  <c r="D54" i="1"/>
  <c r="D55" i="1"/>
  <c r="D56" i="1" s="1"/>
  <c r="C9" i="3"/>
  <c r="C19" i="3" s="1"/>
  <c r="D59" i="2"/>
  <c r="D60" i="2" s="1"/>
  <c r="D53" i="2"/>
  <c r="D54" i="2" s="1"/>
  <c r="D47" i="2"/>
  <c r="D48" i="2" s="1"/>
  <c r="D41" i="2"/>
  <c r="D42" i="2" s="1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32" i="2" s="1"/>
  <c r="F12" i="2"/>
  <c r="C94" i="1"/>
  <c r="D85" i="1"/>
  <c r="D73" i="1"/>
  <c r="D67" i="1"/>
  <c r="D61" i="1"/>
  <c r="D62" i="1" s="1"/>
  <c r="E34" i="1"/>
  <c r="E33" i="1"/>
  <c r="E32" i="1"/>
  <c r="E31" i="1"/>
  <c r="E30" i="1"/>
  <c r="E29" i="1"/>
  <c r="E28" i="1"/>
  <c r="E27" i="1"/>
  <c r="E26" i="1"/>
  <c r="D46" i="1" s="1"/>
  <c r="E25" i="1"/>
  <c r="D45" i="1" s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F34" i="2" l="1"/>
  <c r="D47" i="1"/>
  <c r="D48" i="1" s="1"/>
  <c r="E39" i="1"/>
  <c r="D65" i="2"/>
  <c r="D69" i="2" s="1"/>
  <c r="D80" i="1"/>
  <c r="D71" i="2" l="1"/>
  <c r="E41" i="1"/>
  <c r="D87" i="1" s="1"/>
  <c r="D86" i="1"/>
  <c r="C96" i="1" l="1"/>
  <c r="D98" i="1" s="1"/>
  <c r="D89" i="1"/>
</calcChain>
</file>

<file path=xl/sharedStrings.xml><?xml version="1.0" encoding="utf-8"?>
<sst xmlns="http://schemas.openxmlformats.org/spreadsheetml/2006/main" count="147" uniqueCount="110">
  <si>
    <t>Real Exchange Rate and Competitiveness</t>
  </si>
  <si>
    <t>EBA - Current Account Regression Approach</t>
  </si>
  <si>
    <t xml:space="preserve">Step 1. Computing the "predicted" current account balance ("current account norm") </t>
  </si>
  <si>
    <t>Variables used in CA regression:</t>
  </si>
  <si>
    <t xml:space="preserve"> (1) Coefficient</t>
  </si>
  <si>
    <t>(2) Value</t>
  </si>
  <si>
    <t>(3) Contribution 
= Coef * Value or 1*2</t>
  </si>
  <si>
    <t>1. Lagged Net Foreign Assets (NFA)/GDP (Y)</t>
  </si>
  <si>
    <t>2. Lagged  NFA/Y*(dummy if NFA/Y &lt; -60%)</t>
  </si>
  <si>
    <t>3. Financial Center Dummy</t>
  </si>
  <si>
    <t>4. L.Output per worker, relative to top 3 economies</t>
  </si>
  <si>
    <t>5. L.Relative output per worker*K openness</t>
  </si>
  <si>
    <t>6. Oil and Natural Gas Trade Balance * resource temporariness ＃</t>
  </si>
  <si>
    <t>7. Dependency Ratio</t>
  </si>
  <si>
    <t>8. Population Growth</t>
  </si>
  <si>
    <t>9. GDP growth, forecast in 5 years</t>
  </si>
  <si>
    <t>10. Lagged Public Health Spending/GDP</t>
  </si>
  <si>
    <t>11. Lagged demeaned VIX*K openness</t>
  </si>
  <si>
    <t>12. L.demeaned VIX*K openness*share in world reserves</t>
  </si>
  <si>
    <t>13. Own currency’s share in world reserves</t>
  </si>
  <si>
    <t>14. Output Gap</t>
  </si>
  <si>
    <t>15. Commodity ToTgap*Trade Openness</t>
  </si>
  <si>
    <t>16. Safer Institutional/Political Environment (index)</t>
  </si>
  <si>
    <t>17. Demeaned Private Credit/GDP</t>
  </si>
  <si>
    <t>18. Cyclically adjusted Fiscal Balance</t>
  </si>
  <si>
    <t>19. (∆Reserves)/GDP* K controls, instrumented</t>
  </si>
  <si>
    <t>20. Aging Speed (proj. change in old age dependency ratio) #</t>
  </si>
  <si>
    <t>21. rel. Aging Speed * Dependency Ratio</t>
  </si>
  <si>
    <t>22. Constant</t>
  </si>
  <si>
    <t>23. Mulitlateral Consistency Adjuster</t>
  </si>
  <si>
    <r>
      <rPr>
        <b/>
        <sz val="11"/>
        <color theme="1"/>
        <rFont val="Calibri"/>
        <family val="2"/>
      </rPr>
      <t>Source</t>
    </r>
    <r>
      <rPr>
        <sz val="11"/>
        <color theme="1"/>
        <rFont val="Calibri"/>
        <family val="2"/>
      </rPr>
      <t>: IMF Research Department/EBA CA Dataset</t>
    </r>
  </si>
  <si>
    <t xml:space="preserve">Step 1a. Predicted CA </t>
  </si>
  <si>
    <t xml:space="preserve">Predicted CA (% of GDP) </t>
  </si>
  <si>
    <t>Actual CA (% of GDP)</t>
  </si>
  <si>
    <t>Unexplained Residual</t>
  </si>
  <si>
    <t xml:space="preserve">Step 1b. Cyclical Component Contribution </t>
  </si>
  <si>
    <t>Cyclical Component Contribution</t>
  </si>
  <si>
    <t xml:space="preserve">   Output Gap</t>
  </si>
  <si>
    <t xml:space="preserve">   Commodity ToTgap*Trade Openness2</t>
  </si>
  <si>
    <t xml:space="preserve">Total contribution </t>
  </si>
  <si>
    <t>Cyclically adjusted CA</t>
  </si>
  <si>
    <t>Step 2. Calculating Policy gaps</t>
  </si>
  <si>
    <t>1. Fiscal Policy Gap</t>
  </si>
  <si>
    <t xml:space="preserve">   Domestic Policy Gap (P-P*)</t>
  </si>
  <si>
    <t xml:space="preserve">   World Policy Gap (P-P*)w</t>
  </si>
  <si>
    <t xml:space="preserve">   Total Gap</t>
  </si>
  <si>
    <t xml:space="preserve">   Contribution (Gap * Reg Coeff)</t>
  </si>
  <si>
    <t xml:space="preserve"> 2. Public Expenditure on Health Gap</t>
  </si>
  <si>
    <t>3. Change in Reserve Gap</t>
  </si>
  <si>
    <t>4. Private Credit Gap</t>
  </si>
  <si>
    <t>5. Capital Control</t>
  </si>
  <si>
    <t xml:space="preserve">Total Policy Gap contribution </t>
  </si>
  <si>
    <t>Step 3. Calculating the CA norm</t>
  </si>
  <si>
    <t>Total policy gap contribution</t>
  </si>
  <si>
    <t>CA norm</t>
  </si>
  <si>
    <t>Step 4. Computing the REER adjustment necessary to close the CA gap</t>
  </si>
  <si>
    <t>Elasticity of current account to REER</t>
  </si>
  <si>
    <t xml:space="preserve">   Inverse Elasticity</t>
  </si>
  <si>
    <t>CA Gap</t>
  </si>
  <si>
    <t>REER Gap</t>
  </si>
  <si>
    <t>EBA - Real Effective Exchange Rate Regression Approach</t>
  </si>
  <si>
    <t xml:space="preserve">Step 1. Computing the equilibrium REER </t>
  </si>
  <si>
    <t>Variables used in REER regression:</t>
  </si>
  <si>
    <t>(1) Coefficient</t>
  </si>
  <si>
    <t>(3) Contribution</t>
  </si>
  <si>
    <t>1. Change in reserves to GDP * cap controls, instr</t>
  </si>
  <si>
    <t>2. Lagged health expenditure to GDP (rel to TRD PRT)</t>
  </si>
  <si>
    <t>3. Real interest rate differential interacted with K openness (rel to TRD PRT)</t>
  </si>
  <si>
    <t>4. Private credit/GDP (rel to TRD PRT)</t>
  </si>
  <si>
    <t>5. Lagged Demeaned GDPpw/Top3GDPpw (PPP)</t>
  </si>
  <si>
    <t>6. Lagged Demeaned GDPpw/Top3GDPpw (PPP)]* capital openness</t>
  </si>
  <si>
    <t>7. Lagged VIX * capital account openness</t>
  </si>
  <si>
    <t>8. Lagged VIX * capital account openness * share of own currency in global reserve</t>
  </si>
  <si>
    <t>9. Share of own currency in global reserves holdings</t>
  </si>
  <si>
    <t>10. Lagged financial home bias (share of domestic debt owned by residents, rel to TR</t>
  </si>
  <si>
    <t>11.Log commodity Terms Of Trade</t>
  </si>
  <si>
    <t>12.Lagged trade openness (exp+imp) to GDP (rel to TRD PRT)</t>
  </si>
  <si>
    <t>13.Expected GDP growth in 5 years - WEO (rel to TRD PRT)</t>
  </si>
  <si>
    <t>14. Population growth (rel to TRD PRT)</t>
  </si>
  <si>
    <t>15. Share of administered prices</t>
  </si>
  <si>
    <t>16. Dumapart</t>
  </si>
  <si>
    <t>17. Constant</t>
  </si>
  <si>
    <t>18. Mulitlateral Consistency Adjuster</t>
  </si>
  <si>
    <r>
      <rPr>
        <b/>
        <sz val="11"/>
        <color theme="1"/>
        <rFont val="Calibri"/>
        <family val="2"/>
      </rPr>
      <t>Source</t>
    </r>
    <r>
      <rPr>
        <sz val="11"/>
        <color theme="1"/>
        <rFont val="Calibri"/>
        <family val="2"/>
      </rPr>
      <t>: IMF Research Department/EBA REER Dataset</t>
    </r>
  </si>
  <si>
    <t>Predicted REER (in log, after adjustment)</t>
  </si>
  <si>
    <t>Actual REER (in log)</t>
  </si>
  <si>
    <t>Unexplained Residual (Actual - Predicted)</t>
  </si>
  <si>
    <t>1. Change in Reserve</t>
  </si>
  <si>
    <t>2. Public Expenditure on Health</t>
  </si>
  <si>
    <t>3. Private Credit</t>
  </si>
  <si>
    <t>4. Real Interest Rate</t>
  </si>
  <si>
    <t>Total Policy Gap contribution</t>
  </si>
  <si>
    <t>Step 3. Calculating the REER Gap</t>
  </si>
  <si>
    <t xml:space="preserve">   Total Policy Gap</t>
  </si>
  <si>
    <t xml:space="preserve">   Residual</t>
  </si>
  <si>
    <t>Total REER Gap</t>
  </si>
  <si>
    <t>Formula</t>
  </si>
  <si>
    <t>Real GDP Growth in 2014</t>
  </si>
  <si>
    <t>Inflation in 2014</t>
  </si>
  <si>
    <t>NFA benchmark</t>
  </si>
  <si>
    <t>CA/GDP norm</t>
  </si>
  <si>
    <t>Elasticity of CA/GDP wrt REER</t>
  </si>
  <si>
    <t>(same as in CA approach)</t>
  </si>
  <si>
    <t>Actual Current Account</t>
  </si>
  <si>
    <t>(Equal to CA approach)</t>
  </si>
  <si>
    <t>CA gap = actual - norm (% of GDP)</t>
  </si>
  <si>
    <t>REER gap</t>
  </si>
  <si>
    <t>The Case of Country Sweden</t>
  </si>
  <si>
    <t>The Case of Country Sweden in 2022</t>
  </si>
  <si>
    <t>ES Approach for 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</si>
</sst>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00"/>
    <numFmt numFmtId="166" formatCode="0.0"/>
    <numFmt numFmtId="168" formatCode="0.000%"/>
    <numFmt numFmtId="173" formatCode="0.000000"/>
  </numFmts>
  <fonts count="22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20"/>
      <color theme="0"/>
      <name val="Calibri"/>
      <family val="2"/>
    </font>
    <font>
      <b/>
      <sz val="18"/>
      <color theme="0"/>
      <name val="Calibri"/>
      <family val="2"/>
    </font>
    <font>
      <b/>
      <sz val="14"/>
      <color theme="0"/>
      <name val="Calibri"/>
      <family val="2"/>
    </font>
    <font>
      <sz val="11"/>
      <name val="Calibri"/>
      <family val="2"/>
    </font>
    <font>
      <sz val="10"/>
      <color rgb="FFC00000"/>
      <name val="Calibri"/>
      <family val="2"/>
    </font>
    <font>
      <sz val="14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rgb="FF0076BB"/>
      <name val="Calibri"/>
      <family val="2"/>
    </font>
    <font>
      <sz val="11"/>
      <color rgb="FFFF0000"/>
      <name val="Calibri"/>
      <family val="2"/>
    </font>
    <font>
      <b/>
      <sz val="11"/>
      <color rgb="FFFFC00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98252B"/>
      <name val="Calibri"/>
      <family val="2"/>
    </font>
    <font>
      <sz val="11"/>
      <color theme="1"/>
      <name val="Quattrocento Sans"/>
    </font>
    <font>
      <b/>
      <sz val="14"/>
      <color theme="1"/>
      <name val="Quattrocento Sans"/>
    </font>
    <font>
      <b/>
      <sz val="12"/>
      <color theme="1"/>
      <name val="Quattrocento Sans"/>
    </font>
    <font>
      <sz val="11"/>
      <color rgb="FFFF0000"/>
      <name val="Quattrocento Sans"/>
    </font>
    <font>
      <b/>
      <sz val="11"/>
      <color theme="1"/>
      <name val="Quattrocento Sans"/>
    </font>
    <font>
      <sz val="9"/>
      <color theme="1"/>
      <name val="Arial"/>
      <family val="2"/>
    </font>
    <font>
      <sz val="12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084A99"/>
        <bgColor rgb="FF084A99"/>
      </patternFill>
    </fill>
    <fill>
      <patternFill patternType="solid">
        <fgColor rgb="FF0074BE"/>
        <bgColor rgb="FF0074BE"/>
      </patternFill>
    </fill>
    <fill>
      <patternFill patternType="solid">
        <fgColor theme="0"/>
        <bgColor theme="0"/>
      </patternFill>
    </fill>
    <fill>
      <patternFill patternType="solid">
        <fgColor rgb="FF008FC3"/>
        <bgColor rgb="FF008FC3"/>
      </patternFill>
    </fill>
    <fill>
      <patternFill patternType="solid">
        <fgColor rgb="FFFBB729"/>
        <bgColor rgb="FFFBB729"/>
      </patternFill>
    </fill>
    <fill>
      <patternFill patternType="solid">
        <fgColor rgb="FF49A078"/>
        <bgColor rgb="FF49A078"/>
      </patternFill>
    </fill>
    <fill>
      <patternFill patternType="solid">
        <fgColor rgb="FFF2F2F2"/>
        <bgColor rgb="FFF2F2F2"/>
      </patternFill>
    </fill>
    <fill>
      <patternFill patternType="solid">
        <fgColor rgb="FFBFDED0"/>
        <bgColor rgb="FFBFDED0"/>
      </patternFill>
    </fill>
    <fill>
      <patternFill patternType="solid">
        <fgColor rgb="FFD3CCBD"/>
        <bgColor rgb="FFD3CCBD"/>
      </patternFill>
    </fill>
    <fill>
      <patternFill patternType="solid">
        <fgColor rgb="FFDBB3B5"/>
        <bgColor rgb="FFDBB3B5"/>
      </patternFill>
    </fill>
    <fill>
      <patternFill patternType="solid">
        <fgColor rgb="FFA8D08D"/>
        <bgColor rgb="FFA8D08D"/>
      </patternFill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6DEB4"/>
        <bgColor rgb="FFF6DEB4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/>
    <xf numFmtId="0" fontId="3" fillId="3" borderId="2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/>
    <xf numFmtId="0" fontId="6" fillId="0" borderId="0" xfId="0" applyFont="1"/>
    <xf numFmtId="0" fontId="1" fillId="0" borderId="0" xfId="0" applyFont="1"/>
    <xf numFmtId="0" fontId="4" fillId="5" borderId="12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8" fillId="7" borderId="17" xfId="0" applyFont="1" applyFill="1" applyBorder="1" applyAlignment="1">
      <alignment wrapText="1"/>
    </xf>
    <xf numFmtId="2" fontId="9" fillId="0" borderId="15" xfId="0" applyNumberFormat="1" applyFont="1" applyBorder="1" applyAlignment="1">
      <alignment horizontal="center"/>
    </xf>
    <xf numFmtId="10" fontId="1" fillId="0" borderId="15" xfId="0" applyNumberFormat="1" applyFont="1" applyBorder="1" applyAlignment="1">
      <alignment horizontal="center"/>
    </xf>
    <xf numFmtId="10" fontId="1" fillId="0" borderId="5" xfId="0" applyNumberFormat="1" applyFont="1" applyBorder="1" applyAlignment="1">
      <alignment horizontal="center"/>
    </xf>
    <xf numFmtId="0" fontId="8" fillId="7" borderId="18" xfId="0" applyFont="1" applyFill="1" applyBorder="1" applyAlignment="1">
      <alignment wrapText="1"/>
    </xf>
    <xf numFmtId="2" fontId="9" fillId="0" borderId="19" xfId="0" applyNumberFormat="1" applyFont="1" applyBorder="1" applyAlignment="1">
      <alignment horizontal="center"/>
    </xf>
    <xf numFmtId="164" fontId="1" fillId="0" borderId="19" xfId="0" applyNumberFormat="1" applyFont="1" applyBorder="1" applyAlignment="1">
      <alignment horizontal="center"/>
    </xf>
    <xf numFmtId="10" fontId="1" fillId="0" borderId="20" xfId="0" applyNumberFormat="1" applyFont="1" applyBorder="1" applyAlignment="1">
      <alignment horizontal="center"/>
    </xf>
    <xf numFmtId="10" fontId="1" fillId="0" borderId="19" xfId="0" applyNumberFormat="1" applyFont="1" applyBorder="1" applyAlignment="1">
      <alignment horizontal="center"/>
    </xf>
    <xf numFmtId="0" fontId="10" fillId="0" borderId="0" xfId="0" applyFont="1"/>
    <xf numFmtId="0" fontId="11" fillId="7" borderId="18" xfId="0" applyFont="1" applyFill="1" applyBorder="1" applyAlignment="1">
      <alignment wrapText="1"/>
    </xf>
    <xf numFmtId="0" fontId="8" fillId="7" borderId="18" xfId="0" applyFont="1" applyFill="1" applyBorder="1" applyAlignment="1">
      <alignment horizontal="left" vertical="center" wrapText="1"/>
    </xf>
    <xf numFmtId="0" fontId="8" fillId="7" borderId="21" xfId="0" applyFont="1" applyFill="1" applyBorder="1" applyAlignment="1">
      <alignment wrapText="1"/>
    </xf>
    <xf numFmtId="2" fontId="9" fillId="0" borderId="16" xfId="0" applyNumberFormat="1" applyFont="1" applyBorder="1" applyAlignment="1">
      <alignment horizontal="center"/>
    </xf>
    <xf numFmtId="10" fontId="1" fillId="0" borderId="16" xfId="0" applyNumberFormat="1" applyFont="1" applyBorder="1" applyAlignment="1">
      <alignment horizontal="center"/>
    </xf>
    <xf numFmtId="10" fontId="1" fillId="0" borderId="8" xfId="0" applyNumberFormat="1" applyFont="1" applyBorder="1" applyAlignment="1">
      <alignment horizontal="center"/>
    </xf>
    <xf numFmtId="0" fontId="1" fillId="8" borderId="22" xfId="0" applyFont="1" applyFill="1" applyBorder="1"/>
    <xf numFmtId="0" fontId="1" fillId="0" borderId="0" xfId="0" applyFont="1" applyAlignment="1">
      <alignment wrapText="1"/>
    </xf>
    <xf numFmtId="0" fontId="12" fillId="0" borderId="0" xfId="0" applyFont="1" applyAlignment="1">
      <alignment wrapText="1"/>
    </xf>
    <xf numFmtId="164" fontId="1" fillId="9" borderId="17" xfId="0" applyNumberFormat="1" applyFont="1" applyFill="1" applyBorder="1"/>
    <xf numFmtId="164" fontId="1" fillId="10" borderId="18" xfId="0" applyNumberFormat="1" applyFont="1" applyFill="1" applyBorder="1"/>
    <xf numFmtId="10" fontId="1" fillId="11" borderId="22" xfId="0" applyNumberFormat="1" applyFont="1" applyFill="1" applyBorder="1"/>
    <xf numFmtId="0" fontId="13" fillId="12" borderId="23" xfId="0" applyFont="1" applyFill="1" applyBorder="1"/>
    <xf numFmtId="164" fontId="1" fillId="13" borderId="17" xfId="0" applyNumberFormat="1" applyFont="1" applyFill="1" applyBorder="1"/>
    <xf numFmtId="164" fontId="1" fillId="13" borderId="18" xfId="0" applyNumberFormat="1" applyFont="1" applyFill="1" applyBorder="1"/>
    <xf numFmtId="164" fontId="1" fillId="14" borderId="22" xfId="0" applyNumberFormat="1" applyFont="1" applyFill="1" applyBorder="1"/>
    <xf numFmtId="10" fontId="12" fillId="13" borderId="22" xfId="0" applyNumberFormat="1" applyFont="1" applyFill="1" applyBorder="1"/>
    <xf numFmtId="165" fontId="1" fillId="0" borderId="0" xfId="0" applyNumberFormat="1" applyFont="1"/>
    <xf numFmtId="10" fontId="1" fillId="0" borderId="0" xfId="0" applyNumberFormat="1" applyFont="1"/>
    <xf numFmtId="0" fontId="1" fillId="0" borderId="0" xfId="0" applyFont="1" applyAlignment="1">
      <alignment horizontal="left" wrapText="1"/>
    </xf>
    <xf numFmtId="164" fontId="1" fillId="10" borderId="22" xfId="0" applyNumberFormat="1" applyFont="1" applyFill="1" applyBorder="1" applyAlignment="1">
      <alignment horizontal="center"/>
    </xf>
    <xf numFmtId="164" fontId="1" fillId="15" borderId="22" xfId="0" applyNumberFormat="1" applyFont="1" applyFill="1" applyBorder="1" applyAlignment="1">
      <alignment horizontal="center" vertical="center"/>
    </xf>
    <xf numFmtId="164" fontId="12" fillId="9" borderId="22" xfId="0" applyNumberFormat="1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0" borderId="0" xfId="0" applyNumberFormat="1" applyFont="1"/>
    <xf numFmtId="0" fontId="12" fillId="0" borderId="0" xfId="0" applyFont="1" applyAlignment="1">
      <alignment horizontal="left" wrapText="1"/>
    </xf>
    <xf numFmtId="164" fontId="1" fillId="9" borderId="22" xfId="0" applyNumberFormat="1" applyFont="1" applyFill="1" applyBorder="1" applyAlignment="1">
      <alignment horizontal="center" vertical="center"/>
    </xf>
    <xf numFmtId="10" fontId="12" fillId="10" borderId="22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164" fontId="1" fillId="9" borderId="22" xfId="0" applyNumberFormat="1" applyFont="1" applyFill="1" applyBorder="1" applyAlignment="1">
      <alignment horizontal="center"/>
    </xf>
    <xf numFmtId="2" fontId="12" fillId="11" borderId="23" xfId="0" applyNumberFormat="1" applyFont="1" applyFill="1" applyBorder="1"/>
    <xf numFmtId="166" fontId="1" fillId="0" borderId="16" xfId="0" applyNumberFormat="1" applyFont="1" applyBorder="1"/>
    <xf numFmtId="10" fontId="1" fillId="0" borderId="22" xfId="0" applyNumberFormat="1" applyFont="1" applyBorder="1"/>
    <xf numFmtId="2" fontId="1" fillId="0" borderId="0" xfId="0" applyNumberFormat="1" applyFont="1"/>
    <xf numFmtId="10" fontId="14" fillId="9" borderId="23" xfId="0" applyNumberFormat="1" applyFont="1" applyFill="1" applyBorder="1"/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/>
    </xf>
    <xf numFmtId="165" fontId="1" fillId="4" borderId="1" xfId="0" applyNumberFormat="1" applyFont="1" applyFill="1" applyBorder="1" applyAlignment="1">
      <alignment horizontal="center"/>
    </xf>
    <xf numFmtId="165" fontId="1" fillId="4" borderId="1" xfId="0" applyNumberFormat="1" applyFont="1" applyFill="1" applyBorder="1" applyAlignment="1">
      <alignment horizontal="left"/>
    </xf>
    <xf numFmtId="1" fontId="1" fillId="4" borderId="1" xfId="0" applyNumberFormat="1" applyFont="1" applyFill="1" applyBorder="1" applyAlignment="1">
      <alignment horizontal="right"/>
    </xf>
    <xf numFmtId="165" fontId="1" fillId="4" borderId="1" xfId="0" applyNumberFormat="1" applyFont="1" applyFill="1" applyBorder="1" applyAlignment="1">
      <alignment horizontal="right"/>
    </xf>
    <xf numFmtId="165" fontId="1" fillId="4" borderId="1" xfId="0" applyNumberFormat="1" applyFont="1" applyFill="1" applyBorder="1"/>
    <xf numFmtId="165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15" fillId="4" borderId="1" xfId="0" applyFont="1" applyFill="1" applyBorder="1"/>
    <xf numFmtId="0" fontId="15" fillId="4" borderId="1" xfId="0" applyFont="1" applyFill="1" applyBorder="1" applyAlignment="1">
      <alignment wrapText="1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8" fillId="7" borderId="25" xfId="0" applyFont="1" applyFill="1" applyBorder="1" applyAlignment="1">
      <alignment wrapText="1"/>
    </xf>
    <xf numFmtId="2" fontId="15" fillId="10" borderId="17" xfId="0" applyNumberFormat="1" applyFont="1" applyFill="1" applyBorder="1" applyAlignment="1">
      <alignment horizontal="center"/>
    </xf>
    <xf numFmtId="2" fontId="15" fillId="10" borderId="26" xfId="0" applyNumberFormat="1" applyFont="1" applyFill="1" applyBorder="1" applyAlignment="1">
      <alignment horizontal="center"/>
    </xf>
    <xf numFmtId="0" fontId="8" fillId="7" borderId="27" xfId="0" applyFont="1" applyFill="1" applyBorder="1" applyAlignment="1">
      <alignment wrapText="1"/>
    </xf>
    <xf numFmtId="2" fontId="15" fillId="10" borderId="18" xfId="0" applyNumberFormat="1" applyFont="1" applyFill="1" applyBorder="1" applyAlignment="1">
      <alignment horizontal="center"/>
    </xf>
    <xf numFmtId="2" fontId="15" fillId="10" borderId="28" xfId="0" applyNumberFormat="1" applyFont="1" applyFill="1" applyBorder="1" applyAlignment="1">
      <alignment horizontal="center"/>
    </xf>
    <xf numFmtId="0" fontId="8" fillId="7" borderId="27" xfId="0" applyFont="1" applyFill="1" applyBorder="1" applyAlignment="1">
      <alignment horizontal="left" wrapText="1"/>
    </xf>
    <xf numFmtId="0" fontId="18" fillId="0" borderId="0" xfId="0" applyFont="1"/>
    <xf numFmtId="0" fontId="8" fillId="7" borderId="29" xfId="0" applyFont="1" applyFill="1" applyBorder="1" applyAlignment="1">
      <alignment wrapText="1"/>
    </xf>
    <xf numFmtId="2" fontId="15" fillId="10" borderId="21" xfId="0" applyNumberFormat="1" applyFont="1" applyFill="1" applyBorder="1" applyAlignment="1">
      <alignment horizontal="center"/>
    </xf>
    <xf numFmtId="2" fontId="15" fillId="10" borderId="30" xfId="0" applyNumberFormat="1" applyFont="1" applyFill="1" applyBorder="1" applyAlignment="1">
      <alignment horizontal="center"/>
    </xf>
    <xf numFmtId="0" fontId="15" fillId="0" borderId="0" xfId="0" applyFont="1" applyAlignment="1">
      <alignment wrapText="1"/>
    </xf>
    <xf numFmtId="2" fontId="15" fillId="9" borderId="17" xfId="0" applyNumberFormat="1" applyFont="1" applyFill="1" applyBorder="1" applyAlignment="1">
      <alignment horizontal="right"/>
    </xf>
    <xf numFmtId="2" fontId="15" fillId="10" borderId="18" xfId="0" applyNumberFormat="1" applyFont="1" applyFill="1" applyBorder="1" applyAlignment="1">
      <alignment horizontal="right"/>
    </xf>
    <xf numFmtId="2" fontId="15" fillId="11" borderId="22" xfId="0" applyNumberFormat="1" applyFont="1" applyFill="1" applyBorder="1" applyAlignment="1">
      <alignment horizontal="right"/>
    </xf>
    <xf numFmtId="0" fontId="17" fillId="0" borderId="0" xfId="0" applyFont="1" applyAlignment="1">
      <alignment horizontal="left" vertical="center" wrapText="1"/>
    </xf>
    <xf numFmtId="0" fontId="19" fillId="0" borderId="0" xfId="0" applyFont="1" applyAlignment="1">
      <alignment wrapText="1"/>
    </xf>
    <xf numFmtId="0" fontId="15" fillId="0" borderId="0" xfId="0" applyFont="1" applyAlignment="1">
      <alignment horizontal="left" wrapText="1"/>
    </xf>
    <xf numFmtId="164" fontId="15" fillId="10" borderId="22" xfId="0" applyNumberFormat="1" applyFont="1" applyFill="1" applyBorder="1" applyAlignment="1">
      <alignment horizontal="center"/>
    </xf>
    <xf numFmtId="164" fontId="15" fillId="15" borderId="22" xfId="0" applyNumberFormat="1" applyFont="1" applyFill="1" applyBorder="1" applyAlignment="1">
      <alignment horizontal="center"/>
    </xf>
    <xf numFmtId="164" fontId="15" fillId="9" borderId="22" xfId="0" applyNumberFormat="1" applyFont="1" applyFill="1" applyBorder="1" applyAlignment="1">
      <alignment horizontal="center"/>
    </xf>
    <xf numFmtId="164" fontId="15" fillId="0" borderId="0" xfId="0" applyNumberFormat="1" applyFont="1" applyAlignment="1">
      <alignment horizontal="center"/>
    </xf>
    <xf numFmtId="0" fontId="19" fillId="0" borderId="0" xfId="0" applyFont="1"/>
    <xf numFmtId="164" fontId="19" fillId="10" borderId="22" xfId="0" applyNumberFormat="1" applyFont="1" applyFill="1" applyBorder="1" applyAlignment="1">
      <alignment horizontal="center"/>
    </xf>
    <xf numFmtId="164" fontId="15" fillId="9" borderId="23" xfId="0" applyNumberFormat="1" applyFont="1" applyFill="1" applyBorder="1" applyAlignment="1">
      <alignment horizontal="center"/>
    </xf>
    <xf numFmtId="165" fontId="12" fillId="0" borderId="0" xfId="0" applyNumberFormat="1" applyFont="1" applyAlignment="1">
      <alignment horizontal="center"/>
    </xf>
    <xf numFmtId="0" fontId="8" fillId="7" borderId="17" xfId="0" applyFont="1" applyFill="1" applyBorder="1" applyAlignment="1">
      <alignment vertical="center"/>
    </xf>
    <xf numFmtId="164" fontId="1" fillId="10" borderId="26" xfId="0" applyNumberFormat="1" applyFont="1" applyFill="1" applyBorder="1"/>
    <xf numFmtId="0" fontId="1" fillId="7" borderId="25" xfId="0" applyFont="1" applyFill="1" applyBorder="1"/>
    <xf numFmtId="0" fontId="1" fillId="7" borderId="31" xfId="0" applyFont="1" applyFill="1" applyBorder="1"/>
    <xf numFmtId="0" fontId="1" fillId="7" borderId="26" xfId="0" applyFont="1" applyFill="1" applyBorder="1"/>
    <xf numFmtId="0" fontId="8" fillId="7" borderId="18" xfId="0" applyFont="1" applyFill="1" applyBorder="1" applyAlignment="1">
      <alignment vertical="center"/>
    </xf>
    <xf numFmtId="9" fontId="1" fillId="10" borderId="28" xfId="0" applyNumberFormat="1" applyFont="1" applyFill="1" applyBorder="1"/>
    <xf numFmtId="0" fontId="1" fillId="7" borderId="27" xfId="0" applyFont="1" applyFill="1" applyBorder="1"/>
    <xf numFmtId="0" fontId="1" fillId="7" borderId="28" xfId="0" applyFont="1" applyFill="1" applyBorder="1"/>
    <xf numFmtId="2" fontId="20" fillId="10" borderId="28" xfId="0" applyNumberFormat="1" applyFont="1" applyFill="1" applyBorder="1"/>
    <xf numFmtId="0" fontId="8" fillId="7" borderId="21" xfId="0" applyFont="1" applyFill="1" applyBorder="1" applyAlignment="1">
      <alignment vertical="center"/>
    </xf>
    <xf numFmtId="164" fontId="1" fillId="15" borderId="14" xfId="0" applyNumberFormat="1" applyFont="1" applyFill="1" applyBorder="1"/>
    <xf numFmtId="0" fontId="1" fillId="7" borderId="29" xfId="0" applyFont="1" applyFill="1" applyBorder="1"/>
    <xf numFmtId="0" fontId="1" fillId="7" borderId="32" xfId="0" applyFont="1" applyFill="1" applyBorder="1"/>
    <xf numFmtId="0" fontId="1" fillId="7" borderId="30" xfId="0" applyFont="1" applyFill="1" applyBorder="1"/>
    <xf numFmtId="0" fontId="1" fillId="0" borderId="3" xfId="0" applyFont="1" applyBorder="1"/>
    <xf numFmtId="0" fontId="21" fillId="0" borderId="6" xfId="0" applyFont="1" applyBorder="1" applyAlignment="1">
      <alignment horizontal="left"/>
    </xf>
    <xf numFmtId="0" fontId="21" fillId="0" borderId="0" xfId="0" applyFont="1"/>
    <xf numFmtId="0" fontId="1" fillId="0" borderId="6" xfId="0" applyFont="1" applyBorder="1"/>
    <xf numFmtId="2" fontId="1" fillId="0" borderId="0" xfId="0" applyNumberFormat="1" applyFont="1" applyAlignment="1">
      <alignment horizontal="center"/>
    </xf>
    <xf numFmtId="0" fontId="1" fillId="0" borderId="9" xfId="0" applyFont="1" applyBorder="1"/>
    <xf numFmtId="164" fontId="1" fillId="15" borderId="22" xfId="0" applyNumberFormat="1" applyFont="1" applyFill="1" applyBorder="1" applyAlignment="1">
      <alignment horizontal="center"/>
    </xf>
    <xf numFmtId="10" fontId="12" fillId="15" borderId="2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horizontal="center"/>
    </xf>
    <xf numFmtId="166" fontId="1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7" fillId="6" borderId="9" xfId="0" applyFont="1" applyFill="1" applyBorder="1" applyAlignment="1">
      <alignment horizontal="left" vertical="center" wrapText="1"/>
    </xf>
    <xf numFmtId="0" fontId="5" fillId="0" borderId="10" xfId="0" applyFont="1" applyBorder="1"/>
    <xf numFmtId="0" fontId="5" fillId="0" borderId="11" xfId="0" applyFont="1" applyBorder="1"/>
    <xf numFmtId="0" fontId="4" fillId="5" borderId="3" xfId="0" applyFont="1" applyFill="1" applyBorder="1" applyAlignment="1">
      <alignment horizontal="center" vertical="center" wrapText="1"/>
    </xf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4" fillId="5" borderId="9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5" fillId="0" borderId="16" xfId="0" applyFont="1" applyBorder="1"/>
    <xf numFmtId="0" fontId="5" fillId="0" borderId="24" xfId="0" applyFont="1" applyBorder="1"/>
    <xf numFmtId="9" fontId="1" fillId="10" borderId="15" xfId="0" applyNumberFormat="1" applyFont="1" applyFill="1" applyBorder="1" applyAlignment="1">
      <alignment horizontal="center" vertical="center"/>
    </xf>
    <xf numFmtId="168" fontId="1" fillId="4" borderId="1" xfId="0" applyNumberFormat="1" applyFont="1" applyFill="1" applyBorder="1"/>
    <xf numFmtId="173" fontId="15" fillId="0" borderId="0" xfId="0" applyNumberFormat="1" applyFont="1"/>
    <xf numFmtId="9" fontId="15" fillId="0" borderId="0" xfId="0" applyNumberFormat="1" applyFont="1" applyAlignment="1">
      <alignment horizontal="center"/>
    </xf>
    <xf numFmtId="165" fontId="1" fillId="10" borderId="17" xfId="0" applyNumberFormat="1" applyFont="1" applyFill="1" applyBorder="1" applyAlignment="1">
      <alignment horizontal="center" vertical="center"/>
    </xf>
    <xf numFmtId="165" fontId="1" fillId="10" borderId="2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8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customschemas.google.com/relationships/workbookmetadata" Target="metadata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30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</xdr:row>
          <xdr:rowOff>266700</xdr:rowOff>
        </xdr:from>
        <xdr:to>
          <xdr:col>7</xdr:col>
          <xdr:colOff>63500</xdr:colOff>
          <xdr:row>9</xdr:row>
          <xdr:rowOff>12700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249A5779-3E8A-1C30-F271-FC804D71EB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DATA/S1/ECU/Current/ecubopLate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DATA/S1/ECU/SECTORS/External/PERUMF97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pt5s/tre1/LIQUID/1998/Review/SCEN-97B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2/apd/DATA/PA/CHL/SECTORS/BOP/Bop02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WIN/TEMP/MFLOW96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~%20CJM%20Lenovo/~%20Caryl%20consulting/~MDS%20Development%202016/W05-Inflation/W5-Draft%202-cjm%20%20Inflation%207-11-16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&#304;zleme&amp;Ara&#351;t&#305;rma%20Dairesi/&#231;al&#305;&#351;malar/Net%20Debt/NET%20DEBT%20DAIRE%20CALISMASI/netdebt_22aralik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4/users2/ICE/ICE_mission%20SBA1%20may09/background%20notes/Tables%20background%20not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4/users2/data/wrs/xl97/system/WRS97TAB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4/users2/DATA/SV/VULNERABILITIES/VULNERABILITIES%202005-09/working-files/Master%20Cross%20Country%20MSG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DRAFTS/WH/ET/Diagnostic/Mexico%20Diagnostic/Mexico%20GEE%20Apr%2005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4/users2/Users/ipetrova/AppData/Local/Microsoft/Windows/Temporary%20Internet%20Files/Content.Outlook/0CUNTCM9/m&#225;na&#240;aryfirlit%20(17)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4/users2/users1/ipetrova/My%20Documents/FAD/Iceland/ISL%20Data%20from%20Authorities/Fjarsysla/m&#225;na&#240;aryfirlitJune2010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2/apd/DATA/CA/CRI/Dbase/Dinput/CRI-INPUT-ABOP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2/apd/WINDOWS/TEMP/CRI-BOP-0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2/apd/DATA/CA/CRI/EXTERNAL/Output/CRI-BOP-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2/apd/DATA/CA/CRI/EXTERNAL/Output/Other-2002/CRI-INPUT-ABOP-4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4/users2/CPLAZO/IMAE/PR/INF1-ALEX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DATA/S1/ECU/SECTORS/External/ecuredtab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-int.imf.org/depts/pdr/Policies/Access/ExternalSustainTable_standard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4/users2/Users/ipetrova/AppData/Local/Microsoft/Windows/Temporary%20Internet%20Files/Content.Outlook/0CUNTCM9/m&#225;na&#240;aryfirlit%20(4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DebtM"/>
      <sheetName val="finreq-m02"/>
      <sheetName val="BoP-m02"/>
      <sheetName val="Input"/>
      <sheetName val="Trade"/>
      <sheetName val="SER"/>
      <sheetName val="Input2"/>
      <sheetName val="DebtSer"/>
      <sheetName val="CAP"/>
      <sheetName val="RES"/>
      <sheetName val="BoP"/>
      <sheetName val="BoP M-T"/>
      <sheetName val="FinReqM-T"/>
      <sheetName val="DEBT"/>
      <sheetName val="Vulnerability Indicators"/>
      <sheetName val="BOP Main"/>
      <sheetName val="BOP Alt"/>
      <sheetName val="month-01"/>
      <sheetName val="FINREQ"/>
      <sheetName val="monthCAP"/>
      <sheetName val="OUTPUT"/>
      <sheetName val="finproj"/>
      <sheetName val="PC+Bond"/>
      <sheetName val="arr"/>
      <sheetName val="PC"/>
      <sheetName val="M-Ttab"/>
      <sheetName val="BondFin"/>
      <sheetName val="PCscen"/>
      <sheetName val="BoP med-t"/>
      <sheetName val="gaps"/>
      <sheetName val="month2000"/>
      <sheetName val="WEO"/>
      <sheetName val="SR_99"/>
      <sheetName val="BoPmonth99"/>
      <sheetName val="Chart1"/>
      <sheetName val="WEOQ5"/>
      <sheetName val="WEOQ6"/>
      <sheetName val="WEOQ7"/>
      <sheetName val="xxweolinksxx"/>
      <sheetName val="correlations with EMB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Execute Macros"/>
      <sheetName val="Annual Raw Data"/>
      <sheetName val="Quarterly Raw Data"/>
      <sheetName val="WEO Raw Data"/>
      <sheetName val="Annual Assumptions"/>
      <sheetName val="Quarterly Assumptions"/>
      <sheetName val="Annual MacroFlow"/>
      <sheetName val="Quarterly MacroFlow"/>
      <sheetName val="Annual Tables"/>
      <sheetName val="SEI Table"/>
      <sheetName val="Basic Data"/>
      <sheetName val="Program MFlows97"/>
      <sheetName val="WEO Submission Sheet"/>
      <sheetName val="SEI Chart"/>
      <sheetName val="Fiscal Chart"/>
      <sheetName val="Money Chart"/>
      <sheetName val="Macros Import"/>
      <sheetName val="Macros Pri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Info"/>
      <sheetName val="Summary of Changes"/>
      <sheetName val="Large Projections"/>
      <sheetName val="Table 1"/>
      <sheetName val="Table 2"/>
      <sheetName val="Table 3"/>
      <sheetName val="Table 4"/>
      <sheetName val="Table 5"/>
      <sheetName val="Table 6"/>
      <sheetName val="New Figure 1"/>
      <sheetName val="UFC Summary"/>
      <sheetName val="Holdings"/>
      <sheetName val="Position as of End-July 1997"/>
      <sheetName val="Liquidity Calculations (Sc. 2)"/>
      <sheetName val="Liquidity Calculations (Sc. 3)"/>
      <sheetName val="Chart"/>
      <sheetName val="Projected Arr (Sc.1)"/>
      <sheetName val="Projected Arr (Sc.2)"/>
      <sheetName val="Projected Arr (Sc.3)"/>
      <sheetName val="Projected Arr (Nov 97)"/>
      <sheetName val="Projected Pur (Sc.1)"/>
      <sheetName val="Projected Pur (Sc.2 &amp;3)"/>
      <sheetName val="Purchases Feb - May 1998"/>
      <sheetName val="Purchases by Month"/>
      <sheetName val="Ratios"/>
      <sheetName val="Ratio Data"/>
      <sheetName val="Precautionary arrangements"/>
      <sheetName val="Projection Summary"/>
      <sheetName val="Old Table 4"/>
      <sheetName val="Liquidity Calculations (Sc. 1)"/>
      <sheetName val="Old Table 6"/>
      <sheetName val="Figure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Notes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Debt"/>
      <sheetName val="G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Execute Macros"/>
      <sheetName val="Annual Transfer"/>
      <sheetName val="Quarterly Transfer"/>
      <sheetName val="Annual Assumptions"/>
      <sheetName val="Quarterly Assumptions"/>
      <sheetName val="Annual MacroFlow"/>
      <sheetName val="Quarterly MacroFlow"/>
      <sheetName val="Annual Tables"/>
      <sheetName val="MFLOW96"/>
      <sheetName val="F1data"/>
      <sheetName val="F2data"/>
      <sheetName val="Execute_Macros"/>
      <sheetName val="Annual_Transfer"/>
      <sheetName val="Quarterly_Transfer"/>
      <sheetName val="Annual_Assumptions"/>
      <sheetName val="Quarterly_Assumptions"/>
      <sheetName val="Annual_MacroFlow"/>
      <sheetName val="Quarterly_MacroFlow"/>
      <sheetName val="Annual_Tables"/>
      <sheetName val="#REF"/>
      <sheetName val="MFLOW96.XLS"/>
    </sheetNames>
    <definedNames>
      <definedName name="[Macros Import].qbop"/>
      <definedName name="atrade"/>
      <definedName name="mflowsa"/>
      <definedName name="mflowsq"/>
      <definedName name="mstocksa"/>
      <definedName name="mstocksq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Notes for further work"/>
      <sheetName val="1. Measuring Inflation"/>
      <sheetName val="1a. Measuring Inflation Charts"/>
      <sheetName val="1b. International Comparison "/>
      <sheetName val="1c. Int. Comparison Charts"/>
      <sheetName val="2. Core Inflation "/>
      <sheetName val="2a. Core Inflation Charts"/>
      <sheetName val="3. CPI Components"/>
      <sheetName val="3a.CPI Weights Charts"/>
      <sheetName val="4.1 Inflation, Money, &amp; ER's"/>
      <sheetName val="4.1a. Infl, Mon &amp; ER Charts "/>
      <sheetName val="4.2 CLI &amp; CU"/>
      <sheetName val="4.2a. CLI &amp; CU"/>
      <sheetName val="4.3 UR &amp; Output Gap"/>
      <sheetName val="4.3a UR &amp; Output Gap Graphs"/>
      <sheetName val="5. Summary"/>
      <sheetName val="DATA-IN (Quarterly)"/>
      <sheetName val="DATA-IN (Monthly)"/>
      <sheetName val="DATA-IN (Annual)"/>
      <sheetName val="Documentation and Sources"/>
      <sheetName val="Workbook_Flowchart"/>
      <sheetName val="5.4 Unit Labour Costs"/>
      <sheetName val="5.4a Unit Labour Costs Charts"/>
      <sheetName val="6. NK Phillips Curve"/>
      <sheetName val="6a. NK Phillips Curve Graph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NEMLI_OKUYUN"/>
      <sheetName val="PublicDebt"/>
      <sheetName val="Net_broc"/>
      <sheetName val="Grafikler1"/>
      <sheetName val="Grafikler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1"/>
      <sheetName val="exch rates"/>
      <sheetName val="VAT rates OECD Countries"/>
      <sheetName val="Corporate OECD countries"/>
      <sheetName val="PIT OECD countries"/>
      <sheetName val="Dom GS OECD countries"/>
      <sheetName val="Soc Sec OECD countries"/>
      <sheetName val="Chart1"/>
      <sheetName val="Chart1 (2)"/>
      <sheetName val="Chart1 (3)"/>
      <sheetName val="Chart1 (4)"/>
      <sheetName val="Panel1"/>
      <sheetName val="series for tax graphs"/>
      <sheetName val="Chart2"/>
      <sheetName val="Chart2 (2)"/>
      <sheetName val="EDSS3"/>
      <sheetName val="Chart3"/>
      <sheetName val="Chart4"/>
      <sheetName val="EDSS1"/>
      <sheetName val="Table2"/>
      <sheetName val="Table2b"/>
      <sheetName val="Table3"/>
      <sheetName val="Table4"/>
      <sheetName val="Table5"/>
      <sheetName val="Table5b"/>
      <sheetName val="Table6"/>
      <sheetName val="Table7"/>
      <sheetName val="Table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dshWhatToLoad"/>
      <sheetName val="SetUp Sheet"/>
      <sheetName val="SpinData"/>
      <sheetName val="dshNWCell"/>
      <sheetName val="dshNWCell_Qrt"/>
      <sheetName val="dshUserDelete"/>
      <sheetName val="dshUser"/>
      <sheetName val="dshRefreshLinks"/>
      <sheetName val="dshRefreshLinks_Qrt"/>
      <sheetName val="dshQuestionnairesPrint"/>
      <sheetName val="dshPickAUtility"/>
      <sheetName val="dshAremosSelect_Qrt"/>
      <sheetName val="dshAremosSelect"/>
      <sheetName val="dshWizard1"/>
      <sheetName val="dshWizard1_Qrt"/>
      <sheetName val="dshWizard2"/>
      <sheetName val="dshWizard3"/>
      <sheetName val="dshWizard3_qrt"/>
      <sheetName val="dshWizard4"/>
      <sheetName val="dshAlignButtons"/>
      <sheetName val="dshExit"/>
      <sheetName val="dshAbout"/>
      <sheetName val="dshSend"/>
      <sheetName val="Links"/>
      <sheetName val="xxweolinksxx"/>
      <sheetName val="HelpList"/>
      <sheetName val="Data check"/>
      <sheetName val="dshErrorCheck"/>
      <sheetName val="dshMacroMak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s"/>
      <sheetName val="ControlSheet"/>
      <sheetName val="Inputs 1 (liq indicators)"/>
      <sheetName val="country name lookup"/>
      <sheetName val="Inputs 2 (ext sector)"/>
      <sheetName val="Inputs 3 (fiscal sector)"/>
      <sheetName val="Inputs 4 (fin. sector)"/>
      <sheetName val="Inputs 5 (corp. sector)"/>
      <sheetName val="Inputs Macro Variables"/>
      <sheetName val="Calc Liq Ind"/>
      <sheetName val="Calc Ext Sector"/>
      <sheetName val="Calc Fisc Sector"/>
      <sheetName val="Calc Fin Sector"/>
      <sheetName val="Calc Corp. Sector"/>
      <sheetName val="old Tab 8. FR &amp; IR"/>
      <sheetName val="Tab 8. FR &amp; IR "/>
      <sheetName val="Output 1. Comp AD-I rat"/>
      <sheetName val="Output 1. Comp Alt I,II,III"/>
      <sheetName val="Output1 Summary-AltI"/>
      <sheetName val="Output 1. Summary-AltII"/>
      <sheetName val="Output1 Summary -AltIII"/>
      <sheetName val="Tab 9. External sector "/>
      <sheetName val="Tab 10. Public sector"/>
      <sheetName val="Tab 11. Financial sector"/>
      <sheetName val="Tab 12. Corporate sector"/>
      <sheetName val="Output 1. FR &amp; IR "/>
      <sheetName val="Output 2. External sector "/>
      <sheetName val="Output 3. Public sector"/>
      <sheetName val="Output 4. Financial sector"/>
      <sheetName val="Output 5. Corporate sec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Compare"/>
      <sheetName val="WEO GEE Annual"/>
      <sheetName val="WEO GEE Quarterly"/>
      <sheetName val="WEO GEE Weights"/>
      <sheetName val="A Current Data"/>
      <sheetName val="A Previous Data"/>
      <sheetName val="Q Current Data"/>
      <sheetName val="Q Previous Data"/>
      <sheetName val="Weights Data"/>
      <sheetName val="Compare (Non-Euro)"/>
      <sheetName val="Annual (Non-Euro)"/>
      <sheetName val="Quarterly (Non-Euro)"/>
      <sheetName val="Weights (Non-Euro)"/>
      <sheetName val="A Current Data (Non-Euro)"/>
      <sheetName val="A Previous Data (Non-Euro)"/>
      <sheetName val="Q Current Data (Non-Euro)"/>
      <sheetName val="Q Previous Data (Non-Euro)"/>
      <sheetName val="Weights Data (Non-Euro)"/>
      <sheetName val="ControlSheet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síða"/>
      <sheetName val="Nýtt yfirlit 1"/>
      <sheetName val="Y2"/>
      <sheetName val="Y3"/>
      <sheetName val="Y4"/>
      <sheetName val="Y5"/>
      <sheetName val="Y6"/>
      <sheetName val="Y7"/>
      <sheetName val="Y8"/>
      <sheetName val="Y13"/>
      <sheetName val="MANUDUR"/>
      <sheetName val="Áætlun"/>
      <sheetName val="EFN_MMB_"/>
      <sheetName val="EFN_HMB_"/>
      <sheetName val="EFN_MAN_"/>
      <sheetName val="Efn_FA"/>
      <sheetName val="EFN_F2"/>
      <sheetName val="Efn_fa_h"/>
      <sheetName val="EFN_FAL"/>
      <sheetName val="efn_f2l"/>
      <sheetName val="mal"/>
      <sheetName val="mal_fa"/>
      <sheetName val="Fjárlög_sund"/>
      <sheetName val="tegsun"/>
      <sheetName val="Tegsun_fyrra"/>
      <sheetName val="Fjarh_man"/>
      <sheetName val="TEKJUR"/>
      <sheetName val="TEKJUR_M"/>
      <sheetName val="TEKJU_FA"/>
      <sheetName val="Fjárheimild mánaða tekjur"/>
      <sheetName val="FJARLTEK"/>
      <sheetName val="Efnahagu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síða"/>
      <sheetName val="Nýtt yfirlit 1"/>
      <sheetName val="Y2"/>
      <sheetName val="Y3"/>
      <sheetName val="Y4"/>
      <sheetName val="Y5"/>
      <sheetName val="Y6"/>
      <sheetName val="Y7"/>
      <sheetName val="Y8"/>
      <sheetName val="Y13"/>
      <sheetName val="MANUDUR"/>
      <sheetName val="Áætlun"/>
      <sheetName val="EFN_MMB_"/>
      <sheetName val="EFN_HMB_"/>
      <sheetName val="EFN_MAN_"/>
      <sheetName val="Efn_FA"/>
      <sheetName val="EFN_F2"/>
      <sheetName val="Efn_fa_h"/>
      <sheetName val="EFN_FAL"/>
      <sheetName val="efn_f2l"/>
      <sheetName val="mal"/>
      <sheetName val="mal_fa"/>
      <sheetName val="Fjárlög_sund"/>
      <sheetName val="tegsun"/>
      <sheetName val="Tegsun_fyrra"/>
      <sheetName val="Fjarh_man"/>
      <sheetName val="TEKJUR"/>
      <sheetName val="TEKJUR_M"/>
      <sheetName val="TEKJU_FA"/>
      <sheetName val="Fjárheimild mánaða tekjur"/>
      <sheetName val="FJARLTEK"/>
      <sheetName val="Efnahagu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"/>
      <sheetName val="M"/>
      <sheetName val="CA"/>
      <sheetName val="CA-Income"/>
      <sheetName val="CK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DEBT"/>
      <sheetName val="DIS"/>
      <sheetName val="AMO"/>
      <sheetName val="I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ATA"/>
      <sheetName val="IMAE TC Y ACELERACION"/>
      <sheetName val="ACELERACION"/>
      <sheetName val="DATOS"/>
      <sheetName val="LIB-NE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9"/>
      <sheetName val="Chart2"/>
      <sheetName val="Chart3"/>
      <sheetName val="Chart1"/>
      <sheetName val="BOP-RED40"/>
      <sheetName val="RED41"/>
      <sheetName val="RED42"/>
      <sheetName val="RED43"/>
      <sheetName val="RED44"/>
      <sheetName val="RED45"/>
      <sheetName val="RED46"/>
      <sheetName val="RED47"/>
      <sheetName val="RED48"/>
      <sheetName val="RED49"/>
      <sheetName val="RED51"/>
      <sheetName val="RED50"/>
      <sheetName val="Chart4"/>
      <sheetName val="Chart5"/>
      <sheetName val="Chart6"/>
      <sheetName val="Chart7"/>
      <sheetName val="Chart8"/>
      <sheetName val="Sheet1"/>
      <sheetName val="#REF"/>
      <sheetName val="Table3"/>
      <sheetName val="IMATA"/>
      <sheetName val="Dsrv"/>
      <sheetName val="Dboj"/>
      <sheetName val="Dgg"/>
      <sheetName val="Dgo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Input_external"/>
      <sheetName val="Table"/>
      <sheetName val="Table_SR"/>
      <sheetName val="PanelChart"/>
      <sheetName val="Table_GEF"/>
      <sheetName val="Chartdata"/>
      <sheetName val="A1_historical"/>
      <sheetName val="B1_irate"/>
      <sheetName val="B2_GDP"/>
      <sheetName val="B3_CAB"/>
      <sheetName val="B4_Combined"/>
      <sheetName val="B5_Depreciation"/>
      <sheetName val="A2_alternative"/>
      <sheetName val="A3_market"/>
      <sheetName val="B3_deflator"/>
      <sheetName val="B4_CAB"/>
      <sheetName val="B5_Combined"/>
      <sheetName val="B6_Depreciation"/>
      <sheetName val="Data_chart"/>
      <sheetName val="Figure"/>
      <sheetName val="External Sustainability-Arg"/>
      <sheetName val="ExtSust-Arg"/>
      <sheetName val="ControlSheet"/>
      <sheetName val="150dp"/>
      <sheetName val="RED47"/>
      <sheetName val="Table3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síða"/>
      <sheetName val="Nýtt yfirlit 1"/>
      <sheetName val="Y2"/>
      <sheetName val="Y3"/>
      <sheetName val="Y4"/>
      <sheetName val="Y5"/>
      <sheetName val="Y6"/>
      <sheetName val="Y7"/>
      <sheetName val="Y8"/>
      <sheetName val="Y13"/>
      <sheetName val="MANUDUR"/>
      <sheetName val="Áætlun"/>
      <sheetName val="EFN_MMB_"/>
      <sheetName val="EFN_HMB_"/>
      <sheetName val="EFN_MAN_"/>
      <sheetName val="Efn_FA"/>
      <sheetName val="EFN_F2"/>
      <sheetName val="Efn_fa_h"/>
      <sheetName val="EFN_FAL"/>
      <sheetName val="efn_f2l"/>
      <sheetName val="mal"/>
      <sheetName val="mal_fa"/>
      <sheetName val="Fjárlög_sund"/>
      <sheetName val="tegsun"/>
      <sheetName val="Tegsun_fyrra"/>
      <sheetName val="Fjarh_man"/>
      <sheetName val="TEKJUR"/>
      <sheetName val="TEKJUR_M"/>
      <sheetName val="TEKJU_FA"/>
      <sheetName val="Fjárheimild mánaða tekjur"/>
      <sheetName val="FJARLTEK"/>
      <sheetName val="Efnahagu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9A078"/>
  </sheetPr>
  <dimension ref="A1:Z1000"/>
  <sheetViews>
    <sheetView showGridLines="0" tabSelected="1" workbookViewId="0">
      <pane xSplit="1" ySplit="7" topLeftCell="B84" activePane="bottomRight" state="frozen"/>
      <selection pane="topRight" activeCell="B1" sqref="B1"/>
      <selection pane="bottomLeft" activeCell="A8" sqref="A8"/>
      <selection pane="bottomRight" activeCell="D98" sqref="D98"/>
    </sheetView>
  </sheetViews>
  <sheetFormatPr baseColWidth="10" defaultColWidth="14.5" defaultRowHeight="15" customHeight="1" x14ac:dyDescent="0.2"/>
  <cols>
    <col min="1" max="1" width="9.5" customWidth="1"/>
    <col min="2" max="2" width="70.5" customWidth="1"/>
    <col min="3" max="3" width="27.5" customWidth="1"/>
    <col min="4" max="4" width="28.5" customWidth="1"/>
    <col min="5" max="5" width="28.83203125" customWidth="1"/>
    <col min="6" max="6" width="14.33203125" customWidth="1"/>
    <col min="7" max="7" width="14" customWidth="1"/>
    <col min="8" max="8" width="11.83203125" customWidth="1"/>
    <col min="9" max="9" width="13.6640625" customWidth="1"/>
    <col min="10" max="10" width="19.1640625" customWidth="1"/>
    <col min="11" max="11" width="14.6640625" customWidth="1"/>
    <col min="12" max="26" width="7.83203125" customWidth="1"/>
  </cols>
  <sheetData>
    <row r="1" spans="1:26" ht="14.25" customHeight="1" x14ac:dyDescent="0.3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1"/>
      <c r="W1" s="3"/>
      <c r="X1" s="1"/>
      <c r="Y1" s="1"/>
      <c r="Z1" s="1"/>
    </row>
    <row r="2" spans="1:26" ht="14.25" customHeight="1" x14ac:dyDescent="0.3">
      <c r="A2" s="4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4"/>
      <c r="W2" s="6"/>
      <c r="X2" s="4"/>
      <c r="Y2" s="4"/>
      <c r="Z2" s="4"/>
    </row>
    <row r="3" spans="1:26" ht="14.25" customHeight="1" x14ac:dyDescent="0.2">
      <c r="A3" s="7"/>
      <c r="B3" s="8"/>
      <c r="C3" s="8"/>
      <c r="D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9.5" customHeight="1" x14ac:dyDescent="0.2">
      <c r="B4" s="131" t="s">
        <v>1</v>
      </c>
      <c r="C4" s="132"/>
      <c r="D4" s="132"/>
      <c r="E4" s="133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5" customHeight="1" x14ac:dyDescent="0.2">
      <c r="B5" s="134"/>
      <c r="C5" s="135"/>
      <c r="D5" s="135"/>
      <c r="E5" s="136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4.25" customHeight="1" x14ac:dyDescent="0.2">
      <c r="B6" s="9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28.5" customHeight="1" x14ac:dyDescent="0.2">
      <c r="B7" s="137" t="s">
        <v>107</v>
      </c>
      <c r="C7" s="129"/>
      <c r="D7" s="129"/>
      <c r="E7" s="13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5.25" customHeight="1" x14ac:dyDescent="0.2">
      <c r="B8" s="11"/>
      <c r="C8" s="12"/>
      <c r="D8" s="12"/>
      <c r="E8" s="13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27.75" customHeight="1" x14ac:dyDescent="0.2">
      <c r="B9" s="128" t="s">
        <v>2</v>
      </c>
      <c r="C9" s="129"/>
      <c r="D9" s="129"/>
      <c r="E9" s="13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4.25" customHeight="1" x14ac:dyDescent="0.2">
      <c r="B10" s="138" t="s">
        <v>3</v>
      </c>
      <c r="C10" s="138" t="s">
        <v>4</v>
      </c>
      <c r="D10" s="138" t="s">
        <v>5</v>
      </c>
      <c r="E10" s="138" t="s">
        <v>6</v>
      </c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22.5" customHeight="1" x14ac:dyDescent="0.2">
      <c r="B11" s="139"/>
      <c r="C11" s="139"/>
      <c r="D11" s="139"/>
      <c r="E11" s="13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.75" customHeight="1" x14ac:dyDescent="0.2">
      <c r="B12" s="14" t="s">
        <v>7</v>
      </c>
      <c r="C12" s="15">
        <v>3.5999999999999997E-2</v>
      </c>
      <c r="D12" s="16">
        <v>0.443</v>
      </c>
      <c r="E12" s="17">
        <f t="shared" ref="E12:E34" si="0">C12*D12</f>
        <v>1.5948E-2</v>
      </c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6.5" customHeight="1" x14ac:dyDescent="0.2">
      <c r="B13" s="18" t="s">
        <v>8</v>
      </c>
      <c r="C13" s="19">
        <v>-0.01</v>
      </c>
      <c r="D13" s="20">
        <v>0</v>
      </c>
      <c r="E13" s="21">
        <f t="shared" si="0"/>
        <v>0</v>
      </c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5" customHeight="1" x14ac:dyDescent="0.2">
      <c r="B14" s="18" t="s">
        <v>9</v>
      </c>
      <c r="C14" s="19">
        <v>0.5</v>
      </c>
      <c r="D14" s="22">
        <v>0</v>
      </c>
      <c r="E14" s="21">
        <f t="shared" si="0"/>
        <v>0</v>
      </c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5" customHeight="1" x14ac:dyDescent="0.2">
      <c r="B15" s="18" t="s">
        <v>10</v>
      </c>
      <c r="C15" s="19">
        <v>3.4000000000000002E-2</v>
      </c>
      <c r="D15" s="22">
        <v>0.95</v>
      </c>
      <c r="E15" s="21">
        <f t="shared" si="0"/>
        <v>3.2300000000000002E-2</v>
      </c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4.25" customHeight="1" x14ac:dyDescent="0.2">
      <c r="B16" s="24" t="s">
        <v>11</v>
      </c>
      <c r="C16" s="19">
        <v>0.02</v>
      </c>
      <c r="D16" s="22">
        <v>0.95</v>
      </c>
      <c r="E16" s="21">
        <f t="shared" si="0"/>
        <v>1.9E-2</v>
      </c>
      <c r="F16" s="10"/>
      <c r="G16" s="10"/>
      <c r="H16" s="10"/>
      <c r="I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2:26" ht="14.25" customHeight="1" x14ac:dyDescent="0.2">
      <c r="B17" s="18" t="s">
        <v>12</v>
      </c>
      <c r="C17" s="19">
        <v>0.30399999999999999</v>
      </c>
      <c r="D17" s="22">
        <v>0</v>
      </c>
      <c r="E17" s="21">
        <f t="shared" si="0"/>
        <v>0</v>
      </c>
      <c r="F17" s="10"/>
      <c r="G17" s="10"/>
      <c r="H17" s="10"/>
      <c r="I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2:26" ht="14.25" customHeight="1" x14ac:dyDescent="0.2">
      <c r="B18" s="18" t="s">
        <v>13</v>
      </c>
      <c r="C18" s="19">
        <v>-9.6000000000000002E-2</v>
      </c>
      <c r="D18" s="22">
        <v>0.32</v>
      </c>
      <c r="E18" s="21">
        <f t="shared" si="0"/>
        <v>-3.0720000000000001E-2</v>
      </c>
      <c r="F18" s="23"/>
      <c r="G18" s="23"/>
      <c r="H18" s="23"/>
      <c r="I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2:26" ht="14.25" customHeight="1" x14ac:dyDescent="0.2">
      <c r="B19" s="18" t="s">
        <v>14</v>
      </c>
      <c r="C19" s="19">
        <v>-0.79700000000000004</v>
      </c>
      <c r="D19" s="22">
        <v>5.0000000000000001E-3</v>
      </c>
      <c r="E19" s="21">
        <f t="shared" si="0"/>
        <v>-3.9850000000000007E-3</v>
      </c>
      <c r="F19" s="10"/>
      <c r="G19" s="10"/>
      <c r="H19" s="10"/>
      <c r="I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2:26" ht="14.25" customHeight="1" x14ac:dyDescent="0.2">
      <c r="B20" s="18" t="s">
        <v>15</v>
      </c>
      <c r="C20" s="19">
        <v>-0.29599999999999999</v>
      </c>
      <c r="D20" s="22">
        <v>0.02</v>
      </c>
      <c r="E20" s="21">
        <f t="shared" si="0"/>
        <v>-5.9199999999999999E-3</v>
      </c>
      <c r="F20" s="10"/>
      <c r="G20" s="10"/>
      <c r="H20" s="10"/>
      <c r="I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2:26" ht="14.25" customHeight="1" x14ac:dyDescent="0.2">
      <c r="B21" s="24" t="s">
        <v>16</v>
      </c>
      <c r="C21" s="19">
        <v>-0.29799999999999999</v>
      </c>
      <c r="D21" s="22">
        <v>0.1</v>
      </c>
      <c r="E21" s="21">
        <f t="shared" si="0"/>
        <v>-2.98E-2</v>
      </c>
      <c r="F21" s="10"/>
      <c r="G21" s="10"/>
      <c r="H21" s="10"/>
      <c r="I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2:26" ht="14.25" customHeight="1" x14ac:dyDescent="0.2">
      <c r="B22" s="24" t="s">
        <v>17</v>
      </c>
      <c r="C22" s="19">
        <v>-1.4999999999999999E-2</v>
      </c>
      <c r="D22" s="22">
        <v>0</v>
      </c>
      <c r="E22" s="21">
        <f t="shared" si="0"/>
        <v>0</v>
      </c>
      <c r="F22" s="10"/>
      <c r="G22" s="10"/>
      <c r="H22" s="10"/>
      <c r="I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2:26" ht="15.75" customHeight="1" x14ac:dyDescent="0.2">
      <c r="B23" s="24" t="s">
        <v>18</v>
      </c>
      <c r="C23" s="19">
        <v>-0.01</v>
      </c>
      <c r="D23" s="22">
        <v>0</v>
      </c>
      <c r="E23" s="21">
        <f t="shared" si="0"/>
        <v>0</v>
      </c>
      <c r="F23" s="10"/>
      <c r="G23" s="10"/>
      <c r="H23" s="10"/>
      <c r="I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2:26" ht="14.25" customHeight="1" x14ac:dyDescent="0.2">
      <c r="B24" s="18" t="s">
        <v>19</v>
      </c>
      <c r="C24" s="19">
        <v>0.2</v>
      </c>
      <c r="D24" s="22">
        <v>5.0000000000000001E-3</v>
      </c>
      <c r="E24" s="21">
        <f t="shared" si="0"/>
        <v>1E-3</v>
      </c>
      <c r="F24" s="10"/>
      <c r="G24" s="10"/>
      <c r="H24" s="10"/>
      <c r="I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2:26" ht="14.25" customHeight="1" x14ac:dyDescent="0.2">
      <c r="B25" s="18" t="s">
        <v>20</v>
      </c>
      <c r="C25" s="19">
        <v>-0.29699999999999999</v>
      </c>
      <c r="D25" s="22">
        <v>-6.0000000000000001E-3</v>
      </c>
      <c r="E25" s="21">
        <f t="shared" si="0"/>
        <v>1.7819999999999999E-3</v>
      </c>
      <c r="F25" s="10"/>
      <c r="G25" s="10"/>
      <c r="H25" s="10"/>
      <c r="I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2:26" ht="14.25" customHeight="1" x14ac:dyDescent="0.2">
      <c r="B26" s="18" t="s">
        <v>21</v>
      </c>
      <c r="C26" s="19">
        <v>0.29099999999999998</v>
      </c>
      <c r="D26" s="22">
        <v>5.0000000000000001E-3</v>
      </c>
      <c r="E26" s="21">
        <f t="shared" si="0"/>
        <v>1.4549999999999999E-3</v>
      </c>
      <c r="F26" s="10"/>
      <c r="G26" s="10"/>
      <c r="H26" s="10"/>
      <c r="I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2:26" ht="14.25" customHeight="1" x14ac:dyDescent="0.2">
      <c r="B27" s="18" t="s">
        <v>22</v>
      </c>
      <c r="C27" s="19">
        <v>-4.5999999999999999E-2</v>
      </c>
      <c r="D27" s="22">
        <v>0.9</v>
      </c>
      <c r="E27" s="21">
        <f t="shared" si="0"/>
        <v>-4.1399999999999999E-2</v>
      </c>
      <c r="F27" s="10"/>
      <c r="G27" s="10"/>
      <c r="H27" s="10"/>
      <c r="I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2:26" ht="14.25" customHeight="1" x14ac:dyDescent="0.2">
      <c r="B28" s="24" t="s">
        <v>23</v>
      </c>
      <c r="C28" s="19">
        <v>-9.6000000000000002E-2</v>
      </c>
      <c r="D28" s="22">
        <v>0.02</v>
      </c>
      <c r="E28" s="21">
        <f t="shared" si="0"/>
        <v>-1.92E-3</v>
      </c>
      <c r="F28" s="10"/>
      <c r="G28" s="10"/>
      <c r="H28" s="10"/>
      <c r="I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2:26" ht="14.25" customHeight="1" x14ac:dyDescent="0.2">
      <c r="B29" s="24" t="s">
        <v>24</v>
      </c>
      <c r="C29" s="19">
        <v>0.307</v>
      </c>
      <c r="D29" s="22">
        <v>5.0000000000000001E-3</v>
      </c>
      <c r="E29" s="21">
        <f t="shared" si="0"/>
        <v>1.5349999999999999E-3</v>
      </c>
      <c r="F29" s="10"/>
      <c r="G29" s="10"/>
      <c r="H29" s="10"/>
      <c r="I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2:26" ht="14.25" customHeight="1" x14ac:dyDescent="0.2">
      <c r="B30" s="24" t="s">
        <v>25</v>
      </c>
      <c r="C30" s="19">
        <v>0.63100000000000001</v>
      </c>
      <c r="D30" s="22">
        <v>0</v>
      </c>
      <c r="E30" s="21">
        <f t="shared" si="0"/>
        <v>0</v>
      </c>
      <c r="F30" s="10"/>
      <c r="G30" s="10"/>
      <c r="H30" s="10"/>
      <c r="I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2:26" ht="14.25" customHeight="1" x14ac:dyDescent="0.2">
      <c r="B31" s="18" t="s">
        <v>26</v>
      </c>
      <c r="C31" s="19">
        <v>-0.05</v>
      </c>
      <c r="D31" s="22">
        <v>2E-3</v>
      </c>
      <c r="E31" s="21">
        <f t="shared" si="0"/>
        <v>-1E-4</v>
      </c>
      <c r="F31" s="10"/>
      <c r="G31" s="10"/>
      <c r="H31" s="10"/>
      <c r="I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2:26" ht="14.25" customHeight="1" x14ac:dyDescent="0.2">
      <c r="B32" s="25" t="s">
        <v>27</v>
      </c>
      <c r="C32" s="19">
        <v>-0.03</v>
      </c>
      <c r="D32" s="22">
        <v>6.4000000000000001E-2</v>
      </c>
      <c r="E32" s="21">
        <f t="shared" si="0"/>
        <v>-1.92E-3</v>
      </c>
      <c r="F32" s="10"/>
      <c r="G32" s="10"/>
      <c r="H32" s="10"/>
      <c r="I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4.25" customHeight="1" x14ac:dyDescent="0.2">
      <c r="B33" s="18" t="s">
        <v>28</v>
      </c>
      <c r="C33" s="19">
        <v>1</v>
      </c>
      <c r="D33" s="22">
        <v>6.4045000000000005E-2</v>
      </c>
      <c r="E33" s="21">
        <f t="shared" si="0"/>
        <v>6.4045000000000005E-2</v>
      </c>
      <c r="F33" s="10"/>
      <c r="G33" s="10"/>
      <c r="H33" s="10"/>
      <c r="I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4.25" customHeight="1" x14ac:dyDescent="0.2">
      <c r="B34" s="26" t="s">
        <v>29</v>
      </c>
      <c r="C34" s="27">
        <v>1</v>
      </c>
      <c r="D34" s="28">
        <v>0.01</v>
      </c>
      <c r="E34" s="29">
        <f t="shared" si="0"/>
        <v>0.01</v>
      </c>
      <c r="F34" s="10"/>
      <c r="G34" s="10"/>
      <c r="H34" s="10"/>
      <c r="I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9.5" customHeight="1" x14ac:dyDescent="0.2">
      <c r="B35" s="30" t="s">
        <v>30</v>
      </c>
      <c r="C35" s="10"/>
      <c r="D35" s="10"/>
      <c r="E35" s="10"/>
      <c r="F35" s="10"/>
      <c r="G35" s="10"/>
      <c r="H35" s="10"/>
      <c r="I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9.5" customHeight="1" x14ac:dyDescent="0.2">
      <c r="A36" s="31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9.5" customHeight="1" x14ac:dyDescent="0.2">
      <c r="B37" s="128" t="s">
        <v>31</v>
      </c>
      <c r="C37" s="129"/>
      <c r="D37" s="129"/>
      <c r="E37" s="130"/>
      <c r="F37" s="10"/>
      <c r="G37" s="10"/>
      <c r="H37" s="10"/>
      <c r="I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9.5" customHeight="1" x14ac:dyDescent="0.2">
      <c r="A38" s="31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.75" customHeight="1" x14ac:dyDescent="0.2">
      <c r="B39" s="32" t="s">
        <v>32</v>
      </c>
      <c r="C39" s="10"/>
      <c r="D39" s="10"/>
      <c r="E39" s="33">
        <f>SUM(E12:E34)</f>
        <v>3.1300000000000008E-2</v>
      </c>
      <c r="F39" s="10"/>
      <c r="G39" s="10"/>
      <c r="H39" s="10"/>
      <c r="I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4.25" customHeight="1" x14ac:dyDescent="0.2">
      <c r="B40" s="32" t="s">
        <v>33</v>
      </c>
      <c r="C40" s="10"/>
      <c r="D40" s="10"/>
      <c r="E40" s="34">
        <v>4.2999999999999997E-2</v>
      </c>
      <c r="F40" s="42"/>
      <c r="G40" s="10"/>
      <c r="H40" s="10"/>
      <c r="I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4.25" customHeight="1" x14ac:dyDescent="0.2">
      <c r="B41" s="32" t="s">
        <v>34</v>
      </c>
      <c r="C41" s="10"/>
      <c r="D41" s="10"/>
      <c r="E41" s="35">
        <f>E40-E39</f>
        <v>1.1699999999999988E-2</v>
      </c>
      <c r="F41" s="10"/>
      <c r="G41" s="10"/>
      <c r="H41" s="10"/>
      <c r="I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4.25" customHeight="1" x14ac:dyDescent="0.2">
      <c r="B42" s="31"/>
      <c r="C42" s="10"/>
      <c r="D42" s="10"/>
      <c r="E42" s="10"/>
      <c r="F42" s="10"/>
      <c r="G42" s="10"/>
      <c r="H42" s="10"/>
      <c r="I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6.5" hidden="1" customHeight="1" x14ac:dyDescent="0.2">
      <c r="B43" s="36" t="s">
        <v>35</v>
      </c>
      <c r="C43" s="10"/>
      <c r="D43" s="10"/>
      <c r="E43" s="10"/>
      <c r="F43" s="10"/>
      <c r="G43" s="10"/>
      <c r="H43" s="10"/>
      <c r="I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5" hidden="1" customHeight="1" x14ac:dyDescent="0.2">
      <c r="B44" s="31" t="s">
        <v>36</v>
      </c>
      <c r="C44" s="10"/>
      <c r="D44" s="10"/>
      <c r="E44" s="10"/>
      <c r="F44" s="10"/>
      <c r="G44" s="10"/>
      <c r="H44" s="10"/>
      <c r="I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" hidden="1" customHeight="1" x14ac:dyDescent="0.2">
      <c r="B45" s="31" t="s">
        <v>37</v>
      </c>
      <c r="C45" s="10"/>
      <c r="D45" s="37">
        <f t="shared" ref="D45:D46" si="1">E25</f>
        <v>1.7819999999999999E-3</v>
      </c>
      <c r="E45" s="10"/>
      <c r="F45" s="10"/>
      <c r="G45" s="10"/>
      <c r="H45" s="10"/>
      <c r="I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" hidden="1" customHeight="1" x14ac:dyDescent="0.2">
      <c r="B46" s="31" t="s">
        <v>38</v>
      </c>
      <c r="C46" s="10"/>
      <c r="D46" s="38">
        <f t="shared" si="1"/>
        <v>1.4549999999999999E-3</v>
      </c>
      <c r="E46" s="10"/>
      <c r="F46" s="10"/>
      <c r="G46" s="10"/>
      <c r="H46" s="10"/>
      <c r="I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" hidden="1" customHeight="1" x14ac:dyDescent="0.2">
      <c r="B47" s="31" t="s">
        <v>39</v>
      </c>
      <c r="C47" s="10"/>
      <c r="D47" s="39">
        <f>SUM(D45:D46)</f>
        <v>3.2369999999999999E-3</v>
      </c>
      <c r="E47" s="10"/>
      <c r="F47" s="10"/>
      <c r="G47" s="10"/>
      <c r="H47" s="10"/>
      <c r="I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" hidden="1" customHeight="1" x14ac:dyDescent="0.2">
      <c r="B48" s="32" t="s">
        <v>40</v>
      </c>
      <c r="C48" s="10"/>
      <c r="D48" s="40">
        <f>E40-D47</f>
        <v>3.9763E-2</v>
      </c>
      <c r="E48" s="10"/>
      <c r="F48" s="10"/>
      <c r="G48" s="10"/>
      <c r="H48" s="10"/>
      <c r="I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2:26" ht="14.25" customHeight="1" x14ac:dyDescent="0.2">
      <c r="B49" s="31"/>
      <c r="C49" s="10"/>
      <c r="D49" s="41"/>
      <c r="E49" s="10"/>
      <c r="F49" s="10"/>
      <c r="G49" s="10"/>
      <c r="H49" s="10"/>
      <c r="I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2:26" ht="22.5" customHeight="1" x14ac:dyDescent="0.2">
      <c r="B50" s="128" t="s">
        <v>41</v>
      </c>
      <c r="C50" s="129"/>
      <c r="D50" s="129"/>
      <c r="E50" s="130"/>
      <c r="F50" s="10"/>
      <c r="G50" s="10"/>
      <c r="H50" s="10"/>
      <c r="I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2:26" ht="14.25" customHeight="1" x14ac:dyDescent="0.2">
      <c r="B51" s="31"/>
      <c r="C51" s="10"/>
      <c r="D51" s="10"/>
      <c r="E51" s="10"/>
      <c r="F51" s="10"/>
      <c r="G51" s="10"/>
      <c r="H51" s="10"/>
      <c r="I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2:26" ht="14.25" customHeight="1" x14ac:dyDescent="0.2">
      <c r="B52" s="32" t="s">
        <v>42</v>
      </c>
      <c r="C52" s="10"/>
      <c r="D52" s="42"/>
      <c r="E52" s="10"/>
      <c r="F52" s="10"/>
      <c r="G52" s="10"/>
      <c r="H52" s="10"/>
      <c r="I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2:26" ht="14.25" customHeight="1" x14ac:dyDescent="0.2">
      <c r="B53" s="43" t="s">
        <v>43</v>
      </c>
      <c r="C53" s="10"/>
      <c r="D53" s="44">
        <v>-2E-3</v>
      </c>
      <c r="E53" s="10"/>
      <c r="F53" s="10"/>
      <c r="G53" s="10"/>
      <c r="H53" s="10"/>
      <c r="I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2:26" ht="14.25" customHeight="1" x14ac:dyDescent="0.2">
      <c r="B54" s="43" t="s">
        <v>44</v>
      </c>
      <c r="C54" s="10"/>
      <c r="D54" s="44">
        <f>-1.3%</f>
        <v>-1.3000000000000001E-2</v>
      </c>
      <c r="E54" s="8"/>
      <c r="F54" s="10"/>
      <c r="G54" s="10"/>
      <c r="H54" s="10"/>
      <c r="I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2:26" ht="14.25" customHeight="1" x14ac:dyDescent="0.2">
      <c r="B55" s="43" t="s">
        <v>45</v>
      </c>
      <c r="C55" s="10"/>
      <c r="D55" s="45">
        <f>D53-D54</f>
        <v>1.1000000000000001E-2</v>
      </c>
      <c r="E55" s="142"/>
      <c r="F55" s="10"/>
      <c r="G55" s="10"/>
      <c r="H55" s="10"/>
      <c r="I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2:26" ht="14.25" customHeight="1" x14ac:dyDescent="0.2">
      <c r="B56" s="43" t="s">
        <v>46</v>
      </c>
      <c r="C56" s="10"/>
      <c r="D56" s="46">
        <f>D55*C29</f>
        <v>3.3770000000000002E-3</v>
      </c>
      <c r="E56" s="10"/>
      <c r="F56" s="10"/>
      <c r="G56" s="10"/>
      <c r="H56" s="10"/>
      <c r="I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2:26" ht="14.25" customHeight="1" x14ac:dyDescent="0.2">
      <c r="B57" s="31"/>
      <c r="C57" s="10"/>
      <c r="D57" s="47"/>
      <c r="E57" s="10"/>
      <c r="F57" s="10"/>
      <c r="G57" s="10"/>
      <c r="H57" s="10"/>
      <c r="I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2:26" ht="14.25" customHeight="1" x14ac:dyDescent="0.2">
      <c r="B58" s="32" t="s">
        <v>47</v>
      </c>
      <c r="C58" s="10"/>
      <c r="D58" s="47"/>
      <c r="E58" s="10"/>
      <c r="F58" s="10"/>
      <c r="G58" s="10"/>
      <c r="H58" s="10"/>
      <c r="I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2:26" ht="14.25" customHeight="1" x14ac:dyDescent="0.2">
      <c r="B59" s="43" t="s">
        <v>43</v>
      </c>
      <c r="C59" s="10"/>
      <c r="D59" s="44">
        <v>-2E-3</v>
      </c>
      <c r="E59" s="10"/>
      <c r="F59" s="10"/>
      <c r="G59" s="10"/>
      <c r="H59" s="10"/>
      <c r="I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2:26" ht="14.25" customHeight="1" x14ac:dyDescent="0.2">
      <c r="B60" s="43" t="s">
        <v>44</v>
      </c>
      <c r="C60" s="10"/>
      <c r="D60" s="44">
        <v>-4.0000000000000001E-3</v>
      </c>
      <c r="E60" s="142"/>
      <c r="F60" s="10"/>
      <c r="G60" s="10"/>
      <c r="H60" s="10"/>
      <c r="I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2:26" ht="14.25" customHeight="1" x14ac:dyDescent="0.2">
      <c r="B61" s="43" t="s">
        <v>45</v>
      </c>
      <c r="C61" s="10"/>
      <c r="D61" s="45">
        <f>D59-D60</f>
        <v>2E-3</v>
      </c>
      <c r="E61" s="142"/>
      <c r="F61" s="10"/>
      <c r="G61" s="10"/>
      <c r="H61" s="10"/>
      <c r="I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2:26" ht="14.25" customHeight="1" x14ac:dyDescent="0.2">
      <c r="B62" s="43" t="s">
        <v>46</v>
      </c>
      <c r="C62" s="10"/>
      <c r="D62" s="46">
        <f>D61*C21</f>
        <v>-5.9599999999999996E-4</v>
      </c>
      <c r="E62" s="10"/>
      <c r="F62" s="10"/>
      <c r="G62" s="10"/>
      <c r="H62" s="10"/>
      <c r="I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2:26" ht="14.25" customHeight="1" x14ac:dyDescent="0.2">
      <c r="B63" s="31"/>
      <c r="C63" s="10"/>
      <c r="D63" s="47"/>
      <c r="E63" s="10"/>
      <c r="F63" s="10"/>
      <c r="G63" s="10"/>
      <c r="H63" s="10"/>
      <c r="I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2:26" ht="14.25" customHeight="1" x14ac:dyDescent="0.2">
      <c r="B64" s="32" t="s">
        <v>48</v>
      </c>
      <c r="C64" s="10"/>
      <c r="D64" s="47"/>
      <c r="E64" s="10"/>
      <c r="F64" s="10"/>
      <c r="G64" s="10"/>
      <c r="H64" s="10"/>
      <c r="I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2:26" ht="14.25" customHeight="1" x14ac:dyDescent="0.2">
      <c r="B65" s="43" t="s">
        <v>43</v>
      </c>
      <c r="C65" s="10"/>
      <c r="D65" s="44">
        <v>1E-3</v>
      </c>
      <c r="E65" s="48"/>
      <c r="F65" s="10"/>
      <c r="G65" s="10"/>
      <c r="H65" s="10"/>
      <c r="I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2:26" ht="14.25" customHeight="1" x14ac:dyDescent="0.2">
      <c r="B66" s="43" t="s">
        <v>44</v>
      </c>
      <c r="C66" s="10"/>
      <c r="D66" s="44">
        <v>-1E-3</v>
      </c>
      <c r="E66" s="10"/>
      <c r="F66" s="10"/>
      <c r="G66" s="10"/>
      <c r="H66" s="10"/>
      <c r="I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2:26" ht="14.25" customHeight="1" x14ac:dyDescent="0.2">
      <c r="B67" s="43" t="s">
        <v>45</v>
      </c>
      <c r="C67" s="10"/>
      <c r="D67" s="45">
        <f>D65-D66</f>
        <v>2E-3</v>
      </c>
      <c r="E67" s="142"/>
      <c r="F67" s="10"/>
      <c r="G67" s="10"/>
      <c r="H67" s="10"/>
      <c r="I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2:26" ht="14.25" customHeight="1" x14ac:dyDescent="0.2">
      <c r="B68" s="43" t="s">
        <v>46</v>
      </c>
      <c r="C68" s="10"/>
      <c r="D68" s="46">
        <f>D67*C30</f>
        <v>1.2620000000000001E-3</v>
      </c>
      <c r="E68" s="10"/>
      <c r="F68" s="10"/>
      <c r="G68" s="10"/>
      <c r="H68" s="10"/>
      <c r="I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2:26" ht="14.25" customHeight="1" x14ac:dyDescent="0.2">
      <c r="B69" s="31"/>
      <c r="C69" s="10"/>
      <c r="D69" s="47"/>
      <c r="E69" s="10"/>
      <c r="F69" s="10"/>
      <c r="G69" s="10"/>
      <c r="H69" s="10"/>
      <c r="I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2:26" ht="14.25" customHeight="1" x14ac:dyDescent="0.2">
      <c r="B70" s="32" t="s">
        <v>49</v>
      </c>
      <c r="C70" s="10"/>
      <c r="D70" s="47"/>
      <c r="E70" s="10"/>
      <c r="F70" s="10"/>
      <c r="G70" s="10"/>
      <c r="H70" s="10"/>
      <c r="I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2:26" ht="14.25" customHeight="1" x14ac:dyDescent="0.2">
      <c r="B71" s="43" t="s">
        <v>43</v>
      </c>
      <c r="C71" s="10"/>
      <c r="D71" s="44">
        <v>4.0000000000000001E-3</v>
      </c>
      <c r="E71" s="10"/>
      <c r="F71" s="10"/>
      <c r="G71" s="10"/>
      <c r="H71" s="10"/>
      <c r="I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2:26" ht="14.25" customHeight="1" x14ac:dyDescent="0.2">
      <c r="B72" s="43" t="s">
        <v>44</v>
      </c>
      <c r="C72" s="10"/>
      <c r="D72" s="44">
        <v>4.0000000000000001E-3</v>
      </c>
      <c r="E72" s="10"/>
      <c r="F72" s="10"/>
      <c r="G72" s="10"/>
      <c r="H72" s="10"/>
      <c r="I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2:26" ht="14.25" customHeight="1" x14ac:dyDescent="0.2">
      <c r="B73" s="43" t="s">
        <v>45</v>
      </c>
      <c r="C73" s="10"/>
      <c r="D73" s="45">
        <f>D71-D72</f>
        <v>0</v>
      </c>
      <c r="E73" s="142"/>
      <c r="F73" s="10"/>
      <c r="G73" s="10"/>
      <c r="H73" s="10"/>
      <c r="I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2:26" ht="14.25" customHeight="1" x14ac:dyDescent="0.2">
      <c r="B74" s="43" t="s">
        <v>46</v>
      </c>
      <c r="C74" s="10"/>
      <c r="D74" s="46">
        <f>D73*C28</f>
        <v>0</v>
      </c>
      <c r="E74" s="10"/>
      <c r="F74" s="10"/>
      <c r="G74" s="10"/>
      <c r="H74" s="10"/>
      <c r="I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2:26" ht="14.25" customHeight="1" x14ac:dyDescent="0.2">
      <c r="B75" s="31"/>
      <c r="C75" s="10"/>
      <c r="D75" s="47"/>
      <c r="E75" s="10"/>
      <c r="F75" s="10"/>
      <c r="G75" s="10"/>
      <c r="H75" s="10"/>
      <c r="I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2:26" ht="14.25" customHeight="1" x14ac:dyDescent="0.2">
      <c r="B76" s="49" t="s">
        <v>50</v>
      </c>
      <c r="C76" s="10"/>
      <c r="D76" s="47"/>
      <c r="E76" s="10"/>
      <c r="F76" s="10"/>
      <c r="G76" s="10"/>
      <c r="H76" s="10"/>
      <c r="I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2:26" ht="14.25" customHeight="1" x14ac:dyDescent="0.2">
      <c r="B77" s="43" t="s">
        <v>46</v>
      </c>
      <c r="C77" s="10"/>
      <c r="D77" s="50">
        <v>5.0000000000000001E-3</v>
      </c>
      <c r="E77" s="48"/>
      <c r="F77" s="10"/>
      <c r="G77" s="10"/>
      <c r="H77" s="10"/>
      <c r="I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2:26" ht="14.25" customHeight="1" x14ac:dyDescent="0.2">
      <c r="B78" s="10"/>
      <c r="C78" s="10"/>
      <c r="D78" s="47"/>
      <c r="E78" s="48"/>
      <c r="F78" s="10"/>
      <c r="G78" s="10"/>
      <c r="H78" s="10"/>
      <c r="I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2:26" ht="14.25" customHeight="1" x14ac:dyDescent="0.2">
      <c r="B79" s="32"/>
      <c r="C79" s="10"/>
      <c r="D79" s="47"/>
      <c r="E79" s="10"/>
      <c r="F79" s="10"/>
      <c r="G79" s="10"/>
      <c r="H79" s="10"/>
      <c r="I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2:26" ht="14.25" customHeight="1" x14ac:dyDescent="0.2">
      <c r="B80" s="32" t="s">
        <v>51</v>
      </c>
      <c r="C80" s="10"/>
      <c r="D80" s="51">
        <f>D77+D74+D68+D62+D56</f>
        <v>9.0430000000000007E-3</v>
      </c>
      <c r="E80" s="8"/>
      <c r="F80" s="10"/>
      <c r="G80" s="10"/>
      <c r="H80" s="10"/>
      <c r="I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2:26" ht="30" customHeight="1" x14ac:dyDescent="0.2">
      <c r="B81" s="31"/>
      <c r="C81" s="10"/>
      <c r="D81" s="52"/>
      <c r="E81" s="10"/>
      <c r="F81" s="10"/>
      <c r="G81" s="10"/>
      <c r="H81" s="10"/>
      <c r="I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2:26" ht="20.25" customHeight="1" x14ac:dyDescent="0.2">
      <c r="B82" s="128" t="s">
        <v>52</v>
      </c>
      <c r="C82" s="129"/>
      <c r="D82" s="129"/>
      <c r="E82" s="130"/>
      <c r="F82" s="10"/>
      <c r="G82" s="10"/>
      <c r="H82" s="10"/>
      <c r="I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2:26" ht="14.25" customHeight="1" x14ac:dyDescent="0.2">
      <c r="B83" s="32"/>
      <c r="C83" s="53"/>
      <c r="D83" s="53"/>
      <c r="E83" s="10"/>
      <c r="F83" s="10"/>
      <c r="G83" s="10"/>
      <c r="H83" s="10"/>
      <c r="I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2:26" ht="14.25" customHeight="1" x14ac:dyDescent="0.2">
      <c r="B84" s="31"/>
      <c r="C84" s="10"/>
      <c r="D84" s="10"/>
      <c r="E84" s="10"/>
      <c r="F84" s="10"/>
      <c r="G84" s="10"/>
      <c r="H84" s="10"/>
      <c r="I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2:26" ht="14.25" customHeight="1" x14ac:dyDescent="0.2">
      <c r="B85" s="31" t="s">
        <v>33</v>
      </c>
      <c r="C85" s="10"/>
      <c r="D85" s="44">
        <f>E40</f>
        <v>4.2999999999999997E-2</v>
      </c>
      <c r="E85" s="48"/>
      <c r="F85" s="10"/>
      <c r="G85" s="10"/>
      <c r="H85" s="10"/>
      <c r="I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2:26" ht="14.25" customHeight="1" x14ac:dyDescent="0.2">
      <c r="B86" s="31" t="s">
        <v>53</v>
      </c>
      <c r="C86" s="10"/>
      <c r="D86" s="44">
        <f>D80</f>
        <v>9.0430000000000007E-3</v>
      </c>
      <c r="E86" s="48"/>
      <c r="F86" s="10"/>
      <c r="G86" s="10"/>
      <c r="H86" s="10"/>
      <c r="I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2:26" ht="14.25" customHeight="1" x14ac:dyDescent="0.2">
      <c r="B87" s="31" t="s">
        <v>34</v>
      </c>
      <c r="C87" s="10"/>
      <c r="D87" s="44">
        <f>E41</f>
        <v>1.1699999999999988E-2</v>
      </c>
      <c r="E87" s="48"/>
      <c r="F87" s="10"/>
      <c r="G87" s="10"/>
      <c r="H87" s="10"/>
      <c r="I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2:26" ht="14.25" customHeight="1" x14ac:dyDescent="0.2">
      <c r="B88" s="32"/>
      <c r="C88" s="10"/>
      <c r="D88" s="48"/>
      <c r="E88" s="10"/>
      <c r="F88" s="10"/>
      <c r="G88" s="10"/>
      <c r="H88" s="10"/>
      <c r="I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2:26" ht="14.25" customHeight="1" x14ac:dyDescent="0.2">
      <c r="B89" s="32" t="s">
        <v>54</v>
      </c>
      <c r="C89" s="10"/>
      <c r="D89" s="54">
        <f>D85-D86-D87</f>
        <v>2.2257000000000006E-2</v>
      </c>
      <c r="E89" s="8"/>
      <c r="F89" s="10"/>
      <c r="G89" s="10"/>
      <c r="H89" s="10"/>
      <c r="I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2:26" ht="30" customHeight="1" x14ac:dyDescent="0.2">
      <c r="B90" s="31"/>
      <c r="C90" s="10"/>
      <c r="D90" s="10"/>
      <c r="E90" s="10"/>
      <c r="F90" s="10"/>
      <c r="G90" s="10"/>
      <c r="H90" s="10"/>
      <c r="I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2:26" ht="25.5" customHeight="1" x14ac:dyDescent="0.2">
      <c r="B91" s="128" t="s">
        <v>55</v>
      </c>
      <c r="C91" s="129"/>
      <c r="D91" s="129"/>
      <c r="E91" s="130"/>
      <c r="F91" s="10"/>
      <c r="G91" s="10"/>
      <c r="H91" s="10"/>
      <c r="I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2:26" ht="14.25" customHeight="1" x14ac:dyDescent="0.2">
      <c r="B92" s="31"/>
      <c r="C92" s="53"/>
      <c r="D92" s="53"/>
      <c r="E92" s="10"/>
      <c r="F92" s="10"/>
      <c r="G92" s="10"/>
      <c r="H92" s="10"/>
      <c r="I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2:26" ht="14.25" customHeight="1" x14ac:dyDescent="0.2">
      <c r="B93" s="31" t="s">
        <v>56</v>
      </c>
      <c r="C93" s="55">
        <v>0.37</v>
      </c>
      <c r="D93" s="10"/>
      <c r="E93" s="10"/>
      <c r="F93" s="10"/>
      <c r="G93" s="10"/>
      <c r="H93" s="10"/>
      <c r="I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2:26" ht="14.25" customHeight="1" x14ac:dyDescent="0.2">
      <c r="B94" s="31" t="s">
        <v>57</v>
      </c>
      <c r="C94" s="56">
        <f>1/C93</f>
        <v>2.7027027027027026</v>
      </c>
      <c r="D94" s="10"/>
      <c r="E94" s="10"/>
      <c r="F94" s="10"/>
      <c r="G94" s="10"/>
      <c r="H94" s="10"/>
      <c r="I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2:26" ht="14.25" customHeight="1" x14ac:dyDescent="0.2">
      <c r="B95" s="31"/>
      <c r="C95" s="10"/>
      <c r="D95" s="10"/>
      <c r="E95" s="10"/>
      <c r="F95" s="10"/>
      <c r="G95" s="10"/>
      <c r="H95" s="10"/>
      <c r="I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2:26" ht="14.25" customHeight="1" x14ac:dyDescent="0.2">
      <c r="B96" s="31" t="s">
        <v>58</v>
      </c>
      <c r="C96" s="57">
        <f>D80+E41</f>
        <v>2.0742999999999991E-2</v>
      </c>
      <c r="D96" s="42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4.25" customHeight="1" x14ac:dyDescent="0.2">
      <c r="B97" s="31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4.25" customHeight="1" x14ac:dyDescent="0.2">
      <c r="B98" s="32" t="s">
        <v>59</v>
      </c>
      <c r="C98" s="58"/>
      <c r="D98" s="59">
        <f>-C94*C96</f>
        <v>-5.6062162162162137E-2</v>
      </c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4.25" customHeight="1" x14ac:dyDescent="0.2">
      <c r="A99" s="31"/>
      <c r="B99" s="58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96" customHeight="1" x14ac:dyDescent="0.2">
      <c r="A100" s="7"/>
      <c r="B100" s="8"/>
      <c r="C100" s="8"/>
      <c r="D100" s="8"/>
      <c r="E100" s="60"/>
      <c r="F100" s="8"/>
      <c r="G100" s="7"/>
      <c r="H100" s="60"/>
      <c r="I100" s="60"/>
      <c r="J100" s="60"/>
      <c r="K100" s="61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4.25" customHeight="1" x14ac:dyDescent="0.2">
      <c r="A101" s="7"/>
      <c r="B101" s="62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4.25" customHeight="1" x14ac:dyDescent="0.2">
      <c r="A102" s="7"/>
      <c r="B102" s="63"/>
      <c r="C102" s="64"/>
      <c r="D102" s="65"/>
      <c r="E102" s="66"/>
      <c r="F102" s="66"/>
      <c r="G102" s="66"/>
      <c r="H102" s="66"/>
      <c r="I102" s="66"/>
      <c r="J102" s="66"/>
      <c r="K102" s="66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4.25" customHeight="1" x14ac:dyDescent="0.2">
      <c r="A103" s="7"/>
      <c r="B103" s="63"/>
      <c r="C103" s="67"/>
      <c r="D103" s="65"/>
      <c r="E103" s="66"/>
      <c r="F103" s="66"/>
      <c r="G103" s="66"/>
      <c r="H103" s="66"/>
      <c r="I103" s="66"/>
      <c r="J103" s="66"/>
      <c r="K103" s="66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4.25" customHeight="1" x14ac:dyDescent="0.2">
      <c r="A104" s="7"/>
      <c r="B104" s="63"/>
      <c r="C104" s="67"/>
      <c r="D104" s="65"/>
      <c r="E104" s="66"/>
      <c r="F104" s="66"/>
      <c r="G104" s="66"/>
      <c r="H104" s="66"/>
      <c r="I104" s="66"/>
      <c r="J104" s="66"/>
      <c r="K104" s="66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4.25" customHeight="1" x14ac:dyDescent="0.2">
      <c r="A105" s="7"/>
      <c r="B105" s="63"/>
      <c r="C105" s="67"/>
      <c r="D105" s="65"/>
      <c r="E105" s="66"/>
      <c r="F105" s="66"/>
      <c r="G105" s="66"/>
      <c r="H105" s="66"/>
      <c r="I105" s="66"/>
      <c r="J105" s="66"/>
      <c r="K105" s="66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4.25" customHeight="1" x14ac:dyDescent="0.2">
      <c r="A106" s="31"/>
      <c r="B106" s="68"/>
      <c r="C106" s="41"/>
      <c r="D106" s="69"/>
      <c r="E106" s="70"/>
      <c r="F106" s="70"/>
      <c r="G106" s="70"/>
      <c r="H106" s="70"/>
      <c r="I106" s="70"/>
      <c r="J106" s="70"/>
      <c r="K106" s="7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4.25" customHeight="1" x14ac:dyDescent="0.2">
      <c r="A107" s="31"/>
      <c r="B107" s="68"/>
      <c r="C107" s="41"/>
      <c r="D107" s="69"/>
      <c r="E107" s="70"/>
      <c r="F107" s="70"/>
      <c r="G107" s="70"/>
      <c r="H107" s="70"/>
      <c r="I107" s="70"/>
      <c r="J107" s="70"/>
      <c r="K107" s="7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4.25" customHeight="1" x14ac:dyDescent="0.2">
      <c r="A108" s="31"/>
      <c r="B108" s="68"/>
      <c r="C108" s="41"/>
      <c r="D108" s="69"/>
      <c r="E108" s="70"/>
      <c r="F108" s="70"/>
      <c r="G108" s="70"/>
      <c r="H108" s="70"/>
      <c r="I108" s="70"/>
      <c r="J108" s="70"/>
      <c r="K108" s="7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4.25" customHeight="1" x14ac:dyDescent="0.2">
      <c r="A109" s="31"/>
      <c r="B109" s="68"/>
      <c r="C109" s="41"/>
      <c r="D109" s="69"/>
      <c r="E109" s="70"/>
      <c r="F109" s="70"/>
      <c r="G109" s="70"/>
      <c r="H109" s="70"/>
      <c r="I109" s="70"/>
      <c r="J109" s="70"/>
      <c r="K109" s="7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4.25" customHeight="1" x14ac:dyDescent="0.2">
      <c r="A110" s="31"/>
      <c r="B110" s="68"/>
      <c r="C110" s="41"/>
      <c r="D110" s="69"/>
      <c r="E110" s="70"/>
      <c r="F110" s="70"/>
      <c r="G110" s="70"/>
      <c r="H110" s="70"/>
      <c r="I110" s="70"/>
      <c r="J110" s="70"/>
      <c r="K110" s="7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4.25" customHeight="1" x14ac:dyDescent="0.2">
      <c r="A111" s="31"/>
      <c r="B111" s="68"/>
      <c r="C111" s="41"/>
      <c r="D111" s="69"/>
      <c r="E111" s="70"/>
      <c r="F111" s="70"/>
      <c r="G111" s="70"/>
      <c r="H111" s="70"/>
      <c r="I111" s="70"/>
      <c r="J111" s="70"/>
      <c r="K111" s="7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4.25" customHeight="1" x14ac:dyDescent="0.2">
      <c r="A112" s="31"/>
      <c r="B112" s="68"/>
      <c r="C112" s="41"/>
      <c r="D112" s="69"/>
      <c r="E112" s="70"/>
      <c r="F112" s="70"/>
      <c r="G112" s="70"/>
      <c r="H112" s="70"/>
      <c r="I112" s="70"/>
      <c r="J112" s="70"/>
      <c r="K112" s="7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4.25" customHeight="1" x14ac:dyDescent="0.2">
      <c r="A113" s="31"/>
      <c r="B113" s="68"/>
      <c r="C113" s="41"/>
      <c r="D113" s="69"/>
      <c r="E113" s="70"/>
      <c r="F113" s="70"/>
      <c r="G113" s="70"/>
      <c r="H113" s="70"/>
      <c r="I113" s="70"/>
      <c r="J113" s="70"/>
      <c r="K113" s="7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4.25" customHeight="1" x14ac:dyDescent="0.2">
      <c r="A114" s="31"/>
      <c r="B114" s="68"/>
      <c r="C114" s="41"/>
      <c r="D114" s="69"/>
      <c r="E114" s="70"/>
      <c r="F114" s="70"/>
      <c r="G114" s="70"/>
      <c r="H114" s="70"/>
      <c r="I114" s="70"/>
      <c r="J114" s="70"/>
      <c r="K114" s="7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4.25" customHeight="1" x14ac:dyDescent="0.2">
      <c r="A115" s="31"/>
      <c r="B115" s="68"/>
      <c r="C115" s="41"/>
      <c r="D115" s="69"/>
      <c r="E115" s="70"/>
      <c r="F115" s="70"/>
      <c r="G115" s="70"/>
      <c r="H115" s="70"/>
      <c r="I115" s="70"/>
      <c r="J115" s="70"/>
      <c r="K115" s="7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4.25" customHeight="1" x14ac:dyDescent="0.2">
      <c r="A116" s="31"/>
      <c r="B116" s="68"/>
      <c r="C116" s="41"/>
      <c r="D116" s="69"/>
      <c r="E116" s="70"/>
      <c r="F116" s="70"/>
      <c r="G116" s="70"/>
      <c r="H116" s="70"/>
      <c r="I116" s="70"/>
      <c r="J116" s="70"/>
      <c r="K116" s="7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4.25" customHeight="1" x14ac:dyDescent="0.2">
      <c r="A117" s="31"/>
      <c r="B117" s="68"/>
      <c r="C117" s="41"/>
      <c r="D117" s="69"/>
      <c r="E117" s="70"/>
      <c r="F117" s="70"/>
      <c r="G117" s="70"/>
      <c r="H117" s="70"/>
      <c r="I117" s="70"/>
      <c r="J117" s="70"/>
      <c r="K117" s="7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4.25" customHeight="1" x14ac:dyDescent="0.2">
      <c r="A118" s="31"/>
      <c r="B118" s="68"/>
      <c r="C118" s="41"/>
      <c r="D118" s="69"/>
      <c r="E118" s="70"/>
      <c r="F118" s="70"/>
      <c r="G118" s="70"/>
      <c r="H118" s="70"/>
      <c r="I118" s="70"/>
      <c r="J118" s="70"/>
      <c r="K118" s="7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4.25" customHeight="1" x14ac:dyDescent="0.2">
      <c r="A119" s="31"/>
      <c r="B119" s="68"/>
      <c r="C119" s="41"/>
      <c r="D119" s="69"/>
      <c r="E119" s="70"/>
      <c r="F119" s="70"/>
      <c r="G119" s="70"/>
      <c r="H119" s="70"/>
      <c r="I119" s="70"/>
      <c r="J119" s="70"/>
      <c r="K119" s="7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4.25" customHeight="1" x14ac:dyDescent="0.2">
      <c r="A120" s="31"/>
      <c r="B120" s="68"/>
      <c r="C120" s="41"/>
      <c r="D120" s="69"/>
      <c r="E120" s="70"/>
      <c r="F120" s="70"/>
      <c r="G120" s="70"/>
      <c r="H120" s="70"/>
      <c r="I120" s="70"/>
      <c r="J120" s="70"/>
      <c r="K120" s="7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4.25" customHeight="1" x14ac:dyDescent="0.2">
      <c r="A121" s="31"/>
      <c r="B121" s="68"/>
      <c r="C121" s="41"/>
      <c r="D121" s="69"/>
      <c r="E121" s="70"/>
      <c r="F121" s="70"/>
      <c r="G121" s="70"/>
      <c r="H121" s="70"/>
      <c r="I121" s="70"/>
      <c r="J121" s="70"/>
      <c r="K121" s="7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4.25" customHeight="1" x14ac:dyDescent="0.2">
      <c r="A122" s="31"/>
      <c r="B122" s="68"/>
      <c r="C122" s="41"/>
      <c r="D122" s="69"/>
      <c r="E122" s="70"/>
      <c r="F122" s="70"/>
      <c r="G122" s="70"/>
      <c r="H122" s="70"/>
      <c r="I122" s="70"/>
      <c r="J122" s="70"/>
      <c r="K122" s="7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4.25" customHeight="1" x14ac:dyDescent="0.2">
      <c r="A123" s="31"/>
      <c r="B123" s="68"/>
      <c r="C123" s="41"/>
      <c r="D123" s="69"/>
      <c r="E123" s="70"/>
      <c r="F123" s="70"/>
      <c r="G123" s="70"/>
      <c r="H123" s="70"/>
      <c r="I123" s="70"/>
      <c r="J123" s="70"/>
      <c r="K123" s="7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4.25" customHeight="1" x14ac:dyDescent="0.2">
      <c r="A124" s="31"/>
      <c r="B124" s="68"/>
      <c r="C124" s="41"/>
      <c r="D124" s="69"/>
      <c r="E124" s="70"/>
      <c r="F124" s="70"/>
      <c r="G124" s="70"/>
      <c r="H124" s="70"/>
      <c r="I124" s="70"/>
      <c r="J124" s="70"/>
      <c r="K124" s="7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4.25" customHeight="1" x14ac:dyDescent="0.2">
      <c r="A125" s="31"/>
      <c r="B125" s="68"/>
      <c r="C125" s="41"/>
      <c r="D125" s="69"/>
      <c r="E125" s="70"/>
      <c r="F125" s="70"/>
      <c r="G125" s="70"/>
      <c r="H125" s="70"/>
      <c r="I125" s="70"/>
      <c r="J125" s="70"/>
      <c r="K125" s="7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4.25" customHeight="1" x14ac:dyDescent="0.2">
      <c r="A126" s="31"/>
      <c r="B126" s="68"/>
      <c r="C126" s="41"/>
      <c r="D126" s="69"/>
      <c r="E126" s="70"/>
      <c r="F126" s="70"/>
      <c r="G126" s="70"/>
      <c r="H126" s="70"/>
      <c r="I126" s="70"/>
      <c r="J126" s="70"/>
      <c r="K126" s="7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4.25" customHeight="1" x14ac:dyDescent="0.2">
      <c r="A127" s="31"/>
      <c r="B127" s="68"/>
      <c r="C127" s="41"/>
      <c r="D127" s="69"/>
      <c r="E127" s="70"/>
      <c r="F127" s="70"/>
      <c r="G127" s="70"/>
      <c r="H127" s="70"/>
      <c r="I127" s="70"/>
      <c r="J127" s="70"/>
      <c r="K127" s="7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4.25" customHeight="1" x14ac:dyDescent="0.2">
      <c r="A128" s="31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4.25" customHeight="1" x14ac:dyDescent="0.2">
      <c r="A129" s="31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4.25" customHeight="1" x14ac:dyDescent="0.2">
      <c r="A130" s="31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4.25" customHeight="1" x14ac:dyDescent="0.2">
      <c r="A131" s="31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4.25" customHeight="1" x14ac:dyDescent="0.2">
      <c r="A132" s="31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4.25" customHeight="1" x14ac:dyDescent="0.2">
      <c r="A133" s="31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4.25" customHeight="1" x14ac:dyDescent="0.2">
      <c r="A134" s="31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4.25" customHeight="1" x14ac:dyDescent="0.2">
      <c r="A135" s="31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4.25" customHeight="1" x14ac:dyDescent="0.2">
      <c r="A136" s="31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4.25" customHeight="1" x14ac:dyDescent="0.2">
      <c r="A137" s="31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4.25" customHeight="1" x14ac:dyDescent="0.2">
      <c r="A138" s="31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4.25" customHeight="1" x14ac:dyDescent="0.2">
      <c r="A139" s="31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4.25" customHeight="1" x14ac:dyDescent="0.2">
      <c r="A140" s="31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4.25" customHeight="1" x14ac:dyDescent="0.2">
      <c r="A141" s="31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4.25" customHeight="1" x14ac:dyDescent="0.2">
      <c r="A142" s="31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4.25" customHeight="1" x14ac:dyDescent="0.2">
      <c r="A143" s="31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4.25" customHeight="1" x14ac:dyDescent="0.2">
      <c r="A144" s="31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4.25" customHeight="1" x14ac:dyDescent="0.2">
      <c r="A145" s="31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4.25" customHeight="1" x14ac:dyDescent="0.2">
      <c r="A146" s="31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4.25" customHeight="1" x14ac:dyDescent="0.2">
      <c r="A147" s="31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4.25" customHeight="1" x14ac:dyDescent="0.2">
      <c r="A148" s="31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4.25" customHeight="1" x14ac:dyDescent="0.2">
      <c r="A149" s="31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4.25" customHeight="1" x14ac:dyDescent="0.2">
      <c r="A150" s="31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4.25" customHeight="1" x14ac:dyDescent="0.2">
      <c r="A151" s="31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4.25" customHeight="1" x14ac:dyDescent="0.2">
      <c r="A152" s="31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4.25" customHeight="1" x14ac:dyDescent="0.2">
      <c r="A153" s="31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4.25" customHeight="1" x14ac:dyDescent="0.2">
      <c r="A154" s="31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4.25" customHeight="1" x14ac:dyDescent="0.2">
      <c r="A155" s="31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4.25" customHeight="1" x14ac:dyDescent="0.2">
      <c r="A156" s="31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4.25" customHeight="1" x14ac:dyDescent="0.2">
      <c r="A157" s="31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4.25" customHeight="1" x14ac:dyDescent="0.2">
      <c r="A158" s="31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4.25" customHeight="1" x14ac:dyDescent="0.2">
      <c r="A159" s="31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4.25" customHeight="1" x14ac:dyDescent="0.2">
      <c r="A160" s="31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4.25" customHeight="1" x14ac:dyDescent="0.2">
      <c r="A161" s="31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4.25" customHeight="1" x14ac:dyDescent="0.2">
      <c r="A162" s="31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4.25" customHeight="1" x14ac:dyDescent="0.2">
      <c r="A163" s="31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4.25" customHeight="1" x14ac:dyDescent="0.2">
      <c r="A164" s="31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4.25" customHeight="1" x14ac:dyDescent="0.2">
      <c r="A165" s="31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4.25" customHeight="1" x14ac:dyDescent="0.2">
      <c r="A166" s="31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4.25" customHeight="1" x14ac:dyDescent="0.2">
      <c r="A167" s="31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4.25" customHeight="1" x14ac:dyDescent="0.2">
      <c r="A168" s="31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4.25" customHeight="1" x14ac:dyDescent="0.2">
      <c r="A169" s="31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4.25" customHeight="1" x14ac:dyDescent="0.2">
      <c r="A170" s="31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4.25" customHeight="1" x14ac:dyDescent="0.2">
      <c r="A171" s="31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4.25" customHeight="1" x14ac:dyDescent="0.2">
      <c r="A172" s="31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4.25" customHeight="1" x14ac:dyDescent="0.2">
      <c r="A173" s="31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4.25" customHeight="1" x14ac:dyDescent="0.2">
      <c r="A174" s="31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4.25" customHeight="1" x14ac:dyDescent="0.2">
      <c r="A175" s="31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4.25" customHeight="1" x14ac:dyDescent="0.2">
      <c r="A176" s="31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4.25" customHeight="1" x14ac:dyDescent="0.2">
      <c r="A177" s="31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4.25" customHeight="1" x14ac:dyDescent="0.2">
      <c r="A178" s="31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4.25" customHeight="1" x14ac:dyDescent="0.2">
      <c r="A179" s="31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4.25" customHeight="1" x14ac:dyDescent="0.2">
      <c r="A180" s="31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4.25" customHeight="1" x14ac:dyDescent="0.2">
      <c r="A181" s="31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4.25" customHeight="1" x14ac:dyDescent="0.2">
      <c r="A182" s="31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4.25" customHeight="1" x14ac:dyDescent="0.2">
      <c r="A183" s="31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4.25" customHeight="1" x14ac:dyDescent="0.2">
      <c r="A184" s="31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4.25" customHeight="1" x14ac:dyDescent="0.2">
      <c r="A185" s="31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4.25" customHeight="1" x14ac:dyDescent="0.2">
      <c r="A186" s="31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4.25" customHeight="1" x14ac:dyDescent="0.2">
      <c r="A187" s="31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4.25" customHeight="1" x14ac:dyDescent="0.2">
      <c r="A188" s="31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4.25" customHeight="1" x14ac:dyDescent="0.2">
      <c r="A189" s="31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4.25" customHeight="1" x14ac:dyDescent="0.2">
      <c r="A190" s="31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4.25" customHeight="1" x14ac:dyDescent="0.2">
      <c r="A191" s="31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4.25" customHeight="1" x14ac:dyDescent="0.2">
      <c r="A192" s="31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4.25" customHeight="1" x14ac:dyDescent="0.2">
      <c r="A193" s="31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4.25" customHeight="1" x14ac:dyDescent="0.2">
      <c r="A194" s="31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4.25" customHeight="1" x14ac:dyDescent="0.2">
      <c r="A195" s="31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4.25" customHeight="1" x14ac:dyDescent="0.2">
      <c r="A196" s="31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4.25" customHeight="1" x14ac:dyDescent="0.2">
      <c r="A197" s="31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4.25" customHeight="1" x14ac:dyDescent="0.2">
      <c r="A198" s="31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4.25" customHeight="1" x14ac:dyDescent="0.2">
      <c r="A199" s="31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4.25" customHeight="1" x14ac:dyDescent="0.2">
      <c r="A200" s="31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4.25" customHeight="1" x14ac:dyDescent="0.2">
      <c r="A201" s="31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4.25" customHeight="1" x14ac:dyDescent="0.2">
      <c r="A202" s="31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4.25" customHeight="1" x14ac:dyDescent="0.2">
      <c r="A203" s="31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4.25" customHeight="1" x14ac:dyDescent="0.2">
      <c r="A204" s="31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4.25" customHeight="1" x14ac:dyDescent="0.2">
      <c r="A205" s="31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4.25" customHeight="1" x14ac:dyDescent="0.2">
      <c r="A206" s="31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4.25" customHeight="1" x14ac:dyDescent="0.2">
      <c r="A207" s="31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4.25" customHeight="1" x14ac:dyDescent="0.2">
      <c r="A208" s="31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4.25" customHeight="1" x14ac:dyDescent="0.2">
      <c r="A209" s="31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4.25" customHeight="1" x14ac:dyDescent="0.2">
      <c r="A210" s="31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4.25" customHeight="1" x14ac:dyDescent="0.2">
      <c r="A211" s="31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4.25" customHeight="1" x14ac:dyDescent="0.2">
      <c r="A212" s="31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4.25" customHeight="1" x14ac:dyDescent="0.2">
      <c r="A213" s="31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4.25" customHeight="1" x14ac:dyDescent="0.2">
      <c r="A214" s="31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4.25" customHeight="1" x14ac:dyDescent="0.2">
      <c r="A215" s="31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4.25" customHeight="1" x14ac:dyDescent="0.2">
      <c r="A216" s="31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4.25" customHeight="1" x14ac:dyDescent="0.2">
      <c r="A217" s="31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4.25" customHeight="1" x14ac:dyDescent="0.2">
      <c r="A218" s="31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4.25" customHeight="1" x14ac:dyDescent="0.2">
      <c r="A219" s="31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4.25" customHeight="1" x14ac:dyDescent="0.2">
      <c r="A220" s="31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4.25" customHeight="1" x14ac:dyDescent="0.2">
      <c r="A221" s="31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4.25" customHeight="1" x14ac:dyDescent="0.2">
      <c r="A222" s="31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4.25" customHeight="1" x14ac:dyDescent="0.2">
      <c r="A223" s="31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4.25" customHeight="1" x14ac:dyDescent="0.2">
      <c r="A224" s="31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4.25" customHeight="1" x14ac:dyDescent="0.2">
      <c r="A225" s="31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4.25" customHeight="1" x14ac:dyDescent="0.2">
      <c r="A226" s="31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4.25" customHeight="1" x14ac:dyDescent="0.2">
      <c r="A227" s="31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4.25" customHeight="1" x14ac:dyDescent="0.2">
      <c r="A228" s="31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4.25" customHeight="1" x14ac:dyDescent="0.2">
      <c r="A229" s="31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4.25" customHeight="1" x14ac:dyDescent="0.2">
      <c r="A230" s="31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4.25" customHeight="1" x14ac:dyDescent="0.2">
      <c r="A231" s="31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4.25" customHeight="1" x14ac:dyDescent="0.2">
      <c r="A232" s="31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4.25" customHeight="1" x14ac:dyDescent="0.2">
      <c r="A233" s="31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4.25" customHeight="1" x14ac:dyDescent="0.2">
      <c r="A234" s="31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4.25" customHeight="1" x14ac:dyDescent="0.2">
      <c r="A235" s="31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4.25" customHeight="1" x14ac:dyDescent="0.2">
      <c r="A236" s="31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4.25" customHeight="1" x14ac:dyDescent="0.2">
      <c r="A237" s="31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4.25" customHeight="1" x14ac:dyDescent="0.2">
      <c r="A238" s="31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4.25" customHeight="1" x14ac:dyDescent="0.2">
      <c r="A239" s="31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4.25" customHeight="1" x14ac:dyDescent="0.2">
      <c r="A240" s="31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4.25" customHeight="1" x14ac:dyDescent="0.2">
      <c r="A241" s="31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4.25" customHeight="1" x14ac:dyDescent="0.2">
      <c r="A242" s="31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4.25" customHeight="1" x14ac:dyDescent="0.2">
      <c r="A243" s="31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4.25" customHeight="1" x14ac:dyDescent="0.2">
      <c r="A244" s="31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4.25" customHeight="1" x14ac:dyDescent="0.2">
      <c r="A245" s="31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4.25" customHeight="1" x14ac:dyDescent="0.2">
      <c r="A246" s="31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4.25" customHeight="1" x14ac:dyDescent="0.2">
      <c r="A247" s="31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4.25" customHeight="1" x14ac:dyDescent="0.2">
      <c r="A248" s="31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4.25" customHeight="1" x14ac:dyDescent="0.2">
      <c r="A249" s="31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4.25" customHeight="1" x14ac:dyDescent="0.2">
      <c r="A250" s="31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4.25" customHeight="1" x14ac:dyDescent="0.2">
      <c r="A251" s="31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4.25" customHeight="1" x14ac:dyDescent="0.2">
      <c r="A252" s="31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4.25" customHeight="1" x14ac:dyDescent="0.2">
      <c r="A253" s="31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4.25" customHeight="1" x14ac:dyDescent="0.2">
      <c r="A254" s="31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4.25" customHeight="1" x14ac:dyDescent="0.2">
      <c r="A255" s="31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4.25" customHeight="1" x14ac:dyDescent="0.2">
      <c r="A256" s="31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4.25" customHeight="1" x14ac:dyDescent="0.2">
      <c r="A257" s="31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4.25" customHeight="1" x14ac:dyDescent="0.2">
      <c r="A258" s="31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4.25" customHeight="1" x14ac:dyDescent="0.2">
      <c r="A259" s="31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4.25" customHeight="1" x14ac:dyDescent="0.2">
      <c r="A260" s="31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4.25" customHeight="1" x14ac:dyDescent="0.2">
      <c r="A261" s="31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4.25" customHeight="1" x14ac:dyDescent="0.2">
      <c r="A262" s="31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4.25" customHeight="1" x14ac:dyDescent="0.2">
      <c r="A263" s="31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4.25" customHeight="1" x14ac:dyDescent="0.2">
      <c r="A264" s="31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4.25" customHeight="1" x14ac:dyDescent="0.2">
      <c r="A265" s="31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4.25" customHeight="1" x14ac:dyDescent="0.2">
      <c r="A266" s="31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4.25" customHeight="1" x14ac:dyDescent="0.2">
      <c r="A267" s="31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4.25" customHeight="1" x14ac:dyDescent="0.2">
      <c r="A268" s="31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4.25" customHeight="1" x14ac:dyDescent="0.2">
      <c r="A269" s="31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4.25" customHeight="1" x14ac:dyDescent="0.2">
      <c r="A270" s="31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4.25" customHeight="1" x14ac:dyDescent="0.2">
      <c r="A271" s="31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4.25" customHeight="1" x14ac:dyDescent="0.2">
      <c r="A272" s="31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4.25" customHeight="1" x14ac:dyDescent="0.2">
      <c r="A273" s="31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4.25" customHeight="1" x14ac:dyDescent="0.2">
      <c r="A274" s="31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4.25" customHeight="1" x14ac:dyDescent="0.2">
      <c r="A275" s="31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4.25" customHeight="1" x14ac:dyDescent="0.2">
      <c r="A276" s="31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4.25" customHeight="1" x14ac:dyDescent="0.2">
      <c r="A277" s="31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4.25" customHeight="1" x14ac:dyDescent="0.2">
      <c r="A278" s="31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4.25" customHeight="1" x14ac:dyDescent="0.2">
      <c r="A279" s="31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4.25" customHeight="1" x14ac:dyDescent="0.2">
      <c r="A280" s="31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4.25" customHeight="1" x14ac:dyDescent="0.2">
      <c r="A281" s="31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4.25" customHeight="1" x14ac:dyDescent="0.2">
      <c r="A282" s="31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4.25" customHeight="1" x14ac:dyDescent="0.2">
      <c r="A283" s="31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4.25" customHeight="1" x14ac:dyDescent="0.2">
      <c r="A284" s="31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4.25" customHeight="1" x14ac:dyDescent="0.2">
      <c r="A285" s="31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4.25" customHeight="1" x14ac:dyDescent="0.2">
      <c r="A286" s="31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4.25" customHeight="1" x14ac:dyDescent="0.2">
      <c r="A287" s="31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4.25" customHeight="1" x14ac:dyDescent="0.2">
      <c r="A288" s="31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4.25" customHeight="1" x14ac:dyDescent="0.2">
      <c r="A289" s="31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4.25" customHeight="1" x14ac:dyDescent="0.2">
      <c r="A290" s="31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4.25" customHeight="1" x14ac:dyDescent="0.2">
      <c r="A291" s="31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4.25" customHeight="1" x14ac:dyDescent="0.2">
      <c r="A292" s="31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4.25" customHeight="1" x14ac:dyDescent="0.2">
      <c r="A293" s="31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4.25" customHeight="1" x14ac:dyDescent="0.2">
      <c r="A294" s="31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4.25" customHeight="1" x14ac:dyDescent="0.2">
      <c r="A295" s="31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4.25" customHeight="1" x14ac:dyDescent="0.2">
      <c r="A296" s="31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4.25" customHeight="1" x14ac:dyDescent="0.2">
      <c r="A297" s="31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4.25" customHeight="1" x14ac:dyDescent="0.2">
      <c r="A298" s="31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4.25" customHeight="1" x14ac:dyDescent="0.2">
      <c r="A299" s="31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4.25" customHeight="1" x14ac:dyDescent="0.2">
      <c r="A300" s="31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4.25" customHeight="1" x14ac:dyDescent="0.2">
      <c r="A301" s="31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4.25" customHeight="1" x14ac:dyDescent="0.2">
      <c r="A302" s="31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4.25" customHeight="1" x14ac:dyDescent="0.2">
      <c r="A303" s="31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4.25" customHeight="1" x14ac:dyDescent="0.2">
      <c r="A304" s="31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4.25" customHeight="1" x14ac:dyDescent="0.2">
      <c r="A305" s="31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4.25" customHeight="1" x14ac:dyDescent="0.2">
      <c r="A306" s="31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4.25" customHeight="1" x14ac:dyDescent="0.2">
      <c r="A307" s="31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4.25" customHeight="1" x14ac:dyDescent="0.2">
      <c r="A308" s="31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4.25" customHeight="1" x14ac:dyDescent="0.2">
      <c r="A309" s="31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4.25" customHeight="1" x14ac:dyDescent="0.2">
      <c r="A310" s="31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4.25" customHeight="1" x14ac:dyDescent="0.2">
      <c r="A311" s="31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4.25" customHeight="1" x14ac:dyDescent="0.2">
      <c r="A312" s="31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4.25" customHeight="1" x14ac:dyDescent="0.2">
      <c r="A313" s="31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4.25" customHeight="1" x14ac:dyDescent="0.2">
      <c r="A314" s="31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4.25" customHeight="1" x14ac:dyDescent="0.2">
      <c r="A315" s="31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4.25" customHeight="1" x14ac:dyDescent="0.2">
      <c r="A316" s="31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4.25" customHeight="1" x14ac:dyDescent="0.2">
      <c r="A317" s="31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4.25" customHeight="1" x14ac:dyDescent="0.2">
      <c r="A318" s="31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4.25" customHeight="1" x14ac:dyDescent="0.2">
      <c r="A319" s="31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4.25" customHeight="1" x14ac:dyDescent="0.2">
      <c r="A320" s="31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4.25" customHeight="1" x14ac:dyDescent="0.2">
      <c r="A321" s="31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4.25" customHeight="1" x14ac:dyDescent="0.2">
      <c r="A322" s="31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4.25" customHeight="1" x14ac:dyDescent="0.2">
      <c r="A323" s="31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4.25" customHeight="1" x14ac:dyDescent="0.2">
      <c r="A324" s="31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4.25" customHeight="1" x14ac:dyDescent="0.2">
      <c r="A325" s="31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4.25" customHeight="1" x14ac:dyDescent="0.2">
      <c r="A326" s="31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4.25" customHeight="1" x14ac:dyDescent="0.2">
      <c r="A327" s="31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4.25" customHeight="1" x14ac:dyDescent="0.2">
      <c r="A328" s="31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4.25" customHeight="1" x14ac:dyDescent="0.2">
      <c r="A329" s="31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4.25" customHeight="1" x14ac:dyDescent="0.2">
      <c r="A330" s="31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4.25" customHeight="1" x14ac:dyDescent="0.2">
      <c r="A331" s="31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4.25" customHeight="1" x14ac:dyDescent="0.2">
      <c r="A332" s="31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4.25" customHeight="1" x14ac:dyDescent="0.2">
      <c r="A333" s="31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4.25" customHeight="1" x14ac:dyDescent="0.2">
      <c r="A334" s="31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4.25" customHeight="1" x14ac:dyDescent="0.2">
      <c r="A335" s="31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4.25" customHeight="1" x14ac:dyDescent="0.2">
      <c r="A336" s="31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4.25" customHeight="1" x14ac:dyDescent="0.2">
      <c r="A337" s="31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4.25" customHeight="1" x14ac:dyDescent="0.2">
      <c r="A338" s="31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4.25" customHeight="1" x14ac:dyDescent="0.2">
      <c r="A339" s="31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4.25" customHeight="1" x14ac:dyDescent="0.2">
      <c r="A340" s="31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4.25" customHeight="1" x14ac:dyDescent="0.2">
      <c r="A341" s="31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4.25" customHeight="1" x14ac:dyDescent="0.2">
      <c r="A342" s="31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4.25" customHeight="1" x14ac:dyDescent="0.2">
      <c r="A343" s="31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4.25" customHeight="1" x14ac:dyDescent="0.2">
      <c r="A344" s="31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4.25" customHeight="1" x14ac:dyDescent="0.2">
      <c r="A345" s="31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4.25" customHeight="1" x14ac:dyDescent="0.2">
      <c r="A346" s="31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4.25" customHeight="1" x14ac:dyDescent="0.2">
      <c r="A347" s="31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4.25" customHeight="1" x14ac:dyDescent="0.2">
      <c r="A348" s="31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4.25" customHeight="1" x14ac:dyDescent="0.2">
      <c r="A349" s="31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4.25" customHeight="1" x14ac:dyDescent="0.2">
      <c r="A350" s="31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4.25" customHeight="1" x14ac:dyDescent="0.2">
      <c r="A351" s="31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4.25" customHeight="1" x14ac:dyDescent="0.2">
      <c r="A352" s="31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4.25" customHeight="1" x14ac:dyDescent="0.2">
      <c r="A353" s="31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4.25" customHeight="1" x14ac:dyDescent="0.2">
      <c r="A354" s="31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4.25" customHeight="1" x14ac:dyDescent="0.2">
      <c r="A355" s="31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4.25" customHeight="1" x14ac:dyDescent="0.2">
      <c r="A356" s="31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4.25" customHeight="1" x14ac:dyDescent="0.2">
      <c r="A357" s="31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4.25" customHeight="1" x14ac:dyDescent="0.2">
      <c r="A358" s="31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4.25" customHeight="1" x14ac:dyDescent="0.2">
      <c r="A359" s="31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4.25" customHeight="1" x14ac:dyDescent="0.2">
      <c r="A360" s="31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4.25" customHeight="1" x14ac:dyDescent="0.2">
      <c r="A361" s="31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4.25" customHeight="1" x14ac:dyDescent="0.2">
      <c r="A362" s="31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4.25" customHeight="1" x14ac:dyDescent="0.2">
      <c r="A363" s="31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4.25" customHeight="1" x14ac:dyDescent="0.2">
      <c r="A364" s="31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4.25" customHeight="1" x14ac:dyDescent="0.2">
      <c r="A365" s="31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4.25" customHeight="1" x14ac:dyDescent="0.2">
      <c r="A366" s="31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4.25" customHeight="1" x14ac:dyDescent="0.2">
      <c r="A367" s="31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4.25" customHeight="1" x14ac:dyDescent="0.2">
      <c r="A368" s="31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4.25" customHeight="1" x14ac:dyDescent="0.2">
      <c r="A369" s="31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4.25" customHeight="1" x14ac:dyDescent="0.2">
      <c r="A370" s="31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4.25" customHeight="1" x14ac:dyDescent="0.2">
      <c r="A371" s="31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4.25" customHeight="1" x14ac:dyDescent="0.2">
      <c r="A372" s="31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4.25" customHeight="1" x14ac:dyDescent="0.2">
      <c r="A373" s="31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4.25" customHeight="1" x14ac:dyDescent="0.2">
      <c r="A374" s="31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4.25" customHeight="1" x14ac:dyDescent="0.2">
      <c r="A375" s="31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4.25" customHeight="1" x14ac:dyDescent="0.2">
      <c r="A376" s="31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4.25" customHeight="1" x14ac:dyDescent="0.2">
      <c r="A377" s="31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4.25" customHeight="1" x14ac:dyDescent="0.2">
      <c r="A378" s="31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4.25" customHeight="1" x14ac:dyDescent="0.2">
      <c r="A379" s="31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4.25" customHeight="1" x14ac:dyDescent="0.2">
      <c r="A380" s="31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4.25" customHeight="1" x14ac:dyDescent="0.2">
      <c r="A381" s="31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4.25" customHeight="1" x14ac:dyDescent="0.2">
      <c r="A382" s="31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4.25" customHeight="1" x14ac:dyDescent="0.2">
      <c r="A383" s="31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4.25" customHeight="1" x14ac:dyDescent="0.2">
      <c r="A384" s="31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4.25" customHeight="1" x14ac:dyDescent="0.2">
      <c r="A385" s="31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4.25" customHeight="1" x14ac:dyDescent="0.2">
      <c r="A386" s="31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4.25" customHeight="1" x14ac:dyDescent="0.2">
      <c r="A387" s="31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4.25" customHeight="1" x14ac:dyDescent="0.2">
      <c r="A388" s="31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4.25" customHeight="1" x14ac:dyDescent="0.2">
      <c r="A389" s="31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4.25" customHeight="1" x14ac:dyDescent="0.2">
      <c r="A390" s="31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4.25" customHeight="1" x14ac:dyDescent="0.2">
      <c r="A391" s="31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4.25" customHeight="1" x14ac:dyDescent="0.2">
      <c r="A392" s="31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4.25" customHeight="1" x14ac:dyDescent="0.2">
      <c r="A393" s="31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4.25" customHeight="1" x14ac:dyDescent="0.2">
      <c r="A394" s="31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4.25" customHeight="1" x14ac:dyDescent="0.2">
      <c r="A395" s="31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4.25" customHeight="1" x14ac:dyDescent="0.2">
      <c r="A396" s="31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4.25" customHeight="1" x14ac:dyDescent="0.2">
      <c r="A397" s="31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4.25" customHeight="1" x14ac:dyDescent="0.2">
      <c r="A398" s="31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4.25" customHeight="1" x14ac:dyDescent="0.2">
      <c r="A399" s="31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4.25" customHeight="1" x14ac:dyDescent="0.2">
      <c r="A400" s="31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4.25" customHeight="1" x14ac:dyDescent="0.2">
      <c r="A401" s="31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4.25" customHeight="1" x14ac:dyDescent="0.2">
      <c r="A402" s="31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4.25" customHeight="1" x14ac:dyDescent="0.2">
      <c r="A403" s="31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4.25" customHeight="1" x14ac:dyDescent="0.2">
      <c r="A404" s="31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4.25" customHeight="1" x14ac:dyDescent="0.2">
      <c r="A405" s="31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4.25" customHeight="1" x14ac:dyDescent="0.2">
      <c r="A406" s="31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4.25" customHeight="1" x14ac:dyDescent="0.2">
      <c r="A407" s="31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4.25" customHeight="1" x14ac:dyDescent="0.2">
      <c r="A408" s="31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4.25" customHeight="1" x14ac:dyDescent="0.2">
      <c r="A409" s="31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4.25" customHeight="1" x14ac:dyDescent="0.2">
      <c r="A410" s="31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4.25" customHeight="1" x14ac:dyDescent="0.2">
      <c r="A411" s="31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4.25" customHeight="1" x14ac:dyDescent="0.2">
      <c r="A412" s="31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4.25" customHeight="1" x14ac:dyDescent="0.2">
      <c r="A413" s="31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4.25" customHeight="1" x14ac:dyDescent="0.2">
      <c r="A414" s="31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4.25" customHeight="1" x14ac:dyDescent="0.2">
      <c r="A415" s="31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4.25" customHeight="1" x14ac:dyDescent="0.2">
      <c r="A416" s="31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4.25" customHeight="1" x14ac:dyDescent="0.2">
      <c r="A417" s="31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4.25" customHeight="1" x14ac:dyDescent="0.2">
      <c r="A418" s="31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4.25" customHeight="1" x14ac:dyDescent="0.2">
      <c r="A419" s="31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4.25" customHeight="1" x14ac:dyDescent="0.2">
      <c r="A420" s="31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4.25" customHeight="1" x14ac:dyDescent="0.2">
      <c r="A421" s="31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4.25" customHeight="1" x14ac:dyDescent="0.2">
      <c r="A422" s="31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4.25" customHeight="1" x14ac:dyDescent="0.2">
      <c r="A423" s="31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4.25" customHeight="1" x14ac:dyDescent="0.2">
      <c r="A424" s="31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4.25" customHeight="1" x14ac:dyDescent="0.2">
      <c r="A425" s="31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4.25" customHeight="1" x14ac:dyDescent="0.2">
      <c r="A426" s="31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4.25" customHeight="1" x14ac:dyDescent="0.2">
      <c r="A427" s="31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4.25" customHeight="1" x14ac:dyDescent="0.2">
      <c r="A428" s="31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4.25" customHeight="1" x14ac:dyDescent="0.2">
      <c r="A429" s="31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4.25" customHeight="1" x14ac:dyDescent="0.2">
      <c r="A430" s="31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4.25" customHeight="1" x14ac:dyDescent="0.2">
      <c r="A431" s="31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4.25" customHeight="1" x14ac:dyDescent="0.2">
      <c r="A432" s="31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4.25" customHeight="1" x14ac:dyDescent="0.2">
      <c r="A433" s="31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4.25" customHeight="1" x14ac:dyDescent="0.2">
      <c r="A434" s="31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4.25" customHeight="1" x14ac:dyDescent="0.2">
      <c r="A435" s="31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4.25" customHeight="1" x14ac:dyDescent="0.2">
      <c r="A436" s="31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4.25" customHeight="1" x14ac:dyDescent="0.2">
      <c r="A437" s="31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4.25" customHeight="1" x14ac:dyDescent="0.2">
      <c r="A438" s="31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4.25" customHeight="1" x14ac:dyDescent="0.2">
      <c r="A439" s="31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4.25" customHeight="1" x14ac:dyDescent="0.2">
      <c r="A440" s="31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4.25" customHeight="1" x14ac:dyDescent="0.2">
      <c r="A441" s="31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4.25" customHeight="1" x14ac:dyDescent="0.2">
      <c r="A442" s="31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4.25" customHeight="1" x14ac:dyDescent="0.2">
      <c r="A443" s="31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4.25" customHeight="1" x14ac:dyDescent="0.2">
      <c r="A444" s="31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4.25" customHeight="1" x14ac:dyDescent="0.2">
      <c r="A445" s="31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4.25" customHeight="1" x14ac:dyDescent="0.2">
      <c r="A446" s="31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4.25" customHeight="1" x14ac:dyDescent="0.2">
      <c r="A447" s="31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4.25" customHeight="1" x14ac:dyDescent="0.2">
      <c r="A448" s="31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4.25" customHeight="1" x14ac:dyDescent="0.2">
      <c r="A449" s="31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4.25" customHeight="1" x14ac:dyDescent="0.2">
      <c r="A450" s="31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4.25" customHeight="1" x14ac:dyDescent="0.2">
      <c r="A451" s="31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4.25" customHeight="1" x14ac:dyDescent="0.2">
      <c r="A452" s="31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4.25" customHeight="1" x14ac:dyDescent="0.2">
      <c r="A453" s="31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4.25" customHeight="1" x14ac:dyDescent="0.2">
      <c r="A454" s="31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4.25" customHeight="1" x14ac:dyDescent="0.2">
      <c r="A455" s="31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4.25" customHeight="1" x14ac:dyDescent="0.2">
      <c r="A456" s="31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4.25" customHeight="1" x14ac:dyDescent="0.2">
      <c r="A457" s="31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4.25" customHeight="1" x14ac:dyDescent="0.2">
      <c r="A458" s="31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4.25" customHeight="1" x14ac:dyDescent="0.2">
      <c r="A459" s="31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4.25" customHeight="1" x14ac:dyDescent="0.2">
      <c r="A460" s="31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4.25" customHeight="1" x14ac:dyDescent="0.2">
      <c r="A461" s="31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4.25" customHeight="1" x14ac:dyDescent="0.2">
      <c r="A462" s="31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4.25" customHeight="1" x14ac:dyDescent="0.2">
      <c r="A463" s="31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4.25" customHeight="1" x14ac:dyDescent="0.2">
      <c r="A464" s="31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4.25" customHeight="1" x14ac:dyDescent="0.2">
      <c r="A465" s="31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4.25" customHeight="1" x14ac:dyDescent="0.2">
      <c r="A466" s="31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4.25" customHeight="1" x14ac:dyDescent="0.2">
      <c r="A467" s="31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4.25" customHeight="1" x14ac:dyDescent="0.2">
      <c r="A468" s="31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4.25" customHeight="1" x14ac:dyDescent="0.2">
      <c r="A469" s="31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4.25" customHeight="1" x14ac:dyDescent="0.2">
      <c r="A470" s="31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4.25" customHeight="1" x14ac:dyDescent="0.2">
      <c r="A471" s="31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4.25" customHeight="1" x14ac:dyDescent="0.2">
      <c r="A472" s="31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4.25" customHeight="1" x14ac:dyDescent="0.2">
      <c r="A473" s="31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4.25" customHeight="1" x14ac:dyDescent="0.2">
      <c r="A474" s="31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4.25" customHeight="1" x14ac:dyDescent="0.2">
      <c r="A475" s="31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4.25" customHeight="1" x14ac:dyDescent="0.2">
      <c r="A476" s="31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4.25" customHeight="1" x14ac:dyDescent="0.2">
      <c r="A477" s="31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4.25" customHeight="1" x14ac:dyDescent="0.2">
      <c r="A478" s="31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4.25" customHeight="1" x14ac:dyDescent="0.2">
      <c r="A479" s="31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4.25" customHeight="1" x14ac:dyDescent="0.2">
      <c r="A480" s="31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4.25" customHeight="1" x14ac:dyDescent="0.2">
      <c r="A481" s="31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4.25" customHeight="1" x14ac:dyDescent="0.2">
      <c r="A482" s="31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4.25" customHeight="1" x14ac:dyDescent="0.2">
      <c r="A483" s="31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4.25" customHeight="1" x14ac:dyDescent="0.2">
      <c r="A484" s="31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4.25" customHeight="1" x14ac:dyDescent="0.2">
      <c r="A485" s="31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4.25" customHeight="1" x14ac:dyDescent="0.2">
      <c r="A486" s="31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4.25" customHeight="1" x14ac:dyDescent="0.2">
      <c r="A487" s="31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4.25" customHeight="1" x14ac:dyDescent="0.2">
      <c r="A488" s="31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4.25" customHeight="1" x14ac:dyDescent="0.2">
      <c r="A489" s="31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4.25" customHeight="1" x14ac:dyDescent="0.2">
      <c r="A490" s="31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4.25" customHeight="1" x14ac:dyDescent="0.2">
      <c r="A491" s="31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4.25" customHeight="1" x14ac:dyDescent="0.2">
      <c r="A492" s="31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4.25" customHeight="1" x14ac:dyDescent="0.2">
      <c r="A493" s="31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4.25" customHeight="1" x14ac:dyDescent="0.2">
      <c r="A494" s="31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4.25" customHeight="1" x14ac:dyDescent="0.2">
      <c r="A495" s="31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4.25" customHeight="1" x14ac:dyDescent="0.2">
      <c r="A496" s="31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4.25" customHeight="1" x14ac:dyDescent="0.2">
      <c r="A497" s="31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4.25" customHeight="1" x14ac:dyDescent="0.2">
      <c r="A498" s="31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4.25" customHeight="1" x14ac:dyDescent="0.2">
      <c r="A499" s="31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4.25" customHeight="1" x14ac:dyDescent="0.2">
      <c r="A500" s="31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4.25" customHeight="1" x14ac:dyDescent="0.2">
      <c r="A501" s="31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4.25" customHeight="1" x14ac:dyDescent="0.2">
      <c r="A502" s="31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4.25" customHeight="1" x14ac:dyDescent="0.2">
      <c r="A503" s="31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4.25" customHeight="1" x14ac:dyDescent="0.2">
      <c r="A504" s="31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4.25" customHeight="1" x14ac:dyDescent="0.2">
      <c r="A505" s="31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4.25" customHeight="1" x14ac:dyDescent="0.2">
      <c r="A506" s="31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4.25" customHeight="1" x14ac:dyDescent="0.2">
      <c r="A507" s="31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4.25" customHeight="1" x14ac:dyDescent="0.2">
      <c r="A508" s="31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4.25" customHeight="1" x14ac:dyDescent="0.2">
      <c r="A509" s="31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4.25" customHeight="1" x14ac:dyDescent="0.2">
      <c r="A510" s="31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4.25" customHeight="1" x14ac:dyDescent="0.2">
      <c r="A511" s="31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4.25" customHeight="1" x14ac:dyDescent="0.2">
      <c r="A512" s="31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4.25" customHeight="1" x14ac:dyDescent="0.2">
      <c r="A513" s="31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4.25" customHeight="1" x14ac:dyDescent="0.2">
      <c r="A514" s="31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4.25" customHeight="1" x14ac:dyDescent="0.2">
      <c r="A515" s="31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4.25" customHeight="1" x14ac:dyDescent="0.2">
      <c r="A516" s="31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4.25" customHeight="1" x14ac:dyDescent="0.2">
      <c r="A517" s="31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4.25" customHeight="1" x14ac:dyDescent="0.2">
      <c r="A518" s="31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4.25" customHeight="1" x14ac:dyDescent="0.2">
      <c r="A519" s="31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4.25" customHeight="1" x14ac:dyDescent="0.2">
      <c r="A520" s="31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4.25" customHeight="1" x14ac:dyDescent="0.2">
      <c r="A521" s="31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4.25" customHeight="1" x14ac:dyDescent="0.2">
      <c r="A522" s="31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4.25" customHeight="1" x14ac:dyDescent="0.2">
      <c r="A523" s="31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4.25" customHeight="1" x14ac:dyDescent="0.2">
      <c r="A524" s="31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4.25" customHeight="1" x14ac:dyDescent="0.2">
      <c r="A525" s="31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4.25" customHeight="1" x14ac:dyDescent="0.2">
      <c r="A526" s="31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4.25" customHeight="1" x14ac:dyDescent="0.2">
      <c r="A527" s="31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4.25" customHeight="1" x14ac:dyDescent="0.2">
      <c r="A528" s="31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4.25" customHeight="1" x14ac:dyDescent="0.2">
      <c r="A529" s="31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4.25" customHeight="1" x14ac:dyDescent="0.2">
      <c r="A530" s="31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4.25" customHeight="1" x14ac:dyDescent="0.2">
      <c r="A531" s="31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4.25" customHeight="1" x14ac:dyDescent="0.2">
      <c r="A532" s="31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4.25" customHeight="1" x14ac:dyDescent="0.2">
      <c r="A533" s="31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4.25" customHeight="1" x14ac:dyDescent="0.2">
      <c r="A534" s="31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4.25" customHeight="1" x14ac:dyDescent="0.2">
      <c r="A535" s="31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4.25" customHeight="1" x14ac:dyDescent="0.2">
      <c r="A536" s="31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4.25" customHeight="1" x14ac:dyDescent="0.2">
      <c r="A537" s="31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4.25" customHeight="1" x14ac:dyDescent="0.2">
      <c r="A538" s="31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4.25" customHeight="1" x14ac:dyDescent="0.2">
      <c r="A539" s="31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4.25" customHeight="1" x14ac:dyDescent="0.2">
      <c r="A540" s="31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4.25" customHeight="1" x14ac:dyDescent="0.2">
      <c r="A541" s="31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4.25" customHeight="1" x14ac:dyDescent="0.2">
      <c r="A542" s="31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4.25" customHeight="1" x14ac:dyDescent="0.2">
      <c r="A543" s="31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4.25" customHeight="1" x14ac:dyDescent="0.2">
      <c r="A544" s="31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4.25" customHeight="1" x14ac:dyDescent="0.2">
      <c r="A545" s="31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4.25" customHeight="1" x14ac:dyDescent="0.2">
      <c r="A546" s="31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4.25" customHeight="1" x14ac:dyDescent="0.2">
      <c r="A547" s="31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4.25" customHeight="1" x14ac:dyDescent="0.2">
      <c r="A548" s="31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4.25" customHeight="1" x14ac:dyDescent="0.2">
      <c r="A549" s="31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4.25" customHeight="1" x14ac:dyDescent="0.2">
      <c r="A550" s="31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4.25" customHeight="1" x14ac:dyDescent="0.2">
      <c r="A551" s="31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4.25" customHeight="1" x14ac:dyDescent="0.2">
      <c r="A552" s="31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4.25" customHeight="1" x14ac:dyDescent="0.2">
      <c r="A553" s="31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4.25" customHeight="1" x14ac:dyDescent="0.2">
      <c r="A554" s="31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4.25" customHeight="1" x14ac:dyDescent="0.2">
      <c r="A555" s="31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4.25" customHeight="1" x14ac:dyDescent="0.2">
      <c r="A556" s="31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4.25" customHeight="1" x14ac:dyDescent="0.2">
      <c r="A557" s="31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4.25" customHeight="1" x14ac:dyDescent="0.2">
      <c r="A558" s="31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4.25" customHeight="1" x14ac:dyDescent="0.2">
      <c r="A559" s="31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4.25" customHeight="1" x14ac:dyDescent="0.2">
      <c r="A560" s="31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4.25" customHeight="1" x14ac:dyDescent="0.2">
      <c r="A561" s="31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4.25" customHeight="1" x14ac:dyDescent="0.2">
      <c r="A562" s="31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4.25" customHeight="1" x14ac:dyDescent="0.2">
      <c r="A563" s="31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4.25" customHeight="1" x14ac:dyDescent="0.2">
      <c r="A564" s="31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4.25" customHeight="1" x14ac:dyDescent="0.2">
      <c r="A565" s="31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4.25" customHeight="1" x14ac:dyDescent="0.2">
      <c r="A566" s="31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4.25" customHeight="1" x14ac:dyDescent="0.2">
      <c r="A567" s="31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4.25" customHeight="1" x14ac:dyDescent="0.2">
      <c r="A568" s="31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4.25" customHeight="1" x14ac:dyDescent="0.2">
      <c r="A569" s="31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4.25" customHeight="1" x14ac:dyDescent="0.2">
      <c r="A570" s="31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4.25" customHeight="1" x14ac:dyDescent="0.2">
      <c r="A571" s="31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4.25" customHeight="1" x14ac:dyDescent="0.2">
      <c r="A572" s="31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4.25" customHeight="1" x14ac:dyDescent="0.2">
      <c r="A573" s="31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4.25" customHeight="1" x14ac:dyDescent="0.2">
      <c r="A574" s="31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4.25" customHeight="1" x14ac:dyDescent="0.2">
      <c r="A575" s="31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4.25" customHeight="1" x14ac:dyDescent="0.2">
      <c r="A576" s="31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4.25" customHeight="1" x14ac:dyDescent="0.2">
      <c r="A577" s="31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4.25" customHeight="1" x14ac:dyDescent="0.2">
      <c r="A578" s="31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4.25" customHeight="1" x14ac:dyDescent="0.2">
      <c r="A579" s="31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4.25" customHeight="1" x14ac:dyDescent="0.2">
      <c r="A580" s="31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4.25" customHeight="1" x14ac:dyDescent="0.2">
      <c r="A581" s="31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4.25" customHeight="1" x14ac:dyDescent="0.2">
      <c r="A582" s="31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4.25" customHeight="1" x14ac:dyDescent="0.2">
      <c r="A583" s="31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4.25" customHeight="1" x14ac:dyDescent="0.2">
      <c r="A584" s="31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4.25" customHeight="1" x14ac:dyDescent="0.2">
      <c r="A585" s="31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4.25" customHeight="1" x14ac:dyDescent="0.2">
      <c r="A586" s="31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4.25" customHeight="1" x14ac:dyDescent="0.2">
      <c r="A587" s="31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4.25" customHeight="1" x14ac:dyDescent="0.2">
      <c r="A588" s="31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4.25" customHeight="1" x14ac:dyDescent="0.2">
      <c r="A589" s="31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4.25" customHeight="1" x14ac:dyDescent="0.2">
      <c r="A590" s="31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4.25" customHeight="1" x14ac:dyDescent="0.2">
      <c r="A591" s="31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4.25" customHeight="1" x14ac:dyDescent="0.2">
      <c r="A592" s="31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4.25" customHeight="1" x14ac:dyDescent="0.2">
      <c r="A593" s="31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4.25" customHeight="1" x14ac:dyDescent="0.2">
      <c r="A594" s="31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4.25" customHeight="1" x14ac:dyDescent="0.2">
      <c r="A595" s="31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4.25" customHeight="1" x14ac:dyDescent="0.2">
      <c r="A596" s="31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4.25" customHeight="1" x14ac:dyDescent="0.2">
      <c r="A597" s="31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4.25" customHeight="1" x14ac:dyDescent="0.2">
      <c r="A598" s="31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4.25" customHeight="1" x14ac:dyDescent="0.2">
      <c r="A599" s="31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4.25" customHeight="1" x14ac:dyDescent="0.2">
      <c r="A600" s="31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4.25" customHeight="1" x14ac:dyDescent="0.2">
      <c r="A601" s="31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4.25" customHeight="1" x14ac:dyDescent="0.2">
      <c r="A602" s="31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4.25" customHeight="1" x14ac:dyDescent="0.2">
      <c r="A603" s="31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4.25" customHeight="1" x14ac:dyDescent="0.2">
      <c r="A604" s="31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4.25" customHeight="1" x14ac:dyDescent="0.2">
      <c r="A605" s="31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4.25" customHeight="1" x14ac:dyDescent="0.2">
      <c r="A606" s="31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4.25" customHeight="1" x14ac:dyDescent="0.2">
      <c r="A607" s="31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4.25" customHeight="1" x14ac:dyDescent="0.2">
      <c r="A608" s="31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4.25" customHeight="1" x14ac:dyDescent="0.2">
      <c r="A609" s="31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4.25" customHeight="1" x14ac:dyDescent="0.2">
      <c r="A610" s="31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4.25" customHeight="1" x14ac:dyDescent="0.2">
      <c r="A611" s="31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4.25" customHeight="1" x14ac:dyDescent="0.2">
      <c r="A612" s="31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4.25" customHeight="1" x14ac:dyDescent="0.2">
      <c r="A613" s="31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4.25" customHeight="1" x14ac:dyDescent="0.2">
      <c r="A614" s="31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4.25" customHeight="1" x14ac:dyDescent="0.2">
      <c r="A615" s="31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4.25" customHeight="1" x14ac:dyDescent="0.2">
      <c r="A616" s="31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4.25" customHeight="1" x14ac:dyDescent="0.2">
      <c r="A617" s="31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4.25" customHeight="1" x14ac:dyDescent="0.2">
      <c r="A618" s="31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4.25" customHeight="1" x14ac:dyDescent="0.2">
      <c r="A619" s="31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4.25" customHeight="1" x14ac:dyDescent="0.2">
      <c r="A620" s="31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4.25" customHeight="1" x14ac:dyDescent="0.2">
      <c r="A621" s="31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4.25" customHeight="1" x14ac:dyDescent="0.2">
      <c r="A622" s="31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4.25" customHeight="1" x14ac:dyDescent="0.2">
      <c r="A623" s="31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4.25" customHeight="1" x14ac:dyDescent="0.2">
      <c r="A624" s="31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4.25" customHeight="1" x14ac:dyDescent="0.2">
      <c r="A625" s="31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4.25" customHeight="1" x14ac:dyDescent="0.2">
      <c r="A626" s="31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4.25" customHeight="1" x14ac:dyDescent="0.2">
      <c r="A627" s="31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4.25" customHeight="1" x14ac:dyDescent="0.2">
      <c r="A628" s="31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4.25" customHeight="1" x14ac:dyDescent="0.2">
      <c r="A629" s="31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4.25" customHeight="1" x14ac:dyDescent="0.2">
      <c r="A630" s="31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4.25" customHeight="1" x14ac:dyDescent="0.2">
      <c r="A631" s="31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4.25" customHeight="1" x14ac:dyDescent="0.2">
      <c r="A632" s="31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4.25" customHeight="1" x14ac:dyDescent="0.2">
      <c r="A633" s="31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4.25" customHeight="1" x14ac:dyDescent="0.2">
      <c r="A634" s="31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4.25" customHeight="1" x14ac:dyDescent="0.2">
      <c r="A635" s="31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4.25" customHeight="1" x14ac:dyDescent="0.2">
      <c r="A636" s="31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4.25" customHeight="1" x14ac:dyDescent="0.2">
      <c r="A637" s="31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4.25" customHeight="1" x14ac:dyDescent="0.2">
      <c r="A638" s="31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4.25" customHeight="1" x14ac:dyDescent="0.2">
      <c r="A639" s="31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4.25" customHeight="1" x14ac:dyDescent="0.2">
      <c r="A640" s="31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4.25" customHeight="1" x14ac:dyDescent="0.2">
      <c r="A641" s="31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4.25" customHeight="1" x14ac:dyDescent="0.2">
      <c r="A642" s="31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4.25" customHeight="1" x14ac:dyDescent="0.2">
      <c r="A643" s="31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4.25" customHeight="1" x14ac:dyDescent="0.2">
      <c r="A644" s="31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4.25" customHeight="1" x14ac:dyDescent="0.2">
      <c r="A645" s="31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4.25" customHeight="1" x14ac:dyDescent="0.2">
      <c r="A646" s="31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4.25" customHeight="1" x14ac:dyDescent="0.2">
      <c r="A647" s="31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4.25" customHeight="1" x14ac:dyDescent="0.2">
      <c r="A648" s="31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4.25" customHeight="1" x14ac:dyDescent="0.2">
      <c r="A649" s="31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4.25" customHeight="1" x14ac:dyDescent="0.2">
      <c r="A650" s="31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4.25" customHeight="1" x14ac:dyDescent="0.2">
      <c r="A651" s="31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4.25" customHeight="1" x14ac:dyDescent="0.2">
      <c r="A652" s="31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4.25" customHeight="1" x14ac:dyDescent="0.2">
      <c r="A653" s="31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4.25" customHeight="1" x14ac:dyDescent="0.2">
      <c r="A654" s="31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4.25" customHeight="1" x14ac:dyDescent="0.2">
      <c r="A655" s="31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4.25" customHeight="1" x14ac:dyDescent="0.2">
      <c r="A656" s="31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4.25" customHeight="1" x14ac:dyDescent="0.2">
      <c r="A657" s="31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4.25" customHeight="1" x14ac:dyDescent="0.2">
      <c r="A658" s="31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4.25" customHeight="1" x14ac:dyDescent="0.2">
      <c r="A659" s="31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4.25" customHeight="1" x14ac:dyDescent="0.2">
      <c r="A660" s="31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4.25" customHeight="1" x14ac:dyDescent="0.2">
      <c r="A661" s="31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4.25" customHeight="1" x14ac:dyDescent="0.2">
      <c r="A662" s="31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4.25" customHeight="1" x14ac:dyDescent="0.2">
      <c r="A663" s="31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4.25" customHeight="1" x14ac:dyDescent="0.2">
      <c r="A664" s="31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4.25" customHeight="1" x14ac:dyDescent="0.2">
      <c r="A665" s="31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4.25" customHeight="1" x14ac:dyDescent="0.2">
      <c r="A666" s="31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4.25" customHeight="1" x14ac:dyDescent="0.2">
      <c r="A667" s="31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4.25" customHeight="1" x14ac:dyDescent="0.2">
      <c r="A668" s="31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4.25" customHeight="1" x14ac:dyDescent="0.2">
      <c r="A669" s="31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4.25" customHeight="1" x14ac:dyDescent="0.2">
      <c r="A670" s="31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4.25" customHeight="1" x14ac:dyDescent="0.2">
      <c r="A671" s="31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4.25" customHeight="1" x14ac:dyDescent="0.2">
      <c r="A672" s="31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4.25" customHeight="1" x14ac:dyDescent="0.2">
      <c r="A673" s="31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4.25" customHeight="1" x14ac:dyDescent="0.2">
      <c r="A674" s="31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4.25" customHeight="1" x14ac:dyDescent="0.2">
      <c r="A675" s="31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4.25" customHeight="1" x14ac:dyDescent="0.2">
      <c r="A676" s="31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4.25" customHeight="1" x14ac:dyDescent="0.2">
      <c r="A677" s="31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4.25" customHeight="1" x14ac:dyDescent="0.2">
      <c r="A678" s="31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4.25" customHeight="1" x14ac:dyDescent="0.2">
      <c r="A679" s="31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4.25" customHeight="1" x14ac:dyDescent="0.2">
      <c r="A680" s="31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4.25" customHeight="1" x14ac:dyDescent="0.2">
      <c r="A681" s="31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4.25" customHeight="1" x14ac:dyDescent="0.2">
      <c r="A682" s="31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4.25" customHeight="1" x14ac:dyDescent="0.2">
      <c r="A683" s="31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4.25" customHeight="1" x14ac:dyDescent="0.2">
      <c r="A684" s="31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4.25" customHeight="1" x14ac:dyDescent="0.2">
      <c r="A685" s="31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4.25" customHeight="1" x14ac:dyDescent="0.2">
      <c r="A686" s="31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4.25" customHeight="1" x14ac:dyDescent="0.2">
      <c r="A687" s="31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4.25" customHeight="1" x14ac:dyDescent="0.2">
      <c r="A688" s="31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4.25" customHeight="1" x14ac:dyDescent="0.2">
      <c r="A689" s="31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4.25" customHeight="1" x14ac:dyDescent="0.2">
      <c r="A690" s="31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4.25" customHeight="1" x14ac:dyDescent="0.2">
      <c r="A691" s="31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4.25" customHeight="1" x14ac:dyDescent="0.2">
      <c r="A692" s="31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4.25" customHeight="1" x14ac:dyDescent="0.2">
      <c r="A693" s="31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4.25" customHeight="1" x14ac:dyDescent="0.2">
      <c r="A694" s="31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4.25" customHeight="1" x14ac:dyDescent="0.2">
      <c r="A695" s="31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4.25" customHeight="1" x14ac:dyDescent="0.2">
      <c r="A696" s="31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4.25" customHeight="1" x14ac:dyDescent="0.2">
      <c r="A697" s="31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4.25" customHeight="1" x14ac:dyDescent="0.2">
      <c r="A698" s="31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4.25" customHeight="1" x14ac:dyDescent="0.2">
      <c r="A699" s="31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4.25" customHeight="1" x14ac:dyDescent="0.2">
      <c r="A700" s="31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4.25" customHeight="1" x14ac:dyDescent="0.2">
      <c r="A701" s="31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4.25" customHeight="1" x14ac:dyDescent="0.2">
      <c r="A702" s="31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4.25" customHeight="1" x14ac:dyDescent="0.2">
      <c r="A703" s="31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4.25" customHeight="1" x14ac:dyDescent="0.2">
      <c r="A704" s="31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4.25" customHeight="1" x14ac:dyDescent="0.2">
      <c r="A705" s="31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4.25" customHeight="1" x14ac:dyDescent="0.2">
      <c r="A706" s="31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4.25" customHeight="1" x14ac:dyDescent="0.2">
      <c r="A707" s="31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4.25" customHeight="1" x14ac:dyDescent="0.2">
      <c r="A708" s="31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4.25" customHeight="1" x14ac:dyDescent="0.2">
      <c r="A709" s="31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4.25" customHeight="1" x14ac:dyDescent="0.2">
      <c r="A710" s="31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4.25" customHeight="1" x14ac:dyDescent="0.2">
      <c r="A711" s="31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4.25" customHeight="1" x14ac:dyDescent="0.2">
      <c r="A712" s="31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4.25" customHeight="1" x14ac:dyDescent="0.2">
      <c r="A713" s="31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4.25" customHeight="1" x14ac:dyDescent="0.2">
      <c r="A714" s="31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4.25" customHeight="1" x14ac:dyDescent="0.2">
      <c r="A715" s="31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4.25" customHeight="1" x14ac:dyDescent="0.2">
      <c r="A716" s="31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4.25" customHeight="1" x14ac:dyDescent="0.2">
      <c r="A717" s="31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4.25" customHeight="1" x14ac:dyDescent="0.2">
      <c r="A718" s="31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4.25" customHeight="1" x14ac:dyDescent="0.2">
      <c r="A719" s="31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4.25" customHeight="1" x14ac:dyDescent="0.2">
      <c r="A720" s="31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4.25" customHeight="1" x14ac:dyDescent="0.2">
      <c r="A721" s="31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4.25" customHeight="1" x14ac:dyDescent="0.2">
      <c r="A722" s="31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4.25" customHeight="1" x14ac:dyDescent="0.2">
      <c r="A723" s="31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4.25" customHeight="1" x14ac:dyDescent="0.2">
      <c r="A724" s="31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4.25" customHeight="1" x14ac:dyDescent="0.2">
      <c r="A725" s="31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4.25" customHeight="1" x14ac:dyDescent="0.2">
      <c r="A726" s="31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4.25" customHeight="1" x14ac:dyDescent="0.2">
      <c r="A727" s="31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4.25" customHeight="1" x14ac:dyDescent="0.2">
      <c r="A728" s="31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4.25" customHeight="1" x14ac:dyDescent="0.2">
      <c r="A729" s="31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4.25" customHeight="1" x14ac:dyDescent="0.2">
      <c r="A730" s="31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4.25" customHeight="1" x14ac:dyDescent="0.2">
      <c r="A731" s="31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4.25" customHeight="1" x14ac:dyDescent="0.2">
      <c r="A732" s="31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4.25" customHeight="1" x14ac:dyDescent="0.2">
      <c r="A733" s="31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4.25" customHeight="1" x14ac:dyDescent="0.2">
      <c r="A734" s="31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4.25" customHeight="1" x14ac:dyDescent="0.2">
      <c r="A735" s="31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4.25" customHeight="1" x14ac:dyDescent="0.2">
      <c r="A736" s="31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4.25" customHeight="1" x14ac:dyDescent="0.2">
      <c r="A737" s="31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4.25" customHeight="1" x14ac:dyDescent="0.2">
      <c r="A738" s="31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4.25" customHeight="1" x14ac:dyDescent="0.2">
      <c r="A739" s="31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4.25" customHeight="1" x14ac:dyDescent="0.2">
      <c r="A740" s="31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4.25" customHeight="1" x14ac:dyDescent="0.2">
      <c r="A741" s="31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4.25" customHeight="1" x14ac:dyDescent="0.2">
      <c r="A742" s="31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4.25" customHeight="1" x14ac:dyDescent="0.2">
      <c r="A743" s="31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4.25" customHeight="1" x14ac:dyDescent="0.2">
      <c r="A744" s="31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4.25" customHeight="1" x14ac:dyDescent="0.2">
      <c r="A745" s="31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4.25" customHeight="1" x14ac:dyDescent="0.2">
      <c r="A746" s="31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4.25" customHeight="1" x14ac:dyDescent="0.2">
      <c r="A747" s="31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4.25" customHeight="1" x14ac:dyDescent="0.2">
      <c r="A748" s="31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4.25" customHeight="1" x14ac:dyDescent="0.2">
      <c r="A749" s="31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4.25" customHeight="1" x14ac:dyDescent="0.2">
      <c r="A750" s="31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4.25" customHeight="1" x14ac:dyDescent="0.2">
      <c r="A751" s="31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4.25" customHeight="1" x14ac:dyDescent="0.2">
      <c r="A752" s="31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4.25" customHeight="1" x14ac:dyDescent="0.2">
      <c r="A753" s="31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4.25" customHeight="1" x14ac:dyDescent="0.2">
      <c r="A754" s="31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4.25" customHeight="1" x14ac:dyDescent="0.2">
      <c r="A755" s="31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4.25" customHeight="1" x14ac:dyDescent="0.2">
      <c r="A756" s="31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4.25" customHeight="1" x14ac:dyDescent="0.2">
      <c r="A757" s="31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4.25" customHeight="1" x14ac:dyDescent="0.2">
      <c r="A758" s="31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4.25" customHeight="1" x14ac:dyDescent="0.2">
      <c r="A759" s="31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4.25" customHeight="1" x14ac:dyDescent="0.2">
      <c r="A760" s="31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4.25" customHeight="1" x14ac:dyDescent="0.2">
      <c r="A761" s="31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4.25" customHeight="1" x14ac:dyDescent="0.2">
      <c r="A762" s="31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4.25" customHeight="1" x14ac:dyDescent="0.2">
      <c r="A763" s="31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4.25" customHeight="1" x14ac:dyDescent="0.2">
      <c r="A764" s="31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4.25" customHeight="1" x14ac:dyDescent="0.2">
      <c r="A765" s="31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4.25" customHeight="1" x14ac:dyDescent="0.2">
      <c r="A766" s="31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4.25" customHeight="1" x14ac:dyDescent="0.2">
      <c r="A767" s="31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4.25" customHeight="1" x14ac:dyDescent="0.2">
      <c r="A768" s="31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4.25" customHeight="1" x14ac:dyDescent="0.2">
      <c r="A769" s="31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4.25" customHeight="1" x14ac:dyDescent="0.2">
      <c r="A770" s="31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4.25" customHeight="1" x14ac:dyDescent="0.2">
      <c r="A771" s="31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4.25" customHeight="1" x14ac:dyDescent="0.2">
      <c r="A772" s="31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4.25" customHeight="1" x14ac:dyDescent="0.2">
      <c r="A773" s="31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4.25" customHeight="1" x14ac:dyDescent="0.2">
      <c r="A774" s="31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4.25" customHeight="1" x14ac:dyDescent="0.2">
      <c r="A775" s="31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4.25" customHeight="1" x14ac:dyDescent="0.2">
      <c r="A776" s="31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4.25" customHeight="1" x14ac:dyDescent="0.2">
      <c r="A777" s="31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4.25" customHeight="1" x14ac:dyDescent="0.2">
      <c r="A778" s="31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4.25" customHeight="1" x14ac:dyDescent="0.2">
      <c r="A779" s="31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4.25" customHeight="1" x14ac:dyDescent="0.2">
      <c r="A780" s="31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4.25" customHeight="1" x14ac:dyDescent="0.2">
      <c r="A781" s="31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4.25" customHeight="1" x14ac:dyDescent="0.2">
      <c r="A782" s="31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4.25" customHeight="1" x14ac:dyDescent="0.2">
      <c r="A783" s="31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4.25" customHeight="1" x14ac:dyDescent="0.2">
      <c r="A784" s="31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4.25" customHeight="1" x14ac:dyDescent="0.2">
      <c r="A785" s="31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4.25" customHeight="1" x14ac:dyDescent="0.2">
      <c r="A786" s="31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4.25" customHeight="1" x14ac:dyDescent="0.2">
      <c r="A787" s="31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4.25" customHeight="1" x14ac:dyDescent="0.2">
      <c r="A788" s="31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4.25" customHeight="1" x14ac:dyDescent="0.2">
      <c r="A789" s="31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4.25" customHeight="1" x14ac:dyDescent="0.2">
      <c r="A790" s="31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4.25" customHeight="1" x14ac:dyDescent="0.2">
      <c r="A791" s="31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4.25" customHeight="1" x14ac:dyDescent="0.2">
      <c r="A792" s="31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4.25" customHeight="1" x14ac:dyDescent="0.2">
      <c r="A793" s="31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4.25" customHeight="1" x14ac:dyDescent="0.2">
      <c r="A794" s="31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4.25" customHeight="1" x14ac:dyDescent="0.2">
      <c r="A795" s="31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4.25" customHeight="1" x14ac:dyDescent="0.2">
      <c r="A796" s="31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4.25" customHeight="1" x14ac:dyDescent="0.2">
      <c r="A797" s="31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4.25" customHeight="1" x14ac:dyDescent="0.2">
      <c r="A798" s="31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4.25" customHeight="1" x14ac:dyDescent="0.2">
      <c r="A799" s="31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4.25" customHeight="1" x14ac:dyDescent="0.2">
      <c r="A800" s="31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4.25" customHeight="1" x14ac:dyDescent="0.2">
      <c r="A801" s="31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4.25" customHeight="1" x14ac:dyDescent="0.2">
      <c r="A802" s="31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4.25" customHeight="1" x14ac:dyDescent="0.2">
      <c r="A803" s="31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4.25" customHeight="1" x14ac:dyDescent="0.2">
      <c r="A804" s="31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4.25" customHeight="1" x14ac:dyDescent="0.2">
      <c r="A805" s="31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4.25" customHeight="1" x14ac:dyDescent="0.2">
      <c r="A806" s="31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4.25" customHeight="1" x14ac:dyDescent="0.2">
      <c r="A807" s="31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4.25" customHeight="1" x14ac:dyDescent="0.2">
      <c r="A808" s="31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4.25" customHeight="1" x14ac:dyDescent="0.2">
      <c r="A809" s="31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4.25" customHeight="1" x14ac:dyDescent="0.2">
      <c r="A810" s="31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4.25" customHeight="1" x14ac:dyDescent="0.2">
      <c r="A811" s="31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4.25" customHeight="1" x14ac:dyDescent="0.2">
      <c r="A812" s="31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4.25" customHeight="1" x14ac:dyDescent="0.2">
      <c r="A813" s="31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4.25" customHeight="1" x14ac:dyDescent="0.2">
      <c r="A814" s="31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4.25" customHeight="1" x14ac:dyDescent="0.2">
      <c r="A815" s="31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4.25" customHeight="1" x14ac:dyDescent="0.2">
      <c r="A816" s="31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4.25" customHeight="1" x14ac:dyDescent="0.2">
      <c r="A817" s="31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4.25" customHeight="1" x14ac:dyDescent="0.2">
      <c r="A818" s="31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4.25" customHeight="1" x14ac:dyDescent="0.2">
      <c r="A819" s="31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4.25" customHeight="1" x14ac:dyDescent="0.2">
      <c r="A820" s="31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4.25" customHeight="1" x14ac:dyDescent="0.2">
      <c r="A821" s="31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4.25" customHeight="1" x14ac:dyDescent="0.2">
      <c r="A822" s="31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4.25" customHeight="1" x14ac:dyDescent="0.2">
      <c r="A823" s="31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4.25" customHeight="1" x14ac:dyDescent="0.2">
      <c r="A824" s="31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4.25" customHeight="1" x14ac:dyDescent="0.2">
      <c r="A825" s="31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4.25" customHeight="1" x14ac:dyDescent="0.2">
      <c r="A826" s="31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4.25" customHeight="1" x14ac:dyDescent="0.2">
      <c r="A827" s="31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4.25" customHeight="1" x14ac:dyDescent="0.2">
      <c r="A828" s="31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4.25" customHeight="1" x14ac:dyDescent="0.2">
      <c r="A829" s="31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4.25" customHeight="1" x14ac:dyDescent="0.2">
      <c r="A830" s="31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4.25" customHeight="1" x14ac:dyDescent="0.2">
      <c r="A831" s="31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4.25" customHeight="1" x14ac:dyDescent="0.2">
      <c r="A832" s="31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4.25" customHeight="1" x14ac:dyDescent="0.2">
      <c r="A833" s="31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4.25" customHeight="1" x14ac:dyDescent="0.2">
      <c r="A834" s="31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4.25" customHeight="1" x14ac:dyDescent="0.2">
      <c r="A835" s="31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4.25" customHeight="1" x14ac:dyDescent="0.2">
      <c r="A836" s="31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4.25" customHeight="1" x14ac:dyDescent="0.2">
      <c r="A837" s="31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4.25" customHeight="1" x14ac:dyDescent="0.2">
      <c r="A838" s="31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4.25" customHeight="1" x14ac:dyDescent="0.2">
      <c r="A839" s="31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4.25" customHeight="1" x14ac:dyDescent="0.2">
      <c r="A840" s="31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4.25" customHeight="1" x14ac:dyDescent="0.2">
      <c r="A841" s="31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4.25" customHeight="1" x14ac:dyDescent="0.2">
      <c r="A842" s="31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4.25" customHeight="1" x14ac:dyDescent="0.2">
      <c r="A843" s="31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4.25" customHeight="1" x14ac:dyDescent="0.2">
      <c r="A844" s="31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4.25" customHeight="1" x14ac:dyDescent="0.2">
      <c r="A845" s="31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4.25" customHeight="1" x14ac:dyDescent="0.2">
      <c r="A846" s="31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4.25" customHeight="1" x14ac:dyDescent="0.2">
      <c r="A847" s="31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4.25" customHeight="1" x14ac:dyDescent="0.2">
      <c r="A848" s="31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4.25" customHeight="1" x14ac:dyDescent="0.2">
      <c r="A849" s="31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4.25" customHeight="1" x14ac:dyDescent="0.2">
      <c r="A850" s="31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4.25" customHeight="1" x14ac:dyDescent="0.2">
      <c r="A851" s="31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4.25" customHeight="1" x14ac:dyDescent="0.2">
      <c r="A852" s="31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4.25" customHeight="1" x14ac:dyDescent="0.2">
      <c r="A853" s="31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4.25" customHeight="1" x14ac:dyDescent="0.2">
      <c r="A854" s="31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4.25" customHeight="1" x14ac:dyDescent="0.2">
      <c r="A855" s="31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4.25" customHeight="1" x14ac:dyDescent="0.2">
      <c r="A856" s="31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4.25" customHeight="1" x14ac:dyDescent="0.2">
      <c r="A857" s="31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4.25" customHeight="1" x14ac:dyDescent="0.2">
      <c r="A858" s="31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4.25" customHeight="1" x14ac:dyDescent="0.2">
      <c r="A859" s="31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4.25" customHeight="1" x14ac:dyDescent="0.2">
      <c r="A860" s="31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4.25" customHeight="1" x14ac:dyDescent="0.2">
      <c r="A861" s="31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4.25" customHeight="1" x14ac:dyDescent="0.2">
      <c r="A862" s="31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4.25" customHeight="1" x14ac:dyDescent="0.2">
      <c r="A863" s="31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4.25" customHeight="1" x14ac:dyDescent="0.2">
      <c r="A864" s="31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4.25" customHeight="1" x14ac:dyDescent="0.2">
      <c r="A865" s="31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4.25" customHeight="1" x14ac:dyDescent="0.2">
      <c r="A866" s="31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4.25" customHeight="1" x14ac:dyDescent="0.2">
      <c r="A867" s="31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4.25" customHeight="1" x14ac:dyDescent="0.2">
      <c r="A868" s="31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4.25" customHeight="1" x14ac:dyDescent="0.2">
      <c r="A869" s="31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4.25" customHeight="1" x14ac:dyDescent="0.2">
      <c r="A870" s="31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4.25" customHeight="1" x14ac:dyDescent="0.2">
      <c r="A871" s="31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4.25" customHeight="1" x14ac:dyDescent="0.2">
      <c r="A872" s="31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4.25" customHeight="1" x14ac:dyDescent="0.2">
      <c r="A873" s="31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4.25" customHeight="1" x14ac:dyDescent="0.2">
      <c r="A874" s="31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4.25" customHeight="1" x14ac:dyDescent="0.2">
      <c r="A875" s="31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4.25" customHeight="1" x14ac:dyDescent="0.2">
      <c r="A876" s="31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4.25" customHeight="1" x14ac:dyDescent="0.2">
      <c r="A877" s="31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4.25" customHeight="1" x14ac:dyDescent="0.2">
      <c r="A878" s="31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4.25" customHeight="1" x14ac:dyDescent="0.2">
      <c r="A879" s="31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4.25" customHeight="1" x14ac:dyDescent="0.2">
      <c r="A880" s="31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4.25" customHeight="1" x14ac:dyDescent="0.2">
      <c r="A881" s="31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4.25" customHeight="1" x14ac:dyDescent="0.2">
      <c r="A882" s="31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4.25" customHeight="1" x14ac:dyDescent="0.2">
      <c r="A883" s="31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4.25" customHeight="1" x14ac:dyDescent="0.2">
      <c r="A884" s="31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4.25" customHeight="1" x14ac:dyDescent="0.2">
      <c r="A885" s="31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4.25" customHeight="1" x14ac:dyDescent="0.2">
      <c r="A886" s="31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4.25" customHeight="1" x14ac:dyDescent="0.2">
      <c r="A887" s="31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4.25" customHeight="1" x14ac:dyDescent="0.2">
      <c r="A888" s="31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4.25" customHeight="1" x14ac:dyDescent="0.2">
      <c r="A889" s="31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4.25" customHeight="1" x14ac:dyDescent="0.2">
      <c r="A890" s="31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4.25" customHeight="1" x14ac:dyDescent="0.2">
      <c r="A891" s="31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4.25" customHeight="1" x14ac:dyDescent="0.2">
      <c r="A892" s="31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4.25" customHeight="1" x14ac:dyDescent="0.2">
      <c r="A893" s="31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4.25" customHeight="1" x14ac:dyDescent="0.2">
      <c r="A894" s="31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4.25" customHeight="1" x14ac:dyDescent="0.2">
      <c r="A895" s="31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4.25" customHeight="1" x14ac:dyDescent="0.2">
      <c r="A896" s="31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4.25" customHeight="1" x14ac:dyDescent="0.2">
      <c r="A897" s="31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4.25" customHeight="1" x14ac:dyDescent="0.2">
      <c r="A898" s="31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4.25" customHeight="1" x14ac:dyDescent="0.2">
      <c r="A899" s="31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4.25" customHeight="1" x14ac:dyDescent="0.2">
      <c r="A900" s="31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4.25" customHeight="1" x14ac:dyDescent="0.2">
      <c r="A901" s="31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4.25" customHeight="1" x14ac:dyDescent="0.2">
      <c r="A902" s="31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4.25" customHeight="1" x14ac:dyDescent="0.2">
      <c r="A903" s="31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4.25" customHeight="1" x14ac:dyDescent="0.2">
      <c r="A904" s="31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4.25" customHeight="1" x14ac:dyDescent="0.2">
      <c r="A905" s="31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4.25" customHeight="1" x14ac:dyDescent="0.2">
      <c r="A906" s="31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4.25" customHeight="1" x14ac:dyDescent="0.2">
      <c r="A907" s="31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4.25" customHeight="1" x14ac:dyDescent="0.2">
      <c r="A908" s="31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4.25" customHeight="1" x14ac:dyDescent="0.2">
      <c r="A909" s="31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4.25" customHeight="1" x14ac:dyDescent="0.2">
      <c r="A910" s="31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4.25" customHeight="1" x14ac:dyDescent="0.2">
      <c r="A911" s="31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4.25" customHeight="1" x14ac:dyDescent="0.2">
      <c r="A912" s="31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4.25" customHeight="1" x14ac:dyDescent="0.2">
      <c r="A913" s="31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4.25" customHeight="1" x14ac:dyDescent="0.2">
      <c r="A914" s="31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4.25" customHeight="1" x14ac:dyDescent="0.2">
      <c r="A915" s="31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4.25" customHeight="1" x14ac:dyDescent="0.2">
      <c r="A916" s="31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4.25" customHeight="1" x14ac:dyDescent="0.2">
      <c r="A917" s="31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4.25" customHeight="1" x14ac:dyDescent="0.2">
      <c r="A918" s="31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4.25" customHeight="1" x14ac:dyDescent="0.2">
      <c r="A919" s="31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4.25" customHeight="1" x14ac:dyDescent="0.2">
      <c r="A920" s="31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4.25" customHeight="1" x14ac:dyDescent="0.2">
      <c r="A921" s="31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4.25" customHeight="1" x14ac:dyDescent="0.2">
      <c r="A922" s="31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4.25" customHeight="1" x14ac:dyDescent="0.2">
      <c r="A923" s="31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4.25" customHeight="1" x14ac:dyDescent="0.2">
      <c r="A924" s="31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4.25" customHeight="1" x14ac:dyDescent="0.2">
      <c r="A925" s="31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4.25" customHeight="1" x14ac:dyDescent="0.2">
      <c r="A926" s="31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4.25" customHeight="1" x14ac:dyDescent="0.2">
      <c r="A927" s="31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4.25" customHeight="1" x14ac:dyDescent="0.2">
      <c r="A928" s="31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4.25" customHeight="1" x14ac:dyDescent="0.2">
      <c r="A929" s="31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4.25" customHeight="1" x14ac:dyDescent="0.2">
      <c r="A930" s="31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4.25" customHeight="1" x14ac:dyDescent="0.2">
      <c r="A931" s="31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4.25" customHeight="1" x14ac:dyDescent="0.2">
      <c r="A932" s="31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4.25" customHeight="1" x14ac:dyDescent="0.2">
      <c r="A933" s="31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4.25" customHeight="1" x14ac:dyDescent="0.2">
      <c r="A934" s="31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4.25" customHeight="1" x14ac:dyDescent="0.2">
      <c r="A935" s="31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4.25" customHeight="1" x14ac:dyDescent="0.2">
      <c r="A936" s="31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4.25" customHeight="1" x14ac:dyDescent="0.2">
      <c r="A937" s="31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4.25" customHeight="1" x14ac:dyDescent="0.2">
      <c r="A938" s="31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4.25" customHeight="1" x14ac:dyDescent="0.2">
      <c r="A939" s="31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4.25" customHeight="1" x14ac:dyDescent="0.2">
      <c r="A940" s="31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4.25" customHeight="1" x14ac:dyDescent="0.2">
      <c r="A941" s="31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4.25" customHeight="1" x14ac:dyDescent="0.2">
      <c r="A942" s="31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4.25" customHeight="1" x14ac:dyDescent="0.2">
      <c r="A943" s="31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4.25" customHeight="1" x14ac:dyDescent="0.2">
      <c r="A944" s="31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4.25" customHeight="1" x14ac:dyDescent="0.2">
      <c r="A945" s="31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4.25" customHeight="1" x14ac:dyDescent="0.2">
      <c r="A946" s="31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4.25" customHeight="1" x14ac:dyDescent="0.2">
      <c r="A947" s="31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4.25" customHeight="1" x14ac:dyDescent="0.2">
      <c r="A948" s="31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4.25" customHeight="1" x14ac:dyDescent="0.2">
      <c r="A949" s="31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4.25" customHeight="1" x14ac:dyDescent="0.2">
      <c r="A950" s="31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4.25" customHeight="1" x14ac:dyDescent="0.2">
      <c r="A951" s="31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4.25" customHeight="1" x14ac:dyDescent="0.2">
      <c r="A952" s="31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4.25" customHeight="1" x14ac:dyDescent="0.2">
      <c r="A953" s="31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4.25" customHeight="1" x14ac:dyDescent="0.2">
      <c r="A954" s="31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4.25" customHeight="1" x14ac:dyDescent="0.2">
      <c r="A955" s="31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4.25" customHeight="1" x14ac:dyDescent="0.2">
      <c r="A956" s="31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4.25" customHeight="1" x14ac:dyDescent="0.2">
      <c r="A957" s="31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4.25" customHeight="1" x14ac:dyDescent="0.2">
      <c r="A958" s="31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4.25" customHeight="1" x14ac:dyDescent="0.2">
      <c r="A959" s="31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4.25" customHeight="1" x14ac:dyDescent="0.2">
      <c r="A960" s="31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4.25" customHeight="1" x14ac:dyDescent="0.2">
      <c r="A961" s="31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4.25" customHeight="1" x14ac:dyDescent="0.2">
      <c r="A962" s="31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4.25" customHeight="1" x14ac:dyDescent="0.2">
      <c r="A963" s="31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4.25" customHeight="1" x14ac:dyDescent="0.2">
      <c r="A964" s="31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4.25" customHeight="1" x14ac:dyDescent="0.2">
      <c r="A965" s="31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4.25" customHeight="1" x14ac:dyDescent="0.2">
      <c r="A966" s="31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4.25" customHeight="1" x14ac:dyDescent="0.2">
      <c r="A967" s="31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4.25" customHeight="1" x14ac:dyDescent="0.2">
      <c r="A968" s="31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4.25" customHeight="1" x14ac:dyDescent="0.2">
      <c r="A969" s="31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4.25" customHeight="1" x14ac:dyDescent="0.2">
      <c r="A970" s="31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4.25" customHeight="1" x14ac:dyDescent="0.2">
      <c r="A971" s="31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4.25" customHeight="1" x14ac:dyDescent="0.2">
      <c r="A972" s="31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4.25" customHeight="1" x14ac:dyDescent="0.2">
      <c r="A973" s="31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4.25" customHeight="1" x14ac:dyDescent="0.2">
      <c r="A974" s="31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4.25" customHeight="1" x14ac:dyDescent="0.2">
      <c r="A975" s="31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4.25" customHeight="1" x14ac:dyDescent="0.2">
      <c r="A976" s="31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4.25" customHeight="1" x14ac:dyDescent="0.2">
      <c r="A977" s="31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4.25" customHeight="1" x14ac:dyDescent="0.2">
      <c r="A978" s="31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4.25" customHeight="1" x14ac:dyDescent="0.2">
      <c r="A979" s="31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4.25" customHeight="1" x14ac:dyDescent="0.2">
      <c r="A980" s="31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4.25" customHeight="1" x14ac:dyDescent="0.2">
      <c r="A981" s="31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4.25" customHeight="1" x14ac:dyDescent="0.2">
      <c r="A982" s="31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4.25" customHeight="1" x14ac:dyDescent="0.2">
      <c r="A983" s="31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4.25" customHeight="1" x14ac:dyDescent="0.2">
      <c r="A984" s="31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4.25" customHeight="1" x14ac:dyDescent="0.2">
      <c r="A985" s="31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4.25" customHeight="1" x14ac:dyDescent="0.2">
      <c r="A986" s="31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4.25" customHeight="1" x14ac:dyDescent="0.2">
      <c r="A987" s="31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4.25" customHeight="1" x14ac:dyDescent="0.2">
      <c r="A988" s="31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4.25" customHeight="1" x14ac:dyDescent="0.2">
      <c r="A989" s="31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4.25" customHeight="1" x14ac:dyDescent="0.2">
      <c r="A990" s="31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4.25" customHeight="1" x14ac:dyDescent="0.2">
      <c r="A991" s="31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4.25" customHeight="1" x14ac:dyDescent="0.2">
      <c r="A992" s="31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4.25" customHeight="1" x14ac:dyDescent="0.2">
      <c r="A993" s="31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4.25" customHeight="1" x14ac:dyDescent="0.2">
      <c r="A994" s="31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4.25" customHeight="1" x14ac:dyDescent="0.2">
      <c r="A995" s="31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4.25" customHeight="1" x14ac:dyDescent="0.2">
      <c r="A996" s="31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4.25" customHeight="1" x14ac:dyDescent="0.2">
      <c r="A997" s="31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4.25" customHeight="1" x14ac:dyDescent="0.2">
      <c r="A998" s="31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4.25" customHeight="1" x14ac:dyDescent="0.2">
      <c r="A999" s="31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4.25" customHeight="1" x14ac:dyDescent="0.2">
      <c r="A1000" s="31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1">
    <mergeCell ref="B37:E37"/>
    <mergeCell ref="B50:E50"/>
    <mergeCell ref="B82:E82"/>
    <mergeCell ref="B91:E91"/>
    <mergeCell ref="B4:E5"/>
    <mergeCell ref="B7:E7"/>
    <mergeCell ref="B9:E9"/>
    <mergeCell ref="B10:B11"/>
    <mergeCell ref="C10:C11"/>
    <mergeCell ref="D10:D11"/>
    <mergeCell ref="E10:E11"/>
  </mergeCells>
  <pageMargins left="0.7" right="0.7" top="0.75" bottom="0.75" header="0" footer="0"/>
  <pageSetup scale="9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BB729"/>
    <pageSetUpPr fitToPage="1"/>
  </sheetPr>
  <dimension ref="A1:Z1000"/>
  <sheetViews>
    <sheetView showGridLines="0" workbookViewId="0">
      <pane xSplit="1" ySplit="7" topLeftCell="B48" activePane="bottomRight" state="frozen"/>
      <selection pane="topRight" activeCell="B1" sqref="B1"/>
      <selection pane="bottomLeft" activeCell="A8" sqref="A8"/>
      <selection pane="bottomRight" activeCell="D70" sqref="D70"/>
    </sheetView>
  </sheetViews>
  <sheetFormatPr baseColWidth="10" defaultColWidth="14.5" defaultRowHeight="15" customHeight="1" x14ac:dyDescent="0.2"/>
  <cols>
    <col min="1" max="1" width="7.83203125" customWidth="1"/>
    <col min="2" max="2" width="1.83203125" customWidth="1"/>
    <col min="3" max="3" width="74.1640625" customWidth="1"/>
    <col min="4" max="4" width="18.5" customWidth="1"/>
    <col min="5" max="5" width="19.5" customWidth="1"/>
    <col min="6" max="6" width="20.1640625" customWidth="1"/>
    <col min="7" max="7" width="12.5" customWidth="1"/>
    <col min="8" max="8" width="12.1640625" customWidth="1"/>
    <col min="9" max="9" width="16.33203125" customWidth="1"/>
    <col min="10" max="10" width="8.1640625" customWidth="1"/>
    <col min="11" max="11" width="14.1640625" customWidth="1"/>
    <col min="12" max="12" width="11" customWidth="1"/>
    <col min="13" max="13" width="8.5" customWidth="1"/>
    <col min="14" max="14" width="8.1640625" customWidth="1"/>
    <col min="15" max="15" width="10" customWidth="1"/>
    <col min="16" max="17" width="8.1640625" customWidth="1"/>
    <col min="18" max="19" width="8.6640625" customWidth="1"/>
    <col min="20" max="23" width="8.1640625" customWidth="1"/>
    <col min="24" max="24" width="8.5" customWidth="1"/>
    <col min="25" max="26" width="8.1640625" customWidth="1"/>
  </cols>
  <sheetData>
    <row r="1" spans="1:26" ht="14.25" customHeight="1" x14ac:dyDescent="0.3">
      <c r="A1" s="1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1"/>
      <c r="X1" s="3"/>
      <c r="Y1" s="1"/>
      <c r="Z1" s="1"/>
    </row>
    <row r="2" spans="1:26" ht="14.25" customHeight="1" x14ac:dyDescent="0.3">
      <c r="A2" s="4"/>
      <c r="B2" s="4"/>
      <c r="C2" s="5" t="s"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4"/>
      <c r="X2" s="6"/>
      <c r="Y2" s="4"/>
      <c r="Z2" s="4"/>
    </row>
    <row r="3" spans="1:26" ht="14.25" customHeight="1" x14ac:dyDescent="0.2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</row>
    <row r="4" spans="1:26" ht="19.5" customHeight="1" x14ac:dyDescent="0.2">
      <c r="C4" s="131" t="s">
        <v>60</v>
      </c>
      <c r="D4" s="132"/>
      <c r="E4" s="132"/>
      <c r="F4" s="133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</row>
    <row r="5" spans="1:26" ht="15" customHeight="1" x14ac:dyDescent="0.2">
      <c r="C5" s="134"/>
      <c r="D5" s="135"/>
      <c r="E5" s="135"/>
      <c r="F5" s="136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</row>
    <row r="6" spans="1:26" ht="14.25" customHeight="1" x14ac:dyDescent="0.2">
      <c r="C6" s="72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</row>
    <row r="7" spans="1:26" ht="27.75" customHeight="1" x14ac:dyDescent="0.2">
      <c r="C7" s="137" t="s">
        <v>108</v>
      </c>
      <c r="D7" s="129"/>
      <c r="E7" s="129"/>
      <c r="F7" s="130"/>
      <c r="G7" s="73"/>
      <c r="H7" s="73"/>
      <c r="I7" s="73"/>
      <c r="J7" s="73"/>
      <c r="K7" s="74"/>
      <c r="L7" s="74"/>
      <c r="M7" s="74"/>
      <c r="N7" s="74"/>
      <c r="O7" s="74"/>
      <c r="P7" s="74"/>
      <c r="Q7" s="74"/>
      <c r="R7" s="74"/>
      <c r="S7" s="73"/>
      <c r="T7" s="73"/>
      <c r="U7" s="73"/>
      <c r="V7" s="73"/>
      <c r="W7" s="73"/>
      <c r="X7" s="73"/>
      <c r="Y7" s="73"/>
      <c r="Z7" s="73"/>
    </row>
    <row r="8" spans="1:26" ht="4.5" customHeight="1" x14ac:dyDescent="0.2">
      <c r="C8" s="11"/>
      <c r="D8" s="12"/>
      <c r="E8" s="12"/>
      <c r="F8" s="13"/>
      <c r="G8" s="73"/>
      <c r="H8" s="73"/>
      <c r="I8" s="73"/>
      <c r="J8" s="73"/>
      <c r="K8" s="74"/>
      <c r="L8" s="74"/>
      <c r="M8" s="74"/>
      <c r="N8" s="74"/>
      <c r="O8" s="74"/>
      <c r="P8" s="74"/>
      <c r="Q8" s="74"/>
      <c r="R8" s="74"/>
      <c r="S8" s="73"/>
      <c r="T8" s="73"/>
      <c r="U8" s="73"/>
      <c r="V8" s="73"/>
      <c r="W8" s="73"/>
      <c r="X8" s="73"/>
      <c r="Y8" s="73"/>
      <c r="Z8" s="73"/>
    </row>
    <row r="9" spans="1:26" ht="14.25" customHeight="1" x14ac:dyDescent="0.2">
      <c r="C9" s="128" t="s">
        <v>61</v>
      </c>
      <c r="D9" s="129"/>
      <c r="E9" s="129"/>
      <c r="F9" s="130"/>
      <c r="L9" s="75"/>
      <c r="M9" s="75"/>
      <c r="N9" s="75"/>
      <c r="O9" s="75"/>
      <c r="P9" s="75"/>
      <c r="Q9" s="75"/>
      <c r="R9" s="75"/>
      <c r="S9" s="73"/>
      <c r="T9" s="73"/>
      <c r="U9" s="73"/>
      <c r="V9" s="73"/>
      <c r="W9" s="73"/>
      <c r="X9" s="73"/>
      <c r="Y9" s="73"/>
      <c r="Z9" s="73"/>
    </row>
    <row r="10" spans="1:26" ht="30" customHeight="1" x14ac:dyDescent="0.2">
      <c r="C10" s="138" t="s">
        <v>62</v>
      </c>
      <c r="D10" s="138" t="s">
        <v>63</v>
      </c>
      <c r="E10" s="138" t="s">
        <v>5</v>
      </c>
      <c r="F10" s="138" t="s">
        <v>64</v>
      </c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r="11" spans="1:26" ht="14.25" customHeight="1" x14ac:dyDescent="0.2">
      <c r="C11" s="140"/>
      <c r="D11" s="140"/>
      <c r="E11" s="140"/>
      <c r="F11" s="140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 spans="1:26" ht="16.5" customHeight="1" x14ac:dyDescent="0.2">
      <c r="C12" s="76" t="s">
        <v>65</v>
      </c>
      <c r="D12" s="15">
        <v>-1.73</v>
      </c>
      <c r="E12" s="77">
        <v>5.0000000000000001E-3</v>
      </c>
      <c r="F12" s="78">
        <f t="shared" ref="F12:F29" si="0">D12*E12</f>
        <v>-8.6499999999999997E-3</v>
      </c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 spans="1:26" ht="14.25" customHeight="1" x14ac:dyDescent="0.2">
      <c r="C13" s="79" t="s">
        <v>66</v>
      </c>
      <c r="D13" s="19">
        <v>1.23</v>
      </c>
      <c r="E13" s="80">
        <v>3.0000000000000001E-3</v>
      </c>
      <c r="F13" s="81">
        <f t="shared" si="0"/>
        <v>3.6900000000000001E-3</v>
      </c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 spans="1:26" ht="14.25" customHeight="1" x14ac:dyDescent="0.2">
      <c r="C14" s="82" t="s">
        <v>67</v>
      </c>
      <c r="D14" s="19">
        <v>0.66</v>
      </c>
      <c r="E14" s="80">
        <v>-1.9E-2</v>
      </c>
      <c r="F14" s="81">
        <f t="shared" si="0"/>
        <v>-1.2540000000000001E-2</v>
      </c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 spans="1:26" ht="14.25" customHeight="1" x14ac:dyDescent="0.2">
      <c r="C15" s="79" t="s">
        <v>68</v>
      </c>
      <c r="D15" s="19">
        <v>0.13</v>
      </c>
      <c r="E15" s="80">
        <v>0.52</v>
      </c>
      <c r="F15" s="81">
        <f t="shared" si="0"/>
        <v>6.7600000000000007E-2</v>
      </c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 spans="1:26" ht="14.25" customHeight="1" x14ac:dyDescent="0.2">
      <c r="C16" s="79" t="s">
        <v>69</v>
      </c>
      <c r="D16" s="19">
        <v>0.7</v>
      </c>
      <c r="E16" s="80">
        <v>-0.12</v>
      </c>
      <c r="F16" s="81">
        <f t="shared" si="0"/>
        <v>-8.3999999999999991E-2</v>
      </c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</row>
    <row r="17" spans="3:26" ht="14.25" customHeight="1" x14ac:dyDescent="0.2">
      <c r="C17" s="79" t="s">
        <v>70</v>
      </c>
      <c r="D17" s="19">
        <v>-0.49</v>
      </c>
      <c r="E17" s="80">
        <v>-0.12</v>
      </c>
      <c r="F17" s="81">
        <f t="shared" si="0"/>
        <v>5.8799999999999998E-2</v>
      </c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</row>
    <row r="18" spans="3:26" ht="14.25" customHeight="1" x14ac:dyDescent="0.2">
      <c r="C18" s="79" t="s">
        <v>71</v>
      </c>
      <c r="D18" s="19">
        <v>-0.26</v>
      </c>
      <c r="E18" s="80">
        <v>0.2</v>
      </c>
      <c r="F18" s="81">
        <f t="shared" si="0"/>
        <v>-5.2000000000000005E-2</v>
      </c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 spans="3:26" ht="17.25" customHeight="1" x14ac:dyDescent="0.2">
      <c r="C19" s="79" t="s">
        <v>72</v>
      </c>
      <c r="D19" s="19">
        <v>0.84</v>
      </c>
      <c r="E19" s="80">
        <v>2.0000000000000001E-4</v>
      </c>
      <c r="F19" s="81">
        <f t="shared" si="0"/>
        <v>1.6799999999999999E-4</v>
      </c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</row>
    <row r="20" spans="3:26" ht="14.25" customHeight="1" x14ac:dyDescent="0.2">
      <c r="C20" s="79" t="s">
        <v>73</v>
      </c>
      <c r="D20" s="19">
        <v>0.04</v>
      </c>
      <c r="E20" s="80">
        <v>1E-3</v>
      </c>
      <c r="F20" s="81">
        <f t="shared" si="0"/>
        <v>4.0000000000000003E-5</v>
      </c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</row>
    <row r="21" spans="3:26" ht="15" customHeight="1" x14ac:dyDescent="0.2">
      <c r="C21" s="79" t="s">
        <v>74</v>
      </c>
      <c r="D21" s="19">
        <v>0.37</v>
      </c>
      <c r="E21" s="80">
        <v>0.05</v>
      </c>
      <c r="F21" s="81">
        <f t="shared" si="0"/>
        <v>1.8499999999999999E-2</v>
      </c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 spans="3:26" ht="15.75" customHeight="1" x14ac:dyDescent="0.2">
      <c r="C22" s="79" t="s">
        <v>75</v>
      </c>
      <c r="D22" s="19">
        <v>0.09</v>
      </c>
      <c r="E22" s="80">
        <v>0.01</v>
      </c>
      <c r="F22" s="81">
        <f t="shared" si="0"/>
        <v>8.9999999999999998E-4</v>
      </c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</row>
    <row r="23" spans="3:26" ht="14.25" customHeight="1" x14ac:dyDescent="0.2">
      <c r="C23" s="79" t="s">
        <v>76</v>
      </c>
      <c r="D23" s="19">
        <v>-0.3</v>
      </c>
      <c r="E23" s="80">
        <v>0.15</v>
      </c>
      <c r="F23" s="81">
        <f t="shared" si="0"/>
        <v>-4.4999999999999998E-2</v>
      </c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</row>
    <row r="24" spans="3:26" ht="14.25" customHeight="1" x14ac:dyDescent="0.2">
      <c r="C24" s="79" t="s">
        <v>77</v>
      </c>
      <c r="D24" s="19">
        <v>1.86</v>
      </c>
      <c r="E24" s="80">
        <v>4.0000000000000001E-3</v>
      </c>
      <c r="F24" s="81">
        <f t="shared" si="0"/>
        <v>7.4400000000000004E-3</v>
      </c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</row>
    <row r="25" spans="3:26" ht="14.25" customHeight="1" x14ac:dyDescent="0.2">
      <c r="C25" s="79" t="s">
        <v>78</v>
      </c>
      <c r="D25" s="19">
        <v>0.86</v>
      </c>
      <c r="E25" s="80">
        <v>3.0000000000000001E-3</v>
      </c>
      <c r="F25" s="81">
        <f t="shared" si="0"/>
        <v>2.5799999999999998E-3</v>
      </c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 spans="3:26" ht="14.25" customHeight="1" x14ac:dyDescent="0.2">
      <c r="C26" s="79" t="s">
        <v>79</v>
      </c>
      <c r="D26" s="19">
        <v>-2.12</v>
      </c>
      <c r="E26" s="80">
        <v>0.05</v>
      </c>
      <c r="F26" s="81">
        <f t="shared" si="0"/>
        <v>-0.10600000000000001</v>
      </c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 spans="3:26" ht="14.25" customHeight="1" x14ac:dyDescent="0.2">
      <c r="C27" s="79" t="s">
        <v>80</v>
      </c>
      <c r="D27" s="19">
        <v>0.31</v>
      </c>
      <c r="E27" s="80">
        <v>0</v>
      </c>
      <c r="F27" s="81">
        <f t="shared" si="0"/>
        <v>0</v>
      </c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 spans="3:26" ht="14.25" customHeight="1" x14ac:dyDescent="0.2">
      <c r="C28" s="79" t="s">
        <v>81</v>
      </c>
      <c r="D28" s="19">
        <v>4.33</v>
      </c>
      <c r="E28" s="80">
        <v>1</v>
      </c>
      <c r="F28" s="81">
        <f t="shared" si="0"/>
        <v>4.33</v>
      </c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</row>
    <row r="29" spans="3:26" ht="14.25" customHeight="1" x14ac:dyDescent="0.2">
      <c r="C29" s="84" t="s">
        <v>82</v>
      </c>
      <c r="D29" s="27">
        <v>1</v>
      </c>
      <c r="E29" s="85">
        <v>0.25</v>
      </c>
      <c r="F29" s="86">
        <f t="shared" si="0"/>
        <v>0.25</v>
      </c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 spans="3:26" ht="18.75" customHeight="1" x14ac:dyDescent="0.2">
      <c r="C30" s="30" t="s">
        <v>83</v>
      </c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</row>
    <row r="31" spans="3:26" ht="14.25" customHeight="1" x14ac:dyDescent="0.2">
      <c r="C31" s="87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 spans="3:26" ht="14.25" customHeight="1" x14ac:dyDescent="0.2">
      <c r="C32" s="87" t="s">
        <v>84</v>
      </c>
      <c r="D32" s="73"/>
      <c r="E32" s="73"/>
      <c r="F32" s="88">
        <f>SUM(F12:F29)</f>
        <v>4.4315280000000001</v>
      </c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spans="3:26" ht="14.25" customHeight="1" x14ac:dyDescent="0.2">
      <c r="C33" s="87" t="s">
        <v>85</v>
      </c>
      <c r="D33" s="73"/>
      <c r="E33" s="73"/>
      <c r="F33" s="89">
        <v>-13.868472000000001</v>
      </c>
      <c r="G33" s="14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 spans="3:26" ht="14.25" customHeight="1" x14ac:dyDescent="0.2">
      <c r="C34" s="87" t="s">
        <v>86</v>
      </c>
      <c r="D34" s="73"/>
      <c r="E34" s="73"/>
      <c r="F34" s="90">
        <f>F33-F32</f>
        <v>-18.3</v>
      </c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 spans="3:26" ht="19.5" customHeight="1" x14ac:dyDescent="0.2">
      <c r="C35" s="87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 spans="3:26" ht="14.25" customHeight="1" x14ac:dyDescent="0.2">
      <c r="C36" s="128" t="s">
        <v>41</v>
      </c>
      <c r="D36" s="129"/>
      <c r="E36" s="129"/>
      <c r="F36" s="130"/>
      <c r="G36" s="73"/>
      <c r="H36" s="73"/>
      <c r="I36" s="73"/>
      <c r="J36" s="73"/>
      <c r="K36" s="91"/>
      <c r="L36" s="91"/>
      <c r="M36" s="91"/>
      <c r="N36" s="91"/>
      <c r="O36" s="91"/>
      <c r="P36" s="91"/>
      <c r="Q36" s="91"/>
      <c r="R36" s="91"/>
      <c r="S36" s="73"/>
      <c r="T36" s="73"/>
      <c r="U36" s="73"/>
      <c r="V36" s="73"/>
      <c r="W36" s="73"/>
      <c r="X36" s="73"/>
      <c r="Y36" s="73"/>
      <c r="Z36" s="73"/>
    </row>
    <row r="37" spans="3:26" ht="14.25" customHeight="1" x14ac:dyDescent="0.2">
      <c r="C37" s="87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 spans="3:26" ht="14.25" customHeight="1" x14ac:dyDescent="0.2">
      <c r="C38" s="92" t="s">
        <v>87</v>
      </c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 spans="3:26" ht="14.25" customHeight="1" x14ac:dyDescent="0.2">
      <c r="C39" s="93" t="s">
        <v>43</v>
      </c>
      <c r="D39" s="94">
        <v>-4.0000000000000001E-3</v>
      </c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 spans="3:26" ht="14.25" customHeight="1" x14ac:dyDescent="0.2">
      <c r="C40" s="93" t="s">
        <v>44</v>
      </c>
      <c r="D40" s="94">
        <v>0</v>
      </c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 spans="3:26" ht="14.25" customHeight="1" x14ac:dyDescent="0.2">
      <c r="C41" s="93" t="s">
        <v>45</v>
      </c>
      <c r="D41" s="95">
        <f>D39-D40</f>
        <v>-4.0000000000000001E-3</v>
      </c>
      <c r="E41" s="142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 spans="3:26" ht="14.25" customHeight="1" x14ac:dyDescent="0.2">
      <c r="C42" s="93" t="s">
        <v>46</v>
      </c>
      <c r="D42" s="96">
        <f>D41*D12</f>
        <v>6.9199999999999999E-3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 spans="3:26" ht="14.25" customHeight="1" x14ac:dyDescent="0.2">
      <c r="C43" s="87"/>
      <c r="D43" s="97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 spans="3:26" ht="14.25" customHeight="1" x14ac:dyDescent="0.2">
      <c r="C44" s="92" t="s">
        <v>88</v>
      </c>
      <c r="D44" s="97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 spans="3:26" ht="14.25" customHeight="1" x14ac:dyDescent="0.2">
      <c r="C45" s="93" t="s">
        <v>43</v>
      </c>
      <c r="D45" s="94">
        <v>1.4999999999999999E-2</v>
      </c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 spans="3:26" ht="14.25" customHeight="1" x14ac:dyDescent="0.2">
      <c r="C46" s="93" t="s">
        <v>44</v>
      </c>
      <c r="D46" s="94">
        <v>0.01</v>
      </c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 spans="3:26" ht="14.25" customHeight="1" x14ac:dyDescent="0.2">
      <c r="C47" s="93" t="s">
        <v>45</v>
      </c>
      <c r="D47" s="95">
        <f>D45-D46</f>
        <v>4.9999999999999992E-3</v>
      </c>
      <c r="E47" s="142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 spans="3:26" ht="14.25" customHeight="1" x14ac:dyDescent="0.2">
      <c r="C48" s="93" t="s">
        <v>46</v>
      </c>
      <c r="D48" s="96">
        <f>D47*D13</f>
        <v>6.1499999999999992E-3</v>
      </c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 spans="3:26" ht="14.25" customHeight="1" x14ac:dyDescent="0.2">
      <c r="C49" s="87"/>
      <c r="D49" s="97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 spans="3:26" ht="14.25" customHeight="1" x14ac:dyDescent="0.2">
      <c r="C50" s="92" t="s">
        <v>89</v>
      </c>
      <c r="D50" s="97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 spans="3:26" ht="14.25" customHeight="1" x14ac:dyDescent="0.2">
      <c r="C51" s="93" t="s">
        <v>43</v>
      </c>
      <c r="D51" s="94">
        <v>-4.0000000000000001E-3</v>
      </c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 spans="3:26" ht="14.25" customHeight="1" x14ac:dyDescent="0.2">
      <c r="C52" s="93" t="s">
        <v>44</v>
      </c>
      <c r="D52" s="94">
        <v>-7.0000000000000001E-3</v>
      </c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 spans="3:26" ht="14.25" customHeight="1" x14ac:dyDescent="0.2">
      <c r="C53" s="93" t="s">
        <v>45</v>
      </c>
      <c r="D53" s="95">
        <f>D51-D52</f>
        <v>3.0000000000000001E-3</v>
      </c>
      <c r="E53" s="142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 spans="3:26" ht="14.25" customHeight="1" x14ac:dyDescent="0.2">
      <c r="C54" s="93" t="s">
        <v>46</v>
      </c>
      <c r="D54" s="96">
        <f>D53*D15</f>
        <v>3.9000000000000005E-4</v>
      </c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 spans="3:26" ht="14.25" customHeight="1" x14ac:dyDescent="0.2">
      <c r="C55" s="87"/>
      <c r="D55" s="97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 spans="3:26" ht="14.25" customHeight="1" x14ac:dyDescent="0.2">
      <c r="C56" s="92" t="s">
        <v>90</v>
      </c>
      <c r="D56" s="97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 spans="3:26" ht="14.25" customHeight="1" x14ac:dyDescent="0.2">
      <c r="C57" s="93" t="s">
        <v>43</v>
      </c>
      <c r="D57" s="94">
        <v>-1.0999999999999999E-2</v>
      </c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 spans="3:26" ht="14.25" customHeight="1" x14ac:dyDescent="0.2">
      <c r="C58" s="93" t="s">
        <v>44</v>
      </c>
      <c r="D58" s="94">
        <v>-3.1E-2</v>
      </c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 spans="3:26" ht="14.25" customHeight="1" x14ac:dyDescent="0.2">
      <c r="C59" s="93" t="s">
        <v>45</v>
      </c>
      <c r="D59" s="95">
        <f>D57-D58</f>
        <v>0.02</v>
      </c>
      <c r="E59" s="142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 spans="3:26" ht="14.25" customHeight="1" x14ac:dyDescent="0.2">
      <c r="C60" s="93" t="s">
        <v>46</v>
      </c>
      <c r="D60" s="96">
        <f>D59*D14</f>
        <v>1.3200000000000002E-2</v>
      </c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 spans="3:26" ht="14.25" customHeight="1" x14ac:dyDescent="0.2">
      <c r="C61" s="87"/>
      <c r="D61" s="97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 spans="3:26" ht="14.25" customHeight="1" x14ac:dyDescent="0.2">
      <c r="C62" s="98" t="s">
        <v>50</v>
      </c>
      <c r="D62" s="97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 spans="3:26" ht="14.25" customHeight="1" x14ac:dyDescent="0.2">
      <c r="C63" s="93" t="s">
        <v>46</v>
      </c>
      <c r="D63" s="96">
        <v>-3.0000000000000001E-3</v>
      </c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 spans="3:26" ht="14.25" customHeight="1" x14ac:dyDescent="0.2">
      <c r="C64" s="87"/>
      <c r="D64" s="97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 spans="3:26" ht="14.25" customHeight="1" x14ac:dyDescent="0.2">
      <c r="C65" s="92" t="s">
        <v>91</v>
      </c>
      <c r="D65" s="99">
        <f>D42+D48+D54+D60+D63</f>
        <v>2.366E-2</v>
      </c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 spans="3:26" ht="14.25" customHeight="1" x14ac:dyDescent="0.2">
      <c r="C66" s="87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 spans="3:26" ht="14.25" customHeight="1" x14ac:dyDescent="0.2">
      <c r="C67" s="128" t="s">
        <v>92</v>
      </c>
      <c r="D67" s="129"/>
      <c r="E67" s="129"/>
      <c r="F67" s="130"/>
      <c r="G67" s="73"/>
      <c r="H67" s="73"/>
      <c r="I67" s="73"/>
      <c r="J67" s="73"/>
      <c r="K67" s="91"/>
      <c r="L67" s="91"/>
      <c r="M67" s="91"/>
      <c r="N67" s="91"/>
      <c r="O67" s="91"/>
      <c r="P67" s="91"/>
      <c r="Q67" s="91"/>
      <c r="R67" s="91"/>
      <c r="S67" s="73"/>
      <c r="T67" s="73"/>
      <c r="U67" s="73"/>
      <c r="V67" s="73"/>
      <c r="W67" s="73"/>
      <c r="X67" s="73"/>
      <c r="Y67" s="73"/>
      <c r="Z67" s="73"/>
    </row>
    <row r="68" spans="3:26" ht="14.25" customHeight="1" x14ac:dyDescent="0.2">
      <c r="C68" s="92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 spans="3:26" ht="14.25" customHeight="1" x14ac:dyDescent="0.2">
      <c r="C69" s="87" t="s">
        <v>93</v>
      </c>
      <c r="D69" s="97">
        <f>D65</f>
        <v>2.366E-2</v>
      </c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 spans="3:26" ht="14.25" customHeight="1" x14ac:dyDescent="0.2">
      <c r="C70" s="87" t="s">
        <v>94</v>
      </c>
      <c r="D70" s="144">
        <f>-18.3%</f>
        <v>-0.183</v>
      </c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 spans="3:26" ht="14.25" customHeight="1" x14ac:dyDescent="0.2">
      <c r="C71" s="87" t="s">
        <v>95</v>
      </c>
      <c r="D71" s="100">
        <f>D69+D70</f>
        <v>-0.15933999999999998</v>
      </c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 spans="3:26" ht="14.25" customHeight="1" x14ac:dyDescent="0.2"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 spans="3:26" ht="14.25" customHeight="1" x14ac:dyDescent="0.2"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 spans="3:26" ht="14.25" customHeight="1" x14ac:dyDescent="0.2"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 spans="3:26" ht="14.25" customHeight="1" x14ac:dyDescent="0.2"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 spans="3:26" ht="14.25" customHeight="1" x14ac:dyDescent="0.2"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 spans="3:26" ht="14.25" customHeight="1" x14ac:dyDescent="0.2"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 spans="3:26" ht="14.25" customHeight="1" x14ac:dyDescent="0.2"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 spans="3:26" ht="14.25" customHeight="1" x14ac:dyDescent="0.2"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 spans="3:26" ht="14.25" customHeight="1" x14ac:dyDescent="0.2"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 spans="6:26" ht="14.25" customHeight="1" x14ac:dyDescent="0.2"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</row>
    <row r="82" spans="6:26" ht="14.25" customHeight="1" x14ac:dyDescent="0.2"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</row>
    <row r="83" spans="6:26" ht="14.25" customHeight="1" x14ac:dyDescent="0.2"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 spans="6:26" ht="14.25" customHeight="1" x14ac:dyDescent="0.2"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 spans="6:26" ht="14.25" customHeight="1" x14ac:dyDescent="0.2"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 spans="6:26" ht="14.25" customHeight="1" x14ac:dyDescent="0.2"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</row>
    <row r="87" spans="6:26" ht="14.25" customHeight="1" x14ac:dyDescent="0.2"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 spans="6:26" ht="14.25" customHeight="1" x14ac:dyDescent="0.2"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 spans="6:26" ht="14.25" customHeight="1" x14ac:dyDescent="0.2"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 spans="6:26" ht="14.25" customHeight="1" x14ac:dyDescent="0.2"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</row>
    <row r="91" spans="6:26" ht="14.25" customHeight="1" x14ac:dyDescent="0.2"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 spans="6:26" ht="14.25" customHeight="1" x14ac:dyDescent="0.2"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 spans="6:26" ht="14.25" customHeight="1" x14ac:dyDescent="0.2"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</row>
    <row r="94" spans="6:26" ht="14.25" customHeight="1" x14ac:dyDescent="0.2"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 spans="6:26" ht="14.25" customHeight="1" x14ac:dyDescent="0.2"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 spans="6:26" ht="14.25" customHeight="1" x14ac:dyDescent="0.2"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</row>
    <row r="97" spans="6:26" ht="14.25" customHeight="1" x14ac:dyDescent="0.2"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</row>
    <row r="98" spans="6:26" ht="14.25" customHeight="1" x14ac:dyDescent="0.2"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</row>
    <row r="99" spans="6:26" ht="14.25" customHeight="1" x14ac:dyDescent="0.2"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</row>
    <row r="100" spans="6:26" ht="14.25" customHeight="1" x14ac:dyDescent="0.2"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</row>
    <row r="101" spans="6:26" ht="14.25" customHeight="1" x14ac:dyDescent="0.2"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</row>
    <row r="102" spans="6:26" ht="14.25" customHeight="1" x14ac:dyDescent="0.2"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</row>
    <row r="103" spans="6:26" ht="14.25" customHeight="1" x14ac:dyDescent="0.2"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</row>
    <row r="104" spans="6:26" ht="14.25" customHeight="1" x14ac:dyDescent="0.2"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</row>
    <row r="105" spans="6:26" ht="14.25" customHeight="1" x14ac:dyDescent="0.2"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</row>
    <row r="106" spans="6:26" ht="14.25" customHeight="1" x14ac:dyDescent="0.2"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</row>
    <row r="107" spans="6:26" ht="14.25" customHeight="1" x14ac:dyDescent="0.2"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</row>
    <row r="108" spans="6:26" ht="14.25" customHeight="1" x14ac:dyDescent="0.2"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</row>
    <row r="109" spans="6:26" ht="14.25" customHeight="1" x14ac:dyDescent="0.2"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</row>
    <row r="110" spans="6:26" ht="14.25" customHeight="1" x14ac:dyDescent="0.2"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</row>
    <row r="111" spans="6:26" ht="14.25" customHeight="1" x14ac:dyDescent="0.2"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</row>
    <row r="112" spans="6:26" ht="14.25" customHeight="1" x14ac:dyDescent="0.2"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</row>
    <row r="113" spans="6:26" ht="14.25" customHeight="1" x14ac:dyDescent="0.2"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</row>
    <row r="114" spans="6:26" ht="14.25" customHeight="1" x14ac:dyDescent="0.2"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</row>
    <row r="115" spans="6:26" ht="14.25" customHeight="1" x14ac:dyDescent="0.2"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</row>
    <row r="116" spans="6:26" ht="14.25" customHeight="1" x14ac:dyDescent="0.2"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</row>
    <row r="117" spans="6:26" ht="14.25" customHeight="1" x14ac:dyDescent="0.2"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</row>
    <row r="118" spans="6:26" ht="14.25" customHeight="1" x14ac:dyDescent="0.2"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</row>
    <row r="119" spans="6:26" ht="14.25" customHeight="1" x14ac:dyDescent="0.2"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</row>
    <row r="120" spans="6:26" ht="14.25" customHeight="1" x14ac:dyDescent="0.2"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</row>
    <row r="121" spans="6:26" ht="14.25" customHeight="1" x14ac:dyDescent="0.2"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</row>
    <row r="122" spans="6:26" ht="14.25" customHeight="1" x14ac:dyDescent="0.2"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</row>
    <row r="123" spans="6:26" ht="14.25" customHeight="1" x14ac:dyDescent="0.2"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</row>
    <row r="124" spans="6:26" ht="14.25" customHeight="1" x14ac:dyDescent="0.2"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</row>
    <row r="125" spans="6:26" ht="14.25" customHeight="1" x14ac:dyDescent="0.2"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</row>
    <row r="126" spans="6:26" ht="14.25" customHeight="1" x14ac:dyDescent="0.2"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</row>
    <row r="127" spans="6:26" ht="14.25" customHeight="1" x14ac:dyDescent="0.2"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</row>
    <row r="128" spans="6:26" ht="14.25" customHeight="1" x14ac:dyDescent="0.2"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</row>
    <row r="129" spans="6:26" ht="14.25" customHeight="1" x14ac:dyDescent="0.2"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</row>
    <row r="130" spans="6:26" ht="14.25" customHeight="1" x14ac:dyDescent="0.2"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</row>
    <row r="131" spans="6:26" ht="14.25" customHeight="1" x14ac:dyDescent="0.2"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</row>
    <row r="132" spans="6:26" ht="14.25" customHeight="1" x14ac:dyDescent="0.2"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</row>
    <row r="133" spans="6:26" ht="14.25" customHeight="1" x14ac:dyDescent="0.2"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</row>
    <row r="134" spans="6:26" ht="14.25" customHeight="1" x14ac:dyDescent="0.2"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</row>
    <row r="135" spans="6:26" ht="14.25" customHeight="1" x14ac:dyDescent="0.2"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</row>
    <row r="136" spans="6:26" ht="14.25" customHeight="1" x14ac:dyDescent="0.2"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</row>
    <row r="137" spans="6:26" ht="14.25" customHeight="1" x14ac:dyDescent="0.2"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</row>
    <row r="138" spans="6:26" ht="14.25" customHeight="1" x14ac:dyDescent="0.2"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</row>
    <row r="139" spans="6:26" ht="14.25" customHeight="1" x14ac:dyDescent="0.2"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</row>
    <row r="140" spans="6:26" ht="14.25" customHeight="1" x14ac:dyDescent="0.2"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</row>
    <row r="141" spans="6:26" ht="14.25" customHeight="1" x14ac:dyDescent="0.2"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</row>
    <row r="142" spans="6:26" ht="14.25" customHeight="1" x14ac:dyDescent="0.2"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</row>
    <row r="143" spans="6:26" ht="14.25" customHeight="1" x14ac:dyDescent="0.2"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</row>
    <row r="144" spans="6:26" ht="14.25" customHeight="1" x14ac:dyDescent="0.2"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</row>
    <row r="145" spans="6:26" ht="14.25" customHeight="1" x14ac:dyDescent="0.2"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</row>
    <row r="146" spans="6:26" ht="14.25" customHeight="1" x14ac:dyDescent="0.2"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</row>
    <row r="147" spans="6:26" ht="14.25" customHeight="1" x14ac:dyDescent="0.2"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</row>
    <row r="148" spans="6:26" ht="14.25" customHeight="1" x14ac:dyDescent="0.2"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</row>
    <row r="149" spans="6:26" ht="14.25" customHeight="1" x14ac:dyDescent="0.2"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</row>
    <row r="150" spans="6:26" ht="14.25" customHeight="1" x14ac:dyDescent="0.2"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</row>
    <row r="151" spans="6:26" ht="14.25" customHeight="1" x14ac:dyDescent="0.2"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</row>
    <row r="152" spans="6:26" ht="14.25" customHeight="1" x14ac:dyDescent="0.2"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</row>
    <row r="153" spans="6:26" ht="14.25" customHeight="1" x14ac:dyDescent="0.2"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</row>
    <row r="154" spans="6:26" ht="14.25" customHeight="1" x14ac:dyDescent="0.2"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</row>
    <row r="155" spans="6:26" ht="14.25" customHeight="1" x14ac:dyDescent="0.2"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</row>
    <row r="156" spans="6:26" ht="14.25" customHeight="1" x14ac:dyDescent="0.2"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</row>
    <row r="157" spans="6:26" ht="14.25" customHeight="1" x14ac:dyDescent="0.2"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</row>
    <row r="158" spans="6:26" ht="14.25" customHeight="1" x14ac:dyDescent="0.2"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</row>
    <row r="159" spans="6:26" ht="14.25" customHeight="1" x14ac:dyDescent="0.2"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</row>
    <row r="160" spans="6:26" ht="14.25" customHeight="1" x14ac:dyDescent="0.2"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</row>
    <row r="161" spans="6:26" ht="14.25" customHeight="1" x14ac:dyDescent="0.2"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</row>
    <row r="162" spans="6:26" ht="14.25" customHeight="1" x14ac:dyDescent="0.2"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</row>
    <row r="163" spans="6:26" ht="14.25" customHeight="1" x14ac:dyDescent="0.2"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</row>
    <row r="164" spans="6:26" ht="14.25" customHeight="1" x14ac:dyDescent="0.2"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</row>
    <row r="165" spans="6:26" ht="14.25" customHeight="1" x14ac:dyDescent="0.2"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</row>
    <row r="166" spans="6:26" ht="14.25" customHeight="1" x14ac:dyDescent="0.2"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</row>
    <row r="167" spans="6:26" ht="14.25" customHeight="1" x14ac:dyDescent="0.2"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</row>
    <row r="168" spans="6:26" ht="14.25" customHeight="1" x14ac:dyDescent="0.2"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</row>
    <row r="169" spans="6:26" ht="14.25" customHeight="1" x14ac:dyDescent="0.2"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</row>
    <row r="170" spans="6:26" ht="14.25" customHeight="1" x14ac:dyDescent="0.2"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</row>
    <row r="171" spans="6:26" ht="14.25" customHeight="1" x14ac:dyDescent="0.2"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</row>
    <row r="172" spans="6:26" ht="14.25" customHeight="1" x14ac:dyDescent="0.2"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</row>
    <row r="173" spans="6:26" ht="14.25" customHeight="1" x14ac:dyDescent="0.2"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</row>
    <row r="174" spans="6:26" ht="14.25" customHeight="1" x14ac:dyDescent="0.2"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</row>
    <row r="175" spans="6:26" ht="14.25" customHeight="1" x14ac:dyDescent="0.2"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</row>
    <row r="176" spans="6:26" ht="14.25" customHeight="1" x14ac:dyDescent="0.2"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</row>
    <row r="177" spans="6:26" ht="14.25" customHeight="1" x14ac:dyDescent="0.2"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</row>
    <row r="178" spans="6:26" ht="14.25" customHeight="1" x14ac:dyDescent="0.2"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</row>
    <row r="179" spans="6:26" ht="14.25" customHeight="1" x14ac:dyDescent="0.2"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</row>
    <row r="180" spans="6:26" ht="14.25" customHeight="1" x14ac:dyDescent="0.2"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</row>
    <row r="181" spans="6:26" ht="14.25" customHeight="1" x14ac:dyDescent="0.2"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</row>
    <row r="182" spans="6:26" ht="14.25" customHeight="1" x14ac:dyDescent="0.2"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</row>
    <row r="183" spans="6:26" ht="14.25" customHeight="1" x14ac:dyDescent="0.2"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</row>
    <row r="184" spans="6:26" ht="14.25" customHeight="1" x14ac:dyDescent="0.2"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</row>
    <row r="185" spans="6:26" ht="14.25" customHeight="1" x14ac:dyDescent="0.2"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</row>
    <row r="186" spans="6:26" ht="14.25" customHeight="1" x14ac:dyDescent="0.2"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</row>
    <row r="187" spans="6:26" ht="14.25" customHeight="1" x14ac:dyDescent="0.2"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</row>
    <row r="188" spans="6:26" ht="14.25" customHeight="1" x14ac:dyDescent="0.2"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</row>
    <row r="189" spans="6:26" ht="14.25" customHeight="1" x14ac:dyDescent="0.2"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</row>
    <row r="190" spans="6:26" ht="14.25" customHeight="1" x14ac:dyDescent="0.2"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</row>
    <row r="191" spans="6:26" ht="14.25" customHeight="1" x14ac:dyDescent="0.2"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</row>
    <row r="192" spans="6:26" ht="14.25" customHeight="1" x14ac:dyDescent="0.2"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</row>
    <row r="193" spans="6:26" ht="14.25" customHeight="1" x14ac:dyDescent="0.2"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</row>
    <row r="194" spans="6:26" ht="14.25" customHeight="1" x14ac:dyDescent="0.2"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</row>
    <row r="195" spans="6:26" ht="14.25" customHeight="1" x14ac:dyDescent="0.2"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</row>
    <row r="196" spans="6:26" ht="14.25" customHeight="1" x14ac:dyDescent="0.2"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</row>
    <row r="197" spans="6:26" ht="14.25" customHeight="1" x14ac:dyDescent="0.2"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</row>
    <row r="198" spans="6:26" ht="14.25" customHeight="1" x14ac:dyDescent="0.2"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</row>
    <row r="199" spans="6:26" ht="14.25" customHeight="1" x14ac:dyDescent="0.2"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</row>
    <row r="200" spans="6:26" ht="14.25" customHeight="1" x14ac:dyDescent="0.2"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</row>
    <row r="201" spans="6:26" ht="14.25" customHeight="1" x14ac:dyDescent="0.2"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</row>
    <row r="202" spans="6:26" ht="14.25" customHeight="1" x14ac:dyDescent="0.2"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</row>
    <row r="203" spans="6:26" ht="14.25" customHeight="1" x14ac:dyDescent="0.2"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</row>
    <row r="204" spans="6:26" ht="14.25" customHeight="1" x14ac:dyDescent="0.2"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</row>
    <row r="205" spans="6:26" ht="14.25" customHeight="1" x14ac:dyDescent="0.2"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</row>
    <row r="206" spans="6:26" ht="14.25" customHeight="1" x14ac:dyDescent="0.2"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</row>
    <row r="207" spans="6:26" ht="14.25" customHeight="1" x14ac:dyDescent="0.2"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</row>
    <row r="208" spans="6:26" ht="14.25" customHeight="1" x14ac:dyDescent="0.2"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</row>
    <row r="209" spans="6:26" ht="14.25" customHeight="1" x14ac:dyDescent="0.2"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</row>
    <row r="210" spans="6:26" ht="14.25" customHeight="1" x14ac:dyDescent="0.2"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</row>
    <row r="211" spans="6:26" ht="14.25" customHeight="1" x14ac:dyDescent="0.2"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</row>
    <row r="212" spans="6:26" ht="14.25" customHeight="1" x14ac:dyDescent="0.2"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</row>
    <row r="213" spans="6:26" ht="14.25" customHeight="1" x14ac:dyDescent="0.2"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</row>
    <row r="214" spans="6:26" ht="14.25" customHeight="1" x14ac:dyDescent="0.2"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</row>
    <row r="215" spans="6:26" ht="14.25" customHeight="1" x14ac:dyDescent="0.2"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</row>
    <row r="216" spans="6:26" ht="14.25" customHeight="1" x14ac:dyDescent="0.2"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</row>
    <row r="217" spans="6:26" ht="14.25" customHeight="1" x14ac:dyDescent="0.2"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</row>
    <row r="218" spans="6:26" ht="14.25" customHeight="1" x14ac:dyDescent="0.2"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</row>
    <row r="219" spans="6:26" ht="14.25" customHeight="1" x14ac:dyDescent="0.2"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</row>
    <row r="220" spans="6:26" ht="14.25" customHeight="1" x14ac:dyDescent="0.2"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</row>
    <row r="221" spans="6:26" ht="14.25" customHeight="1" x14ac:dyDescent="0.2"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</row>
    <row r="222" spans="6:26" ht="14.25" customHeight="1" x14ac:dyDescent="0.2"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</row>
    <row r="223" spans="6:26" ht="14.25" customHeight="1" x14ac:dyDescent="0.2"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</row>
    <row r="224" spans="6:26" ht="14.25" customHeight="1" x14ac:dyDescent="0.2"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</row>
    <row r="225" spans="6:26" ht="14.25" customHeight="1" x14ac:dyDescent="0.2"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</row>
    <row r="226" spans="6:26" ht="14.25" customHeight="1" x14ac:dyDescent="0.2"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</row>
    <row r="227" spans="6:26" ht="14.25" customHeight="1" x14ac:dyDescent="0.2"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</row>
    <row r="228" spans="6:26" ht="14.25" customHeight="1" x14ac:dyDescent="0.2"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</row>
    <row r="229" spans="6:26" ht="14.25" customHeight="1" x14ac:dyDescent="0.2"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</row>
    <row r="230" spans="6:26" ht="14.25" customHeight="1" x14ac:dyDescent="0.2"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</row>
    <row r="231" spans="6:26" ht="14.25" customHeight="1" x14ac:dyDescent="0.2"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</row>
    <row r="232" spans="6:26" ht="14.25" customHeight="1" x14ac:dyDescent="0.2"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</row>
    <row r="233" spans="6:26" ht="14.25" customHeight="1" x14ac:dyDescent="0.2"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</row>
    <row r="234" spans="6:26" ht="14.25" customHeight="1" x14ac:dyDescent="0.2"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</row>
    <row r="235" spans="6:26" ht="14.25" customHeight="1" x14ac:dyDescent="0.2"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</row>
    <row r="236" spans="6:26" ht="14.25" customHeight="1" x14ac:dyDescent="0.2"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</row>
    <row r="237" spans="6:26" ht="14.25" customHeight="1" x14ac:dyDescent="0.2"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</row>
    <row r="238" spans="6:26" ht="14.25" customHeight="1" x14ac:dyDescent="0.2"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</row>
    <row r="239" spans="6:26" ht="14.25" customHeight="1" x14ac:dyDescent="0.2"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</row>
    <row r="240" spans="6:26" ht="14.25" customHeight="1" x14ac:dyDescent="0.2"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</row>
    <row r="241" spans="6:26" ht="14.25" customHeight="1" x14ac:dyDescent="0.2"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</row>
    <row r="242" spans="6:26" ht="14.25" customHeight="1" x14ac:dyDescent="0.2"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</row>
    <row r="243" spans="6:26" ht="14.25" customHeight="1" x14ac:dyDescent="0.2"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</row>
    <row r="244" spans="6:26" ht="14.25" customHeight="1" x14ac:dyDescent="0.2"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</row>
    <row r="245" spans="6:26" ht="14.25" customHeight="1" x14ac:dyDescent="0.2"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</row>
    <row r="246" spans="6:26" ht="14.25" customHeight="1" x14ac:dyDescent="0.2"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</row>
    <row r="247" spans="6:26" ht="14.25" customHeight="1" x14ac:dyDescent="0.2"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</row>
    <row r="248" spans="6:26" ht="14.25" customHeight="1" x14ac:dyDescent="0.2"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</row>
    <row r="249" spans="6:26" ht="14.25" customHeight="1" x14ac:dyDescent="0.2"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</row>
    <row r="250" spans="6:26" ht="14.25" customHeight="1" x14ac:dyDescent="0.2"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</row>
    <row r="251" spans="6:26" ht="14.25" customHeight="1" x14ac:dyDescent="0.2"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</row>
    <row r="252" spans="6:26" ht="14.25" customHeight="1" x14ac:dyDescent="0.2"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</row>
    <row r="253" spans="6:26" ht="14.25" customHeight="1" x14ac:dyDescent="0.2"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</row>
    <row r="254" spans="6:26" ht="14.25" customHeight="1" x14ac:dyDescent="0.2"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</row>
    <row r="255" spans="6:26" ht="14.25" customHeight="1" x14ac:dyDescent="0.2"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</row>
    <row r="256" spans="6:26" ht="14.25" customHeight="1" x14ac:dyDescent="0.2"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</row>
    <row r="257" spans="6:26" ht="14.25" customHeight="1" x14ac:dyDescent="0.2"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</row>
    <row r="258" spans="6:26" ht="14.25" customHeight="1" x14ac:dyDescent="0.2"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</row>
    <row r="259" spans="6:26" ht="14.25" customHeight="1" x14ac:dyDescent="0.2"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</row>
    <row r="260" spans="6:26" ht="14.25" customHeight="1" x14ac:dyDescent="0.2"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</row>
    <row r="261" spans="6:26" ht="14.25" customHeight="1" x14ac:dyDescent="0.2"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</row>
    <row r="262" spans="6:26" ht="14.25" customHeight="1" x14ac:dyDescent="0.2"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</row>
    <row r="263" spans="6:26" ht="14.25" customHeight="1" x14ac:dyDescent="0.2"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</row>
    <row r="264" spans="6:26" ht="14.25" customHeight="1" x14ac:dyDescent="0.2"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</row>
    <row r="265" spans="6:26" ht="14.25" customHeight="1" x14ac:dyDescent="0.2"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</row>
    <row r="266" spans="6:26" ht="14.25" customHeight="1" x14ac:dyDescent="0.2"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</row>
    <row r="267" spans="6:26" ht="14.25" customHeight="1" x14ac:dyDescent="0.2"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</row>
    <row r="268" spans="6:26" ht="14.25" customHeight="1" x14ac:dyDescent="0.2"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</row>
    <row r="269" spans="6:26" ht="14.25" customHeight="1" x14ac:dyDescent="0.2"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</row>
    <row r="270" spans="6:26" ht="14.25" customHeight="1" x14ac:dyDescent="0.2"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</row>
    <row r="271" spans="6:26" ht="14.25" customHeight="1" x14ac:dyDescent="0.2"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</row>
    <row r="272" spans="6:26" ht="14.25" customHeight="1" x14ac:dyDescent="0.2"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</row>
    <row r="273" spans="6:26" ht="14.25" customHeight="1" x14ac:dyDescent="0.2"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</row>
    <row r="274" spans="6:26" ht="14.25" customHeight="1" x14ac:dyDescent="0.2"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</row>
    <row r="275" spans="6:26" ht="14.25" customHeight="1" x14ac:dyDescent="0.2"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</row>
    <row r="276" spans="6:26" ht="14.25" customHeight="1" x14ac:dyDescent="0.2"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</row>
    <row r="277" spans="6:26" ht="14.25" customHeight="1" x14ac:dyDescent="0.2"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</row>
    <row r="278" spans="6:26" ht="14.25" customHeight="1" x14ac:dyDescent="0.2"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</row>
    <row r="279" spans="6:26" ht="14.25" customHeight="1" x14ac:dyDescent="0.2"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</row>
    <row r="280" spans="6:26" ht="14.25" customHeight="1" x14ac:dyDescent="0.2"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</row>
    <row r="281" spans="6:26" ht="14.25" customHeight="1" x14ac:dyDescent="0.2"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</row>
    <row r="282" spans="6:26" ht="14.25" customHeight="1" x14ac:dyDescent="0.2"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</row>
    <row r="283" spans="6:26" ht="14.25" customHeight="1" x14ac:dyDescent="0.2"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</row>
    <row r="284" spans="6:26" ht="14.25" customHeight="1" x14ac:dyDescent="0.2"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</row>
    <row r="285" spans="6:26" ht="14.25" customHeight="1" x14ac:dyDescent="0.2"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</row>
    <row r="286" spans="6:26" ht="14.25" customHeight="1" x14ac:dyDescent="0.2"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</row>
    <row r="287" spans="6:26" ht="14.25" customHeight="1" x14ac:dyDescent="0.2"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</row>
    <row r="288" spans="6:26" ht="14.25" customHeight="1" x14ac:dyDescent="0.2"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</row>
    <row r="289" spans="6:26" ht="14.25" customHeight="1" x14ac:dyDescent="0.2"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</row>
    <row r="290" spans="6:26" ht="14.25" customHeight="1" x14ac:dyDescent="0.2"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</row>
    <row r="291" spans="6:26" ht="14.25" customHeight="1" x14ac:dyDescent="0.2"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</row>
    <row r="292" spans="6:26" ht="14.25" customHeight="1" x14ac:dyDescent="0.2"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</row>
    <row r="293" spans="6:26" ht="14.25" customHeight="1" x14ac:dyDescent="0.2"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</row>
    <row r="294" spans="6:26" ht="14.25" customHeight="1" x14ac:dyDescent="0.2"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</row>
    <row r="295" spans="6:26" ht="14.25" customHeight="1" x14ac:dyDescent="0.2"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</row>
    <row r="296" spans="6:26" ht="14.25" customHeight="1" x14ac:dyDescent="0.2"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</row>
    <row r="297" spans="6:26" ht="14.25" customHeight="1" x14ac:dyDescent="0.2"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</row>
    <row r="298" spans="6:26" ht="14.25" customHeight="1" x14ac:dyDescent="0.2"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</row>
    <row r="299" spans="6:26" ht="14.25" customHeight="1" x14ac:dyDescent="0.2"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</row>
    <row r="300" spans="6:26" ht="14.25" customHeight="1" x14ac:dyDescent="0.2"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</row>
    <row r="301" spans="6:26" ht="14.25" customHeight="1" x14ac:dyDescent="0.2"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</row>
    <row r="302" spans="6:26" ht="14.25" customHeight="1" x14ac:dyDescent="0.2"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</row>
    <row r="303" spans="6:26" ht="14.25" customHeight="1" x14ac:dyDescent="0.2"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</row>
    <row r="304" spans="6:26" ht="14.25" customHeight="1" x14ac:dyDescent="0.2"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</row>
    <row r="305" spans="6:26" ht="14.25" customHeight="1" x14ac:dyDescent="0.2"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</row>
    <row r="306" spans="6:26" ht="14.25" customHeight="1" x14ac:dyDescent="0.2"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</row>
    <row r="307" spans="6:26" ht="14.25" customHeight="1" x14ac:dyDescent="0.2"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</row>
    <row r="308" spans="6:26" ht="14.25" customHeight="1" x14ac:dyDescent="0.2"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</row>
    <row r="309" spans="6:26" ht="14.25" customHeight="1" x14ac:dyDescent="0.2"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</row>
    <row r="310" spans="6:26" ht="14.25" customHeight="1" x14ac:dyDescent="0.2"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</row>
    <row r="311" spans="6:26" ht="14.25" customHeight="1" x14ac:dyDescent="0.2"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</row>
    <row r="312" spans="6:26" ht="14.25" customHeight="1" x14ac:dyDescent="0.2"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</row>
    <row r="313" spans="6:26" ht="14.25" customHeight="1" x14ac:dyDescent="0.2"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</row>
    <row r="314" spans="6:26" ht="14.25" customHeight="1" x14ac:dyDescent="0.2"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</row>
    <row r="315" spans="6:26" ht="14.25" customHeight="1" x14ac:dyDescent="0.2"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</row>
    <row r="316" spans="6:26" ht="14.25" customHeight="1" x14ac:dyDescent="0.2"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</row>
    <row r="317" spans="6:26" ht="14.25" customHeight="1" x14ac:dyDescent="0.2"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</row>
    <row r="318" spans="6:26" ht="14.25" customHeight="1" x14ac:dyDescent="0.2"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</row>
    <row r="319" spans="6:26" ht="14.25" customHeight="1" x14ac:dyDescent="0.2"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</row>
    <row r="320" spans="6:26" ht="14.25" customHeight="1" x14ac:dyDescent="0.2"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</row>
    <row r="321" spans="6:26" ht="14.25" customHeight="1" x14ac:dyDescent="0.2"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</row>
    <row r="322" spans="6:26" ht="14.25" customHeight="1" x14ac:dyDescent="0.2"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</row>
    <row r="323" spans="6:26" ht="14.25" customHeight="1" x14ac:dyDescent="0.2"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</row>
    <row r="324" spans="6:26" ht="14.25" customHeight="1" x14ac:dyDescent="0.2"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</row>
    <row r="325" spans="6:26" ht="14.25" customHeight="1" x14ac:dyDescent="0.2"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</row>
    <row r="326" spans="6:26" ht="14.25" customHeight="1" x14ac:dyDescent="0.2"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</row>
    <row r="327" spans="6:26" ht="14.25" customHeight="1" x14ac:dyDescent="0.2"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</row>
    <row r="328" spans="6:26" ht="14.25" customHeight="1" x14ac:dyDescent="0.2"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</row>
    <row r="329" spans="6:26" ht="14.25" customHeight="1" x14ac:dyDescent="0.2"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</row>
    <row r="330" spans="6:26" ht="14.25" customHeight="1" x14ac:dyDescent="0.2"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</row>
    <row r="331" spans="6:26" ht="14.25" customHeight="1" x14ac:dyDescent="0.2"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</row>
    <row r="332" spans="6:26" ht="14.25" customHeight="1" x14ac:dyDescent="0.2"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</row>
    <row r="333" spans="6:26" ht="14.25" customHeight="1" x14ac:dyDescent="0.2"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</row>
    <row r="334" spans="6:26" ht="14.25" customHeight="1" x14ac:dyDescent="0.2"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</row>
    <row r="335" spans="6:26" ht="14.25" customHeight="1" x14ac:dyDescent="0.2"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</row>
    <row r="336" spans="6:26" ht="14.25" customHeight="1" x14ac:dyDescent="0.2"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</row>
    <row r="337" spans="6:26" ht="14.25" customHeight="1" x14ac:dyDescent="0.2"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</row>
    <row r="338" spans="6:26" ht="14.25" customHeight="1" x14ac:dyDescent="0.2"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</row>
    <row r="339" spans="6:26" ht="14.25" customHeight="1" x14ac:dyDescent="0.2"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</row>
    <row r="340" spans="6:26" ht="14.25" customHeight="1" x14ac:dyDescent="0.2"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</row>
    <row r="341" spans="6:26" ht="14.25" customHeight="1" x14ac:dyDescent="0.2"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</row>
    <row r="342" spans="6:26" ht="14.25" customHeight="1" x14ac:dyDescent="0.2"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</row>
    <row r="343" spans="6:26" ht="14.25" customHeight="1" x14ac:dyDescent="0.2"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</row>
    <row r="344" spans="6:26" ht="14.25" customHeight="1" x14ac:dyDescent="0.2"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</row>
    <row r="345" spans="6:26" ht="14.25" customHeight="1" x14ac:dyDescent="0.2"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</row>
    <row r="346" spans="6:26" ht="14.25" customHeight="1" x14ac:dyDescent="0.2"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</row>
    <row r="347" spans="6:26" ht="14.25" customHeight="1" x14ac:dyDescent="0.2"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</row>
    <row r="348" spans="6:26" ht="14.25" customHeight="1" x14ac:dyDescent="0.2"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</row>
    <row r="349" spans="6:26" ht="14.25" customHeight="1" x14ac:dyDescent="0.2"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</row>
    <row r="350" spans="6:26" ht="14.25" customHeight="1" x14ac:dyDescent="0.2"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</row>
    <row r="351" spans="6:26" ht="14.25" customHeight="1" x14ac:dyDescent="0.2"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</row>
    <row r="352" spans="6:26" ht="14.25" customHeight="1" x14ac:dyDescent="0.2"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</row>
    <row r="353" spans="6:26" ht="14.25" customHeight="1" x14ac:dyDescent="0.2"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</row>
    <row r="354" spans="6:26" ht="14.25" customHeight="1" x14ac:dyDescent="0.2"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</row>
    <row r="355" spans="6:26" ht="14.25" customHeight="1" x14ac:dyDescent="0.2"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</row>
    <row r="356" spans="6:26" ht="14.25" customHeight="1" x14ac:dyDescent="0.2"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</row>
    <row r="357" spans="6:26" ht="14.25" customHeight="1" x14ac:dyDescent="0.2"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</row>
    <row r="358" spans="6:26" ht="14.25" customHeight="1" x14ac:dyDescent="0.2"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</row>
    <row r="359" spans="6:26" ht="14.25" customHeight="1" x14ac:dyDescent="0.2"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</row>
    <row r="360" spans="6:26" ht="14.25" customHeight="1" x14ac:dyDescent="0.2"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</row>
    <row r="361" spans="6:26" ht="14.25" customHeight="1" x14ac:dyDescent="0.2"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</row>
    <row r="362" spans="6:26" ht="14.25" customHeight="1" x14ac:dyDescent="0.2"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</row>
    <row r="363" spans="6:26" ht="14.25" customHeight="1" x14ac:dyDescent="0.2"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</row>
    <row r="364" spans="6:26" ht="14.25" customHeight="1" x14ac:dyDescent="0.2"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</row>
    <row r="365" spans="6:26" ht="14.25" customHeight="1" x14ac:dyDescent="0.2"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</row>
    <row r="366" spans="6:26" ht="14.25" customHeight="1" x14ac:dyDescent="0.2"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</row>
    <row r="367" spans="6:26" ht="14.25" customHeight="1" x14ac:dyDescent="0.2"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</row>
    <row r="368" spans="6:26" ht="14.25" customHeight="1" x14ac:dyDescent="0.2"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</row>
    <row r="369" spans="6:26" ht="14.25" customHeight="1" x14ac:dyDescent="0.2"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</row>
    <row r="370" spans="6:26" ht="14.25" customHeight="1" x14ac:dyDescent="0.2"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</row>
    <row r="371" spans="6:26" ht="14.25" customHeight="1" x14ac:dyDescent="0.2"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</row>
    <row r="372" spans="6:26" ht="14.25" customHeight="1" x14ac:dyDescent="0.2"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</row>
    <row r="373" spans="6:26" ht="14.25" customHeight="1" x14ac:dyDescent="0.2"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</row>
    <row r="374" spans="6:26" ht="14.25" customHeight="1" x14ac:dyDescent="0.2"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</row>
    <row r="375" spans="6:26" ht="14.25" customHeight="1" x14ac:dyDescent="0.2"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</row>
    <row r="376" spans="6:26" ht="14.25" customHeight="1" x14ac:dyDescent="0.2"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</row>
    <row r="377" spans="6:26" ht="14.25" customHeight="1" x14ac:dyDescent="0.2"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</row>
    <row r="378" spans="6:26" ht="14.25" customHeight="1" x14ac:dyDescent="0.2"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</row>
    <row r="379" spans="6:26" ht="14.25" customHeight="1" x14ac:dyDescent="0.2"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</row>
    <row r="380" spans="6:26" ht="14.25" customHeight="1" x14ac:dyDescent="0.2"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</row>
    <row r="381" spans="6:26" ht="14.25" customHeight="1" x14ac:dyDescent="0.2"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</row>
    <row r="382" spans="6:26" ht="14.25" customHeight="1" x14ac:dyDescent="0.2"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</row>
    <row r="383" spans="6:26" ht="14.25" customHeight="1" x14ac:dyDescent="0.2"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</row>
    <row r="384" spans="6:26" ht="14.25" customHeight="1" x14ac:dyDescent="0.2"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</row>
    <row r="385" spans="6:26" ht="14.25" customHeight="1" x14ac:dyDescent="0.2"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</row>
    <row r="386" spans="6:26" ht="14.25" customHeight="1" x14ac:dyDescent="0.2"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</row>
    <row r="387" spans="6:26" ht="14.25" customHeight="1" x14ac:dyDescent="0.2"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</row>
    <row r="388" spans="6:26" ht="14.25" customHeight="1" x14ac:dyDescent="0.2"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</row>
    <row r="389" spans="6:26" ht="14.25" customHeight="1" x14ac:dyDescent="0.2"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</row>
    <row r="390" spans="6:26" ht="14.25" customHeight="1" x14ac:dyDescent="0.2"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</row>
    <row r="391" spans="6:26" ht="14.25" customHeight="1" x14ac:dyDescent="0.2"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</row>
    <row r="392" spans="6:26" ht="14.25" customHeight="1" x14ac:dyDescent="0.2"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</row>
    <row r="393" spans="6:26" ht="14.25" customHeight="1" x14ac:dyDescent="0.2"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</row>
    <row r="394" spans="6:26" ht="14.25" customHeight="1" x14ac:dyDescent="0.2"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</row>
    <row r="395" spans="6:26" ht="14.25" customHeight="1" x14ac:dyDescent="0.2"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</row>
    <row r="396" spans="6:26" ht="14.25" customHeight="1" x14ac:dyDescent="0.2"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</row>
    <row r="397" spans="6:26" ht="14.25" customHeight="1" x14ac:dyDescent="0.2"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</row>
    <row r="398" spans="6:26" ht="14.25" customHeight="1" x14ac:dyDescent="0.2"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</row>
    <row r="399" spans="6:26" ht="14.25" customHeight="1" x14ac:dyDescent="0.2"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</row>
    <row r="400" spans="6:26" ht="14.25" customHeight="1" x14ac:dyDescent="0.2"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</row>
    <row r="401" spans="6:26" ht="14.25" customHeight="1" x14ac:dyDescent="0.2"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</row>
    <row r="402" spans="6:26" ht="14.25" customHeight="1" x14ac:dyDescent="0.2"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</row>
    <row r="403" spans="6:26" ht="14.25" customHeight="1" x14ac:dyDescent="0.2"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</row>
    <row r="404" spans="6:26" ht="14.25" customHeight="1" x14ac:dyDescent="0.2"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</row>
    <row r="405" spans="6:26" ht="14.25" customHeight="1" x14ac:dyDescent="0.2"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</row>
    <row r="406" spans="6:26" ht="14.25" customHeight="1" x14ac:dyDescent="0.2"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</row>
    <row r="407" spans="6:26" ht="14.25" customHeight="1" x14ac:dyDescent="0.2"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</row>
    <row r="408" spans="6:26" ht="14.25" customHeight="1" x14ac:dyDescent="0.2"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</row>
    <row r="409" spans="6:26" ht="14.25" customHeight="1" x14ac:dyDescent="0.2"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</row>
    <row r="410" spans="6:26" ht="14.25" customHeight="1" x14ac:dyDescent="0.2"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</row>
    <row r="411" spans="6:26" ht="14.25" customHeight="1" x14ac:dyDescent="0.2"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</row>
    <row r="412" spans="6:26" ht="14.25" customHeight="1" x14ac:dyDescent="0.2"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</row>
    <row r="413" spans="6:26" ht="14.25" customHeight="1" x14ac:dyDescent="0.2"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</row>
    <row r="414" spans="6:26" ht="14.25" customHeight="1" x14ac:dyDescent="0.2"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</row>
    <row r="415" spans="6:26" ht="14.25" customHeight="1" x14ac:dyDescent="0.2"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</row>
    <row r="416" spans="6:26" ht="14.25" customHeight="1" x14ac:dyDescent="0.2"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</row>
    <row r="417" spans="6:26" ht="14.25" customHeight="1" x14ac:dyDescent="0.2"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</row>
    <row r="418" spans="6:26" ht="14.25" customHeight="1" x14ac:dyDescent="0.2"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</row>
    <row r="419" spans="6:26" ht="14.25" customHeight="1" x14ac:dyDescent="0.2"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</row>
    <row r="420" spans="6:26" ht="14.25" customHeight="1" x14ac:dyDescent="0.2"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</row>
    <row r="421" spans="6:26" ht="14.25" customHeight="1" x14ac:dyDescent="0.2"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</row>
    <row r="422" spans="6:26" ht="14.25" customHeight="1" x14ac:dyDescent="0.2"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</row>
    <row r="423" spans="6:26" ht="14.25" customHeight="1" x14ac:dyDescent="0.2"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</row>
    <row r="424" spans="6:26" ht="14.25" customHeight="1" x14ac:dyDescent="0.2"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</row>
    <row r="425" spans="6:26" ht="14.25" customHeight="1" x14ac:dyDescent="0.2"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</row>
    <row r="426" spans="6:26" ht="14.25" customHeight="1" x14ac:dyDescent="0.2"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</row>
    <row r="427" spans="6:26" ht="14.25" customHeight="1" x14ac:dyDescent="0.2"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</row>
    <row r="428" spans="6:26" ht="14.25" customHeight="1" x14ac:dyDescent="0.2"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</row>
    <row r="429" spans="6:26" ht="14.25" customHeight="1" x14ac:dyDescent="0.2"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</row>
    <row r="430" spans="6:26" ht="14.25" customHeight="1" x14ac:dyDescent="0.2"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</row>
    <row r="431" spans="6:26" ht="14.25" customHeight="1" x14ac:dyDescent="0.2"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</row>
    <row r="432" spans="6:26" ht="14.25" customHeight="1" x14ac:dyDescent="0.2"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</row>
    <row r="433" spans="6:26" ht="14.25" customHeight="1" x14ac:dyDescent="0.2"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</row>
    <row r="434" spans="6:26" ht="14.25" customHeight="1" x14ac:dyDescent="0.2"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</row>
    <row r="435" spans="6:26" ht="14.25" customHeight="1" x14ac:dyDescent="0.2"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</row>
    <row r="436" spans="6:26" ht="14.25" customHeight="1" x14ac:dyDescent="0.2"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</row>
    <row r="437" spans="6:26" ht="14.25" customHeight="1" x14ac:dyDescent="0.2"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</row>
    <row r="438" spans="6:26" ht="14.25" customHeight="1" x14ac:dyDescent="0.2"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</row>
    <row r="439" spans="6:26" ht="14.25" customHeight="1" x14ac:dyDescent="0.2"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</row>
    <row r="440" spans="6:26" ht="14.25" customHeight="1" x14ac:dyDescent="0.2"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</row>
    <row r="441" spans="6:26" ht="14.25" customHeight="1" x14ac:dyDescent="0.2"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</row>
    <row r="442" spans="6:26" ht="14.25" customHeight="1" x14ac:dyDescent="0.2"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</row>
    <row r="443" spans="6:26" ht="14.25" customHeight="1" x14ac:dyDescent="0.2"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</row>
    <row r="444" spans="6:26" ht="14.25" customHeight="1" x14ac:dyDescent="0.2"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</row>
    <row r="445" spans="6:26" ht="14.25" customHeight="1" x14ac:dyDescent="0.2"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</row>
    <row r="446" spans="6:26" ht="14.25" customHeight="1" x14ac:dyDescent="0.2"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</row>
    <row r="447" spans="6:26" ht="14.25" customHeight="1" x14ac:dyDescent="0.2"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</row>
    <row r="448" spans="6:26" ht="14.25" customHeight="1" x14ac:dyDescent="0.2"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</row>
    <row r="449" spans="6:26" ht="14.25" customHeight="1" x14ac:dyDescent="0.2"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</row>
    <row r="450" spans="6:26" ht="14.25" customHeight="1" x14ac:dyDescent="0.2"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</row>
    <row r="451" spans="6:26" ht="14.25" customHeight="1" x14ac:dyDescent="0.2"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</row>
    <row r="452" spans="6:26" ht="14.25" customHeight="1" x14ac:dyDescent="0.2"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</row>
    <row r="453" spans="6:26" ht="14.25" customHeight="1" x14ac:dyDescent="0.2"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</row>
    <row r="454" spans="6:26" ht="14.25" customHeight="1" x14ac:dyDescent="0.2"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</row>
    <row r="455" spans="6:26" ht="14.25" customHeight="1" x14ac:dyDescent="0.2"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</row>
    <row r="456" spans="6:26" ht="14.25" customHeight="1" x14ac:dyDescent="0.2"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</row>
    <row r="457" spans="6:26" ht="14.25" customHeight="1" x14ac:dyDescent="0.2"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</row>
    <row r="458" spans="6:26" ht="14.25" customHeight="1" x14ac:dyDescent="0.2"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</row>
    <row r="459" spans="6:26" ht="14.25" customHeight="1" x14ac:dyDescent="0.2"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</row>
    <row r="460" spans="6:26" ht="14.25" customHeight="1" x14ac:dyDescent="0.2"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</row>
    <row r="461" spans="6:26" ht="14.25" customHeight="1" x14ac:dyDescent="0.2"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</row>
    <row r="462" spans="6:26" ht="14.25" customHeight="1" x14ac:dyDescent="0.2"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</row>
    <row r="463" spans="6:26" ht="14.25" customHeight="1" x14ac:dyDescent="0.2"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</row>
    <row r="464" spans="6:26" ht="14.25" customHeight="1" x14ac:dyDescent="0.2"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</row>
    <row r="465" spans="6:26" ht="14.25" customHeight="1" x14ac:dyDescent="0.2"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</row>
    <row r="466" spans="6:26" ht="14.25" customHeight="1" x14ac:dyDescent="0.2"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</row>
    <row r="467" spans="6:26" ht="14.25" customHeight="1" x14ac:dyDescent="0.2"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</row>
    <row r="468" spans="6:26" ht="14.25" customHeight="1" x14ac:dyDescent="0.2"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</row>
    <row r="469" spans="6:26" ht="14.25" customHeight="1" x14ac:dyDescent="0.2"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</row>
    <row r="470" spans="6:26" ht="14.25" customHeight="1" x14ac:dyDescent="0.2"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</row>
    <row r="471" spans="6:26" ht="14.25" customHeight="1" x14ac:dyDescent="0.2"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</row>
    <row r="472" spans="6:26" ht="14.25" customHeight="1" x14ac:dyDescent="0.2"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</row>
    <row r="473" spans="6:26" ht="14.25" customHeight="1" x14ac:dyDescent="0.2"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</row>
    <row r="474" spans="6:26" ht="14.25" customHeight="1" x14ac:dyDescent="0.2"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</row>
    <row r="475" spans="6:26" ht="14.25" customHeight="1" x14ac:dyDescent="0.2"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</row>
    <row r="476" spans="6:26" ht="14.25" customHeight="1" x14ac:dyDescent="0.2"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</row>
    <row r="477" spans="6:26" ht="14.25" customHeight="1" x14ac:dyDescent="0.2"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</row>
    <row r="478" spans="6:26" ht="14.25" customHeight="1" x14ac:dyDescent="0.2"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</row>
    <row r="479" spans="6:26" ht="14.25" customHeight="1" x14ac:dyDescent="0.2"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</row>
    <row r="480" spans="6:26" ht="14.25" customHeight="1" x14ac:dyDescent="0.2"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</row>
    <row r="481" spans="6:26" ht="14.25" customHeight="1" x14ac:dyDescent="0.2"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</row>
    <row r="482" spans="6:26" ht="14.25" customHeight="1" x14ac:dyDescent="0.2"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</row>
    <row r="483" spans="6:26" ht="14.25" customHeight="1" x14ac:dyDescent="0.2"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</row>
    <row r="484" spans="6:26" ht="14.25" customHeight="1" x14ac:dyDescent="0.2"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</row>
    <row r="485" spans="6:26" ht="14.25" customHeight="1" x14ac:dyDescent="0.2"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</row>
    <row r="486" spans="6:26" ht="14.25" customHeight="1" x14ac:dyDescent="0.2"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</row>
    <row r="487" spans="6:26" ht="14.25" customHeight="1" x14ac:dyDescent="0.2"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</row>
    <row r="488" spans="6:26" ht="14.25" customHeight="1" x14ac:dyDescent="0.2"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</row>
    <row r="489" spans="6:26" ht="14.25" customHeight="1" x14ac:dyDescent="0.2"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</row>
    <row r="490" spans="6:26" ht="14.25" customHeight="1" x14ac:dyDescent="0.2"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</row>
    <row r="491" spans="6:26" ht="14.25" customHeight="1" x14ac:dyDescent="0.2"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</row>
    <row r="492" spans="6:26" ht="14.25" customHeight="1" x14ac:dyDescent="0.2"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</row>
    <row r="493" spans="6:26" ht="14.25" customHeight="1" x14ac:dyDescent="0.2"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</row>
    <row r="494" spans="6:26" ht="14.25" customHeight="1" x14ac:dyDescent="0.2"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</row>
    <row r="495" spans="6:26" ht="14.25" customHeight="1" x14ac:dyDescent="0.2"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</row>
    <row r="496" spans="6:26" ht="14.25" customHeight="1" x14ac:dyDescent="0.2"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</row>
    <row r="497" spans="6:26" ht="14.25" customHeight="1" x14ac:dyDescent="0.2"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</row>
    <row r="498" spans="6:26" ht="14.25" customHeight="1" x14ac:dyDescent="0.2"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</row>
    <row r="499" spans="6:26" ht="14.25" customHeight="1" x14ac:dyDescent="0.2"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</row>
    <row r="500" spans="6:26" ht="14.25" customHeight="1" x14ac:dyDescent="0.2"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</row>
    <row r="501" spans="6:26" ht="14.25" customHeight="1" x14ac:dyDescent="0.2"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</row>
    <row r="502" spans="6:26" ht="14.25" customHeight="1" x14ac:dyDescent="0.2"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</row>
    <row r="503" spans="6:26" ht="14.25" customHeight="1" x14ac:dyDescent="0.2"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</row>
    <row r="504" spans="6:26" ht="14.25" customHeight="1" x14ac:dyDescent="0.2"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</row>
    <row r="505" spans="6:26" ht="14.25" customHeight="1" x14ac:dyDescent="0.2"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</row>
    <row r="506" spans="6:26" ht="14.25" customHeight="1" x14ac:dyDescent="0.2"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</row>
    <row r="507" spans="6:26" ht="14.25" customHeight="1" x14ac:dyDescent="0.2"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</row>
    <row r="508" spans="6:26" ht="14.25" customHeight="1" x14ac:dyDescent="0.2"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</row>
    <row r="509" spans="6:26" ht="14.25" customHeight="1" x14ac:dyDescent="0.2"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</row>
    <row r="510" spans="6:26" ht="14.25" customHeight="1" x14ac:dyDescent="0.2"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</row>
    <row r="511" spans="6:26" ht="14.25" customHeight="1" x14ac:dyDescent="0.2"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</row>
    <row r="512" spans="6:26" ht="14.25" customHeight="1" x14ac:dyDescent="0.2"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</row>
    <row r="513" spans="6:26" ht="14.25" customHeight="1" x14ac:dyDescent="0.2"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</row>
    <row r="514" spans="6:26" ht="14.25" customHeight="1" x14ac:dyDescent="0.2"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</row>
    <row r="515" spans="6:26" ht="14.25" customHeight="1" x14ac:dyDescent="0.2"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</row>
    <row r="516" spans="6:26" ht="14.25" customHeight="1" x14ac:dyDescent="0.2"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</row>
    <row r="517" spans="6:26" ht="14.25" customHeight="1" x14ac:dyDescent="0.2"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</row>
    <row r="518" spans="6:26" ht="14.25" customHeight="1" x14ac:dyDescent="0.2"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</row>
    <row r="519" spans="6:26" ht="14.25" customHeight="1" x14ac:dyDescent="0.2"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</row>
    <row r="520" spans="6:26" ht="14.25" customHeight="1" x14ac:dyDescent="0.2"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</row>
    <row r="521" spans="6:26" ht="14.25" customHeight="1" x14ac:dyDescent="0.2"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</row>
    <row r="522" spans="6:26" ht="14.25" customHeight="1" x14ac:dyDescent="0.2"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</row>
    <row r="523" spans="6:26" ht="14.25" customHeight="1" x14ac:dyDescent="0.2"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</row>
    <row r="524" spans="6:26" ht="14.25" customHeight="1" x14ac:dyDescent="0.2"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</row>
    <row r="525" spans="6:26" ht="14.25" customHeight="1" x14ac:dyDescent="0.2"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</row>
    <row r="526" spans="6:26" ht="14.25" customHeight="1" x14ac:dyDescent="0.2"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</row>
    <row r="527" spans="6:26" ht="14.25" customHeight="1" x14ac:dyDescent="0.2"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</row>
    <row r="528" spans="6:26" ht="14.25" customHeight="1" x14ac:dyDescent="0.2"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</row>
    <row r="529" spans="6:26" ht="14.25" customHeight="1" x14ac:dyDescent="0.2"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</row>
    <row r="530" spans="6:26" ht="14.25" customHeight="1" x14ac:dyDescent="0.2"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</row>
    <row r="531" spans="6:26" ht="14.25" customHeight="1" x14ac:dyDescent="0.2"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</row>
    <row r="532" spans="6:26" ht="14.25" customHeight="1" x14ac:dyDescent="0.2"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</row>
    <row r="533" spans="6:26" ht="14.25" customHeight="1" x14ac:dyDescent="0.2"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</row>
    <row r="534" spans="6:26" ht="14.25" customHeight="1" x14ac:dyDescent="0.2"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</row>
    <row r="535" spans="6:26" ht="14.25" customHeight="1" x14ac:dyDescent="0.2"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</row>
    <row r="536" spans="6:26" ht="14.25" customHeight="1" x14ac:dyDescent="0.2"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</row>
    <row r="537" spans="6:26" ht="14.25" customHeight="1" x14ac:dyDescent="0.2"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</row>
    <row r="538" spans="6:26" ht="14.25" customHeight="1" x14ac:dyDescent="0.2"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</row>
    <row r="539" spans="6:26" ht="14.25" customHeight="1" x14ac:dyDescent="0.2"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</row>
    <row r="540" spans="6:26" ht="14.25" customHeight="1" x14ac:dyDescent="0.2"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</row>
    <row r="541" spans="6:26" ht="14.25" customHeight="1" x14ac:dyDescent="0.2"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</row>
    <row r="542" spans="6:26" ht="14.25" customHeight="1" x14ac:dyDescent="0.2"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</row>
    <row r="543" spans="6:26" ht="14.25" customHeight="1" x14ac:dyDescent="0.2"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</row>
    <row r="544" spans="6:26" ht="14.25" customHeight="1" x14ac:dyDescent="0.2"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</row>
    <row r="545" spans="6:26" ht="14.25" customHeight="1" x14ac:dyDescent="0.2"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</row>
    <row r="546" spans="6:26" ht="14.25" customHeight="1" x14ac:dyDescent="0.2"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</row>
    <row r="547" spans="6:26" ht="14.25" customHeight="1" x14ac:dyDescent="0.2"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</row>
    <row r="548" spans="6:26" ht="14.25" customHeight="1" x14ac:dyDescent="0.2"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</row>
    <row r="549" spans="6:26" ht="14.25" customHeight="1" x14ac:dyDescent="0.2"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</row>
    <row r="550" spans="6:26" ht="14.25" customHeight="1" x14ac:dyDescent="0.2"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</row>
    <row r="551" spans="6:26" ht="14.25" customHeight="1" x14ac:dyDescent="0.2"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</row>
    <row r="552" spans="6:26" ht="14.25" customHeight="1" x14ac:dyDescent="0.2"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</row>
    <row r="553" spans="6:26" ht="14.25" customHeight="1" x14ac:dyDescent="0.2"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</row>
    <row r="554" spans="6:26" ht="14.25" customHeight="1" x14ac:dyDescent="0.2"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</row>
    <row r="555" spans="6:26" ht="14.25" customHeight="1" x14ac:dyDescent="0.2"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</row>
    <row r="556" spans="6:26" ht="14.25" customHeight="1" x14ac:dyDescent="0.2"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</row>
    <row r="557" spans="6:26" ht="14.25" customHeight="1" x14ac:dyDescent="0.2"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</row>
    <row r="558" spans="6:26" ht="14.25" customHeight="1" x14ac:dyDescent="0.2"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</row>
    <row r="559" spans="6:26" ht="14.25" customHeight="1" x14ac:dyDescent="0.2"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</row>
    <row r="560" spans="6:26" ht="14.25" customHeight="1" x14ac:dyDescent="0.2"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</row>
    <row r="561" spans="6:26" ht="14.25" customHeight="1" x14ac:dyDescent="0.2"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</row>
    <row r="562" spans="6:26" ht="14.25" customHeight="1" x14ac:dyDescent="0.2"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</row>
    <row r="563" spans="6:26" ht="14.25" customHeight="1" x14ac:dyDescent="0.2"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</row>
    <row r="564" spans="6:26" ht="14.25" customHeight="1" x14ac:dyDescent="0.2"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</row>
    <row r="565" spans="6:26" ht="14.25" customHeight="1" x14ac:dyDescent="0.2"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</row>
    <row r="566" spans="6:26" ht="14.25" customHeight="1" x14ac:dyDescent="0.2"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</row>
    <row r="567" spans="6:26" ht="14.25" customHeight="1" x14ac:dyDescent="0.2"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</row>
    <row r="568" spans="6:26" ht="14.25" customHeight="1" x14ac:dyDescent="0.2"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</row>
    <row r="569" spans="6:26" ht="14.25" customHeight="1" x14ac:dyDescent="0.2"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</row>
    <row r="570" spans="6:26" ht="14.25" customHeight="1" x14ac:dyDescent="0.2"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</row>
    <row r="571" spans="6:26" ht="14.25" customHeight="1" x14ac:dyDescent="0.2"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</row>
    <row r="572" spans="6:26" ht="14.25" customHeight="1" x14ac:dyDescent="0.2"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</row>
    <row r="573" spans="6:26" ht="14.25" customHeight="1" x14ac:dyDescent="0.2"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</row>
    <row r="574" spans="6:26" ht="14.25" customHeight="1" x14ac:dyDescent="0.2"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</row>
    <row r="575" spans="6:26" ht="14.25" customHeight="1" x14ac:dyDescent="0.2"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</row>
    <row r="576" spans="6:26" ht="14.25" customHeight="1" x14ac:dyDescent="0.2"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</row>
    <row r="577" spans="6:26" ht="14.25" customHeight="1" x14ac:dyDescent="0.2"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</row>
    <row r="578" spans="6:26" ht="14.25" customHeight="1" x14ac:dyDescent="0.2"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</row>
    <row r="579" spans="6:26" ht="14.25" customHeight="1" x14ac:dyDescent="0.2"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</row>
    <row r="580" spans="6:26" ht="14.25" customHeight="1" x14ac:dyDescent="0.2"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</row>
    <row r="581" spans="6:26" ht="14.25" customHeight="1" x14ac:dyDescent="0.2"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</row>
    <row r="582" spans="6:26" ht="14.25" customHeight="1" x14ac:dyDescent="0.2"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</row>
    <row r="583" spans="6:26" ht="14.25" customHeight="1" x14ac:dyDescent="0.2"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</row>
    <row r="584" spans="6:26" ht="14.25" customHeight="1" x14ac:dyDescent="0.2"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</row>
    <row r="585" spans="6:26" ht="14.25" customHeight="1" x14ac:dyDescent="0.2"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</row>
    <row r="586" spans="6:26" ht="14.25" customHeight="1" x14ac:dyDescent="0.2"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</row>
    <row r="587" spans="6:26" ht="14.25" customHeight="1" x14ac:dyDescent="0.2"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</row>
    <row r="588" spans="6:26" ht="14.25" customHeight="1" x14ac:dyDescent="0.2"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</row>
    <row r="589" spans="6:26" ht="14.25" customHeight="1" x14ac:dyDescent="0.2"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</row>
    <row r="590" spans="6:26" ht="14.25" customHeight="1" x14ac:dyDescent="0.2"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</row>
    <row r="591" spans="6:26" ht="14.25" customHeight="1" x14ac:dyDescent="0.2"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</row>
    <row r="592" spans="6:26" ht="14.25" customHeight="1" x14ac:dyDescent="0.2"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</row>
    <row r="593" spans="6:26" ht="14.25" customHeight="1" x14ac:dyDescent="0.2"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</row>
    <row r="594" spans="6:26" ht="14.25" customHeight="1" x14ac:dyDescent="0.2"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</row>
    <row r="595" spans="6:26" ht="14.25" customHeight="1" x14ac:dyDescent="0.2"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</row>
    <row r="596" spans="6:26" ht="14.25" customHeight="1" x14ac:dyDescent="0.2"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</row>
    <row r="597" spans="6:26" ht="14.25" customHeight="1" x14ac:dyDescent="0.2"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</row>
    <row r="598" spans="6:26" ht="14.25" customHeight="1" x14ac:dyDescent="0.2"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</row>
    <row r="599" spans="6:26" ht="14.25" customHeight="1" x14ac:dyDescent="0.2"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</row>
    <row r="600" spans="6:26" ht="14.25" customHeight="1" x14ac:dyDescent="0.2"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</row>
    <row r="601" spans="6:26" ht="14.25" customHeight="1" x14ac:dyDescent="0.2"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</row>
    <row r="602" spans="6:26" ht="14.25" customHeight="1" x14ac:dyDescent="0.2"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</row>
    <row r="603" spans="6:26" ht="14.25" customHeight="1" x14ac:dyDescent="0.2"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</row>
    <row r="604" spans="6:26" ht="14.25" customHeight="1" x14ac:dyDescent="0.2"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</row>
    <row r="605" spans="6:26" ht="14.25" customHeight="1" x14ac:dyDescent="0.2"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</row>
    <row r="606" spans="6:26" ht="14.25" customHeight="1" x14ac:dyDescent="0.2"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</row>
    <row r="607" spans="6:26" ht="14.25" customHeight="1" x14ac:dyDescent="0.2"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</row>
    <row r="608" spans="6:26" ht="14.25" customHeight="1" x14ac:dyDescent="0.2"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</row>
    <row r="609" spans="6:26" ht="14.25" customHeight="1" x14ac:dyDescent="0.2"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</row>
    <row r="610" spans="6:26" ht="14.25" customHeight="1" x14ac:dyDescent="0.2"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</row>
    <row r="611" spans="6:26" ht="14.25" customHeight="1" x14ac:dyDescent="0.2"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</row>
    <row r="612" spans="6:26" ht="14.25" customHeight="1" x14ac:dyDescent="0.2"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</row>
    <row r="613" spans="6:26" ht="14.25" customHeight="1" x14ac:dyDescent="0.2"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</row>
    <row r="614" spans="6:26" ht="14.25" customHeight="1" x14ac:dyDescent="0.2"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</row>
    <row r="615" spans="6:26" ht="14.25" customHeight="1" x14ac:dyDescent="0.2"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</row>
    <row r="616" spans="6:26" ht="14.25" customHeight="1" x14ac:dyDescent="0.2"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</row>
    <row r="617" spans="6:26" ht="14.25" customHeight="1" x14ac:dyDescent="0.2"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</row>
    <row r="618" spans="6:26" ht="14.25" customHeight="1" x14ac:dyDescent="0.2"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</row>
    <row r="619" spans="6:26" ht="14.25" customHeight="1" x14ac:dyDescent="0.2"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</row>
    <row r="620" spans="6:26" ht="14.25" customHeight="1" x14ac:dyDescent="0.2"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</row>
    <row r="621" spans="6:26" ht="14.25" customHeight="1" x14ac:dyDescent="0.2"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</row>
    <row r="622" spans="6:26" ht="14.25" customHeight="1" x14ac:dyDescent="0.2"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</row>
    <row r="623" spans="6:26" ht="14.25" customHeight="1" x14ac:dyDescent="0.2"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</row>
    <row r="624" spans="6:26" ht="14.25" customHeight="1" x14ac:dyDescent="0.2"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</row>
    <row r="625" spans="6:26" ht="14.25" customHeight="1" x14ac:dyDescent="0.2"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</row>
    <row r="626" spans="6:26" ht="14.25" customHeight="1" x14ac:dyDescent="0.2"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</row>
    <row r="627" spans="6:26" ht="14.25" customHeight="1" x14ac:dyDescent="0.2"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</row>
    <row r="628" spans="6:26" ht="14.25" customHeight="1" x14ac:dyDescent="0.2"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</row>
    <row r="629" spans="6:26" ht="14.25" customHeight="1" x14ac:dyDescent="0.2"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</row>
    <row r="630" spans="6:26" ht="14.25" customHeight="1" x14ac:dyDescent="0.2"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</row>
    <row r="631" spans="6:26" ht="14.25" customHeight="1" x14ac:dyDescent="0.2"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</row>
    <row r="632" spans="6:26" ht="14.25" customHeight="1" x14ac:dyDescent="0.2"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</row>
    <row r="633" spans="6:26" ht="14.25" customHeight="1" x14ac:dyDescent="0.2"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</row>
    <row r="634" spans="6:26" ht="14.25" customHeight="1" x14ac:dyDescent="0.2"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</row>
    <row r="635" spans="6:26" ht="14.25" customHeight="1" x14ac:dyDescent="0.2"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</row>
    <row r="636" spans="6:26" ht="14.25" customHeight="1" x14ac:dyDescent="0.2"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</row>
    <row r="637" spans="6:26" ht="14.25" customHeight="1" x14ac:dyDescent="0.2"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</row>
    <row r="638" spans="6:26" ht="14.25" customHeight="1" x14ac:dyDescent="0.2"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</row>
    <row r="639" spans="6:26" ht="14.25" customHeight="1" x14ac:dyDescent="0.2"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</row>
    <row r="640" spans="6:26" ht="14.25" customHeight="1" x14ac:dyDescent="0.2"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</row>
    <row r="641" spans="6:26" ht="14.25" customHeight="1" x14ac:dyDescent="0.2"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</row>
    <row r="642" spans="6:26" ht="14.25" customHeight="1" x14ac:dyDescent="0.2"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</row>
    <row r="643" spans="6:26" ht="14.25" customHeight="1" x14ac:dyDescent="0.2"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</row>
    <row r="644" spans="6:26" ht="14.25" customHeight="1" x14ac:dyDescent="0.2"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</row>
    <row r="645" spans="6:26" ht="14.25" customHeight="1" x14ac:dyDescent="0.2"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</row>
    <row r="646" spans="6:26" ht="14.25" customHeight="1" x14ac:dyDescent="0.2"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</row>
    <row r="647" spans="6:26" ht="14.25" customHeight="1" x14ac:dyDescent="0.2"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</row>
    <row r="648" spans="6:26" ht="14.25" customHeight="1" x14ac:dyDescent="0.2"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</row>
    <row r="649" spans="6:26" ht="14.25" customHeight="1" x14ac:dyDescent="0.2"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</row>
    <row r="650" spans="6:26" ht="14.25" customHeight="1" x14ac:dyDescent="0.2"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</row>
    <row r="651" spans="6:26" ht="14.25" customHeight="1" x14ac:dyDescent="0.2"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</row>
    <row r="652" spans="6:26" ht="14.25" customHeight="1" x14ac:dyDescent="0.2"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</row>
    <row r="653" spans="6:26" ht="14.25" customHeight="1" x14ac:dyDescent="0.2"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</row>
    <row r="654" spans="6:26" ht="14.25" customHeight="1" x14ac:dyDescent="0.2"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</row>
    <row r="655" spans="6:26" ht="14.25" customHeight="1" x14ac:dyDescent="0.2"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</row>
    <row r="656" spans="6:26" ht="14.25" customHeight="1" x14ac:dyDescent="0.2"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</row>
    <row r="657" spans="6:26" ht="14.25" customHeight="1" x14ac:dyDescent="0.2"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</row>
    <row r="658" spans="6:26" ht="14.25" customHeight="1" x14ac:dyDescent="0.2"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</row>
    <row r="659" spans="6:26" ht="14.25" customHeight="1" x14ac:dyDescent="0.2"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</row>
    <row r="660" spans="6:26" ht="14.25" customHeight="1" x14ac:dyDescent="0.2"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</row>
    <row r="661" spans="6:26" ht="14.25" customHeight="1" x14ac:dyDescent="0.2"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</row>
    <row r="662" spans="6:26" ht="14.25" customHeight="1" x14ac:dyDescent="0.2"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</row>
    <row r="663" spans="6:26" ht="14.25" customHeight="1" x14ac:dyDescent="0.2"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</row>
    <row r="664" spans="6:26" ht="14.25" customHeight="1" x14ac:dyDescent="0.2"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</row>
    <row r="665" spans="6:26" ht="14.25" customHeight="1" x14ac:dyDescent="0.2"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</row>
    <row r="666" spans="6:26" ht="14.25" customHeight="1" x14ac:dyDescent="0.2"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</row>
    <row r="667" spans="6:26" ht="14.25" customHeight="1" x14ac:dyDescent="0.2"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</row>
    <row r="668" spans="6:26" ht="14.25" customHeight="1" x14ac:dyDescent="0.2"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</row>
    <row r="669" spans="6:26" ht="14.25" customHeight="1" x14ac:dyDescent="0.2"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</row>
    <row r="670" spans="6:26" ht="14.25" customHeight="1" x14ac:dyDescent="0.2"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</row>
    <row r="671" spans="6:26" ht="14.25" customHeight="1" x14ac:dyDescent="0.2"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</row>
    <row r="672" spans="6:26" ht="14.25" customHeight="1" x14ac:dyDescent="0.2"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</row>
    <row r="673" spans="6:26" ht="14.25" customHeight="1" x14ac:dyDescent="0.2"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</row>
    <row r="674" spans="6:26" ht="14.25" customHeight="1" x14ac:dyDescent="0.2"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</row>
    <row r="675" spans="6:26" ht="14.25" customHeight="1" x14ac:dyDescent="0.2"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</row>
    <row r="676" spans="6:26" ht="14.25" customHeight="1" x14ac:dyDescent="0.2"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</row>
    <row r="677" spans="6:26" ht="14.25" customHeight="1" x14ac:dyDescent="0.2"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</row>
    <row r="678" spans="6:26" ht="14.25" customHeight="1" x14ac:dyDescent="0.2"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</row>
    <row r="679" spans="6:26" ht="14.25" customHeight="1" x14ac:dyDescent="0.2"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</row>
    <row r="680" spans="6:26" ht="14.25" customHeight="1" x14ac:dyDescent="0.2"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</row>
    <row r="681" spans="6:26" ht="14.25" customHeight="1" x14ac:dyDescent="0.2"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</row>
    <row r="682" spans="6:26" ht="14.25" customHeight="1" x14ac:dyDescent="0.2"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</row>
    <row r="683" spans="6:26" ht="14.25" customHeight="1" x14ac:dyDescent="0.2"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</row>
    <row r="684" spans="6:26" ht="14.25" customHeight="1" x14ac:dyDescent="0.2"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</row>
    <row r="685" spans="6:26" ht="14.25" customHeight="1" x14ac:dyDescent="0.2"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</row>
    <row r="686" spans="6:26" ht="14.25" customHeight="1" x14ac:dyDescent="0.2"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</row>
    <row r="687" spans="6:26" ht="14.25" customHeight="1" x14ac:dyDescent="0.2"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</row>
    <row r="688" spans="6:26" ht="14.25" customHeight="1" x14ac:dyDescent="0.2"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</row>
    <row r="689" spans="6:26" ht="14.25" customHeight="1" x14ac:dyDescent="0.2"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</row>
    <row r="690" spans="6:26" ht="14.25" customHeight="1" x14ac:dyDescent="0.2"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</row>
    <row r="691" spans="6:26" ht="14.25" customHeight="1" x14ac:dyDescent="0.2"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</row>
    <row r="692" spans="6:26" ht="14.25" customHeight="1" x14ac:dyDescent="0.2"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</row>
    <row r="693" spans="6:26" ht="14.25" customHeight="1" x14ac:dyDescent="0.2"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</row>
    <row r="694" spans="6:26" ht="14.25" customHeight="1" x14ac:dyDescent="0.2"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</row>
    <row r="695" spans="6:26" ht="14.25" customHeight="1" x14ac:dyDescent="0.2"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</row>
    <row r="696" spans="6:26" ht="14.25" customHeight="1" x14ac:dyDescent="0.2"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</row>
    <row r="697" spans="6:26" ht="14.25" customHeight="1" x14ac:dyDescent="0.2"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</row>
    <row r="698" spans="6:26" ht="14.25" customHeight="1" x14ac:dyDescent="0.2"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</row>
    <row r="699" spans="6:26" ht="14.25" customHeight="1" x14ac:dyDescent="0.2"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</row>
    <row r="700" spans="6:26" ht="14.25" customHeight="1" x14ac:dyDescent="0.2"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</row>
    <row r="701" spans="6:26" ht="14.25" customHeight="1" x14ac:dyDescent="0.2"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</row>
    <row r="702" spans="6:26" ht="14.25" customHeight="1" x14ac:dyDescent="0.2"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</row>
    <row r="703" spans="6:26" ht="14.25" customHeight="1" x14ac:dyDescent="0.2"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</row>
    <row r="704" spans="6:26" ht="14.25" customHeight="1" x14ac:dyDescent="0.2"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</row>
    <row r="705" spans="6:26" ht="14.25" customHeight="1" x14ac:dyDescent="0.2"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</row>
    <row r="706" spans="6:26" ht="14.25" customHeight="1" x14ac:dyDescent="0.2"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</row>
    <row r="707" spans="6:26" ht="14.25" customHeight="1" x14ac:dyDescent="0.2"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</row>
    <row r="708" spans="6:26" ht="14.25" customHeight="1" x14ac:dyDescent="0.2"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</row>
    <row r="709" spans="6:26" ht="14.25" customHeight="1" x14ac:dyDescent="0.2"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</row>
    <row r="710" spans="6:26" ht="14.25" customHeight="1" x14ac:dyDescent="0.2"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</row>
    <row r="711" spans="6:26" ht="14.25" customHeight="1" x14ac:dyDescent="0.2"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</row>
    <row r="712" spans="6:26" ht="14.25" customHeight="1" x14ac:dyDescent="0.2"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</row>
    <row r="713" spans="6:26" ht="14.25" customHeight="1" x14ac:dyDescent="0.2"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</row>
    <row r="714" spans="6:26" ht="14.25" customHeight="1" x14ac:dyDescent="0.2"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</row>
    <row r="715" spans="6:26" ht="14.25" customHeight="1" x14ac:dyDescent="0.2"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</row>
    <row r="716" spans="6:26" ht="14.25" customHeight="1" x14ac:dyDescent="0.2"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</row>
    <row r="717" spans="6:26" ht="14.25" customHeight="1" x14ac:dyDescent="0.2"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</row>
    <row r="718" spans="6:26" ht="14.25" customHeight="1" x14ac:dyDescent="0.2"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</row>
    <row r="719" spans="6:26" ht="14.25" customHeight="1" x14ac:dyDescent="0.2"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</row>
    <row r="720" spans="6:26" ht="14.25" customHeight="1" x14ac:dyDescent="0.2"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</row>
    <row r="721" spans="6:26" ht="14.25" customHeight="1" x14ac:dyDescent="0.2"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</row>
    <row r="722" spans="6:26" ht="14.25" customHeight="1" x14ac:dyDescent="0.2"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</row>
    <row r="723" spans="6:26" ht="14.25" customHeight="1" x14ac:dyDescent="0.2"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</row>
    <row r="724" spans="6:26" ht="14.25" customHeight="1" x14ac:dyDescent="0.2"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</row>
    <row r="725" spans="6:26" ht="14.25" customHeight="1" x14ac:dyDescent="0.2"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</row>
    <row r="726" spans="6:26" ht="14.25" customHeight="1" x14ac:dyDescent="0.2"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</row>
    <row r="727" spans="6:26" ht="14.25" customHeight="1" x14ac:dyDescent="0.2"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</row>
    <row r="728" spans="6:26" ht="14.25" customHeight="1" x14ac:dyDescent="0.2"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</row>
    <row r="729" spans="6:26" ht="14.25" customHeight="1" x14ac:dyDescent="0.2"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</row>
    <row r="730" spans="6:26" ht="14.25" customHeight="1" x14ac:dyDescent="0.2"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</row>
    <row r="731" spans="6:26" ht="14.25" customHeight="1" x14ac:dyDescent="0.2"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</row>
    <row r="732" spans="6:26" ht="14.25" customHeight="1" x14ac:dyDescent="0.2"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</row>
    <row r="733" spans="6:26" ht="14.25" customHeight="1" x14ac:dyDescent="0.2"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</row>
    <row r="734" spans="6:26" ht="14.25" customHeight="1" x14ac:dyDescent="0.2"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</row>
    <row r="735" spans="6:26" ht="14.25" customHeight="1" x14ac:dyDescent="0.2"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</row>
    <row r="736" spans="6:26" ht="14.25" customHeight="1" x14ac:dyDescent="0.2"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</row>
    <row r="737" spans="6:26" ht="14.25" customHeight="1" x14ac:dyDescent="0.2"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</row>
    <row r="738" spans="6:26" ht="14.25" customHeight="1" x14ac:dyDescent="0.2"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</row>
    <row r="739" spans="6:26" ht="14.25" customHeight="1" x14ac:dyDescent="0.2"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</row>
    <row r="740" spans="6:26" ht="14.25" customHeight="1" x14ac:dyDescent="0.2"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</row>
    <row r="741" spans="6:26" ht="14.25" customHeight="1" x14ac:dyDescent="0.2"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</row>
    <row r="742" spans="6:26" ht="14.25" customHeight="1" x14ac:dyDescent="0.2"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</row>
    <row r="743" spans="6:26" ht="14.25" customHeight="1" x14ac:dyDescent="0.2"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</row>
    <row r="744" spans="6:26" ht="14.25" customHeight="1" x14ac:dyDescent="0.2"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</row>
    <row r="745" spans="6:26" ht="14.25" customHeight="1" x14ac:dyDescent="0.2"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</row>
    <row r="746" spans="6:26" ht="14.25" customHeight="1" x14ac:dyDescent="0.2"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</row>
    <row r="747" spans="6:26" ht="14.25" customHeight="1" x14ac:dyDescent="0.2"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</row>
    <row r="748" spans="6:26" ht="14.25" customHeight="1" x14ac:dyDescent="0.2"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</row>
    <row r="749" spans="6:26" ht="14.25" customHeight="1" x14ac:dyDescent="0.2"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</row>
    <row r="750" spans="6:26" ht="14.25" customHeight="1" x14ac:dyDescent="0.2"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</row>
    <row r="751" spans="6:26" ht="14.25" customHeight="1" x14ac:dyDescent="0.2"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</row>
    <row r="752" spans="6:26" ht="14.25" customHeight="1" x14ac:dyDescent="0.2"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</row>
    <row r="753" spans="6:26" ht="14.25" customHeight="1" x14ac:dyDescent="0.2"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</row>
    <row r="754" spans="6:26" ht="14.25" customHeight="1" x14ac:dyDescent="0.2"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</row>
    <row r="755" spans="6:26" ht="14.25" customHeight="1" x14ac:dyDescent="0.2"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</row>
    <row r="756" spans="6:26" ht="14.25" customHeight="1" x14ac:dyDescent="0.2"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</row>
    <row r="757" spans="6:26" ht="14.25" customHeight="1" x14ac:dyDescent="0.2"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</row>
    <row r="758" spans="6:26" ht="14.25" customHeight="1" x14ac:dyDescent="0.2"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</row>
    <row r="759" spans="6:26" ht="14.25" customHeight="1" x14ac:dyDescent="0.2"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</row>
    <row r="760" spans="6:26" ht="14.25" customHeight="1" x14ac:dyDescent="0.2"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</row>
    <row r="761" spans="6:26" ht="14.25" customHeight="1" x14ac:dyDescent="0.2"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</row>
    <row r="762" spans="6:26" ht="14.25" customHeight="1" x14ac:dyDescent="0.2"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</row>
    <row r="763" spans="6:26" ht="14.25" customHeight="1" x14ac:dyDescent="0.2"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</row>
    <row r="764" spans="6:26" ht="14.25" customHeight="1" x14ac:dyDescent="0.2"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</row>
    <row r="765" spans="6:26" ht="14.25" customHeight="1" x14ac:dyDescent="0.2"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</row>
    <row r="766" spans="6:26" ht="14.25" customHeight="1" x14ac:dyDescent="0.2"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</row>
    <row r="767" spans="6:26" ht="14.25" customHeight="1" x14ac:dyDescent="0.2"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</row>
    <row r="768" spans="6:26" ht="14.25" customHeight="1" x14ac:dyDescent="0.2"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</row>
    <row r="769" spans="6:26" ht="14.25" customHeight="1" x14ac:dyDescent="0.2"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</row>
    <row r="770" spans="6:26" ht="14.25" customHeight="1" x14ac:dyDescent="0.2"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</row>
    <row r="771" spans="6:26" ht="14.25" customHeight="1" x14ac:dyDescent="0.2"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</row>
    <row r="772" spans="6:26" ht="14.25" customHeight="1" x14ac:dyDescent="0.2"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</row>
    <row r="773" spans="6:26" ht="14.25" customHeight="1" x14ac:dyDescent="0.2"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</row>
    <row r="774" spans="6:26" ht="14.25" customHeight="1" x14ac:dyDescent="0.2"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</row>
    <row r="775" spans="6:26" ht="14.25" customHeight="1" x14ac:dyDescent="0.2"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</row>
    <row r="776" spans="6:26" ht="14.25" customHeight="1" x14ac:dyDescent="0.2"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</row>
    <row r="777" spans="6:26" ht="14.25" customHeight="1" x14ac:dyDescent="0.2"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</row>
    <row r="778" spans="6:26" ht="14.25" customHeight="1" x14ac:dyDescent="0.2"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</row>
    <row r="779" spans="6:26" ht="14.25" customHeight="1" x14ac:dyDescent="0.2"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</row>
    <row r="780" spans="6:26" ht="14.25" customHeight="1" x14ac:dyDescent="0.2"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</row>
    <row r="781" spans="6:26" ht="14.25" customHeight="1" x14ac:dyDescent="0.2"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</row>
    <row r="782" spans="6:26" ht="14.25" customHeight="1" x14ac:dyDescent="0.2"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</row>
    <row r="783" spans="6:26" ht="14.25" customHeight="1" x14ac:dyDescent="0.2"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</row>
    <row r="784" spans="6:26" ht="14.25" customHeight="1" x14ac:dyDescent="0.2"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</row>
    <row r="785" spans="6:26" ht="14.25" customHeight="1" x14ac:dyDescent="0.2"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</row>
    <row r="786" spans="6:26" ht="14.25" customHeight="1" x14ac:dyDescent="0.2"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</row>
    <row r="787" spans="6:26" ht="14.25" customHeight="1" x14ac:dyDescent="0.2"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</row>
    <row r="788" spans="6:26" ht="14.25" customHeight="1" x14ac:dyDescent="0.2"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</row>
    <row r="789" spans="6:26" ht="14.25" customHeight="1" x14ac:dyDescent="0.2"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</row>
    <row r="790" spans="6:26" ht="14.25" customHeight="1" x14ac:dyDescent="0.2"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</row>
    <row r="791" spans="6:26" ht="14.25" customHeight="1" x14ac:dyDescent="0.2"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</row>
    <row r="792" spans="6:26" ht="14.25" customHeight="1" x14ac:dyDescent="0.2"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</row>
    <row r="793" spans="6:26" ht="14.25" customHeight="1" x14ac:dyDescent="0.2"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</row>
    <row r="794" spans="6:26" ht="14.25" customHeight="1" x14ac:dyDescent="0.2"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</row>
    <row r="795" spans="6:26" ht="14.25" customHeight="1" x14ac:dyDescent="0.2"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</row>
    <row r="796" spans="6:26" ht="14.25" customHeight="1" x14ac:dyDescent="0.2"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</row>
    <row r="797" spans="6:26" ht="14.25" customHeight="1" x14ac:dyDescent="0.2"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</row>
    <row r="798" spans="6:26" ht="14.25" customHeight="1" x14ac:dyDescent="0.2"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</row>
    <row r="799" spans="6:26" ht="14.25" customHeight="1" x14ac:dyDescent="0.2"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</row>
    <row r="800" spans="6:26" ht="14.25" customHeight="1" x14ac:dyDescent="0.2"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</row>
    <row r="801" spans="6:26" ht="14.25" customHeight="1" x14ac:dyDescent="0.2"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</row>
    <row r="802" spans="6:26" ht="14.25" customHeight="1" x14ac:dyDescent="0.2"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</row>
    <row r="803" spans="6:26" ht="14.25" customHeight="1" x14ac:dyDescent="0.2"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</row>
    <row r="804" spans="6:26" ht="14.25" customHeight="1" x14ac:dyDescent="0.2"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</row>
    <row r="805" spans="6:26" ht="14.25" customHeight="1" x14ac:dyDescent="0.2"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</row>
    <row r="806" spans="6:26" ht="14.25" customHeight="1" x14ac:dyDescent="0.2"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</row>
    <row r="807" spans="6:26" ht="14.25" customHeight="1" x14ac:dyDescent="0.2"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</row>
    <row r="808" spans="6:26" ht="14.25" customHeight="1" x14ac:dyDescent="0.2"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</row>
    <row r="809" spans="6:26" ht="14.25" customHeight="1" x14ac:dyDescent="0.2"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</row>
    <row r="810" spans="6:26" ht="14.25" customHeight="1" x14ac:dyDescent="0.2"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</row>
    <row r="811" spans="6:26" ht="14.25" customHeight="1" x14ac:dyDescent="0.2"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</row>
    <row r="812" spans="6:26" ht="14.25" customHeight="1" x14ac:dyDescent="0.2"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</row>
    <row r="813" spans="6:26" ht="14.25" customHeight="1" x14ac:dyDescent="0.2"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</row>
    <row r="814" spans="6:26" ht="14.25" customHeight="1" x14ac:dyDescent="0.2"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</row>
    <row r="815" spans="6:26" ht="14.25" customHeight="1" x14ac:dyDescent="0.2"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</row>
    <row r="816" spans="6:26" ht="14.25" customHeight="1" x14ac:dyDescent="0.2"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</row>
    <row r="817" spans="6:26" ht="14.25" customHeight="1" x14ac:dyDescent="0.2"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</row>
    <row r="818" spans="6:26" ht="14.25" customHeight="1" x14ac:dyDescent="0.2"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</row>
    <row r="819" spans="6:26" ht="14.25" customHeight="1" x14ac:dyDescent="0.2"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</row>
    <row r="820" spans="6:26" ht="14.25" customHeight="1" x14ac:dyDescent="0.2"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</row>
    <row r="821" spans="6:26" ht="14.25" customHeight="1" x14ac:dyDescent="0.2"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</row>
    <row r="822" spans="6:26" ht="14.25" customHeight="1" x14ac:dyDescent="0.2"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</row>
    <row r="823" spans="6:26" ht="14.25" customHeight="1" x14ac:dyDescent="0.2"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</row>
    <row r="824" spans="6:26" ht="14.25" customHeight="1" x14ac:dyDescent="0.2"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</row>
    <row r="825" spans="6:26" ht="14.25" customHeight="1" x14ac:dyDescent="0.2"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</row>
    <row r="826" spans="6:26" ht="14.25" customHeight="1" x14ac:dyDescent="0.2"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</row>
    <row r="827" spans="6:26" ht="14.25" customHeight="1" x14ac:dyDescent="0.2"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</row>
    <row r="828" spans="6:26" ht="14.25" customHeight="1" x14ac:dyDescent="0.2"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</row>
    <row r="829" spans="6:26" ht="14.25" customHeight="1" x14ac:dyDescent="0.2"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</row>
    <row r="830" spans="6:26" ht="14.25" customHeight="1" x14ac:dyDescent="0.2"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</row>
    <row r="831" spans="6:26" ht="14.25" customHeight="1" x14ac:dyDescent="0.2"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</row>
    <row r="832" spans="6:26" ht="14.25" customHeight="1" x14ac:dyDescent="0.2"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</row>
    <row r="833" spans="6:26" ht="14.25" customHeight="1" x14ac:dyDescent="0.2"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</row>
    <row r="834" spans="6:26" ht="14.25" customHeight="1" x14ac:dyDescent="0.2"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</row>
    <row r="835" spans="6:26" ht="14.25" customHeight="1" x14ac:dyDescent="0.2"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</row>
    <row r="836" spans="6:26" ht="14.25" customHeight="1" x14ac:dyDescent="0.2"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</row>
    <row r="837" spans="6:26" ht="14.25" customHeight="1" x14ac:dyDescent="0.2"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</row>
    <row r="838" spans="6:26" ht="14.25" customHeight="1" x14ac:dyDescent="0.2"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</row>
    <row r="839" spans="6:26" ht="14.25" customHeight="1" x14ac:dyDescent="0.2"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</row>
    <row r="840" spans="6:26" ht="14.25" customHeight="1" x14ac:dyDescent="0.2"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</row>
    <row r="841" spans="6:26" ht="14.25" customHeight="1" x14ac:dyDescent="0.2"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</row>
    <row r="842" spans="6:26" ht="14.25" customHeight="1" x14ac:dyDescent="0.2"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</row>
    <row r="843" spans="6:26" ht="14.25" customHeight="1" x14ac:dyDescent="0.2"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</row>
    <row r="844" spans="6:26" ht="14.25" customHeight="1" x14ac:dyDescent="0.2"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</row>
    <row r="845" spans="6:26" ht="14.25" customHeight="1" x14ac:dyDescent="0.2"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</row>
    <row r="846" spans="6:26" ht="14.25" customHeight="1" x14ac:dyDescent="0.2"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</row>
    <row r="847" spans="6:26" ht="14.25" customHeight="1" x14ac:dyDescent="0.2"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</row>
    <row r="848" spans="6:26" ht="14.25" customHeight="1" x14ac:dyDescent="0.2"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</row>
    <row r="849" spans="6:26" ht="14.25" customHeight="1" x14ac:dyDescent="0.2"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</row>
    <row r="850" spans="6:26" ht="14.25" customHeight="1" x14ac:dyDescent="0.2"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</row>
    <row r="851" spans="6:26" ht="14.25" customHeight="1" x14ac:dyDescent="0.2"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</row>
    <row r="852" spans="6:26" ht="14.25" customHeight="1" x14ac:dyDescent="0.2"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</row>
    <row r="853" spans="6:26" ht="14.25" customHeight="1" x14ac:dyDescent="0.2"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</row>
    <row r="854" spans="6:26" ht="14.25" customHeight="1" x14ac:dyDescent="0.2"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</row>
    <row r="855" spans="6:26" ht="14.25" customHeight="1" x14ac:dyDescent="0.2"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</row>
    <row r="856" spans="6:26" ht="14.25" customHeight="1" x14ac:dyDescent="0.2"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</row>
    <row r="857" spans="6:26" ht="14.25" customHeight="1" x14ac:dyDescent="0.2"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</row>
    <row r="858" spans="6:26" ht="14.25" customHeight="1" x14ac:dyDescent="0.2"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</row>
    <row r="859" spans="6:26" ht="14.25" customHeight="1" x14ac:dyDescent="0.2"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</row>
    <row r="860" spans="6:26" ht="14.25" customHeight="1" x14ac:dyDescent="0.2"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</row>
    <row r="861" spans="6:26" ht="14.25" customHeight="1" x14ac:dyDescent="0.2"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</row>
    <row r="862" spans="6:26" ht="14.25" customHeight="1" x14ac:dyDescent="0.2"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</row>
    <row r="863" spans="6:26" ht="14.25" customHeight="1" x14ac:dyDescent="0.2"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</row>
    <row r="864" spans="6:26" ht="14.25" customHeight="1" x14ac:dyDescent="0.2"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</row>
    <row r="865" spans="6:26" ht="14.25" customHeight="1" x14ac:dyDescent="0.2"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</row>
    <row r="866" spans="6:26" ht="14.25" customHeight="1" x14ac:dyDescent="0.2"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</row>
    <row r="867" spans="6:26" ht="14.25" customHeight="1" x14ac:dyDescent="0.2"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</row>
    <row r="868" spans="6:26" ht="14.25" customHeight="1" x14ac:dyDescent="0.2"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</row>
    <row r="869" spans="6:26" ht="14.25" customHeight="1" x14ac:dyDescent="0.2"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</row>
    <row r="870" spans="6:26" ht="14.25" customHeight="1" x14ac:dyDescent="0.2"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</row>
    <row r="871" spans="6:26" ht="14.25" customHeight="1" x14ac:dyDescent="0.2"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</row>
    <row r="872" spans="6:26" ht="14.25" customHeight="1" x14ac:dyDescent="0.2"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</row>
    <row r="873" spans="6:26" ht="14.25" customHeight="1" x14ac:dyDescent="0.2"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</row>
    <row r="874" spans="6:26" ht="14.25" customHeight="1" x14ac:dyDescent="0.2"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</row>
    <row r="875" spans="6:26" ht="14.25" customHeight="1" x14ac:dyDescent="0.2"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</row>
    <row r="876" spans="6:26" ht="14.25" customHeight="1" x14ac:dyDescent="0.2"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</row>
    <row r="877" spans="6:26" ht="14.25" customHeight="1" x14ac:dyDescent="0.2"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</row>
    <row r="878" spans="6:26" ht="14.25" customHeight="1" x14ac:dyDescent="0.2"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</row>
    <row r="879" spans="6:26" ht="14.25" customHeight="1" x14ac:dyDescent="0.2"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</row>
    <row r="880" spans="6:26" ht="14.25" customHeight="1" x14ac:dyDescent="0.2"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</row>
    <row r="881" spans="6:26" ht="14.25" customHeight="1" x14ac:dyDescent="0.2"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</row>
    <row r="882" spans="6:26" ht="14.25" customHeight="1" x14ac:dyDescent="0.2"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</row>
    <row r="883" spans="6:26" ht="14.25" customHeight="1" x14ac:dyDescent="0.2"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</row>
    <row r="884" spans="6:26" ht="14.25" customHeight="1" x14ac:dyDescent="0.2"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</row>
    <row r="885" spans="6:26" ht="14.25" customHeight="1" x14ac:dyDescent="0.2"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</row>
    <row r="886" spans="6:26" ht="14.25" customHeight="1" x14ac:dyDescent="0.2"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</row>
    <row r="887" spans="6:26" ht="14.25" customHeight="1" x14ac:dyDescent="0.2"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</row>
    <row r="888" spans="6:26" ht="14.25" customHeight="1" x14ac:dyDescent="0.2"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</row>
    <row r="889" spans="6:26" ht="14.25" customHeight="1" x14ac:dyDescent="0.2"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</row>
    <row r="890" spans="6:26" ht="14.25" customHeight="1" x14ac:dyDescent="0.2"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</row>
    <row r="891" spans="6:26" ht="14.25" customHeight="1" x14ac:dyDescent="0.2"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</row>
    <row r="892" spans="6:26" ht="14.25" customHeight="1" x14ac:dyDescent="0.2"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</row>
    <row r="893" spans="6:26" ht="14.25" customHeight="1" x14ac:dyDescent="0.2"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</row>
    <row r="894" spans="6:26" ht="14.25" customHeight="1" x14ac:dyDescent="0.2"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</row>
    <row r="895" spans="6:26" ht="14.25" customHeight="1" x14ac:dyDescent="0.2"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</row>
    <row r="896" spans="6:26" ht="14.25" customHeight="1" x14ac:dyDescent="0.2"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</row>
    <row r="897" spans="6:26" ht="14.25" customHeight="1" x14ac:dyDescent="0.2"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</row>
    <row r="898" spans="6:26" ht="14.25" customHeight="1" x14ac:dyDescent="0.2"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</row>
    <row r="899" spans="6:26" ht="14.25" customHeight="1" x14ac:dyDescent="0.2"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</row>
    <row r="900" spans="6:26" ht="14.25" customHeight="1" x14ac:dyDescent="0.2"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</row>
    <row r="901" spans="6:26" ht="14.25" customHeight="1" x14ac:dyDescent="0.2"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</row>
    <row r="902" spans="6:26" ht="14.25" customHeight="1" x14ac:dyDescent="0.2"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</row>
    <row r="903" spans="6:26" ht="14.25" customHeight="1" x14ac:dyDescent="0.2"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</row>
    <row r="904" spans="6:26" ht="14.25" customHeight="1" x14ac:dyDescent="0.2"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</row>
    <row r="905" spans="6:26" ht="14.25" customHeight="1" x14ac:dyDescent="0.2"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</row>
    <row r="906" spans="6:26" ht="14.25" customHeight="1" x14ac:dyDescent="0.2"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</row>
    <row r="907" spans="6:26" ht="14.25" customHeight="1" x14ac:dyDescent="0.2"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</row>
    <row r="908" spans="6:26" ht="14.25" customHeight="1" x14ac:dyDescent="0.2"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</row>
    <row r="909" spans="6:26" ht="14.25" customHeight="1" x14ac:dyDescent="0.2"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</row>
    <row r="910" spans="6:26" ht="14.25" customHeight="1" x14ac:dyDescent="0.2"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</row>
    <row r="911" spans="6:26" ht="14.25" customHeight="1" x14ac:dyDescent="0.2"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</row>
    <row r="912" spans="6:26" ht="14.25" customHeight="1" x14ac:dyDescent="0.2"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</row>
    <row r="913" spans="6:26" ht="14.25" customHeight="1" x14ac:dyDescent="0.2"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</row>
    <row r="914" spans="6:26" ht="14.25" customHeight="1" x14ac:dyDescent="0.2"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</row>
    <row r="915" spans="6:26" ht="14.25" customHeight="1" x14ac:dyDescent="0.2"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</row>
    <row r="916" spans="6:26" ht="14.25" customHeight="1" x14ac:dyDescent="0.2"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</row>
    <row r="917" spans="6:26" ht="14.25" customHeight="1" x14ac:dyDescent="0.2"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</row>
    <row r="918" spans="6:26" ht="14.25" customHeight="1" x14ac:dyDescent="0.2"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</row>
    <row r="919" spans="6:26" ht="14.25" customHeight="1" x14ac:dyDescent="0.2"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</row>
    <row r="920" spans="6:26" ht="14.25" customHeight="1" x14ac:dyDescent="0.2"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</row>
    <row r="921" spans="6:26" ht="14.25" customHeight="1" x14ac:dyDescent="0.2"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</row>
    <row r="922" spans="6:26" ht="14.25" customHeight="1" x14ac:dyDescent="0.2"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</row>
    <row r="923" spans="6:26" ht="14.25" customHeight="1" x14ac:dyDescent="0.2"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</row>
    <row r="924" spans="6:26" ht="14.25" customHeight="1" x14ac:dyDescent="0.2"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</row>
    <row r="925" spans="6:26" ht="14.25" customHeight="1" x14ac:dyDescent="0.2"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</row>
    <row r="926" spans="6:26" ht="14.25" customHeight="1" x14ac:dyDescent="0.2"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</row>
    <row r="927" spans="6:26" ht="14.25" customHeight="1" x14ac:dyDescent="0.2"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</row>
    <row r="928" spans="6:26" ht="14.25" customHeight="1" x14ac:dyDescent="0.2"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</row>
    <row r="929" spans="6:26" ht="14.25" customHeight="1" x14ac:dyDescent="0.2"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</row>
    <row r="930" spans="6:26" ht="14.25" customHeight="1" x14ac:dyDescent="0.2"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</row>
    <row r="931" spans="6:26" ht="14.25" customHeight="1" x14ac:dyDescent="0.2"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</row>
    <row r="932" spans="6:26" ht="14.25" customHeight="1" x14ac:dyDescent="0.2"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</row>
    <row r="933" spans="6:26" ht="14.25" customHeight="1" x14ac:dyDescent="0.2"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</row>
    <row r="934" spans="6:26" ht="14.25" customHeight="1" x14ac:dyDescent="0.2"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</row>
    <row r="935" spans="6:26" ht="14.25" customHeight="1" x14ac:dyDescent="0.2"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</row>
    <row r="936" spans="6:26" ht="14.25" customHeight="1" x14ac:dyDescent="0.2"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</row>
    <row r="937" spans="6:26" ht="14.25" customHeight="1" x14ac:dyDescent="0.2"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</row>
    <row r="938" spans="6:26" ht="14.25" customHeight="1" x14ac:dyDescent="0.2"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</row>
    <row r="939" spans="6:26" ht="14.25" customHeight="1" x14ac:dyDescent="0.2"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</row>
    <row r="940" spans="6:26" ht="14.25" customHeight="1" x14ac:dyDescent="0.2"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</row>
    <row r="941" spans="6:26" ht="14.25" customHeight="1" x14ac:dyDescent="0.2"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</row>
    <row r="942" spans="6:26" ht="14.25" customHeight="1" x14ac:dyDescent="0.2"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</row>
    <row r="943" spans="6:26" ht="14.25" customHeight="1" x14ac:dyDescent="0.2"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</row>
    <row r="944" spans="6:26" ht="14.25" customHeight="1" x14ac:dyDescent="0.2"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</row>
    <row r="945" spans="6:26" ht="14.25" customHeight="1" x14ac:dyDescent="0.2"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</row>
    <row r="946" spans="6:26" ht="14.25" customHeight="1" x14ac:dyDescent="0.2"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</row>
    <row r="947" spans="6:26" ht="14.25" customHeight="1" x14ac:dyDescent="0.2"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</row>
    <row r="948" spans="6:26" ht="14.25" customHeight="1" x14ac:dyDescent="0.2"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</row>
    <row r="949" spans="6:26" ht="14.25" customHeight="1" x14ac:dyDescent="0.2"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</row>
    <row r="950" spans="6:26" ht="14.25" customHeight="1" x14ac:dyDescent="0.2"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</row>
    <row r="951" spans="6:26" ht="14.25" customHeight="1" x14ac:dyDescent="0.2"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</row>
    <row r="952" spans="6:26" ht="14.25" customHeight="1" x14ac:dyDescent="0.2"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</row>
    <row r="953" spans="6:26" ht="14.25" customHeight="1" x14ac:dyDescent="0.2"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</row>
    <row r="954" spans="6:26" ht="14.25" customHeight="1" x14ac:dyDescent="0.2"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</row>
    <row r="955" spans="6:26" ht="14.25" customHeight="1" x14ac:dyDescent="0.2"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</row>
    <row r="956" spans="6:26" ht="14.25" customHeight="1" x14ac:dyDescent="0.2"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</row>
    <row r="957" spans="6:26" ht="14.25" customHeight="1" x14ac:dyDescent="0.2"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</row>
    <row r="958" spans="6:26" ht="14.25" customHeight="1" x14ac:dyDescent="0.2"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</row>
    <row r="959" spans="6:26" ht="14.25" customHeight="1" x14ac:dyDescent="0.2"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</row>
    <row r="960" spans="6:26" ht="14.25" customHeight="1" x14ac:dyDescent="0.2"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</row>
    <row r="961" spans="6:26" ht="14.25" customHeight="1" x14ac:dyDescent="0.2"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</row>
    <row r="962" spans="6:26" ht="14.25" customHeight="1" x14ac:dyDescent="0.2"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</row>
    <row r="963" spans="6:26" ht="14.25" customHeight="1" x14ac:dyDescent="0.2"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</row>
    <row r="964" spans="6:26" ht="14.25" customHeight="1" x14ac:dyDescent="0.2"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</row>
    <row r="965" spans="6:26" ht="14.25" customHeight="1" x14ac:dyDescent="0.2"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</row>
    <row r="966" spans="6:26" ht="14.25" customHeight="1" x14ac:dyDescent="0.2"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</row>
    <row r="967" spans="6:26" ht="14.25" customHeight="1" x14ac:dyDescent="0.2"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</row>
    <row r="968" spans="6:26" ht="14.25" customHeight="1" x14ac:dyDescent="0.2"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</row>
    <row r="969" spans="6:26" ht="14.25" customHeight="1" x14ac:dyDescent="0.2"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</row>
    <row r="970" spans="6:26" ht="14.25" customHeight="1" x14ac:dyDescent="0.2"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</row>
    <row r="971" spans="6:26" ht="14.25" customHeight="1" x14ac:dyDescent="0.2"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</row>
    <row r="972" spans="6:26" ht="14.25" customHeight="1" x14ac:dyDescent="0.2"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</row>
    <row r="973" spans="6:26" ht="14.25" customHeight="1" x14ac:dyDescent="0.2"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</row>
    <row r="974" spans="6:26" ht="14.25" customHeight="1" x14ac:dyDescent="0.2"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</row>
    <row r="975" spans="6:26" ht="14.25" customHeight="1" x14ac:dyDescent="0.2"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</row>
    <row r="976" spans="6:26" ht="14.25" customHeight="1" x14ac:dyDescent="0.2"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</row>
    <row r="977" spans="6:26" ht="14.25" customHeight="1" x14ac:dyDescent="0.2"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</row>
    <row r="978" spans="6:26" ht="14.25" customHeight="1" x14ac:dyDescent="0.2"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</row>
    <row r="979" spans="6:26" ht="14.25" customHeight="1" x14ac:dyDescent="0.2"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</row>
    <row r="980" spans="6:26" ht="14.25" customHeight="1" x14ac:dyDescent="0.2"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</row>
    <row r="981" spans="6:26" ht="14.25" customHeight="1" x14ac:dyDescent="0.2"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</row>
    <row r="982" spans="6:26" ht="14.25" customHeight="1" x14ac:dyDescent="0.2"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</row>
    <row r="983" spans="6:26" ht="14.25" customHeight="1" x14ac:dyDescent="0.2"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</row>
    <row r="984" spans="6:26" ht="14.25" customHeight="1" x14ac:dyDescent="0.2"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</row>
    <row r="985" spans="6:26" ht="14.25" customHeight="1" x14ac:dyDescent="0.2"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</row>
    <row r="986" spans="6:26" ht="14.25" customHeight="1" x14ac:dyDescent="0.2"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</row>
    <row r="987" spans="6:26" ht="14.25" customHeight="1" x14ac:dyDescent="0.2"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</row>
    <row r="988" spans="6:26" ht="14.25" customHeight="1" x14ac:dyDescent="0.2"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</row>
    <row r="989" spans="6:26" ht="14.25" customHeight="1" x14ac:dyDescent="0.2"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</row>
    <row r="990" spans="6:26" ht="14.25" customHeight="1" x14ac:dyDescent="0.2"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</row>
    <row r="991" spans="6:26" ht="14.25" customHeight="1" x14ac:dyDescent="0.2"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</row>
    <row r="992" spans="6:26" ht="14.25" customHeight="1" x14ac:dyDescent="0.2"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</row>
    <row r="993" spans="6:26" ht="14.25" customHeight="1" x14ac:dyDescent="0.2"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</row>
    <row r="994" spans="6:26" ht="14.25" customHeight="1" x14ac:dyDescent="0.2"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</row>
    <row r="995" spans="6:26" ht="14.25" customHeight="1" x14ac:dyDescent="0.2"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</row>
    <row r="996" spans="6:26" ht="14.25" customHeight="1" x14ac:dyDescent="0.2"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</row>
    <row r="997" spans="6:26" ht="14.25" customHeight="1" x14ac:dyDescent="0.2"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</row>
    <row r="998" spans="6:26" ht="14.25" customHeight="1" x14ac:dyDescent="0.2"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</row>
    <row r="999" spans="6:26" ht="14.25" customHeight="1" x14ac:dyDescent="0.2"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</row>
    <row r="1000" spans="6:26" ht="14.25" customHeight="1" x14ac:dyDescent="0.2"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</row>
  </sheetData>
  <mergeCells count="9">
    <mergeCell ref="C36:F36"/>
    <mergeCell ref="C67:F67"/>
    <mergeCell ref="C4:F5"/>
    <mergeCell ref="C7:F7"/>
    <mergeCell ref="C9:F9"/>
    <mergeCell ref="C10:C11"/>
    <mergeCell ref="D10:D11"/>
    <mergeCell ref="E10:E11"/>
    <mergeCell ref="F10:F11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BB"/>
  </sheetPr>
  <dimension ref="A1:Z1000"/>
  <sheetViews>
    <sheetView showGridLines="0" workbookViewId="0">
      <selection activeCell="C19" sqref="C19"/>
    </sheetView>
  </sheetViews>
  <sheetFormatPr baseColWidth="10" defaultColWidth="14.5" defaultRowHeight="15" customHeight="1" x14ac:dyDescent="0.2"/>
  <cols>
    <col min="1" max="1" width="9.1640625" customWidth="1"/>
    <col min="2" max="2" width="31.33203125" customWidth="1"/>
    <col min="3" max="4" width="9.1640625" customWidth="1"/>
    <col min="5" max="5" width="1.33203125" customWidth="1"/>
    <col min="6" max="6" width="9.1640625" customWidth="1"/>
    <col min="7" max="7" width="31.6640625" customWidth="1"/>
    <col min="8" max="8" width="1.33203125" customWidth="1"/>
    <col min="9" max="26" width="9.1640625" customWidth="1"/>
  </cols>
  <sheetData>
    <row r="1" spans="1:26" ht="14.25" customHeight="1" x14ac:dyDescent="0.3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1"/>
      <c r="V1" s="3"/>
      <c r="W1" s="1"/>
      <c r="X1" s="1"/>
      <c r="Y1" s="1"/>
      <c r="Z1" s="1"/>
    </row>
    <row r="2" spans="1:26" ht="14.25" customHeight="1" x14ac:dyDescent="0.3">
      <c r="A2" s="4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4"/>
      <c r="V2" s="6"/>
      <c r="W2" s="4"/>
      <c r="X2" s="4"/>
      <c r="Y2" s="4"/>
      <c r="Z2" s="4"/>
    </row>
    <row r="3" spans="1:26" ht="14.25" customHeight="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8.75" customHeight="1" x14ac:dyDescent="0.2">
      <c r="A4" s="10"/>
      <c r="B4" s="137" t="s">
        <v>109</v>
      </c>
      <c r="C4" s="130"/>
      <c r="D4" s="10"/>
      <c r="E4" s="137" t="s">
        <v>96</v>
      </c>
      <c r="F4" s="129"/>
      <c r="G4" s="129"/>
      <c r="H4" s="13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4.25" customHeight="1" x14ac:dyDescent="0.2">
      <c r="A5" s="10"/>
      <c r="B5" s="10"/>
      <c r="C5" s="68"/>
      <c r="D5" s="68"/>
      <c r="E5" s="68"/>
      <c r="F5" s="68"/>
      <c r="G5" s="101"/>
      <c r="H5" s="10"/>
      <c r="I5" s="41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21" customHeight="1" x14ac:dyDescent="0.2">
      <c r="A6" s="10"/>
      <c r="B6" s="102" t="s">
        <v>97</v>
      </c>
      <c r="C6" s="103">
        <v>1.4999999999999999E-2</v>
      </c>
      <c r="D6" s="10"/>
      <c r="E6" s="104"/>
      <c r="F6" s="105"/>
      <c r="G6" s="105"/>
      <c r="H6" s="106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21" customHeight="1" x14ac:dyDescent="0.2">
      <c r="A7" s="10"/>
      <c r="B7" s="107" t="s">
        <v>98</v>
      </c>
      <c r="C7" s="108">
        <v>8.3699999999999997E-2</v>
      </c>
      <c r="D7" s="10"/>
      <c r="E7" s="109"/>
      <c r="F7" s="8"/>
      <c r="G7" s="8"/>
      <c r="H7" s="1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21" customHeight="1" x14ac:dyDescent="0.2">
      <c r="A8" s="10"/>
      <c r="B8" s="107" t="s">
        <v>99</v>
      </c>
      <c r="C8" s="111">
        <v>-0.31</v>
      </c>
      <c r="D8" s="10"/>
      <c r="E8" s="109"/>
      <c r="F8" s="8"/>
      <c r="G8" s="8"/>
      <c r="H8" s="1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21" customHeight="1" x14ac:dyDescent="0.2">
      <c r="A9" s="10"/>
      <c r="B9" s="112" t="s">
        <v>100</v>
      </c>
      <c r="C9" s="113">
        <f>(C6+C7*(1+C6))/((1+C6)*(1+C7))*C8</f>
        <v>-2.817041689413799E-2</v>
      </c>
      <c r="D9" s="10"/>
      <c r="E9" s="114"/>
      <c r="F9" s="115"/>
      <c r="G9" s="115"/>
      <c r="H9" s="116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4.25" customHeight="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4.25" customHeight="1" x14ac:dyDescent="0.2">
      <c r="A11" s="10"/>
      <c r="B11" s="117" t="s">
        <v>101</v>
      </c>
      <c r="C11" s="145">
        <v>0.37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4.25" customHeight="1" x14ac:dyDescent="0.2">
      <c r="A12" s="10"/>
      <c r="B12" s="118" t="s">
        <v>102</v>
      </c>
      <c r="C12" s="146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4.25" customHeight="1" x14ac:dyDescent="0.2">
      <c r="A13" s="10"/>
      <c r="B13" s="11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4.25" customHeight="1" x14ac:dyDescent="0.2">
      <c r="A14" s="10"/>
      <c r="B14" s="117" t="s">
        <v>103</v>
      </c>
      <c r="C14" s="141">
        <v>4.2999999999999997E-2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4.25" customHeight="1" x14ac:dyDescent="0.2">
      <c r="A15" s="10"/>
      <c r="B15" s="120" t="s">
        <v>104</v>
      </c>
      <c r="C15" s="139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4.25" customHeight="1" x14ac:dyDescent="0.2">
      <c r="A16" s="10"/>
      <c r="B16" s="10"/>
      <c r="C16" s="121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4.25" customHeight="1" x14ac:dyDescent="0.2">
      <c r="A17" s="10"/>
      <c r="B17" s="122" t="s">
        <v>105</v>
      </c>
      <c r="C17" s="123">
        <f>C14-C9</f>
        <v>7.1170416894137986E-2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4.25" customHeight="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4.25" customHeight="1" x14ac:dyDescent="0.2">
      <c r="A19" s="10"/>
      <c r="B19" s="122" t="s">
        <v>106</v>
      </c>
      <c r="C19" s="124">
        <f>-(1/C11)*C17</f>
        <v>-0.19235247809226483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4.25" customHeight="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4.25" customHeight="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4.25" customHeight="1" x14ac:dyDescent="0.2">
      <c r="A22" s="10"/>
      <c r="B22" s="10"/>
      <c r="C22" s="125"/>
      <c r="D22" s="10"/>
      <c r="E22" s="126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4.25" customHeight="1" x14ac:dyDescent="0.2">
      <c r="A23" s="10"/>
      <c r="B23" s="10"/>
      <c r="C23" s="10"/>
      <c r="D23" s="10"/>
      <c r="E23" s="125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4.25" customHeight="1" x14ac:dyDescent="0.2">
      <c r="A24" s="10"/>
      <c r="B24" s="10"/>
      <c r="C24" s="10"/>
      <c r="D24" s="10"/>
      <c r="E24" s="125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4.25" customHeight="1" x14ac:dyDescent="0.2">
      <c r="A25" s="10"/>
      <c r="B25" s="10"/>
      <c r="C25" s="127"/>
      <c r="D25" s="10"/>
      <c r="E25" s="125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4.25" customHeight="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4.25" customHeight="1" x14ac:dyDescent="0.2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4.25" customHeight="1" x14ac:dyDescent="0.2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4.25" customHeight="1" x14ac:dyDescent="0.2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4.25" customHeight="1" x14ac:dyDescent="0.2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4.25" customHeight="1" x14ac:dyDescent="0.2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4.25" customHeight="1" x14ac:dyDescent="0.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4.25" customHeight="1" x14ac:dyDescent="0.2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4.25" customHeight="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4.25" customHeight="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4.25" customHeight="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4.25" customHeight="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4.25" customHeight="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4.25" customHeight="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4.25" customHeight="1" x14ac:dyDescent="0.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4.25" customHeight="1" x14ac:dyDescent="0.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4.25" customHeight="1" x14ac:dyDescent="0.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4.25" customHeight="1" x14ac:dyDescent="0.2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4.25" customHeight="1" x14ac:dyDescent="0.2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4.25" customHeight="1" x14ac:dyDescent="0.2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4.25" customHeight="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4.25" customHeight="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4.25" customHeight="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4.25" customHeight="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4.25" customHeight="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4.25" customHeight="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4.25" customHeight="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4.25" customHeight="1" x14ac:dyDescent="0.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4.25" customHeight="1" x14ac:dyDescent="0.2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4.25" customHeight="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4.25" customHeight="1" x14ac:dyDescent="0.2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4.25" customHeight="1" x14ac:dyDescent="0.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4.25" customHeight="1" x14ac:dyDescent="0.2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4.25" customHeight="1" x14ac:dyDescent="0.2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4.25" customHeight="1" x14ac:dyDescent="0.2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4.25" customHeight="1" x14ac:dyDescent="0.2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4.25" customHeight="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4.25" customHeight="1" x14ac:dyDescent="0.2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4.25" customHeight="1" x14ac:dyDescent="0.2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4.25" customHeight="1" x14ac:dyDescent="0.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4.25" customHeight="1" x14ac:dyDescent="0.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4.25" customHeight="1" x14ac:dyDescent="0.2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4.25" customHeight="1" x14ac:dyDescent="0.2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4.25" customHeight="1" x14ac:dyDescent="0.2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4.25" customHeight="1" x14ac:dyDescent="0.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4.25" customHeight="1" x14ac:dyDescent="0.2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4.25" customHeight="1" x14ac:dyDescent="0.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4.25" customHeight="1" x14ac:dyDescent="0.2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4.25" customHeight="1" x14ac:dyDescent="0.2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4.25" customHeight="1" x14ac:dyDescent="0.2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4.25" customHeight="1" x14ac:dyDescent="0.2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4.25" customHeight="1" x14ac:dyDescent="0.2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4.25" customHeight="1" x14ac:dyDescent="0.2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4.25" customHeight="1" x14ac:dyDescent="0.2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4.25" customHeight="1" x14ac:dyDescent="0.2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4.25" customHeight="1" x14ac:dyDescent="0.2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4.25" customHeight="1" x14ac:dyDescent="0.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4.25" customHeight="1" x14ac:dyDescent="0.2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4.25" customHeight="1" x14ac:dyDescent="0.2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4.25" customHeight="1" x14ac:dyDescent="0.2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4.25" customHeight="1" x14ac:dyDescent="0.2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4.25" customHeight="1" x14ac:dyDescent="0.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4.25" customHeight="1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4.25" customHeight="1" x14ac:dyDescent="0.2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4.25" customHeight="1" x14ac:dyDescent="0.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4.25" customHeight="1" x14ac:dyDescent="0.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4.25" customHeight="1" x14ac:dyDescent="0.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4.25" customHeight="1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4.25" customHeight="1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4.25" customHeight="1" x14ac:dyDescent="0.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4.25" customHeight="1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4.25" customHeight="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4.25" customHeight="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4.25" customHeight="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4.25" customHeight="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4.25" customHeight="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4.25" customHeight="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4.25" customHeight="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4.25" customHeight="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4.25" customHeight="1" x14ac:dyDescent="0.2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4.25" customHeight="1" x14ac:dyDescent="0.2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4.25" customHeight="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4.25" customHeight="1" x14ac:dyDescent="0.2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4.25" customHeight="1" x14ac:dyDescent="0.2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4.25" customHeight="1" x14ac:dyDescent="0.2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4.25" customHeight="1" x14ac:dyDescent="0.2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4.25" customHeight="1" x14ac:dyDescent="0.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4.25" customHeight="1" x14ac:dyDescent="0.2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4.25" customHeight="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4.25" customHeight="1" x14ac:dyDescent="0.2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4.25" customHeight="1" x14ac:dyDescent="0.2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4.25" customHeight="1" x14ac:dyDescent="0.2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4.25" customHeight="1" x14ac:dyDescent="0.2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4.25" customHeight="1" x14ac:dyDescent="0.2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4.25" customHeight="1" x14ac:dyDescent="0.2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4.25" customHeight="1" x14ac:dyDescent="0.2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4.25" customHeight="1" x14ac:dyDescent="0.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4.25" customHeight="1" x14ac:dyDescent="0.2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4.25" customHeight="1" x14ac:dyDescent="0.2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4.25" customHeight="1" x14ac:dyDescent="0.2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4.25" customHeight="1" x14ac:dyDescent="0.2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4.25" customHeight="1" x14ac:dyDescent="0.2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4.25" customHeight="1" x14ac:dyDescent="0.2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4.25" customHeight="1" x14ac:dyDescent="0.2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4.25" customHeight="1" x14ac:dyDescent="0.2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4.25" customHeight="1" x14ac:dyDescent="0.2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4.25" customHeight="1" x14ac:dyDescent="0.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4.25" customHeight="1" x14ac:dyDescent="0.2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4.25" customHeight="1" x14ac:dyDescent="0.2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4.25" customHeight="1" x14ac:dyDescent="0.2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4.25" customHeight="1" x14ac:dyDescent="0.2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4.25" customHeight="1" x14ac:dyDescent="0.2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4.25" customHeight="1" x14ac:dyDescent="0.2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4.25" customHeight="1" x14ac:dyDescent="0.2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4.25" customHeight="1" x14ac:dyDescent="0.2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4.25" customHeight="1" x14ac:dyDescent="0.2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4.25" customHeight="1" x14ac:dyDescent="0.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4.25" customHeight="1" x14ac:dyDescent="0.2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4.25" customHeight="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4.25" customHeight="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4.25" customHeight="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4.25" customHeight="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4.25" customHeight="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4.25" customHeight="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4.25" customHeight="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4.25" customHeight="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4.25" customHeight="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4.25" customHeight="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4.25" customHeight="1" x14ac:dyDescent="0.2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4.25" customHeight="1" x14ac:dyDescent="0.2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4.25" customHeight="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4.25" customHeight="1" x14ac:dyDescent="0.2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4.25" customHeight="1" x14ac:dyDescent="0.2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4.25" customHeight="1" x14ac:dyDescent="0.2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4.25" customHeight="1" x14ac:dyDescent="0.2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4.25" customHeight="1" x14ac:dyDescent="0.2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4.25" customHeight="1" x14ac:dyDescent="0.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4.25" customHeight="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4.25" customHeight="1" x14ac:dyDescent="0.2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4.25" customHeight="1" x14ac:dyDescent="0.2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4.25" customHeight="1" x14ac:dyDescent="0.2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4.25" customHeight="1" x14ac:dyDescent="0.2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4.25" customHeight="1" x14ac:dyDescent="0.2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4.25" customHeight="1" x14ac:dyDescent="0.2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4.25" customHeight="1" x14ac:dyDescent="0.2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4.25" customHeight="1" x14ac:dyDescent="0.2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4.25" customHeight="1" x14ac:dyDescent="0.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4.25" customHeight="1" x14ac:dyDescent="0.2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4.25" customHeight="1" x14ac:dyDescent="0.2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4.25" customHeight="1" x14ac:dyDescent="0.2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4.25" customHeight="1" x14ac:dyDescent="0.2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4.25" customHeight="1" x14ac:dyDescent="0.2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4.25" customHeight="1" x14ac:dyDescent="0.2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4.25" customHeight="1" x14ac:dyDescent="0.2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4.25" customHeight="1" x14ac:dyDescent="0.2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4.25" customHeight="1" x14ac:dyDescent="0.2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4.25" customHeight="1" x14ac:dyDescent="0.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4.25" customHeight="1" x14ac:dyDescent="0.2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4.25" customHeight="1" x14ac:dyDescent="0.2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4.25" customHeight="1" x14ac:dyDescent="0.2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4.25" customHeight="1" x14ac:dyDescent="0.2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4.25" customHeight="1" x14ac:dyDescent="0.2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4.25" customHeight="1" x14ac:dyDescent="0.2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4.25" customHeight="1" x14ac:dyDescent="0.2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4.25" customHeight="1" x14ac:dyDescent="0.2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4.25" customHeight="1" x14ac:dyDescent="0.2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4.25" customHeight="1" x14ac:dyDescent="0.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4.25" customHeight="1" x14ac:dyDescent="0.2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4.25" customHeight="1" x14ac:dyDescent="0.2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4.25" customHeight="1" x14ac:dyDescent="0.2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4.25" customHeight="1" x14ac:dyDescent="0.2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4.25" customHeight="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4.25" customHeight="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4.25" customHeight="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4.25" customHeight="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4.25" customHeight="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4.25" customHeight="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4.25" customHeight="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4.25" customHeight="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4.25" customHeight="1" x14ac:dyDescent="0.2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4.25" customHeight="1" x14ac:dyDescent="0.2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4.25" customHeight="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4.25" customHeight="1" x14ac:dyDescent="0.2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4.25" customHeight="1" x14ac:dyDescent="0.2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4.25" customHeight="1" x14ac:dyDescent="0.2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4.25" customHeight="1" x14ac:dyDescent="0.2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4.25" customHeight="1" x14ac:dyDescent="0.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4.25" customHeight="1" x14ac:dyDescent="0.2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4.25" customHeight="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4.25" customHeight="1" x14ac:dyDescent="0.2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4.25" customHeight="1" x14ac:dyDescent="0.2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4.25" customHeight="1" x14ac:dyDescent="0.2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4.25" customHeight="1" x14ac:dyDescent="0.2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4.25" customHeight="1" x14ac:dyDescent="0.2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4.25" customHeight="1" x14ac:dyDescent="0.2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4.25" customHeight="1" x14ac:dyDescent="0.2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4.25" customHeight="1" x14ac:dyDescent="0.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4.25" customHeight="1" x14ac:dyDescent="0.2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4.25" customHeight="1" x14ac:dyDescent="0.2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4.25" customHeight="1" x14ac:dyDescent="0.2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4.25" customHeight="1" x14ac:dyDescent="0.2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4.25" customHeight="1" x14ac:dyDescent="0.2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4.25" customHeight="1" x14ac:dyDescent="0.2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4.25" customHeight="1" x14ac:dyDescent="0.2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4.25" customHeight="1" x14ac:dyDescent="0.2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4.25" customHeight="1" x14ac:dyDescent="0.2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4.25" customHeight="1" x14ac:dyDescent="0.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4.25" customHeight="1" x14ac:dyDescent="0.2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4.25" customHeight="1" x14ac:dyDescent="0.2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4.25" customHeight="1" x14ac:dyDescent="0.2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4.25" customHeight="1" x14ac:dyDescent="0.2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4.25" customHeight="1" x14ac:dyDescent="0.2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4.25" customHeight="1" x14ac:dyDescent="0.2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4.25" customHeight="1" x14ac:dyDescent="0.2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4.25" customHeight="1" x14ac:dyDescent="0.2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4.25" customHeight="1" x14ac:dyDescent="0.2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4.25" customHeight="1" x14ac:dyDescent="0.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4.25" customHeight="1" x14ac:dyDescent="0.2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4.25" customHeight="1" x14ac:dyDescent="0.2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4.25" customHeight="1" x14ac:dyDescent="0.2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4.25" customHeight="1" x14ac:dyDescent="0.2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4.25" customHeight="1" x14ac:dyDescent="0.2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4.25" customHeight="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4.25" customHeight="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4.25" customHeight="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4.25" customHeight="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4.25" customHeight="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4.25" customHeight="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4.25" customHeight="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4.25" customHeight="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4.25" customHeight="1" x14ac:dyDescent="0.2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4.25" customHeight="1" x14ac:dyDescent="0.2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4.25" customHeight="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4.25" customHeight="1" x14ac:dyDescent="0.2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4.25" customHeight="1" x14ac:dyDescent="0.2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4.25" customHeight="1" x14ac:dyDescent="0.2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4.25" customHeight="1" x14ac:dyDescent="0.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4.25" customHeight="1" x14ac:dyDescent="0.2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4.25" customHeight="1" x14ac:dyDescent="0.2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4.25" customHeight="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4.25" customHeight="1" x14ac:dyDescent="0.2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4.25" customHeight="1" x14ac:dyDescent="0.2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4.25" customHeight="1" x14ac:dyDescent="0.2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4.25" customHeight="1" x14ac:dyDescent="0.2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4.25" customHeight="1" x14ac:dyDescent="0.2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4.25" customHeight="1" x14ac:dyDescent="0.2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4.25" customHeight="1" x14ac:dyDescent="0.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4.25" customHeight="1" x14ac:dyDescent="0.2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4.25" customHeight="1" x14ac:dyDescent="0.2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4.25" customHeight="1" x14ac:dyDescent="0.2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4.25" customHeight="1" x14ac:dyDescent="0.2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4.25" customHeight="1" x14ac:dyDescent="0.2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4.25" customHeight="1" x14ac:dyDescent="0.2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4.25" customHeight="1" x14ac:dyDescent="0.2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4.25" customHeight="1" x14ac:dyDescent="0.2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4.25" customHeight="1" x14ac:dyDescent="0.2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4.25" customHeight="1" x14ac:dyDescent="0.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4.25" customHeight="1" x14ac:dyDescent="0.2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4.25" customHeight="1" x14ac:dyDescent="0.2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4.25" customHeight="1" x14ac:dyDescent="0.2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4.25" customHeight="1" x14ac:dyDescent="0.2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4.25" customHeight="1" x14ac:dyDescent="0.2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4.25" customHeight="1" x14ac:dyDescent="0.2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4.25" customHeight="1" x14ac:dyDescent="0.2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4.25" customHeight="1" x14ac:dyDescent="0.2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4.25" customHeight="1" x14ac:dyDescent="0.2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4.25" customHeight="1" x14ac:dyDescent="0.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4.25" customHeight="1" x14ac:dyDescent="0.2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4.25" customHeight="1" x14ac:dyDescent="0.2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4.25" customHeight="1" x14ac:dyDescent="0.2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4.25" customHeight="1" x14ac:dyDescent="0.2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4.25" customHeight="1" x14ac:dyDescent="0.2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4.25" customHeight="1" x14ac:dyDescent="0.2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4.25" customHeight="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4.25" customHeight="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4.25" customHeight="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4.25" customHeight="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4.25" customHeight="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4.25" customHeight="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4.25" customHeight="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4.25" customHeight="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4.25" customHeight="1" x14ac:dyDescent="0.2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4.25" customHeight="1" x14ac:dyDescent="0.2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4.25" customHeight="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4.25" customHeight="1" x14ac:dyDescent="0.2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4.25" customHeight="1" x14ac:dyDescent="0.2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4.25" customHeight="1" x14ac:dyDescent="0.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4.25" customHeight="1" x14ac:dyDescent="0.2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4.25" customHeight="1" x14ac:dyDescent="0.2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4.25" customHeight="1" x14ac:dyDescent="0.2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4.25" customHeight="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4.25" customHeight="1" x14ac:dyDescent="0.2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4.25" customHeight="1" x14ac:dyDescent="0.2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4.25" customHeight="1" x14ac:dyDescent="0.2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4.25" customHeight="1" x14ac:dyDescent="0.2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4.25" customHeight="1" x14ac:dyDescent="0.2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4.25" customHeight="1" x14ac:dyDescent="0.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4.25" customHeight="1" x14ac:dyDescent="0.2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4.25" customHeight="1" x14ac:dyDescent="0.2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4.25" customHeight="1" x14ac:dyDescent="0.2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4.25" customHeight="1" x14ac:dyDescent="0.2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4.25" customHeight="1" x14ac:dyDescent="0.2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4.25" customHeight="1" x14ac:dyDescent="0.2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4.25" customHeight="1" x14ac:dyDescent="0.2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4.25" customHeight="1" x14ac:dyDescent="0.2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4.25" customHeight="1" x14ac:dyDescent="0.2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4.25" customHeight="1" x14ac:dyDescent="0.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4.25" customHeight="1" x14ac:dyDescent="0.2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4.25" customHeight="1" x14ac:dyDescent="0.2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4.25" customHeight="1" x14ac:dyDescent="0.2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4.25" customHeight="1" x14ac:dyDescent="0.2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4.25" customHeight="1" x14ac:dyDescent="0.2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4.25" customHeight="1" x14ac:dyDescent="0.2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4.25" customHeight="1" x14ac:dyDescent="0.2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4.25" customHeight="1" x14ac:dyDescent="0.2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4.25" customHeight="1" x14ac:dyDescent="0.2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4.25" customHeight="1" x14ac:dyDescent="0.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4.25" customHeight="1" x14ac:dyDescent="0.2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4.25" customHeight="1" x14ac:dyDescent="0.2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4.25" customHeight="1" x14ac:dyDescent="0.2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4.25" customHeight="1" x14ac:dyDescent="0.2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4.25" customHeight="1" x14ac:dyDescent="0.2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4.25" customHeight="1" x14ac:dyDescent="0.2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4.25" customHeight="1" x14ac:dyDescent="0.2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4.25" customHeight="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4.25" customHeight="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4.25" customHeight="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4.25" customHeight="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4.25" customHeight="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4.25" customHeight="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4.25" customHeight="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4.25" customHeight="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4.25" customHeight="1" x14ac:dyDescent="0.2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4.25" customHeight="1" x14ac:dyDescent="0.2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4.25" customHeight="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4.25" customHeight="1" x14ac:dyDescent="0.2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4.25" customHeight="1" x14ac:dyDescent="0.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4.25" customHeight="1" x14ac:dyDescent="0.2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4.25" customHeight="1" x14ac:dyDescent="0.2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4.25" customHeight="1" x14ac:dyDescent="0.2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4.25" customHeight="1" x14ac:dyDescent="0.2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4.25" customHeight="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4.25" customHeight="1" x14ac:dyDescent="0.2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4.25" customHeight="1" x14ac:dyDescent="0.2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4.25" customHeight="1" x14ac:dyDescent="0.2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4.25" customHeight="1" x14ac:dyDescent="0.2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4.25" customHeight="1" x14ac:dyDescent="0.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4.25" customHeight="1" x14ac:dyDescent="0.2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4.25" customHeight="1" x14ac:dyDescent="0.2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4.25" customHeight="1" x14ac:dyDescent="0.2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4.25" customHeight="1" x14ac:dyDescent="0.2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4.25" customHeight="1" x14ac:dyDescent="0.2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4.25" customHeight="1" x14ac:dyDescent="0.2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4.25" customHeight="1" x14ac:dyDescent="0.2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4.25" customHeight="1" x14ac:dyDescent="0.2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4.25" customHeight="1" x14ac:dyDescent="0.2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4.25" customHeight="1" x14ac:dyDescent="0.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4.25" customHeight="1" x14ac:dyDescent="0.2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4.25" customHeight="1" x14ac:dyDescent="0.2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4.25" customHeight="1" x14ac:dyDescent="0.2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4.25" customHeight="1" x14ac:dyDescent="0.2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4.25" customHeight="1" x14ac:dyDescent="0.2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4.25" customHeight="1" x14ac:dyDescent="0.2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4.25" customHeight="1" x14ac:dyDescent="0.2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4.25" customHeight="1" x14ac:dyDescent="0.2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4.25" customHeight="1" x14ac:dyDescent="0.2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4.25" customHeight="1" x14ac:dyDescent="0.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4.25" customHeight="1" x14ac:dyDescent="0.2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4.25" customHeight="1" x14ac:dyDescent="0.2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4.25" customHeight="1" x14ac:dyDescent="0.2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4.25" customHeight="1" x14ac:dyDescent="0.2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4.25" customHeight="1" x14ac:dyDescent="0.2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4.25" customHeight="1" x14ac:dyDescent="0.2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4.25" customHeight="1" x14ac:dyDescent="0.2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4.25" customHeight="1" x14ac:dyDescent="0.2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4.25" customHeight="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4.25" customHeight="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4.25" customHeight="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4.25" customHeight="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4.25" customHeight="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4.25" customHeight="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4.25" customHeight="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4.25" customHeight="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4.25" customHeight="1" x14ac:dyDescent="0.2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4.25" customHeight="1" x14ac:dyDescent="0.2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4.25" customHeight="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4.25" customHeight="1" x14ac:dyDescent="0.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4.25" customHeight="1" x14ac:dyDescent="0.2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4.25" customHeight="1" x14ac:dyDescent="0.2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4.25" customHeight="1" x14ac:dyDescent="0.2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4.25" customHeight="1" x14ac:dyDescent="0.2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4.25" customHeight="1" x14ac:dyDescent="0.2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4.25" customHeight="1" x14ac:dyDescent="0.2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4.25" customHeight="1" x14ac:dyDescent="0.2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4.25" customHeight="1" x14ac:dyDescent="0.2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4.25" customHeight="1" x14ac:dyDescent="0.2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4.25" customHeight="1" x14ac:dyDescent="0.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4.25" customHeight="1" x14ac:dyDescent="0.2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4.25" customHeight="1" x14ac:dyDescent="0.2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4.25" customHeight="1" x14ac:dyDescent="0.2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4.25" customHeight="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4.25" customHeight="1" x14ac:dyDescent="0.2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4.25" customHeight="1" x14ac:dyDescent="0.2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4.25" customHeight="1" x14ac:dyDescent="0.2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4.25" customHeight="1" x14ac:dyDescent="0.2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4.25" customHeight="1" x14ac:dyDescent="0.2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4.25" customHeight="1" x14ac:dyDescent="0.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4.25" customHeight="1" x14ac:dyDescent="0.2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4.25" customHeight="1" x14ac:dyDescent="0.2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4.25" customHeight="1" x14ac:dyDescent="0.2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4.25" customHeight="1" x14ac:dyDescent="0.2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4.25" customHeight="1" x14ac:dyDescent="0.2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4.25" customHeight="1" x14ac:dyDescent="0.2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4.25" customHeight="1" x14ac:dyDescent="0.2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4.25" customHeight="1" x14ac:dyDescent="0.2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4.25" customHeight="1" x14ac:dyDescent="0.2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4.25" customHeight="1" x14ac:dyDescent="0.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4.25" customHeight="1" x14ac:dyDescent="0.2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4.25" customHeight="1" x14ac:dyDescent="0.2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4.25" customHeight="1" x14ac:dyDescent="0.2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4.25" customHeight="1" x14ac:dyDescent="0.2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4.25" customHeight="1" x14ac:dyDescent="0.2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4.25" customHeight="1" x14ac:dyDescent="0.2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4.25" customHeight="1" x14ac:dyDescent="0.2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4.25" customHeight="1" x14ac:dyDescent="0.2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4.25" customHeight="1" x14ac:dyDescent="0.2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4.25" customHeight="1" x14ac:dyDescent="0.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4.25" customHeight="1" x14ac:dyDescent="0.2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4.25" customHeight="1" x14ac:dyDescent="0.2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4.25" customHeight="1" x14ac:dyDescent="0.2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4.25" customHeight="1" x14ac:dyDescent="0.2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4.25" customHeight="1" x14ac:dyDescent="0.2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4.25" customHeight="1" x14ac:dyDescent="0.2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4.25" customHeight="1" x14ac:dyDescent="0.2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4.25" customHeight="1" x14ac:dyDescent="0.2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4.25" customHeight="1" x14ac:dyDescent="0.2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4.25" customHeight="1" x14ac:dyDescent="0.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4.25" customHeight="1" x14ac:dyDescent="0.2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4.25" customHeight="1" x14ac:dyDescent="0.2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4.25" customHeight="1" x14ac:dyDescent="0.2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4.25" customHeight="1" x14ac:dyDescent="0.2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4.25" customHeight="1" x14ac:dyDescent="0.2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4.25" customHeight="1" x14ac:dyDescent="0.2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4.25" customHeight="1" x14ac:dyDescent="0.2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4.25" customHeight="1" x14ac:dyDescent="0.2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4.25" customHeight="1" x14ac:dyDescent="0.2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4.25" customHeight="1" x14ac:dyDescent="0.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4.25" customHeight="1" x14ac:dyDescent="0.2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4.25" customHeight="1" x14ac:dyDescent="0.2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4.25" customHeight="1" x14ac:dyDescent="0.2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4.25" customHeight="1" x14ac:dyDescent="0.2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4.25" customHeight="1" x14ac:dyDescent="0.2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4.25" customHeight="1" x14ac:dyDescent="0.2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4.25" customHeight="1" x14ac:dyDescent="0.2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4.25" customHeight="1" x14ac:dyDescent="0.2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4.25" customHeight="1" x14ac:dyDescent="0.2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4.25" customHeight="1" x14ac:dyDescent="0.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4.25" customHeight="1" x14ac:dyDescent="0.2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4.25" customHeight="1" x14ac:dyDescent="0.2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4.25" customHeight="1" x14ac:dyDescent="0.2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4.25" customHeight="1" x14ac:dyDescent="0.2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4.25" customHeight="1" x14ac:dyDescent="0.2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4.25" customHeight="1" x14ac:dyDescent="0.2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4.25" customHeight="1" x14ac:dyDescent="0.2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4.25" customHeight="1" x14ac:dyDescent="0.2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4.25" customHeight="1" x14ac:dyDescent="0.2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4.25" customHeight="1" x14ac:dyDescent="0.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4.25" customHeight="1" x14ac:dyDescent="0.2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4.25" customHeight="1" x14ac:dyDescent="0.2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4.25" customHeight="1" x14ac:dyDescent="0.2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4.25" customHeight="1" x14ac:dyDescent="0.2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4.25" customHeight="1" x14ac:dyDescent="0.2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4.25" customHeight="1" x14ac:dyDescent="0.2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4.25" customHeight="1" x14ac:dyDescent="0.2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4.25" customHeight="1" x14ac:dyDescent="0.2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4.25" customHeight="1" x14ac:dyDescent="0.2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4.25" customHeight="1" x14ac:dyDescent="0.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4.25" customHeight="1" x14ac:dyDescent="0.2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4.25" customHeight="1" x14ac:dyDescent="0.2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4.25" customHeight="1" x14ac:dyDescent="0.2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4.25" customHeight="1" x14ac:dyDescent="0.2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4.25" customHeight="1" x14ac:dyDescent="0.2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4.25" customHeight="1" x14ac:dyDescent="0.2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4.25" customHeight="1" x14ac:dyDescent="0.2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4.25" customHeight="1" x14ac:dyDescent="0.2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4.25" customHeight="1" x14ac:dyDescent="0.2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4.25" customHeight="1" x14ac:dyDescent="0.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4.25" customHeight="1" x14ac:dyDescent="0.2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4.25" customHeight="1" x14ac:dyDescent="0.2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4.25" customHeight="1" x14ac:dyDescent="0.2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4.25" customHeight="1" x14ac:dyDescent="0.2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4.25" customHeight="1" x14ac:dyDescent="0.2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4.25" customHeight="1" x14ac:dyDescent="0.2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4.25" customHeight="1" x14ac:dyDescent="0.2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4.25" customHeight="1" x14ac:dyDescent="0.2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4.25" customHeight="1" x14ac:dyDescent="0.2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4.25" customHeight="1" x14ac:dyDescent="0.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4.25" customHeight="1" x14ac:dyDescent="0.2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4.25" customHeight="1" x14ac:dyDescent="0.2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4.25" customHeight="1" x14ac:dyDescent="0.2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4.25" customHeight="1" x14ac:dyDescent="0.2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4.25" customHeight="1" x14ac:dyDescent="0.2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4.25" customHeight="1" x14ac:dyDescent="0.2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4.25" customHeight="1" x14ac:dyDescent="0.2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4.25" customHeight="1" x14ac:dyDescent="0.2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4.25" customHeight="1" x14ac:dyDescent="0.2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4.25" customHeight="1" x14ac:dyDescent="0.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4.25" customHeight="1" x14ac:dyDescent="0.2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4.25" customHeight="1" x14ac:dyDescent="0.2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4.25" customHeight="1" x14ac:dyDescent="0.2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4.25" customHeight="1" x14ac:dyDescent="0.2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4.25" customHeight="1" x14ac:dyDescent="0.2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4.25" customHeight="1" x14ac:dyDescent="0.2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4.25" customHeight="1" x14ac:dyDescent="0.2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4.25" customHeight="1" x14ac:dyDescent="0.2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4.25" customHeight="1" x14ac:dyDescent="0.2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4.25" customHeight="1" x14ac:dyDescent="0.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4.25" customHeight="1" x14ac:dyDescent="0.2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4.25" customHeight="1" x14ac:dyDescent="0.2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4.25" customHeight="1" x14ac:dyDescent="0.2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4.25" customHeight="1" x14ac:dyDescent="0.2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4.25" customHeight="1" x14ac:dyDescent="0.2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4.25" customHeight="1" x14ac:dyDescent="0.2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4.25" customHeight="1" x14ac:dyDescent="0.2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4.25" customHeight="1" x14ac:dyDescent="0.2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4.25" customHeight="1" x14ac:dyDescent="0.2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4.25" customHeight="1" x14ac:dyDescent="0.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4.25" customHeight="1" x14ac:dyDescent="0.2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4.25" customHeight="1" x14ac:dyDescent="0.2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4.25" customHeight="1" x14ac:dyDescent="0.2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4.25" customHeight="1" x14ac:dyDescent="0.2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4.25" customHeight="1" x14ac:dyDescent="0.2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4.25" customHeight="1" x14ac:dyDescent="0.2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4.25" customHeight="1" x14ac:dyDescent="0.2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4.25" customHeight="1" x14ac:dyDescent="0.2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4.25" customHeight="1" x14ac:dyDescent="0.2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4.25" customHeight="1" x14ac:dyDescent="0.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4.25" customHeight="1" x14ac:dyDescent="0.2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4.25" customHeight="1" x14ac:dyDescent="0.2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4.25" customHeight="1" x14ac:dyDescent="0.2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4.25" customHeight="1" x14ac:dyDescent="0.2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4.25" customHeight="1" x14ac:dyDescent="0.2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4.25" customHeight="1" x14ac:dyDescent="0.2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4.25" customHeight="1" x14ac:dyDescent="0.2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4.25" customHeight="1" x14ac:dyDescent="0.2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4.25" customHeight="1" x14ac:dyDescent="0.2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4.25" customHeight="1" x14ac:dyDescent="0.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4.25" customHeight="1" x14ac:dyDescent="0.2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4.25" customHeight="1" x14ac:dyDescent="0.2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4.25" customHeight="1" x14ac:dyDescent="0.2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4.25" customHeight="1" x14ac:dyDescent="0.2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4.25" customHeight="1" x14ac:dyDescent="0.2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4.25" customHeight="1" x14ac:dyDescent="0.2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4.25" customHeight="1" x14ac:dyDescent="0.2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4.25" customHeight="1" x14ac:dyDescent="0.2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4.25" customHeight="1" x14ac:dyDescent="0.2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4.25" customHeight="1" x14ac:dyDescent="0.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4.25" customHeight="1" x14ac:dyDescent="0.2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4.25" customHeight="1" x14ac:dyDescent="0.2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4.25" customHeight="1" x14ac:dyDescent="0.2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4.25" customHeight="1" x14ac:dyDescent="0.2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4.25" customHeight="1" x14ac:dyDescent="0.2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4.25" customHeight="1" x14ac:dyDescent="0.2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4.25" customHeight="1" x14ac:dyDescent="0.2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4.25" customHeight="1" x14ac:dyDescent="0.2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4.25" customHeight="1" x14ac:dyDescent="0.2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4.25" customHeight="1" x14ac:dyDescent="0.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4.25" customHeight="1" x14ac:dyDescent="0.2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4.25" customHeight="1" x14ac:dyDescent="0.2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4.25" customHeight="1" x14ac:dyDescent="0.2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4.25" customHeight="1" x14ac:dyDescent="0.2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4.25" customHeight="1" x14ac:dyDescent="0.2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4.25" customHeight="1" x14ac:dyDescent="0.2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4.25" customHeight="1" x14ac:dyDescent="0.2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4.25" customHeight="1" x14ac:dyDescent="0.2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4.25" customHeight="1" x14ac:dyDescent="0.2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4.25" customHeight="1" x14ac:dyDescent="0.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4.25" customHeight="1" x14ac:dyDescent="0.2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4.25" customHeight="1" x14ac:dyDescent="0.2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4.25" customHeight="1" x14ac:dyDescent="0.2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4.25" customHeight="1" x14ac:dyDescent="0.2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4.25" customHeight="1" x14ac:dyDescent="0.2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4.25" customHeight="1" x14ac:dyDescent="0.2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4.25" customHeight="1" x14ac:dyDescent="0.2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4.25" customHeight="1" x14ac:dyDescent="0.2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4.25" customHeight="1" x14ac:dyDescent="0.2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4.25" customHeight="1" x14ac:dyDescent="0.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4.25" customHeight="1" x14ac:dyDescent="0.2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4.25" customHeight="1" x14ac:dyDescent="0.2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4.25" customHeight="1" x14ac:dyDescent="0.2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4.25" customHeight="1" x14ac:dyDescent="0.2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4.25" customHeight="1" x14ac:dyDescent="0.2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4.25" customHeight="1" x14ac:dyDescent="0.2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4.25" customHeight="1" x14ac:dyDescent="0.2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4.25" customHeight="1" x14ac:dyDescent="0.2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4.25" customHeight="1" x14ac:dyDescent="0.2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4.25" customHeight="1" x14ac:dyDescent="0.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4.25" customHeight="1" x14ac:dyDescent="0.2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4.25" customHeight="1" x14ac:dyDescent="0.2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4.25" customHeight="1" x14ac:dyDescent="0.2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4.25" customHeight="1" x14ac:dyDescent="0.2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4.25" customHeight="1" x14ac:dyDescent="0.2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4.25" customHeight="1" x14ac:dyDescent="0.2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4.25" customHeight="1" x14ac:dyDescent="0.2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4.25" customHeight="1" x14ac:dyDescent="0.2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4.25" customHeight="1" x14ac:dyDescent="0.2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4.25" customHeight="1" x14ac:dyDescent="0.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4.25" customHeight="1" x14ac:dyDescent="0.2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4.25" customHeight="1" x14ac:dyDescent="0.2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4.25" customHeight="1" x14ac:dyDescent="0.2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4.25" customHeight="1" x14ac:dyDescent="0.2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4.25" customHeight="1" x14ac:dyDescent="0.2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4.25" customHeight="1" x14ac:dyDescent="0.2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4.25" customHeight="1" x14ac:dyDescent="0.2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4.25" customHeight="1" x14ac:dyDescent="0.2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4.25" customHeight="1" x14ac:dyDescent="0.2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4.25" customHeight="1" x14ac:dyDescent="0.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4.25" customHeight="1" x14ac:dyDescent="0.2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4.25" customHeight="1" x14ac:dyDescent="0.2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4.25" customHeight="1" x14ac:dyDescent="0.2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4.25" customHeight="1" x14ac:dyDescent="0.2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4.25" customHeight="1" x14ac:dyDescent="0.2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4.25" customHeight="1" x14ac:dyDescent="0.2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4.25" customHeight="1" x14ac:dyDescent="0.2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4.25" customHeight="1" x14ac:dyDescent="0.2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4.25" customHeight="1" x14ac:dyDescent="0.2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4.25" customHeight="1" x14ac:dyDescent="0.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4.25" customHeight="1" x14ac:dyDescent="0.2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4.25" customHeight="1" x14ac:dyDescent="0.2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4.25" customHeight="1" x14ac:dyDescent="0.2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4.25" customHeight="1" x14ac:dyDescent="0.2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4.25" customHeight="1" x14ac:dyDescent="0.2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4.25" customHeight="1" x14ac:dyDescent="0.2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4.25" customHeight="1" x14ac:dyDescent="0.2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4.25" customHeight="1" x14ac:dyDescent="0.2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4.25" customHeight="1" x14ac:dyDescent="0.2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4.25" customHeight="1" x14ac:dyDescent="0.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4.25" customHeight="1" x14ac:dyDescent="0.2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4.25" customHeight="1" x14ac:dyDescent="0.2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4.25" customHeight="1" x14ac:dyDescent="0.2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4.25" customHeight="1" x14ac:dyDescent="0.2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4.25" customHeight="1" x14ac:dyDescent="0.2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4.25" customHeight="1" x14ac:dyDescent="0.2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4.25" customHeight="1" x14ac:dyDescent="0.2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4.25" customHeight="1" x14ac:dyDescent="0.2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4.25" customHeight="1" x14ac:dyDescent="0.2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4.25" customHeight="1" x14ac:dyDescent="0.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4.25" customHeight="1" x14ac:dyDescent="0.2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4.25" customHeight="1" x14ac:dyDescent="0.2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4.25" customHeight="1" x14ac:dyDescent="0.2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4.25" customHeight="1" x14ac:dyDescent="0.2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4.25" customHeight="1" x14ac:dyDescent="0.2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4.25" customHeight="1" x14ac:dyDescent="0.2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4.25" customHeight="1" x14ac:dyDescent="0.2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4.25" customHeight="1" x14ac:dyDescent="0.2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4.25" customHeight="1" x14ac:dyDescent="0.2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4.25" customHeight="1" x14ac:dyDescent="0.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4.25" customHeight="1" x14ac:dyDescent="0.2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4.25" customHeight="1" x14ac:dyDescent="0.2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4.25" customHeight="1" x14ac:dyDescent="0.2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4.25" customHeight="1" x14ac:dyDescent="0.2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4.25" customHeight="1" x14ac:dyDescent="0.2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4.25" customHeight="1" x14ac:dyDescent="0.2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4.25" customHeight="1" x14ac:dyDescent="0.2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4.25" customHeight="1" x14ac:dyDescent="0.2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4.25" customHeight="1" x14ac:dyDescent="0.2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4.25" customHeight="1" x14ac:dyDescent="0.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4.25" customHeight="1" x14ac:dyDescent="0.2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4.25" customHeight="1" x14ac:dyDescent="0.2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4.25" customHeight="1" x14ac:dyDescent="0.2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4.25" customHeight="1" x14ac:dyDescent="0.2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4.25" customHeight="1" x14ac:dyDescent="0.2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4.25" customHeight="1" x14ac:dyDescent="0.2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4.25" customHeight="1" x14ac:dyDescent="0.2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4.25" customHeight="1" x14ac:dyDescent="0.2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4.25" customHeight="1" x14ac:dyDescent="0.2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4.25" customHeight="1" x14ac:dyDescent="0.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4.25" customHeight="1" x14ac:dyDescent="0.2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4.25" customHeight="1" x14ac:dyDescent="0.2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4.25" customHeight="1" x14ac:dyDescent="0.2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4.25" customHeight="1" x14ac:dyDescent="0.2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4.25" customHeight="1" x14ac:dyDescent="0.2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4.25" customHeight="1" x14ac:dyDescent="0.2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4.25" customHeight="1" x14ac:dyDescent="0.2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4.25" customHeight="1" x14ac:dyDescent="0.2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4.25" customHeight="1" x14ac:dyDescent="0.2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4.25" customHeight="1" x14ac:dyDescent="0.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4.25" customHeight="1" x14ac:dyDescent="0.2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4.25" customHeight="1" x14ac:dyDescent="0.2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4.25" customHeight="1" x14ac:dyDescent="0.2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4.25" customHeight="1" x14ac:dyDescent="0.2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4.25" customHeight="1" x14ac:dyDescent="0.2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4.25" customHeight="1" x14ac:dyDescent="0.2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4.25" customHeight="1" x14ac:dyDescent="0.2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4.25" customHeight="1" x14ac:dyDescent="0.2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4.25" customHeight="1" x14ac:dyDescent="0.2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4.25" customHeight="1" x14ac:dyDescent="0.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4.25" customHeight="1" x14ac:dyDescent="0.2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4.25" customHeight="1" x14ac:dyDescent="0.2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4.25" customHeight="1" x14ac:dyDescent="0.2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4.25" customHeight="1" x14ac:dyDescent="0.2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4.25" customHeight="1" x14ac:dyDescent="0.2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4.25" customHeight="1" x14ac:dyDescent="0.2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4.25" customHeight="1" x14ac:dyDescent="0.2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4.25" customHeight="1" x14ac:dyDescent="0.2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4.25" customHeight="1" x14ac:dyDescent="0.2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4.25" customHeight="1" x14ac:dyDescent="0.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4.25" customHeight="1" x14ac:dyDescent="0.2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4.25" customHeight="1" x14ac:dyDescent="0.2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4.25" customHeight="1" x14ac:dyDescent="0.2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4.25" customHeight="1" x14ac:dyDescent="0.2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4.25" customHeight="1" x14ac:dyDescent="0.2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4.25" customHeight="1" x14ac:dyDescent="0.2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4.25" customHeight="1" x14ac:dyDescent="0.2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4.25" customHeight="1" x14ac:dyDescent="0.2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4.25" customHeight="1" x14ac:dyDescent="0.2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4.25" customHeight="1" x14ac:dyDescent="0.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4.25" customHeight="1" x14ac:dyDescent="0.2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4.25" customHeight="1" x14ac:dyDescent="0.2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4.25" customHeight="1" x14ac:dyDescent="0.2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4.25" customHeight="1" x14ac:dyDescent="0.2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4.25" customHeight="1" x14ac:dyDescent="0.2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4.25" customHeight="1" x14ac:dyDescent="0.2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4.25" customHeight="1" x14ac:dyDescent="0.2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4.25" customHeight="1" x14ac:dyDescent="0.2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4.25" customHeight="1" x14ac:dyDescent="0.2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4.25" customHeight="1" x14ac:dyDescent="0.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4.25" customHeight="1" x14ac:dyDescent="0.2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4.25" customHeight="1" x14ac:dyDescent="0.2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4.25" customHeight="1" x14ac:dyDescent="0.2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4.25" customHeight="1" x14ac:dyDescent="0.2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4.25" customHeight="1" x14ac:dyDescent="0.2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4.25" customHeight="1" x14ac:dyDescent="0.2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4.25" customHeight="1" x14ac:dyDescent="0.2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4.25" customHeight="1" x14ac:dyDescent="0.2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4.25" customHeight="1" x14ac:dyDescent="0.2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4.25" customHeight="1" x14ac:dyDescent="0.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4.25" customHeight="1" x14ac:dyDescent="0.2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4.25" customHeight="1" x14ac:dyDescent="0.2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4.25" customHeight="1" x14ac:dyDescent="0.2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4.25" customHeight="1" x14ac:dyDescent="0.2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4.25" customHeight="1" x14ac:dyDescent="0.2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4.25" customHeight="1" x14ac:dyDescent="0.2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4.25" customHeight="1" x14ac:dyDescent="0.2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4.25" customHeight="1" x14ac:dyDescent="0.2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4.25" customHeight="1" x14ac:dyDescent="0.2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4.25" customHeight="1" x14ac:dyDescent="0.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4.25" customHeight="1" x14ac:dyDescent="0.2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4.25" customHeight="1" x14ac:dyDescent="0.2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4.25" customHeight="1" x14ac:dyDescent="0.2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4.25" customHeight="1" x14ac:dyDescent="0.2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4.25" customHeight="1" x14ac:dyDescent="0.2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4.25" customHeight="1" x14ac:dyDescent="0.2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4.25" customHeight="1" x14ac:dyDescent="0.2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4.25" customHeight="1" x14ac:dyDescent="0.2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4.25" customHeight="1" x14ac:dyDescent="0.2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4.25" customHeight="1" x14ac:dyDescent="0.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4.25" customHeight="1" x14ac:dyDescent="0.2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4.25" customHeight="1" x14ac:dyDescent="0.2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4.25" customHeight="1" x14ac:dyDescent="0.2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4.25" customHeight="1" x14ac:dyDescent="0.2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4.25" customHeight="1" x14ac:dyDescent="0.2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4.25" customHeight="1" x14ac:dyDescent="0.2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4.25" customHeight="1" x14ac:dyDescent="0.2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4.25" customHeight="1" x14ac:dyDescent="0.2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4.25" customHeight="1" x14ac:dyDescent="0.2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4.25" customHeight="1" x14ac:dyDescent="0.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4.25" customHeight="1" x14ac:dyDescent="0.2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4.25" customHeight="1" x14ac:dyDescent="0.2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4.25" customHeight="1" x14ac:dyDescent="0.2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4.25" customHeight="1" x14ac:dyDescent="0.2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4.25" customHeight="1" x14ac:dyDescent="0.2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4.25" customHeight="1" x14ac:dyDescent="0.2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4.25" customHeight="1" x14ac:dyDescent="0.2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4.25" customHeight="1" x14ac:dyDescent="0.2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4.25" customHeight="1" x14ac:dyDescent="0.2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4.25" customHeight="1" x14ac:dyDescent="0.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4.25" customHeight="1" x14ac:dyDescent="0.2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4.25" customHeight="1" x14ac:dyDescent="0.2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4.25" customHeight="1" x14ac:dyDescent="0.2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4.25" customHeight="1" x14ac:dyDescent="0.2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4.25" customHeight="1" x14ac:dyDescent="0.2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4.25" customHeight="1" x14ac:dyDescent="0.2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4.25" customHeight="1" x14ac:dyDescent="0.2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4.25" customHeight="1" x14ac:dyDescent="0.2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4.25" customHeight="1" x14ac:dyDescent="0.2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4.25" customHeight="1" x14ac:dyDescent="0.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4.25" customHeight="1" x14ac:dyDescent="0.2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4.25" customHeight="1" x14ac:dyDescent="0.2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4.25" customHeight="1" x14ac:dyDescent="0.2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4.25" customHeight="1" x14ac:dyDescent="0.2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4.25" customHeight="1" x14ac:dyDescent="0.2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4.25" customHeight="1" x14ac:dyDescent="0.2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4.25" customHeight="1" x14ac:dyDescent="0.2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4.25" customHeight="1" x14ac:dyDescent="0.2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4.25" customHeight="1" x14ac:dyDescent="0.2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4.25" customHeight="1" x14ac:dyDescent="0.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4.25" customHeight="1" x14ac:dyDescent="0.2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4.25" customHeight="1" x14ac:dyDescent="0.2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4.25" customHeight="1" x14ac:dyDescent="0.2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4.25" customHeight="1" x14ac:dyDescent="0.2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4.25" customHeight="1" x14ac:dyDescent="0.2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4.25" customHeight="1" x14ac:dyDescent="0.2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4.25" customHeight="1" x14ac:dyDescent="0.2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4.25" customHeight="1" x14ac:dyDescent="0.2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4.25" customHeight="1" x14ac:dyDescent="0.2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4.25" customHeight="1" x14ac:dyDescent="0.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4.25" customHeight="1" x14ac:dyDescent="0.2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4.25" customHeight="1" x14ac:dyDescent="0.2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4.25" customHeight="1" x14ac:dyDescent="0.2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4.25" customHeight="1" x14ac:dyDescent="0.2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4.25" customHeight="1" x14ac:dyDescent="0.2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4.25" customHeight="1" x14ac:dyDescent="0.2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4.25" customHeight="1" x14ac:dyDescent="0.2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4.25" customHeight="1" x14ac:dyDescent="0.2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4.25" customHeight="1" x14ac:dyDescent="0.2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4.25" customHeight="1" x14ac:dyDescent="0.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4.25" customHeight="1" x14ac:dyDescent="0.2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4.25" customHeight="1" x14ac:dyDescent="0.2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4.25" customHeight="1" x14ac:dyDescent="0.2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4.25" customHeight="1" x14ac:dyDescent="0.2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4.25" customHeight="1" x14ac:dyDescent="0.2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4.25" customHeight="1" x14ac:dyDescent="0.2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4.25" customHeight="1" x14ac:dyDescent="0.2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4.25" customHeight="1" x14ac:dyDescent="0.2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4.25" customHeight="1" x14ac:dyDescent="0.2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4.25" customHeight="1" x14ac:dyDescent="0.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4.25" customHeight="1" x14ac:dyDescent="0.2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4.25" customHeight="1" x14ac:dyDescent="0.2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4.25" customHeight="1" x14ac:dyDescent="0.2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4.25" customHeight="1" x14ac:dyDescent="0.2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4.25" customHeight="1" x14ac:dyDescent="0.2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4.25" customHeight="1" x14ac:dyDescent="0.2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4.25" customHeight="1" x14ac:dyDescent="0.2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4.25" customHeight="1" x14ac:dyDescent="0.2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4.25" customHeight="1" x14ac:dyDescent="0.2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4.25" customHeight="1" x14ac:dyDescent="0.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4.25" customHeight="1" x14ac:dyDescent="0.2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4.25" customHeight="1" x14ac:dyDescent="0.2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4.25" customHeight="1" x14ac:dyDescent="0.2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4.25" customHeight="1" x14ac:dyDescent="0.2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4.25" customHeight="1" x14ac:dyDescent="0.2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4.25" customHeight="1" x14ac:dyDescent="0.2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4.25" customHeight="1" x14ac:dyDescent="0.2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4.25" customHeight="1" x14ac:dyDescent="0.2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4.25" customHeight="1" x14ac:dyDescent="0.2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4.25" customHeight="1" x14ac:dyDescent="0.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4.25" customHeight="1" x14ac:dyDescent="0.2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4.25" customHeight="1" x14ac:dyDescent="0.2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4.25" customHeight="1" x14ac:dyDescent="0.2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4.25" customHeight="1" x14ac:dyDescent="0.2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4.25" customHeight="1" x14ac:dyDescent="0.2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4.25" customHeight="1" x14ac:dyDescent="0.2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4.25" customHeight="1" x14ac:dyDescent="0.2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4.25" customHeight="1" x14ac:dyDescent="0.2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4.25" customHeight="1" x14ac:dyDescent="0.2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4.25" customHeight="1" x14ac:dyDescent="0.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4.25" customHeight="1" x14ac:dyDescent="0.2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4.25" customHeight="1" x14ac:dyDescent="0.2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4.25" customHeight="1" x14ac:dyDescent="0.2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4.25" customHeight="1" x14ac:dyDescent="0.2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4.25" customHeight="1" x14ac:dyDescent="0.2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4.25" customHeight="1" x14ac:dyDescent="0.2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4.25" customHeight="1" x14ac:dyDescent="0.2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4.25" customHeight="1" x14ac:dyDescent="0.2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4.25" customHeight="1" x14ac:dyDescent="0.2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4.25" customHeight="1" x14ac:dyDescent="0.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4.25" customHeight="1" x14ac:dyDescent="0.2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4.25" customHeight="1" x14ac:dyDescent="0.2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4.25" customHeight="1" x14ac:dyDescent="0.2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4.25" customHeight="1" x14ac:dyDescent="0.2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4.25" customHeight="1" x14ac:dyDescent="0.2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4.25" customHeight="1" x14ac:dyDescent="0.2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4.25" customHeight="1" x14ac:dyDescent="0.2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4.25" customHeight="1" x14ac:dyDescent="0.2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4.25" customHeight="1" x14ac:dyDescent="0.2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4.25" customHeight="1" x14ac:dyDescent="0.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4.25" customHeight="1" x14ac:dyDescent="0.2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4.25" customHeight="1" x14ac:dyDescent="0.2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4.25" customHeight="1" x14ac:dyDescent="0.2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4.25" customHeight="1" x14ac:dyDescent="0.2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4.25" customHeight="1" x14ac:dyDescent="0.2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4.25" customHeight="1" x14ac:dyDescent="0.2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4.25" customHeight="1" x14ac:dyDescent="0.2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4.25" customHeight="1" x14ac:dyDescent="0.2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4.25" customHeight="1" x14ac:dyDescent="0.2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4.25" customHeight="1" x14ac:dyDescent="0.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4.25" customHeight="1" x14ac:dyDescent="0.2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4.25" customHeight="1" x14ac:dyDescent="0.2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4.25" customHeight="1" x14ac:dyDescent="0.2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4.25" customHeight="1" x14ac:dyDescent="0.2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4.25" customHeight="1" x14ac:dyDescent="0.2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4.25" customHeight="1" x14ac:dyDescent="0.2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4.25" customHeight="1" x14ac:dyDescent="0.2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4.25" customHeight="1" x14ac:dyDescent="0.2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4.25" customHeight="1" x14ac:dyDescent="0.2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4.25" customHeight="1" x14ac:dyDescent="0.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4.25" customHeight="1" x14ac:dyDescent="0.2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4.25" customHeight="1" x14ac:dyDescent="0.2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4.25" customHeight="1" x14ac:dyDescent="0.2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4.25" customHeight="1" x14ac:dyDescent="0.2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4.25" customHeight="1" x14ac:dyDescent="0.2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4.25" customHeight="1" x14ac:dyDescent="0.2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4.25" customHeight="1" x14ac:dyDescent="0.2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4.25" customHeight="1" x14ac:dyDescent="0.2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4.25" customHeight="1" x14ac:dyDescent="0.2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4.25" customHeight="1" x14ac:dyDescent="0.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4.25" customHeight="1" x14ac:dyDescent="0.2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4.25" customHeight="1" x14ac:dyDescent="0.2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4.25" customHeight="1" x14ac:dyDescent="0.2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4.25" customHeight="1" x14ac:dyDescent="0.2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4.25" customHeight="1" x14ac:dyDescent="0.2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4.25" customHeight="1" x14ac:dyDescent="0.2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4.25" customHeight="1" x14ac:dyDescent="0.2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4.25" customHeight="1" x14ac:dyDescent="0.2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4.25" customHeight="1" x14ac:dyDescent="0.2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4.25" customHeight="1" x14ac:dyDescent="0.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4.25" customHeight="1" x14ac:dyDescent="0.2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4.25" customHeight="1" x14ac:dyDescent="0.2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4.25" customHeight="1" x14ac:dyDescent="0.2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4.25" customHeight="1" x14ac:dyDescent="0.2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4.25" customHeight="1" x14ac:dyDescent="0.2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4.25" customHeight="1" x14ac:dyDescent="0.2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4.25" customHeight="1" x14ac:dyDescent="0.2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4.25" customHeight="1" x14ac:dyDescent="0.2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4.25" customHeight="1" x14ac:dyDescent="0.2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4.25" customHeight="1" x14ac:dyDescent="0.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4.25" customHeight="1" x14ac:dyDescent="0.2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4.25" customHeight="1" x14ac:dyDescent="0.2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4.25" customHeight="1" x14ac:dyDescent="0.2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4.25" customHeight="1" x14ac:dyDescent="0.2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4.25" customHeight="1" x14ac:dyDescent="0.2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4.25" customHeight="1" x14ac:dyDescent="0.2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4.25" customHeight="1" x14ac:dyDescent="0.2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4.25" customHeight="1" x14ac:dyDescent="0.2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4.25" customHeight="1" x14ac:dyDescent="0.2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4.25" customHeight="1" x14ac:dyDescent="0.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4.25" customHeight="1" x14ac:dyDescent="0.2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4.25" customHeight="1" x14ac:dyDescent="0.2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4.25" customHeight="1" x14ac:dyDescent="0.2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4.25" customHeight="1" x14ac:dyDescent="0.2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4.25" customHeight="1" x14ac:dyDescent="0.2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4.25" customHeight="1" x14ac:dyDescent="0.2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4.25" customHeight="1" x14ac:dyDescent="0.2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4.25" customHeight="1" x14ac:dyDescent="0.2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4.25" customHeight="1" x14ac:dyDescent="0.2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4.25" customHeight="1" x14ac:dyDescent="0.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4.25" customHeight="1" x14ac:dyDescent="0.2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4.25" customHeight="1" x14ac:dyDescent="0.2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4.25" customHeight="1" x14ac:dyDescent="0.2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4.25" customHeight="1" x14ac:dyDescent="0.2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4.25" customHeight="1" x14ac:dyDescent="0.2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4.25" customHeight="1" x14ac:dyDescent="0.2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4.25" customHeight="1" x14ac:dyDescent="0.2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4.25" customHeight="1" x14ac:dyDescent="0.2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4.25" customHeight="1" x14ac:dyDescent="0.2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4.25" customHeight="1" x14ac:dyDescent="0.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4.25" customHeight="1" x14ac:dyDescent="0.2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4.25" customHeight="1" x14ac:dyDescent="0.2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4.25" customHeight="1" x14ac:dyDescent="0.2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4.25" customHeight="1" x14ac:dyDescent="0.2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4.25" customHeight="1" x14ac:dyDescent="0.2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4.25" customHeight="1" x14ac:dyDescent="0.2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4.25" customHeight="1" x14ac:dyDescent="0.2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4.25" customHeight="1" x14ac:dyDescent="0.2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4.25" customHeight="1" x14ac:dyDescent="0.2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4.25" customHeight="1" x14ac:dyDescent="0.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4.25" customHeight="1" x14ac:dyDescent="0.2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4.25" customHeight="1" x14ac:dyDescent="0.2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4.25" customHeight="1" x14ac:dyDescent="0.2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4.25" customHeight="1" x14ac:dyDescent="0.2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4.25" customHeight="1" x14ac:dyDescent="0.2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4.25" customHeight="1" x14ac:dyDescent="0.2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4.25" customHeight="1" x14ac:dyDescent="0.2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4.25" customHeight="1" x14ac:dyDescent="0.2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4">
    <mergeCell ref="B4:C4"/>
    <mergeCell ref="E4:H4"/>
    <mergeCell ref="C11:C12"/>
    <mergeCell ref="C14:C15"/>
  </mergeCells>
  <pageMargins left="0.7" right="0.7" top="0.75" bottom="0.75" header="0" footer="0"/>
  <pageSetup orientation="portrait"/>
  <drawing r:id="rId1"/>
  <legacyDrawing r:id="rId2"/>
  <oleObjects>
    <mc:AlternateContent xmlns:mc="http://schemas.openxmlformats.org/markup-compatibility/2006">
      <mc:Choice Requires="x14">
        <oleObject progId="Equation.DSMT4" shapeId="1025" r:id="rId3">
          <objectPr defaultSize="0" autoPict="0" r:id="rId4">
            <anchor moveWithCells="1">
              <from>
                <xdr:col>5</xdr:col>
                <xdr:colOff>0</xdr:colOff>
                <xdr:row>5</xdr:row>
                <xdr:rowOff>266700</xdr:rowOff>
              </from>
              <to>
                <xdr:col>7</xdr:col>
                <xdr:colOff>63500</xdr:colOff>
                <xdr:row>9</xdr:row>
                <xdr:rowOff>12700</xdr:rowOff>
              </to>
            </anchor>
          </objectPr>
        </oleObject>
      </mc:Choice>
      <mc:Fallback>
        <oleObject progId="Equation.DSMT4" shapeId="1025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EBA CA Regression</vt:lpstr>
      <vt:lpstr>EBA REER Regression</vt:lpstr>
      <vt:lpstr>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Nikita Kuznetsov</cp:lastModifiedBy>
  <dcterms:created xsi:type="dcterms:W3CDTF">2016-07-27T15:02:44Z</dcterms:created>
  <dcterms:modified xsi:type="dcterms:W3CDTF">2025-04-21T21:33:06Z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AdHocReviewCycleID">
    <vt:i4>565388521</vt:i4>
  </property>
  <property fmtid="{D5CDD505-2E9C-101B-9397-08002B2CF9AE}" pid="4" name="_EmailSubject">
    <vt:lpwstr>Module 10 is ready to be looked at</vt:lpwstr>
  </property>
  <property fmtid="{D5CDD505-2E9C-101B-9397-08002B2CF9AE}" pid="5" name="_AuthorEmail">
    <vt:lpwstr>MDiCarlo@imf.org</vt:lpwstr>
  </property>
  <property fmtid="{D5CDD505-2E9C-101B-9397-08002B2CF9AE}" pid="6" name="_AuthorEmailDisplayName">
    <vt:lpwstr>Di Carlo, Matthew</vt:lpwstr>
  </property>
  <property fmtid="{D5CDD505-2E9C-101B-9397-08002B2CF9AE}" pid="7" name="_PreviousAdHocReviewCycleID">
    <vt:i4>84256747</vt:i4>
  </property>
  <property fmtid="{D5CDD505-2E9C-101B-9397-08002B2CF9AE}" pid="8" name="_ReviewingToolsShownOnce">
    <vt:lpwstr/>
  </property>
</Properties>
</file>