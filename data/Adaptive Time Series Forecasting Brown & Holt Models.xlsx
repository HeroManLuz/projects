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13_ncr:1_{1827B510-F05E-5640-A944-62AD0FADE40D}" xr6:coauthVersionLast="47" xr6:coauthVersionMax="47" xr10:uidLastSave="{00000000-0000-0000-0000-000000000000}"/>
  <bookViews>
    <workbookView xWindow="0" yWindow="500" windowWidth="26360" windowHeight="15360" tabRatio="500" xr2:uid="{00000000-000D-0000-FFFF-FFFF00000000}"/>
  </bookViews>
  <sheets>
    <sheet name="Sheet1" sheetId="1" r:id="rId1"/>
  </sheets>
  <definedNames>
    <definedName name="solver_adj" localSheetId="0" hidden="1">Sheet1!$G$2,Sheet1!$J$2,Sheet1!$K$2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Sheet1!$G$2</definedName>
    <definedName name="solver_lhs2" localSheetId="0" hidden="1">Sheet1!$G$2</definedName>
    <definedName name="solver_lhs3" localSheetId="0" hidden="1">Sheet1!$J$2</definedName>
    <definedName name="solver_lhs4" localSheetId="0" hidden="1">Sheet1!$J$2</definedName>
    <definedName name="solver_lhs5" localSheetId="0" hidden="1">Sheet1!$K$2</definedName>
    <definedName name="solver_lhs6" localSheetId="0" hidden="1">Sheet1!$K$2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Sheet1!$H$23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0.99</definedName>
    <definedName name="solver_rhs2" localSheetId="0" hidden="1">0</definedName>
    <definedName name="solver_rhs3" localSheetId="0" hidden="1">1</definedName>
    <definedName name="solver_rhs4" localSheetId="0" hidden="1">0.1</definedName>
    <definedName name="solver_rhs5" localSheetId="0" hidden="1">1</definedName>
    <definedName name="solver_rhs6" localSheetId="0" hidden="1">0.01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C3" i="1" s="1"/>
  <c r="D3" i="1" s="1"/>
  <c r="H3" i="1"/>
  <c r="F3" i="1"/>
  <c r="E3" i="1"/>
  <c r="C2" i="1"/>
  <c r="D2" i="1"/>
  <c r="E4" i="1" l="1"/>
  <c r="H4" i="1" s="1"/>
  <c r="F4" i="1" l="1"/>
  <c r="G4" i="1" l="1"/>
  <c r="C4" i="1" s="1"/>
  <c r="D4" i="1" s="1"/>
  <c r="E5" i="1" s="1"/>
  <c r="H5" i="1" s="1"/>
  <c r="F5" i="1" l="1"/>
  <c r="G5" i="1" s="1"/>
  <c r="C5" i="1" l="1"/>
  <c r="D5" i="1" s="1"/>
  <c r="E6" i="1" s="1"/>
  <c r="H6" i="1" l="1"/>
  <c r="F6" i="1"/>
  <c r="G6" i="1" l="1"/>
  <c r="C6" i="1" s="1"/>
  <c r="D6" i="1" s="1"/>
  <c r="E7" i="1" s="1"/>
  <c r="H7" i="1" l="1"/>
  <c r="F7" i="1"/>
  <c r="G7" i="1" l="1"/>
  <c r="C7" i="1" s="1"/>
  <c r="D7" i="1" s="1"/>
  <c r="E8" i="1" s="1"/>
  <c r="H8" i="1" l="1"/>
  <c r="F8" i="1"/>
  <c r="G8" i="1" l="1"/>
  <c r="C8" i="1" s="1"/>
  <c r="D8" i="1" s="1"/>
  <c r="E9" i="1" s="1"/>
  <c r="H9" i="1" l="1"/>
  <c r="F9" i="1"/>
  <c r="G9" i="1" l="1"/>
  <c r="C9" i="1" s="1"/>
  <c r="D9" i="1" s="1"/>
  <c r="E10" i="1" s="1"/>
  <c r="H10" i="1" l="1"/>
  <c r="F10" i="1"/>
  <c r="G10" i="1" l="1"/>
  <c r="C10" i="1" s="1"/>
  <c r="D10" i="1" s="1"/>
  <c r="E11" i="1" s="1"/>
  <c r="H11" i="1" l="1"/>
  <c r="F11" i="1"/>
  <c r="G11" i="1" l="1"/>
  <c r="C11" i="1" s="1"/>
  <c r="D11" i="1" s="1"/>
  <c r="E12" i="1" s="1"/>
  <c r="H12" i="1" l="1"/>
  <c r="F12" i="1"/>
  <c r="G12" i="1" l="1"/>
  <c r="C12" i="1" s="1"/>
  <c r="D12" i="1" s="1"/>
  <c r="E13" i="1" s="1"/>
  <c r="H13" i="1" l="1"/>
  <c r="F13" i="1"/>
  <c r="G13" i="1" l="1"/>
  <c r="C13" i="1" s="1"/>
  <c r="D13" i="1" s="1"/>
  <c r="E14" i="1" s="1"/>
  <c r="H14" i="1" l="1"/>
  <c r="F14" i="1"/>
  <c r="G14" i="1" l="1"/>
  <c r="C14" i="1" s="1"/>
  <c r="D14" i="1" l="1"/>
  <c r="E15" i="1" s="1"/>
  <c r="F15" i="1" l="1"/>
  <c r="H15" i="1"/>
  <c r="G15" i="1" l="1"/>
  <c r="C15" i="1" s="1"/>
  <c r="D15" i="1" l="1"/>
  <c r="E16" i="1" s="1"/>
  <c r="H16" i="1" l="1"/>
  <c r="F16" i="1"/>
  <c r="G16" i="1" s="1"/>
  <c r="C16" i="1" s="1"/>
  <c r="D16" i="1" s="1"/>
  <c r="E17" i="1" s="1"/>
  <c r="H17" i="1" l="1"/>
  <c r="F17" i="1"/>
  <c r="G17" i="1" l="1"/>
  <c r="C17" i="1" s="1"/>
  <c r="D17" i="1" s="1"/>
  <c r="E18" i="1" s="1"/>
  <c r="H18" i="1" l="1"/>
  <c r="F18" i="1"/>
  <c r="G18" i="1" l="1"/>
  <c r="C18" i="1" s="1"/>
  <c r="D18" i="1" s="1"/>
  <c r="E19" i="1" s="1"/>
  <c r="H19" i="1" l="1"/>
  <c r="F19" i="1"/>
  <c r="G19" i="1" l="1"/>
  <c r="C19" i="1" s="1"/>
  <c r="D19" i="1" s="1"/>
  <c r="E20" i="1" s="1"/>
  <c r="H20" i="1" l="1"/>
  <c r="F20" i="1"/>
  <c r="G20" i="1" l="1"/>
  <c r="C20" i="1" s="1"/>
  <c r="D20" i="1" s="1"/>
  <c r="E21" i="1" s="1"/>
  <c r="H21" i="1" l="1"/>
  <c r="F21" i="1"/>
  <c r="G21" i="1" l="1"/>
  <c r="C21" i="1" s="1"/>
  <c r="D21" i="1" s="1"/>
  <c r="E22" i="1" s="1"/>
  <c r="F22" i="1" l="1"/>
  <c r="H22" i="1"/>
  <c r="H23" i="1" s="1"/>
  <c r="G22" i="1" l="1"/>
  <c r="C22" i="1" s="1"/>
  <c r="D22" i="1" l="1"/>
  <c r="E24" i="1" s="1"/>
  <c r="E23" i="1" l="1"/>
</calcChain>
</file>

<file path=xl/sharedStrings.xml><?xml version="1.0" encoding="utf-8"?>
<sst xmlns="http://schemas.openxmlformats.org/spreadsheetml/2006/main" count="14" uniqueCount="11">
  <si>
    <t>Index</t>
  </si>
  <si>
    <t>setv3</t>
  </si>
  <si>
    <t>S</t>
  </si>
  <si>
    <t>T</t>
  </si>
  <si>
    <t>alpha</t>
  </si>
  <si>
    <t>beta</t>
  </si>
  <si>
    <t xml:space="preserve">gamma </t>
  </si>
  <si>
    <t>forecast</t>
  </si>
  <si>
    <t>error</t>
  </si>
  <si>
    <t>-</t>
  </si>
  <si>
    <t>abs_error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</si>
</sst>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2" fontId="0" fillId="2" borderId="0" xfId="0" applyNumberFormat="1" applyFill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foreacast</a:t>
            </a:r>
            <a:r>
              <a:rPr lang="en-US" baseline="0"/>
              <a:t> vs fact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setv3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Sheet1!$Q$2:$Q$21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</c:numCache>
            </c:numRef>
          </c:cat>
          <c:val>
            <c:numRef>
              <c:f>Sheet1!$R$2:$R$21</c:f>
              <c:numCache>
                <c:formatCode>General</c:formatCode>
                <c:ptCount val="20"/>
                <c:pt idx="0">
                  <c:v>423.63227708962899</c:v>
                </c:pt>
                <c:pt idx="1">
                  <c:v>1015.05654567861</c:v>
                </c:pt>
                <c:pt idx="2">
                  <c:v>3969.4961434547599</c:v>
                </c:pt>
                <c:pt idx="3">
                  <c:v>13645.445353012199</c:v>
                </c:pt>
                <c:pt idx="4">
                  <c:v>25322.804940278998</c:v>
                </c:pt>
                <c:pt idx="5">
                  <c:v>91884.087247174699</c:v>
                </c:pt>
                <c:pt idx="6">
                  <c:v>187111.62628600001</c:v>
                </c:pt>
                <c:pt idx="7">
                  <c:v>409503.037550023</c:v>
                </c:pt>
                <c:pt idx="8">
                  <c:v>409503.037550023</c:v>
                </c:pt>
                <c:pt idx="9">
                  <c:v>179008.54235842501</c:v>
                </c:pt>
                <c:pt idx="10">
                  <c:v>89742.919293683095</c:v>
                </c:pt>
                <c:pt idx="11">
                  <c:v>30188.087755934001</c:v>
                </c:pt>
                <c:pt idx="12">
                  <c:v>11741.9546075983</c:v>
                </c:pt>
                <c:pt idx="13">
                  <c:v>3385.2582951231602</c:v>
                </c:pt>
                <c:pt idx="14">
                  <c:v>1374.1716594153299</c:v>
                </c:pt>
                <c:pt idx="15">
                  <c:v>570.17042063408303</c:v>
                </c:pt>
                <c:pt idx="16">
                  <c:v>219.79674417694699</c:v>
                </c:pt>
                <c:pt idx="17">
                  <c:v>79.499562504887805</c:v>
                </c:pt>
                <c:pt idx="18">
                  <c:v>75.805034455422899</c:v>
                </c:pt>
                <c:pt idx="19">
                  <c:v>206.05944766588701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F-6F4A-B309-9E37E8EDD1A8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Sheet1!$Q$2:$Q$21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</c:numCache>
            </c:numRef>
          </c:cat>
          <c:val>
            <c:numRef>
              <c:f>Sheet1!$S$2:$S$21</c:f>
              <c:numCache>
                <c:formatCode>#\ ##0.0</c:formatCode>
                <c:ptCount val="20"/>
                <c:pt idx="0">
                  <c:v>423.63227708962899</c:v>
                </c:pt>
                <c:pt idx="1">
                  <c:v>545.98150033144293</c:v>
                </c:pt>
                <c:pt idx="2">
                  <c:v>1173.421092937419</c:v>
                </c:pt>
                <c:pt idx="3">
                  <c:v>4395.6248190923052</c:v>
                </c:pt>
                <c:pt idx="4">
                  <c:v>15016.324590188859</c:v>
                </c:pt>
                <c:pt idx="5">
                  <c:v>27688.773505336892</c:v>
                </c:pt>
                <c:pt idx="6">
                  <c:v>100701.91328380526</c:v>
                </c:pt>
                <c:pt idx="7">
                  <c:v>204435.52217235568</c:v>
                </c:pt>
                <c:pt idx="8">
                  <c:v>447146.349455791</c:v>
                </c:pt>
                <c:pt idx="9">
                  <c:v>444099.3605841372</c:v>
                </c:pt>
                <c:pt idx="10">
                  <c:v>190911.75464268908</c:v>
                </c:pt>
                <c:pt idx="11">
                  <c:v>89814.710487998585</c:v>
                </c:pt>
                <c:pt idx="12">
                  <c:v>23829.180620413223</c:v>
                </c:pt>
                <c:pt idx="13">
                  <c:v>3209.6660058364832</c:v>
                </c:pt>
                <c:pt idx="14">
                  <c:v>-5461.3106718206864</c:v>
                </c:pt>
                <c:pt idx="15">
                  <c:v>-7032.0346527033616</c:v>
                </c:pt>
                <c:pt idx="16">
                  <c:v>-7116.9312644657766</c:v>
                </c:pt>
                <c:pt idx="17">
                  <c:v>-6743.5557782815058</c:v>
                </c:pt>
                <c:pt idx="18">
                  <c:v>-6203.6022172923485</c:v>
                </c:pt>
                <c:pt idx="19">
                  <c:v>-5578.9834783768029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F-6F4A-B309-9E37E8EDD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994592"/>
        <c:axId val="2095996304"/>
      </c:lineChart>
      <c:catAx>
        <c:axId val="20959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095996304"/>
        <c:crosses val="autoZero"/>
        <c:auto val="1"/>
        <c:lblAlgn val="ctr"/>
        <c:lblOffset val="100"/>
        <c:noMultiLvlLbl val="0"/>
      </c:catAx>
      <c:valAx>
        <c:axId val="20959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09599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7</xdr:row>
      <xdr:rowOff>12700</xdr:rowOff>
    </xdr:from>
    <xdr:to>
      <xdr:col>19</xdr:col>
      <xdr:colOff>520700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96CEBE-136F-1591-98F0-A3C2719E2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tabSelected="1" zoomScaleNormal="100" workbookViewId="0">
      <selection activeCell="E24" sqref="E24"/>
    </sheetView>
  </sheetViews>
  <sheetFormatPr baseColWidth="10" defaultColWidth="8.5" defaultRowHeight="15" x14ac:dyDescent="0.2"/>
  <cols>
    <col min="3" max="3" width="9.6640625" bestFit="1" customWidth="1"/>
    <col min="4" max="4" width="9.1640625" bestFit="1" customWidth="1"/>
    <col min="5" max="5" width="9.6640625" bestFit="1" customWidth="1"/>
    <col min="6" max="6" width="10.1640625" bestFit="1" customWidth="1"/>
    <col min="7" max="7" width="8.6640625" bestFit="1" customWidth="1"/>
    <col min="8" max="8" width="10" bestFit="1" customWidth="1"/>
    <col min="16" max="16" width="12.5" customWidth="1"/>
    <col min="18" max="18" width="14.33203125" customWidth="1"/>
    <col min="19" max="19" width="10.1640625" customWidth="1"/>
    <col min="20" max="20" width="10.5" bestFit="1" customWidth="1"/>
    <col min="21" max="21" width="10" bestFit="1" customWidth="1"/>
    <col min="22" max="22" width="8.6640625" bestFit="1" customWidth="1"/>
    <col min="23" max="23" width="11.83203125" bestFit="1" customWidth="1"/>
  </cols>
  <sheetData>
    <row r="1" spans="1:23" x14ac:dyDescent="0.2">
      <c r="A1" s="12" t="s">
        <v>0</v>
      </c>
      <c r="B1" s="12" t="s">
        <v>1</v>
      </c>
      <c r="C1" s="13" t="s">
        <v>2</v>
      </c>
      <c r="D1" s="13" t="s">
        <v>3</v>
      </c>
      <c r="E1" s="13" t="s">
        <v>7</v>
      </c>
      <c r="F1" s="13" t="s">
        <v>8</v>
      </c>
      <c r="G1" s="13" t="s">
        <v>4</v>
      </c>
      <c r="H1" s="13" t="s">
        <v>10</v>
      </c>
      <c r="J1" t="s">
        <v>5</v>
      </c>
      <c r="K1" t="s">
        <v>6</v>
      </c>
      <c r="N1" s="1"/>
      <c r="O1" s="1"/>
      <c r="Q1" s="1" t="s">
        <v>0</v>
      </c>
      <c r="R1" s="1" t="s">
        <v>1</v>
      </c>
      <c r="S1" t="s">
        <v>7</v>
      </c>
    </row>
    <row r="2" spans="1:23" x14ac:dyDescent="0.2">
      <c r="A2">
        <v>1</v>
      </c>
      <c r="B2">
        <v>301.28305384781498</v>
      </c>
      <c r="C2" s="5">
        <f>B2</f>
        <v>301.28305384781498</v>
      </c>
      <c r="D2" s="5">
        <f>B3-B2</f>
        <v>122.349223241814</v>
      </c>
      <c r="E2" s="14" t="s">
        <v>9</v>
      </c>
      <c r="F2" s="14"/>
      <c r="G2" s="2">
        <v>0.99</v>
      </c>
      <c r="J2">
        <v>0.10000000000000002</v>
      </c>
      <c r="K2">
        <v>0.01</v>
      </c>
      <c r="P2" s="5"/>
      <c r="Q2">
        <v>2</v>
      </c>
      <c r="R2">
        <v>423.63227708962899</v>
      </c>
      <c r="S2" s="5">
        <v>423.63227708962899</v>
      </c>
    </row>
    <row r="3" spans="1:23" x14ac:dyDescent="0.2">
      <c r="A3">
        <v>2</v>
      </c>
      <c r="B3">
        <v>423.63227708962899</v>
      </c>
      <c r="C3" s="5">
        <f>G3*B3+(1-G3)*(C2+D2)</f>
        <v>423.63227708962899</v>
      </c>
      <c r="D3" s="5">
        <f>$J$2*(C3-C2)+(1-$J$2)*D2</f>
        <v>122.349223241814</v>
      </c>
      <c r="E3" s="5">
        <f>C2+D2</f>
        <v>423.63227708962899</v>
      </c>
      <c r="F3" s="5">
        <f>E3-B3</f>
        <v>0</v>
      </c>
      <c r="G3" s="2">
        <f>MIN(1,MAX(0,$K$2*ABS(F3/E3)+(1-$K$2)*(G2)))</f>
        <v>0.98009999999999997</v>
      </c>
      <c r="H3" s="7">
        <f>ABS(E3-B3)</f>
        <v>0</v>
      </c>
      <c r="P3" s="5"/>
      <c r="Q3">
        <v>3</v>
      </c>
      <c r="R3">
        <v>1015.05654567861</v>
      </c>
      <c r="S3" s="5">
        <v>545.98150033144293</v>
      </c>
      <c r="W3" s="7"/>
    </row>
    <row r="4" spans="1:23" x14ac:dyDescent="0.2">
      <c r="A4">
        <v>3</v>
      </c>
      <c r="B4">
        <v>1015.05654567861</v>
      </c>
      <c r="C4" s="5">
        <f t="shared" ref="C4:C21" si="0">G4*B4+(1-G4)*(C3+D3)</f>
        <v>1005.154563389772</v>
      </c>
      <c r="D4" s="5">
        <f t="shared" ref="D4:D21" si="1">$J$2*(C4-C3)+(1-$J$2)*D3</f>
        <v>168.26652954764691</v>
      </c>
      <c r="E4" s="5">
        <f t="shared" ref="E4:E21" si="2">C3+D3</f>
        <v>545.98150033144293</v>
      </c>
      <c r="F4" s="5">
        <f t="shared" ref="F4:F21" si="3">E4-B4</f>
        <v>-469.07504534716702</v>
      </c>
      <c r="G4" s="2">
        <f t="shared" ref="G4:G22" si="4">MIN(1,MAX(0,$K$2*ABS(F4/E4)+(1-$K$2)*(G3)))</f>
        <v>0.97889040914229519</v>
      </c>
      <c r="H4" s="7">
        <f t="shared" ref="H4:H22" si="5">ABS(E4-B4)</f>
        <v>469.07504534716702</v>
      </c>
      <c r="P4" s="5"/>
      <c r="Q4">
        <v>4</v>
      </c>
      <c r="R4">
        <v>3969.4961434547599</v>
      </c>
      <c r="S4" s="5">
        <v>1173.421092937419</v>
      </c>
      <c r="T4" s="6"/>
      <c r="U4" s="6"/>
      <c r="V4" s="4"/>
      <c r="W4" s="7"/>
    </row>
    <row r="5" spans="1:23" x14ac:dyDescent="0.2">
      <c r="A5">
        <v>4</v>
      </c>
      <c r="B5">
        <v>3969.4961434547599</v>
      </c>
      <c r="C5" s="5">
        <f t="shared" si="0"/>
        <v>3949.7276353076368</v>
      </c>
      <c r="D5" s="5">
        <f t="shared" si="1"/>
        <v>445.89718378466875</v>
      </c>
      <c r="E5" s="5">
        <f t="shared" si="2"/>
        <v>1173.421092937419</v>
      </c>
      <c r="F5" s="5">
        <f t="shared" si="3"/>
        <v>-2796.075050517341</v>
      </c>
      <c r="G5" s="2">
        <f t="shared" si="4"/>
        <v>0.99292990789232738</v>
      </c>
      <c r="H5" s="7">
        <f t="shared" si="5"/>
        <v>2796.075050517341</v>
      </c>
      <c r="P5" s="5"/>
      <c r="Q5">
        <v>5</v>
      </c>
      <c r="R5">
        <v>13645.445353012199</v>
      </c>
      <c r="S5" s="5">
        <v>4395.6248190923052</v>
      </c>
      <c r="T5" s="6"/>
      <c r="U5" s="6"/>
      <c r="V5" s="4"/>
      <c r="W5" s="7"/>
    </row>
    <row r="6" spans="1:23" x14ac:dyDescent="0.2">
      <c r="A6">
        <v>5</v>
      </c>
      <c r="B6">
        <v>13645.445353012199</v>
      </c>
      <c r="C6" s="5">
        <f t="shared" si="0"/>
        <v>13645.445353012199</v>
      </c>
      <c r="D6" s="5">
        <f t="shared" si="1"/>
        <v>1370.8792371766585</v>
      </c>
      <c r="E6" s="5">
        <f t="shared" si="2"/>
        <v>4395.6248190923052</v>
      </c>
      <c r="F6" s="5">
        <f t="shared" si="3"/>
        <v>-9249.8205339198939</v>
      </c>
      <c r="G6" s="2">
        <f t="shared" si="4"/>
        <v>1</v>
      </c>
      <c r="H6" s="7">
        <f t="shared" si="5"/>
        <v>9249.8205339198939</v>
      </c>
      <c r="P6" s="5"/>
      <c r="Q6">
        <v>6</v>
      </c>
      <c r="R6">
        <v>25322.804940278998</v>
      </c>
      <c r="S6" s="5">
        <v>15016.324590188859</v>
      </c>
      <c r="T6" s="6"/>
      <c r="U6" s="6"/>
      <c r="V6" s="4"/>
      <c r="W6" s="7"/>
    </row>
    <row r="7" spans="1:23" x14ac:dyDescent="0.2">
      <c r="A7">
        <v>6</v>
      </c>
      <c r="B7">
        <v>25322.804940278998</v>
      </c>
      <c r="C7" s="5">
        <f t="shared" si="0"/>
        <v>25290.478842890108</v>
      </c>
      <c r="D7" s="5">
        <f t="shared" si="1"/>
        <v>2398.2946624467841</v>
      </c>
      <c r="E7" s="5">
        <f t="shared" si="2"/>
        <v>15016.324590188859</v>
      </c>
      <c r="F7" s="5">
        <f t="shared" si="3"/>
        <v>-10306.48035009014</v>
      </c>
      <c r="G7" s="2">
        <f t="shared" si="4"/>
        <v>0.99686351729292266</v>
      </c>
      <c r="H7" s="7">
        <f t="shared" si="5"/>
        <v>10306.48035009014</v>
      </c>
      <c r="P7" s="5"/>
      <c r="Q7">
        <v>7</v>
      </c>
      <c r="R7">
        <v>91884.087247174699</v>
      </c>
      <c r="S7" s="5">
        <v>27688.773505336892</v>
      </c>
      <c r="T7" s="6"/>
      <c r="U7" s="6"/>
      <c r="V7" s="4"/>
      <c r="W7" s="7"/>
    </row>
    <row r="8" spans="1:23" x14ac:dyDescent="0.2">
      <c r="A8">
        <v>7</v>
      </c>
      <c r="B8">
        <v>91884.087247174699</v>
      </c>
      <c r="C8" s="5">
        <f t="shared" si="0"/>
        <v>91884.087247174699</v>
      </c>
      <c r="D8" s="5">
        <f t="shared" si="1"/>
        <v>8817.8260366305658</v>
      </c>
      <c r="E8" s="5">
        <f t="shared" si="2"/>
        <v>27688.773505336892</v>
      </c>
      <c r="F8" s="5">
        <f t="shared" si="3"/>
        <v>-64195.313741837803</v>
      </c>
      <c r="G8" s="2">
        <f t="shared" si="4"/>
        <v>1</v>
      </c>
      <c r="H8" s="7">
        <f t="shared" si="5"/>
        <v>64195.313741837803</v>
      </c>
      <c r="P8" s="5"/>
      <c r="Q8">
        <v>8</v>
      </c>
      <c r="R8">
        <v>187111.62628600001</v>
      </c>
      <c r="S8" s="5">
        <v>100701.91328380526</v>
      </c>
      <c r="T8" s="6"/>
      <c r="U8" s="6"/>
      <c r="V8" s="4"/>
      <c r="W8" s="7"/>
    </row>
    <row r="9" spans="1:23" x14ac:dyDescent="0.2">
      <c r="A9">
        <v>8</v>
      </c>
      <c r="B9">
        <v>187111.62628600001</v>
      </c>
      <c r="C9" s="5">
        <f t="shared" si="0"/>
        <v>186988.9886037324</v>
      </c>
      <c r="D9" s="5">
        <f t="shared" si="1"/>
        <v>17446.533568623283</v>
      </c>
      <c r="E9" s="5">
        <f t="shared" si="2"/>
        <v>100701.91328380526</v>
      </c>
      <c r="F9" s="5">
        <f t="shared" si="3"/>
        <v>-86409.713002194752</v>
      </c>
      <c r="G9" s="2">
        <f t="shared" si="4"/>
        <v>0.99858074193274449</v>
      </c>
      <c r="H9" s="7">
        <f t="shared" si="5"/>
        <v>86409.713002194752</v>
      </c>
      <c r="P9" s="5"/>
      <c r="Q9">
        <v>9</v>
      </c>
      <c r="R9">
        <v>409503.037550023</v>
      </c>
      <c r="S9" s="5">
        <v>204435.52217235568</v>
      </c>
      <c r="T9" s="6"/>
      <c r="U9" s="6"/>
      <c r="V9" s="4"/>
      <c r="W9" s="7"/>
    </row>
    <row r="10" spans="1:23" x14ac:dyDescent="0.2">
      <c r="A10">
        <v>9</v>
      </c>
      <c r="B10">
        <v>409503.037550023</v>
      </c>
      <c r="C10" s="5">
        <f>G10*B10+(1-G10)*(C9+D9)</f>
        <v>409221.24373127572</v>
      </c>
      <c r="D10" s="5">
        <f t="shared" si="1"/>
        <v>37925.105724515292</v>
      </c>
      <c r="E10" s="5">
        <f t="shared" si="2"/>
        <v>204435.52217235568</v>
      </c>
      <c r="F10" s="5">
        <f>E10-B10</f>
        <v>-205067.51537766733</v>
      </c>
      <c r="G10" s="2">
        <f t="shared" si="4"/>
        <v>0.99862584857368386</v>
      </c>
      <c r="H10" s="7">
        <f t="shared" si="5"/>
        <v>205067.51537766733</v>
      </c>
      <c r="P10" s="5"/>
      <c r="Q10">
        <v>10</v>
      </c>
      <c r="R10">
        <v>409503.037550023</v>
      </c>
      <c r="S10" s="5">
        <v>447146.349455791</v>
      </c>
      <c r="T10" s="6"/>
      <c r="U10" s="6"/>
      <c r="V10" s="4"/>
      <c r="W10" s="7"/>
    </row>
    <row r="11" spans="1:23" x14ac:dyDescent="0.2">
      <c r="A11">
        <v>10</v>
      </c>
      <c r="B11">
        <v>409503.037550023</v>
      </c>
      <c r="C11" s="5">
        <f t="shared" si="0"/>
        <v>409898.99073200091</v>
      </c>
      <c r="D11" s="5">
        <f t="shared" si="1"/>
        <v>34200.369852136282</v>
      </c>
      <c r="E11" s="5">
        <f t="shared" si="2"/>
        <v>447146.349455791</v>
      </c>
      <c r="F11" s="5">
        <f t="shared" si="3"/>
        <v>37643.311905768001</v>
      </c>
      <c r="G11" s="2">
        <f t="shared" si="4"/>
        <v>0.98948144671836746</v>
      </c>
      <c r="H11" s="7">
        <f t="shared" si="5"/>
        <v>37643.311905768001</v>
      </c>
      <c r="P11" s="5"/>
      <c r="Q11">
        <v>11</v>
      </c>
      <c r="R11">
        <v>179008.54235842501</v>
      </c>
      <c r="S11" s="5">
        <v>444099.3605841372</v>
      </c>
      <c r="T11" s="6"/>
      <c r="U11" s="6"/>
      <c r="V11" s="4"/>
      <c r="W11" s="7"/>
    </row>
    <row r="12" spans="1:23" x14ac:dyDescent="0.2">
      <c r="A12">
        <v>11</v>
      </c>
      <c r="B12">
        <v>179008.54235842501</v>
      </c>
      <c r="C12" s="5">
        <f t="shared" si="0"/>
        <v>182837.56440815137</v>
      </c>
      <c r="D12" s="5">
        <f t="shared" si="1"/>
        <v>8074.1902345376948</v>
      </c>
      <c r="E12" s="5">
        <f t="shared" si="2"/>
        <v>444099.3605841372</v>
      </c>
      <c r="F12" s="5">
        <f t="shared" si="3"/>
        <v>265090.81822571217</v>
      </c>
      <c r="G12" s="2">
        <f t="shared" si="4"/>
        <v>0.98555581036206941</v>
      </c>
      <c r="H12" s="7">
        <f t="shared" si="5"/>
        <v>265090.81822571217</v>
      </c>
      <c r="P12" s="5"/>
      <c r="Q12">
        <v>12</v>
      </c>
      <c r="R12">
        <v>89742.919293683095</v>
      </c>
      <c r="S12" s="5">
        <v>190911.75464268908</v>
      </c>
      <c r="T12" s="6"/>
      <c r="U12" s="6"/>
      <c r="V12" s="4"/>
      <c r="W12" s="7"/>
    </row>
    <row r="13" spans="1:23" x14ac:dyDescent="0.2">
      <c r="A13">
        <v>12</v>
      </c>
      <c r="B13">
        <v>89742.919293683095</v>
      </c>
      <c r="C13" s="5">
        <f t="shared" si="0"/>
        <v>91665.177925208904</v>
      </c>
      <c r="D13" s="5">
        <f t="shared" si="1"/>
        <v>-1850.4674372103236</v>
      </c>
      <c r="E13" s="5">
        <f t="shared" si="2"/>
        <v>190911.75464268908</v>
      </c>
      <c r="F13" s="5">
        <f t="shared" si="3"/>
        <v>101168.83534900598</v>
      </c>
      <c r="G13" s="2">
        <f t="shared" si="4"/>
        <v>0.98099949826550326</v>
      </c>
      <c r="H13" s="7">
        <f t="shared" si="5"/>
        <v>101168.83534900598</v>
      </c>
      <c r="P13" s="5"/>
      <c r="Q13">
        <v>13</v>
      </c>
      <c r="R13">
        <v>30188.087755934001</v>
      </c>
      <c r="S13" s="5">
        <v>89814.710487998585</v>
      </c>
      <c r="T13" s="6"/>
      <c r="U13" s="6"/>
      <c r="V13" s="4"/>
      <c r="W13" s="7"/>
    </row>
    <row r="14" spans="1:23" x14ac:dyDescent="0.2">
      <c r="A14">
        <v>13</v>
      </c>
      <c r="B14">
        <v>30188.087755934001</v>
      </c>
      <c r="C14" s="5">
        <f t="shared" si="0"/>
        <v>31510.108278566731</v>
      </c>
      <c r="D14" s="5">
        <f t="shared" si="1"/>
        <v>-7680.9276581535105</v>
      </c>
      <c r="E14" s="5">
        <f t="shared" si="2"/>
        <v>89814.710487998585</v>
      </c>
      <c r="F14" s="5">
        <f t="shared" si="3"/>
        <v>59626.622732064585</v>
      </c>
      <c r="G14" s="2">
        <f t="shared" si="4"/>
        <v>0.97782835146351821</v>
      </c>
      <c r="H14" s="7">
        <f t="shared" si="5"/>
        <v>59626.622732064585</v>
      </c>
      <c r="P14" s="5"/>
      <c r="Q14">
        <v>14</v>
      </c>
      <c r="R14">
        <v>11741.9546075983</v>
      </c>
      <c r="S14" s="5">
        <v>23829.180620413223</v>
      </c>
      <c r="T14" s="6"/>
      <c r="U14" s="6"/>
      <c r="V14" s="4"/>
      <c r="W14" s="7"/>
    </row>
    <row r="15" spans="1:23" x14ac:dyDescent="0.2">
      <c r="A15">
        <v>14</v>
      </c>
      <c r="B15">
        <v>11741.9546075983</v>
      </c>
      <c r="C15" s="5">
        <f>G15*B15+(1-G15)*(C14+D14)</f>
        <v>12066.828841846651</v>
      </c>
      <c r="D15" s="5">
        <f>$J$2*(C15-C14)+(1-$J$2)*D14</f>
        <v>-8857.1628360101677</v>
      </c>
      <c r="E15" s="5">
        <f>C14+D14</f>
        <v>23829.180620413223</v>
      </c>
      <c r="F15" s="5">
        <f t="shared" si="3"/>
        <v>12087.226012814923</v>
      </c>
      <c r="G15" s="2">
        <f t="shared" si="4"/>
        <v>0.97312251513259374</v>
      </c>
      <c r="H15" s="7">
        <f t="shared" si="5"/>
        <v>12087.226012814923</v>
      </c>
      <c r="P15" s="5"/>
      <c r="Q15">
        <v>15</v>
      </c>
      <c r="R15">
        <v>3385.2582951231602</v>
      </c>
      <c r="S15" s="5">
        <v>3209.6660058364832</v>
      </c>
      <c r="T15" s="6"/>
      <c r="U15" s="6"/>
      <c r="V15" s="4"/>
      <c r="W15" s="7"/>
    </row>
    <row r="16" spans="1:23" x14ac:dyDescent="0.2">
      <c r="A16">
        <v>15</v>
      </c>
      <c r="B16">
        <v>3385.2582951231602</v>
      </c>
      <c r="C16" s="5">
        <f t="shared" si="0"/>
        <v>3378.9261497937541</v>
      </c>
      <c r="D16" s="5">
        <f t="shared" si="1"/>
        <v>-8840.2368216144405</v>
      </c>
      <c r="E16" s="5">
        <f t="shared" si="2"/>
        <v>3209.6660058364832</v>
      </c>
      <c r="F16" s="5">
        <f t="shared" si="3"/>
        <v>-175.59228928667699</v>
      </c>
      <c r="G16" s="2">
        <f t="shared" si="4"/>
        <v>0.96393836338070371</v>
      </c>
      <c r="H16" s="7">
        <f t="shared" si="5"/>
        <v>175.59228928667699</v>
      </c>
      <c r="P16" s="5"/>
      <c r="Q16">
        <v>16</v>
      </c>
      <c r="R16">
        <v>1374.1716594153299</v>
      </c>
      <c r="S16" s="5">
        <v>-5461.3106718206864</v>
      </c>
      <c r="T16" s="6"/>
      <c r="U16" s="6"/>
      <c r="V16" s="4"/>
      <c r="W16" s="7"/>
    </row>
    <row r="17" spans="1:23" x14ac:dyDescent="0.2">
      <c r="A17">
        <v>16</v>
      </c>
      <c r="B17">
        <v>1374.1716594153299</v>
      </c>
      <c r="C17" s="5">
        <f t="shared" si="0"/>
        <v>1147.3373652081918</v>
      </c>
      <c r="D17" s="5">
        <f t="shared" si="1"/>
        <v>-8179.3720179115535</v>
      </c>
      <c r="E17" s="5">
        <f t="shared" si="2"/>
        <v>-5461.3106718206864</v>
      </c>
      <c r="F17" s="5">
        <f t="shared" si="3"/>
        <v>-6835.4823312360168</v>
      </c>
      <c r="G17" s="2">
        <f t="shared" si="4"/>
        <v>0.9668151736461118</v>
      </c>
      <c r="H17" s="7">
        <f t="shared" si="5"/>
        <v>6835.4823312360168</v>
      </c>
      <c r="P17" s="5"/>
      <c r="Q17">
        <v>17</v>
      </c>
      <c r="R17">
        <v>570.17042063408303</v>
      </c>
      <c r="S17" s="5">
        <v>-7032.0346527033616</v>
      </c>
      <c r="T17" s="6"/>
      <c r="U17" s="6"/>
      <c r="V17" s="4"/>
      <c r="W17" s="7"/>
    </row>
    <row r="18" spans="1:23" x14ac:dyDescent="0.2">
      <c r="A18">
        <v>17</v>
      </c>
      <c r="B18">
        <v>570.17042063408303</v>
      </c>
      <c r="C18" s="5">
        <f t="shared" si="0"/>
        <v>326.5793528867639</v>
      </c>
      <c r="D18" s="5">
        <f t="shared" si="1"/>
        <v>-7443.510617352541</v>
      </c>
      <c r="E18" s="5">
        <f t="shared" si="2"/>
        <v>-7032.0346527033616</v>
      </c>
      <c r="F18" s="5">
        <f t="shared" si="3"/>
        <v>-7602.2050733374444</v>
      </c>
      <c r="G18" s="2">
        <f t="shared" si="4"/>
        <v>0.96795784046899169</v>
      </c>
      <c r="H18" s="7">
        <f t="shared" si="5"/>
        <v>7602.2050733374444</v>
      </c>
      <c r="P18" s="5"/>
      <c r="Q18">
        <v>18</v>
      </c>
      <c r="R18">
        <v>219.79674417694699</v>
      </c>
      <c r="S18" s="5">
        <v>-7116.9312644657766</v>
      </c>
      <c r="T18" s="6"/>
      <c r="U18" s="6"/>
      <c r="V18" s="4"/>
      <c r="W18" s="7"/>
    </row>
    <row r="19" spans="1:23" x14ac:dyDescent="0.2">
      <c r="A19">
        <v>18</v>
      </c>
      <c r="B19">
        <v>219.79674417694699</v>
      </c>
      <c r="C19" s="5">
        <f t="shared" si="0"/>
        <v>-10.671170341401933</v>
      </c>
      <c r="D19" s="5">
        <f t="shared" si="1"/>
        <v>-6732.8846079401037</v>
      </c>
      <c r="E19" s="5">
        <f t="shared" si="2"/>
        <v>-7116.9312644657766</v>
      </c>
      <c r="F19" s="5">
        <f t="shared" si="3"/>
        <v>-7336.7280086427236</v>
      </c>
      <c r="G19" s="2">
        <f t="shared" si="4"/>
        <v>0.96858709846584801</v>
      </c>
      <c r="H19" s="7">
        <f t="shared" si="5"/>
        <v>7336.7280086427236</v>
      </c>
      <c r="P19" s="5"/>
      <c r="Q19">
        <v>19</v>
      </c>
      <c r="R19">
        <v>79.499562504887805</v>
      </c>
      <c r="S19" s="5">
        <v>-6743.5557782815058</v>
      </c>
      <c r="T19" s="6"/>
      <c r="U19" s="6"/>
      <c r="V19" s="4"/>
      <c r="W19" s="7"/>
    </row>
    <row r="20" spans="1:23" x14ac:dyDescent="0.2">
      <c r="A20">
        <v>19</v>
      </c>
      <c r="B20">
        <v>79.499562504887805</v>
      </c>
      <c r="C20" s="5">
        <f t="shared" si="0"/>
        <v>-131.88471561854118</v>
      </c>
      <c r="D20" s="5">
        <f t="shared" si="1"/>
        <v>-6071.7175016738074</v>
      </c>
      <c r="E20" s="5">
        <f t="shared" si="2"/>
        <v>-6743.5557782815058</v>
      </c>
      <c r="F20" s="5">
        <f t="shared" si="3"/>
        <v>-6823.0553407863936</v>
      </c>
      <c r="G20" s="2">
        <f t="shared" si="4"/>
        <v>0.96901911716004552</v>
      </c>
      <c r="H20" s="7">
        <f t="shared" si="5"/>
        <v>6823.0553407863936</v>
      </c>
      <c r="P20" s="5"/>
      <c r="Q20">
        <v>20</v>
      </c>
      <c r="R20">
        <v>75.805034455422899</v>
      </c>
      <c r="S20" s="5">
        <v>-6203.6022172923485</v>
      </c>
      <c r="T20" s="6"/>
      <c r="U20" s="6"/>
      <c r="V20" s="4"/>
      <c r="W20" s="7"/>
    </row>
    <row r="21" spans="1:23" x14ac:dyDescent="0.2">
      <c r="A21">
        <v>20</v>
      </c>
      <c r="B21">
        <v>75.805034455422899</v>
      </c>
      <c r="C21" s="5">
        <f t="shared" si="0"/>
        <v>-116.0238167565718</v>
      </c>
      <c r="D21" s="5">
        <f t="shared" si="1"/>
        <v>-5462.9596616202307</v>
      </c>
      <c r="E21" s="5">
        <f t="shared" si="2"/>
        <v>-6203.6022172923485</v>
      </c>
      <c r="F21" s="5">
        <f t="shared" si="3"/>
        <v>-6279.4072517477716</v>
      </c>
      <c r="G21" s="2">
        <f t="shared" si="4"/>
        <v>0.96945112117730503</v>
      </c>
      <c r="H21" s="7">
        <f t="shared" si="5"/>
        <v>6279.4072517477716</v>
      </c>
      <c r="P21" s="5"/>
      <c r="Q21">
        <v>21</v>
      </c>
      <c r="R21">
        <v>206.05944766588701</v>
      </c>
      <c r="S21" s="5">
        <v>-5578.9834783768029</v>
      </c>
      <c r="T21" s="6"/>
      <c r="U21" s="6"/>
      <c r="V21" s="4"/>
      <c r="W21" s="7"/>
    </row>
    <row r="22" spans="1:23" x14ac:dyDescent="0.2">
      <c r="A22">
        <v>21</v>
      </c>
      <c r="B22">
        <v>206.05944766588701</v>
      </c>
      <c r="C22" s="5">
        <f>G22*B22+(1-G22)*(C21+D21)</f>
        <v>33.236840507662322</v>
      </c>
      <c r="D22" s="5">
        <f>$J$2*(C22-C21)+(1-$J$2)*D21</f>
        <v>-4901.7376297317851</v>
      </c>
      <c r="E22" s="5">
        <f>C21+D21</f>
        <v>-5578.9834783768029</v>
      </c>
      <c r="F22" s="5">
        <f>E22-B22</f>
        <v>-5785.0429260426899</v>
      </c>
      <c r="G22" s="2">
        <f t="shared" si="4"/>
        <v>0.97012595941505908</v>
      </c>
      <c r="H22" s="7">
        <f t="shared" si="5"/>
        <v>5785.0429260426899</v>
      </c>
      <c r="P22" s="5"/>
      <c r="T22" s="6"/>
      <c r="U22" s="6"/>
      <c r="V22" s="4"/>
      <c r="W22" s="7"/>
    </row>
    <row r="23" spans="1:23" x14ac:dyDescent="0.2">
      <c r="A23" s="8">
        <v>22</v>
      </c>
      <c r="B23" s="9"/>
      <c r="C23" s="10"/>
      <c r="D23" s="10"/>
      <c r="E23" s="10">
        <f>C22+D22</f>
        <v>-4868.5007892241229</v>
      </c>
      <c r="F23" s="10"/>
      <c r="G23" s="11"/>
      <c r="H23" s="7">
        <f>AVERAGE(H3:H22)</f>
        <v>44747.416027400977</v>
      </c>
      <c r="W23" s="3"/>
    </row>
    <row r="24" spans="1:23" x14ac:dyDescent="0.2">
      <c r="A24" s="8">
        <v>23</v>
      </c>
      <c r="B24" s="9"/>
      <c r="C24" s="10"/>
      <c r="D24" s="10"/>
      <c r="E24" s="10">
        <f>C22+2*D22</f>
        <v>-9770.238418955907</v>
      </c>
      <c r="F24" s="10"/>
      <c r="G24" s="11"/>
      <c r="H24" s="7"/>
    </row>
    <row r="25" spans="1:23" x14ac:dyDescent="0.2">
      <c r="H25" s="7"/>
    </row>
  </sheetData>
  <mergeCells count="1">
    <mergeCell ref="E2:F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Nikita Kuznetsov</cp:lastModifiedBy>
  <cp:revision>7</cp:revision>
  <dcterms:created xsi:type="dcterms:W3CDTF">2025-04-22T10:18:28Z</dcterms:created>
  <dcterms:modified xsi:type="dcterms:W3CDTF">2025-04-29T21:03:16Z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